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capgemini-my.sharepoint.com/personal/sasi_sasikiran_capgemini_com/Documents/Desktop/2025/Personal files/Office related/Data analysis/My sample projects/"/>
    </mc:Choice>
  </mc:AlternateContent>
  <xr:revisionPtr revIDLastSave="1110" documentId="8_{E98DA1B2-1E1F-45E2-9A46-7DB2EBC907BC}" xr6:coauthVersionLast="47" xr6:coauthVersionMax="47" xr10:uidLastSave="{6065A140-0606-42BA-984F-CA9E5227C932}"/>
  <bookViews>
    <workbookView xWindow="-120" yWindow="-120" windowWidth="29040" windowHeight="16440" activeTab="1" xr2:uid="{DF3EC03F-956C-4300-A823-9F0005DC944B}"/>
  </bookViews>
  <sheets>
    <sheet name="Standard resources" sheetId="1" r:id="rId1"/>
    <sheet name="COLDs" sheetId="2" r:id="rId2"/>
  </sheets>
  <definedNames>
    <definedName name="_xlnm._FilterDatabase" localSheetId="1" hidden="1">COLDs!$A$1:$T$2890</definedName>
    <definedName name="_xlnm._FilterDatabase" localSheetId="0" hidden="1">'Standard resources'!$A$1:$U$1087</definedName>
    <definedName name="_xleta.MIN" hidden="1" xlm="1">#NAME?</definedName>
    <definedName name="_xleta.RAND" hidden="1" xlm="1">#NAME?</definedName>
    <definedName name="TargetMean">'Standard resources'!$Q$102</definedName>
    <definedName name="TargetRange">'Standard resources'!$Q$103</definedName>
    <definedName name="VarianceRange">'Standard resources'!$AC$102</definedName>
  </definedNames>
  <calcPr calcId="191029"/>
  <pivotCaches>
    <pivotCache cacheId="2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613" i="2" l="1"/>
  <c r="N2612" i="2"/>
  <c r="S2532" i="2"/>
  <c r="R2528" i="2"/>
  <c r="N2393" i="2"/>
  <c r="S2393" i="2" s="1"/>
  <c r="S2391" i="2"/>
  <c r="S2390" i="2"/>
  <c r="S2388" i="2"/>
  <c r="S1178" i="2"/>
  <c r="N859" i="2"/>
  <c r="R859" i="2" s="1"/>
  <c r="N857" i="2"/>
  <c r="S857" i="2" s="1"/>
  <c r="N796" i="2"/>
  <c r="S796" i="2" s="1"/>
  <c r="N785" i="2"/>
  <c r="S785" i="2" s="1"/>
  <c r="N764" i="2"/>
  <c r="N761" i="2"/>
  <c r="R761" i="2" s="1"/>
  <c r="S759" i="2"/>
  <c r="R751" i="2"/>
  <c r="R748" i="2"/>
  <c r="S747" i="2"/>
  <c r="N591" i="2"/>
  <c r="S591" i="2" s="1"/>
  <c r="M86" i="2"/>
  <c r="S86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9" i="2"/>
  <c r="R750" i="2"/>
  <c r="R752" i="2"/>
  <c r="R753" i="2"/>
  <c r="R754" i="2"/>
  <c r="R755" i="2"/>
  <c r="R756" i="2"/>
  <c r="R757" i="2"/>
  <c r="R758" i="2"/>
  <c r="R760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8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9" i="2"/>
  <c r="R2390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9" i="2"/>
  <c r="S750" i="2"/>
  <c r="S752" i="2"/>
  <c r="S753" i="2"/>
  <c r="S754" i="2"/>
  <c r="S755" i="2"/>
  <c r="S756" i="2"/>
  <c r="S757" i="2"/>
  <c r="S758" i="2"/>
  <c r="S760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6" i="2"/>
  <c r="S787" i="2"/>
  <c r="S788" i="2"/>
  <c r="S789" i="2"/>
  <c r="S790" i="2"/>
  <c r="S791" i="2"/>
  <c r="S792" i="2"/>
  <c r="S793" i="2"/>
  <c r="S794" i="2"/>
  <c r="S795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8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S2128" i="2"/>
  <c r="S2129" i="2"/>
  <c r="S2130" i="2"/>
  <c r="S2131" i="2"/>
  <c r="S2132" i="2"/>
  <c r="S2133" i="2"/>
  <c r="S2134" i="2"/>
  <c r="S2135" i="2"/>
  <c r="S2136" i="2"/>
  <c r="S2137" i="2"/>
  <c r="S2138" i="2"/>
  <c r="S2139" i="2"/>
  <c r="S2140" i="2"/>
  <c r="S2141" i="2"/>
  <c r="S2142" i="2"/>
  <c r="S2143" i="2"/>
  <c r="S2144" i="2"/>
  <c r="S2145" i="2"/>
  <c r="S2146" i="2"/>
  <c r="S2147" i="2"/>
  <c r="S2148" i="2"/>
  <c r="S2149" i="2"/>
  <c r="S2150" i="2"/>
  <c r="S2151" i="2"/>
  <c r="S2152" i="2"/>
  <c r="S2153" i="2"/>
  <c r="S2154" i="2"/>
  <c r="S2155" i="2"/>
  <c r="S2156" i="2"/>
  <c r="S2157" i="2"/>
  <c r="S2158" i="2"/>
  <c r="S2159" i="2"/>
  <c r="S2160" i="2"/>
  <c r="S2161" i="2"/>
  <c r="S2162" i="2"/>
  <c r="S2163" i="2"/>
  <c r="S2164" i="2"/>
  <c r="S2165" i="2"/>
  <c r="S2166" i="2"/>
  <c r="S2167" i="2"/>
  <c r="S2168" i="2"/>
  <c r="S2169" i="2"/>
  <c r="S2170" i="2"/>
  <c r="S2171" i="2"/>
  <c r="S2172" i="2"/>
  <c r="S2173" i="2"/>
  <c r="S2174" i="2"/>
  <c r="S2175" i="2"/>
  <c r="S2176" i="2"/>
  <c r="S2177" i="2"/>
  <c r="S2178" i="2"/>
  <c r="S2179" i="2"/>
  <c r="S2180" i="2"/>
  <c r="S2181" i="2"/>
  <c r="S2182" i="2"/>
  <c r="S2183" i="2"/>
  <c r="S2184" i="2"/>
  <c r="S2185" i="2"/>
  <c r="S2186" i="2"/>
  <c r="S2187" i="2"/>
  <c r="S2188" i="2"/>
  <c r="S2189" i="2"/>
  <c r="S2190" i="2"/>
  <c r="S2191" i="2"/>
  <c r="S2192" i="2"/>
  <c r="S2193" i="2"/>
  <c r="S2194" i="2"/>
  <c r="S2195" i="2"/>
  <c r="S2196" i="2"/>
  <c r="S2197" i="2"/>
  <c r="S2198" i="2"/>
  <c r="S2199" i="2"/>
  <c r="S2200" i="2"/>
  <c r="S2201" i="2"/>
  <c r="S2202" i="2"/>
  <c r="S2203" i="2"/>
  <c r="S2204" i="2"/>
  <c r="S2205" i="2"/>
  <c r="S2206" i="2"/>
  <c r="S2207" i="2"/>
  <c r="S2208" i="2"/>
  <c r="S2209" i="2"/>
  <c r="S2210" i="2"/>
  <c r="S2211" i="2"/>
  <c r="S2212" i="2"/>
  <c r="S2213" i="2"/>
  <c r="S2214" i="2"/>
  <c r="S2215" i="2"/>
  <c r="S2216" i="2"/>
  <c r="S2217" i="2"/>
  <c r="S2218" i="2"/>
  <c r="S2219" i="2"/>
  <c r="S2220" i="2"/>
  <c r="S2221" i="2"/>
  <c r="S2222" i="2"/>
  <c r="S2223" i="2"/>
  <c r="S2224" i="2"/>
  <c r="S2225" i="2"/>
  <c r="S2226" i="2"/>
  <c r="S2227" i="2"/>
  <c r="S2228" i="2"/>
  <c r="S2229" i="2"/>
  <c r="S2230" i="2"/>
  <c r="S2231" i="2"/>
  <c r="S2232" i="2"/>
  <c r="S2233" i="2"/>
  <c r="S2234" i="2"/>
  <c r="S2235" i="2"/>
  <c r="S2236" i="2"/>
  <c r="S2237" i="2"/>
  <c r="S2238" i="2"/>
  <c r="S2239" i="2"/>
  <c r="S2240" i="2"/>
  <c r="S2241" i="2"/>
  <c r="S2242" i="2"/>
  <c r="S2243" i="2"/>
  <c r="S2244" i="2"/>
  <c r="S2245" i="2"/>
  <c r="S2246" i="2"/>
  <c r="S2247" i="2"/>
  <c r="S2248" i="2"/>
  <c r="S2249" i="2"/>
  <c r="S2250" i="2"/>
  <c r="S2251" i="2"/>
  <c r="S2252" i="2"/>
  <c r="S2253" i="2"/>
  <c r="S2254" i="2"/>
  <c r="S2255" i="2"/>
  <c r="S2256" i="2"/>
  <c r="S2257" i="2"/>
  <c r="S2258" i="2"/>
  <c r="S2259" i="2"/>
  <c r="S2260" i="2"/>
  <c r="S2261" i="2"/>
  <c r="S2262" i="2"/>
  <c r="S2263" i="2"/>
  <c r="S2264" i="2"/>
  <c r="S2265" i="2"/>
  <c r="S2266" i="2"/>
  <c r="S2267" i="2"/>
  <c r="S2268" i="2"/>
  <c r="S2269" i="2"/>
  <c r="S2270" i="2"/>
  <c r="S2271" i="2"/>
  <c r="S2272" i="2"/>
  <c r="S2273" i="2"/>
  <c r="S2274" i="2"/>
  <c r="S2275" i="2"/>
  <c r="S2276" i="2"/>
  <c r="S2277" i="2"/>
  <c r="S2278" i="2"/>
  <c r="S2279" i="2"/>
  <c r="S2280" i="2"/>
  <c r="S2281" i="2"/>
  <c r="S2282" i="2"/>
  <c r="S2283" i="2"/>
  <c r="S2284" i="2"/>
  <c r="S2285" i="2"/>
  <c r="S2286" i="2"/>
  <c r="S2287" i="2"/>
  <c r="S2288" i="2"/>
  <c r="S2289" i="2"/>
  <c r="S2290" i="2"/>
  <c r="S2291" i="2"/>
  <c r="S2292" i="2"/>
  <c r="S2293" i="2"/>
  <c r="S2294" i="2"/>
  <c r="S2295" i="2"/>
  <c r="S2296" i="2"/>
  <c r="S2297" i="2"/>
  <c r="S2298" i="2"/>
  <c r="S2299" i="2"/>
  <c r="S2300" i="2"/>
  <c r="S2301" i="2"/>
  <c r="S2302" i="2"/>
  <c r="S2303" i="2"/>
  <c r="S2304" i="2"/>
  <c r="S2305" i="2"/>
  <c r="S2306" i="2"/>
  <c r="S2307" i="2"/>
  <c r="S2308" i="2"/>
  <c r="S2309" i="2"/>
  <c r="S2310" i="2"/>
  <c r="S2311" i="2"/>
  <c r="S2312" i="2"/>
  <c r="S2313" i="2"/>
  <c r="S2314" i="2"/>
  <c r="S2315" i="2"/>
  <c r="S2316" i="2"/>
  <c r="S2317" i="2"/>
  <c r="S2318" i="2"/>
  <c r="S2319" i="2"/>
  <c r="S2320" i="2"/>
  <c r="S2321" i="2"/>
  <c r="S2322" i="2"/>
  <c r="S2323" i="2"/>
  <c r="S2324" i="2"/>
  <c r="S2325" i="2"/>
  <c r="S2326" i="2"/>
  <c r="S2327" i="2"/>
  <c r="S2328" i="2"/>
  <c r="S2329" i="2"/>
  <c r="S2330" i="2"/>
  <c r="S2331" i="2"/>
  <c r="S2332" i="2"/>
  <c r="S2333" i="2"/>
  <c r="S2334" i="2"/>
  <c r="S2335" i="2"/>
  <c r="S2336" i="2"/>
  <c r="S2337" i="2"/>
  <c r="S2338" i="2"/>
  <c r="S2339" i="2"/>
  <c r="S2340" i="2"/>
  <c r="S2341" i="2"/>
  <c r="S2342" i="2"/>
  <c r="S2343" i="2"/>
  <c r="S2344" i="2"/>
  <c r="S2345" i="2"/>
  <c r="S2346" i="2"/>
  <c r="S2347" i="2"/>
  <c r="S2348" i="2"/>
  <c r="S2349" i="2"/>
  <c r="S2350" i="2"/>
  <c r="S2351" i="2"/>
  <c r="S2352" i="2"/>
  <c r="S2353" i="2"/>
  <c r="S2354" i="2"/>
  <c r="S2355" i="2"/>
  <c r="S2356" i="2"/>
  <c r="S2357" i="2"/>
  <c r="S2358" i="2"/>
  <c r="S2359" i="2"/>
  <c r="S2360" i="2"/>
  <c r="S2361" i="2"/>
  <c r="S2362" i="2"/>
  <c r="S2363" i="2"/>
  <c r="S2364" i="2"/>
  <c r="S2365" i="2"/>
  <c r="S2366" i="2"/>
  <c r="S2367" i="2"/>
  <c r="S2368" i="2"/>
  <c r="S2369" i="2"/>
  <c r="S2370" i="2"/>
  <c r="S2371" i="2"/>
  <c r="S2372" i="2"/>
  <c r="S2373" i="2"/>
  <c r="S2374" i="2"/>
  <c r="S2375" i="2"/>
  <c r="S2376" i="2"/>
  <c r="S2377" i="2"/>
  <c r="S2378" i="2"/>
  <c r="S2379" i="2"/>
  <c r="S2380" i="2"/>
  <c r="S2381" i="2"/>
  <c r="S2382" i="2"/>
  <c r="S2383" i="2"/>
  <c r="S2384" i="2"/>
  <c r="S2385" i="2"/>
  <c r="S2386" i="2"/>
  <c r="S2387" i="2"/>
  <c r="S2389" i="2"/>
  <c r="S2392" i="2"/>
  <c r="S2394" i="2"/>
  <c r="S2395" i="2"/>
  <c r="S2396" i="2"/>
  <c r="S2397" i="2"/>
  <c r="S2398" i="2"/>
  <c r="S2399" i="2"/>
  <c r="S2400" i="2"/>
  <c r="S2401" i="2"/>
  <c r="S2402" i="2"/>
  <c r="S2403" i="2"/>
  <c r="S2404" i="2"/>
  <c r="S2405" i="2"/>
  <c r="S2406" i="2"/>
  <c r="S2407" i="2"/>
  <c r="S2408" i="2"/>
  <c r="S2409" i="2"/>
  <c r="S2410" i="2"/>
  <c r="S2411" i="2"/>
  <c r="S2412" i="2"/>
  <c r="S2413" i="2"/>
  <c r="S2414" i="2"/>
  <c r="S2415" i="2"/>
  <c r="S2416" i="2"/>
  <c r="S2417" i="2"/>
  <c r="S2418" i="2"/>
  <c r="S2419" i="2"/>
  <c r="S2420" i="2"/>
  <c r="S2421" i="2"/>
  <c r="S2422" i="2"/>
  <c r="S2423" i="2"/>
  <c r="S2424" i="2"/>
  <c r="S2425" i="2"/>
  <c r="S2426" i="2"/>
  <c r="S2427" i="2"/>
  <c r="S2428" i="2"/>
  <c r="S2429" i="2"/>
  <c r="S2430" i="2"/>
  <c r="S2431" i="2"/>
  <c r="S2432" i="2"/>
  <c r="S2433" i="2"/>
  <c r="S2434" i="2"/>
  <c r="S2435" i="2"/>
  <c r="S2436" i="2"/>
  <c r="S2437" i="2"/>
  <c r="S2438" i="2"/>
  <c r="S2439" i="2"/>
  <c r="S2440" i="2"/>
  <c r="S2441" i="2"/>
  <c r="S2442" i="2"/>
  <c r="S2443" i="2"/>
  <c r="S2444" i="2"/>
  <c r="S2445" i="2"/>
  <c r="S2446" i="2"/>
  <c r="S2447" i="2"/>
  <c r="S2448" i="2"/>
  <c r="S2449" i="2"/>
  <c r="S2450" i="2"/>
  <c r="S2451" i="2"/>
  <c r="S2452" i="2"/>
  <c r="S2453" i="2"/>
  <c r="S2454" i="2"/>
  <c r="S2455" i="2"/>
  <c r="S2456" i="2"/>
  <c r="S2457" i="2"/>
  <c r="S2458" i="2"/>
  <c r="S2459" i="2"/>
  <c r="S2460" i="2"/>
  <c r="S2461" i="2"/>
  <c r="S2462" i="2"/>
  <c r="S2463" i="2"/>
  <c r="S2464" i="2"/>
  <c r="S2465" i="2"/>
  <c r="S2466" i="2"/>
  <c r="S2467" i="2"/>
  <c r="S2468" i="2"/>
  <c r="S2469" i="2"/>
  <c r="S2470" i="2"/>
  <c r="S2471" i="2"/>
  <c r="S2472" i="2"/>
  <c r="S2473" i="2"/>
  <c r="S2474" i="2"/>
  <c r="S2475" i="2"/>
  <c r="S2476" i="2"/>
  <c r="S2477" i="2"/>
  <c r="S2478" i="2"/>
  <c r="S2479" i="2"/>
  <c r="S2480" i="2"/>
  <c r="S2481" i="2"/>
  <c r="S2482" i="2"/>
  <c r="S2483" i="2"/>
  <c r="S2484" i="2"/>
  <c r="S2485" i="2"/>
  <c r="S2486" i="2"/>
  <c r="S2487" i="2"/>
  <c r="S2488" i="2"/>
  <c r="S2489" i="2"/>
  <c r="S2490" i="2"/>
  <c r="S2491" i="2"/>
  <c r="S2492" i="2"/>
  <c r="S2493" i="2"/>
  <c r="S2494" i="2"/>
  <c r="S2495" i="2"/>
  <c r="S2496" i="2"/>
  <c r="S2497" i="2"/>
  <c r="S2498" i="2"/>
  <c r="S2499" i="2"/>
  <c r="S2500" i="2"/>
  <c r="S2501" i="2"/>
  <c r="S2502" i="2"/>
  <c r="S2503" i="2"/>
  <c r="S2504" i="2"/>
  <c r="S2505" i="2"/>
  <c r="S2506" i="2"/>
  <c r="S2507" i="2"/>
  <c r="S2508" i="2"/>
  <c r="S2509" i="2"/>
  <c r="S2510" i="2"/>
  <c r="S2511" i="2"/>
  <c r="S2512" i="2"/>
  <c r="S2513" i="2"/>
  <c r="S2514" i="2"/>
  <c r="S2515" i="2"/>
  <c r="S2516" i="2"/>
  <c r="S2517" i="2"/>
  <c r="S2518" i="2"/>
  <c r="S2519" i="2"/>
  <c r="S2520" i="2"/>
  <c r="S2521" i="2"/>
  <c r="S2522" i="2"/>
  <c r="S2523" i="2"/>
  <c r="S2524" i="2"/>
  <c r="S2525" i="2"/>
  <c r="S2526" i="2"/>
  <c r="S2527" i="2"/>
  <c r="S2528" i="2"/>
  <c r="S2529" i="2"/>
  <c r="S2530" i="2"/>
  <c r="S2531" i="2"/>
  <c r="S2533" i="2"/>
  <c r="S2534" i="2"/>
  <c r="S2535" i="2"/>
  <c r="S2536" i="2"/>
  <c r="S2537" i="2"/>
  <c r="S2538" i="2"/>
  <c r="S2539" i="2"/>
  <c r="S2540" i="2"/>
  <c r="S2541" i="2"/>
  <c r="S2542" i="2"/>
  <c r="S2543" i="2"/>
  <c r="S2544" i="2"/>
  <c r="S2545" i="2"/>
  <c r="S2546" i="2"/>
  <c r="S2547" i="2"/>
  <c r="S2548" i="2"/>
  <c r="S2549" i="2"/>
  <c r="S2550" i="2"/>
  <c r="S2551" i="2"/>
  <c r="S2552" i="2"/>
  <c r="S2553" i="2"/>
  <c r="S2554" i="2"/>
  <c r="S2555" i="2"/>
  <c r="S2556" i="2"/>
  <c r="S2557" i="2"/>
  <c r="S2558" i="2"/>
  <c r="S2559" i="2"/>
  <c r="S2560" i="2"/>
  <c r="S2561" i="2"/>
  <c r="S2562" i="2"/>
  <c r="S2563" i="2"/>
  <c r="S2564" i="2"/>
  <c r="S2565" i="2"/>
  <c r="S2566" i="2"/>
  <c r="S2567" i="2"/>
  <c r="S2568" i="2"/>
  <c r="S2569" i="2"/>
  <c r="S2570" i="2"/>
  <c r="S2571" i="2"/>
  <c r="S2572" i="2"/>
  <c r="S2573" i="2"/>
  <c r="S2574" i="2"/>
  <c r="S2575" i="2"/>
  <c r="S2576" i="2"/>
  <c r="S2577" i="2"/>
  <c r="S2578" i="2"/>
  <c r="S2579" i="2"/>
  <c r="S2580" i="2"/>
  <c r="S2581" i="2"/>
  <c r="S2582" i="2"/>
  <c r="S2583" i="2"/>
  <c r="S2584" i="2"/>
  <c r="S2585" i="2"/>
  <c r="S2586" i="2"/>
  <c r="S2587" i="2"/>
  <c r="S2588" i="2"/>
  <c r="S2589" i="2"/>
  <c r="S2590" i="2"/>
  <c r="S2591" i="2"/>
  <c r="S2592" i="2"/>
  <c r="S2593" i="2"/>
  <c r="S2594" i="2"/>
  <c r="S2595" i="2"/>
  <c r="S2596" i="2"/>
  <c r="S2597" i="2"/>
  <c r="S2598" i="2"/>
  <c r="S2599" i="2"/>
  <c r="S2600" i="2"/>
  <c r="S2601" i="2"/>
  <c r="S2602" i="2"/>
  <c r="S2603" i="2"/>
  <c r="S2604" i="2"/>
  <c r="S2605" i="2"/>
  <c r="S2606" i="2"/>
  <c r="S2607" i="2"/>
  <c r="S2608" i="2"/>
  <c r="S2609" i="2"/>
  <c r="S2610" i="2"/>
  <c r="S2611" i="2"/>
  <c r="S2612" i="2"/>
  <c r="S2613" i="2"/>
  <c r="S2614" i="2"/>
  <c r="S2615" i="2"/>
  <c r="S2616" i="2"/>
  <c r="S2617" i="2"/>
  <c r="S2618" i="2"/>
  <c r="S2619" i="2"/>
  <c r="S2620" i="2"/>
  <c r="S2621" i="2"/>
  <c r="S2622" i="2"/>
  <c r="S2623" i="2"/>
  <c r="S2624" i="2"/>
  <c r="S2625" i="2"/>
  <c r="S2626" i="2"/>
  <c r="S2627" i="2"/>
  <c r="S2628" i="2"/>
  <c r="S2629" i="2"/>
  <c r="S2630" i="2"/>
  <c r="S2631" i="2"/>
  <c r="S2632" i="2"/>
  <c r="S2633" i="2"/>
  <c r="S2634" i="2"/>
  <c r="S2635" i="2"/>
  <c r="S2636" i="2"/>
  <c r="S2637" i="2"/>
  <c r="S2638" i="2"/>
  <c r="S2639" i="2"/>
  <c r="S2640" i="2"/>
  <c r="S2641" i="2"/>
  <c r="S2642" i="2"/>
  <c r="S2643" i="2"/>
  <c r="S2644" i="2"/>
  <c r="S2645" i="2"/>
  <c r="S2646" i="2"/>
  <c r="S2647" i="2"/>
  <c r="S2648" i="2"/>
  <c r="S2649" i="2"/>
  <c r="S2650" i="2"/>
  <c r="S2651" i="2"/>
  <c r="S2652" i="2"/>
  <c r="S2653" i="2"/>
  <c r="S2654" i="2"/>
  <c r="S2655" i="2"/>
  <c r="S2656" i="2"/>
  <c r="S2657" i="2"/>
  <c r="S2658" i="2"/>
  <c r="S2659" i="2"/>
  <c r="S2660" i="2"/>
  <c r="S2661" i="2"/>
  <c r="S2662" i="2"/>
  <c r="S2663" i="2"/>
  <c r="S2664" i="2"/>
  <c r="S2665" i="2"/>
  <c r="S2666" i="2"/>
  <c r="S2667" i="2"/>
  <c r="S2668" i="2"/>
  <c r="S2669" i="2"/>
  <c r="S2670" i="2"/>
  <c r="S2671" i="2"/>
  <c r="S2672" i="2"/>
  <c r="S2673" i="2"/>
  <c r="S2674" i="2"/>
  <c r="S2675" i="2"/>
  <c r="S2676" i="2"/>
  <c r="S2677" i="2"/>
  <c r="S2678" i="2"/>
  <c r="S2679" i="2"/>
  <c r="S2680" i="2"/>
  <c r="S2681" i="2"/>
  <c r="S2682" i="2"/>
  <c r="S2683" i="2"/>
  <c r="S2684" i="2"/>
  <c r="S2685" i="2"/>
  <c r="S2686" i="2"/>
  <c r="S2687" i="2"/>
  <c r="S2688" i="2"/>
  <c r="S2689" i="2"/>
  <c r="S2690" i="2"/>
  <c r="S2691" i="2"/>
  <c r="S2692" i="2"/>
  <c r="S2693" i="2"/>
  <c r="S2694" i="2"/>
  <c r="S2695" i="2"/>
  <c r="S2696" i="2"/>
  <c r="S2697" i="2"/>
  <c r="S2698" i="2"/>
  <c r="S2699" i="2"/>
  <c r="S2700" i="2"/>
  <c r="S2701" i="2"/>
  <c r="S2702" i="2"/>
  <c r="S2703" i="2"/>
  <c r="S2704" i="2"/>
  <c r="S2705" i="2"/>
  <c r="S2706" i="2"/>
  <c r="S2707" i="2"/>
  <c r="S2708" i="2"/>
  <c r="S2709" i="2"/>
  <c r="S2710" i="2"/>
  <c r="S2711" i="2"/>
  <c r="S2712" i="2"/>
  <c r="S2713" i="2"/>
  <c r="S2714" i="2"/>
  <c r="S2715" i="2"/>
  <c r="S2716" i="2"/>
  <c r="S2717" i="2"/>
  <c r="S2718" i="2"/>
  <c r="S2719" i="2"/>
  <c r="S2720" i="2"/>
  <c r="S2721" i="2"/>
  <c r="S2722" i="2"/>
  <c r="S2723" i="2"/>
  <c r="S2724" i="2"/>
  <c r="S2725" i="2"/>
  <c r="S2726" i="2"/>
  <c r="S2727" i="2"/>
  <c r="S2728" i="2"/>
  <c r="S2729" i="2"/>
  <c r="S2730" i="2"/>
  <c r="S2731" i="2"/>
  <c r="S2732" i="2"/>
  <c r="S2733" i="2"/>
  <c r="S2734" i="2"/>
  <c r="S2735" i="2"/>
  <c r="S2736" i="2"/>
  <c r="S2737" i="2"/>
  <c r="S2738" i="2"/>
  <c r="S2739" i="2"/>
  <c r="S2740" i="2"/>
  <c r="S2741" i="2"/>
  <c r="S2742" i="2"/>
  <c r="S2743" i="2"/>
  <c r="S2744" i="2"/>
  <c r="S2745" i="2"/>
  <c r="S2746" i="2"/>
  <c r="S2747" i="2"/>
  <c r="S2748" i="2"/>
  <c r="S2749" i="2"/>
  <c r="S2750" i="2"/>
  <c r="S2751" i="2"/>
  <c r="S2752" i="2"/>
  <c r="S2753" i="2"/>
  <c r="S2754" i="2"/>
  <c r="S2755" i="2"/>
  <c r="S2756" i="2"/>
  <c r="S2757" i="2"/>
  <c r="S2758" i="2"/>
  <c r="S2759" i="2"/>
  <c r="S2760" i="2"/>
  <c r="S2761" i="2"/>
  <c r="S2762" i="2"/>
  <c r="S2763" i="2"/>
  <c r="S2764" i="2"/>
  <c r="S2765" i="2"/>
  <c r="S2766" i="2"/>
  <c r="S2767" i="2"/>
  <c r="S2768" i="2"/>
  <c r="S2769" i="2"/>
  <c r="S2770" i="2"/>
  <c r="S2771" i="2"/>
  <c r="S2772" i="2"/>
  <c r="S2773" i="2"/>
  <c r="S2774" i="2"/>
  <c r="S2775" i="2"/>
  <c r="S2776" i="2"/>
  <c r="S2777" i="2"/>
  <c r="S2778" i="2"/>
  <c r="S2779" i="2"/>
  <c r="S2780" i="2"/>
  <c r="S2781" i="2"/>
  <c r="S2782" i="2"/>
  <c r="S2783" i="2"/>
  <c r="S2784" i="2"/>
  <c r="S2785" i="2"/>
  <c r="S2786" i="2"/>
  <c r="S2787" i="2"/>
  <c r="S2788" i="2"/>
  <c r="S2789" i="2"/>
  <c r="S2790" i="2"/>
  <c r="S2791" i="2"/>
  <c r="S2792" i="2"/>
  <c r="S2793" i="2"/>
  <c r="S2794" i="2"/>
  <c r="S2795" i="2"/>
  <c r="S2796" i="2"/>
  <c r="S2797" i="2"/>
  <c r="S2798" i="2"/>
  <c r="S2799" i="2"/>
  <c r="S2800" i="2"/>
  <c r="S2801" i="2"/>
  <c r="S2802" i="2"/>
  <c r="S2803" i="2"/>
  <c r="S2804" i="2"/>
  <c r="S2805" i="2"/>
  <c r="S2806" i="2"/>
  <c r="S2807" i="2"/>
  <c r="S2808" i="2"/>
  <c r="S2809" i="2"/>
  <c r="S2810" i="2"/>
  <c r="S2811" i="2"/>
  <c r="S2812" i="2"/>
  <c r="S2813" i="2"/>
  <c r="S2814" i="2"/>
  <c r="S2815" i="2"/>
  <c r="S2816" i="2"/>
  <c r="S2817" i="2"/>
  <c r="S2818" i="2"/>
  <c r="S2819" i="2"/>
  <c r="S2820" i="2"/>
  <c r="S2821" i="2"/>
  <c r="S2822" i="2"/>
  <c r="S2823" i="2"/>
  <c r="S2824" i="2"/>
  <c r="S2825" i="2"/>
  <c r="S2826" i="2"/>
  <c r="S2827" i="2"/>
  <c r="S2828" i="2"/>
  <c r="S2829" i="2"/>
  <c r="S2830" i="2"/>
  <c r="S2831" i="2"/>
  <c r="S2832" i="2"/>
  <c r="S2833" i="2"/>
  <c r="S2834" i="2"/>
  <c r="S2835" i="2"/>
  <c r="S2836" i="2"/>
  <c r="S2837" i="2"/>
  <c r="S2838" i="2"/>
  <c r="S2839" i="2"/>
  <c r="S2840" i="2"/>
  <c r="S2841" i="2"/>
  <c r="S2842" i="2"/>
  <c r="S2843" i="2"/>
  <c r="S2844" i="2"/>
  <c r="S2845" i="2"/>
  <c r="S2846" i="2"/>
  <c r="S2847" i="2"/>
  <c r="S2848" i="2"/>
  <c r="S2849" i="2"/>
  <c r="S2850" i="2"/>
  <c r="S2851" i="2"/>
  <c r="S2852" i="2"/>
  <c r="S2853" i="2"/>
  <c r="S2854" i="2"/>
  <c r="S2855" i="2"/>
  <c r="S2856" i="2"/>
  <c r="S2857" i="2"/>
  <c r="S2858" i="2"/>
  <c r="S2859" i="2"/>
  <c r="S2860" i="2"/>
  <c r="S2861" i="2"/>
  <c r="S2862" i="2"/>
  <c r="S2863" i="2"/>
  <c r="S2864" i="2"/>
  <c r="S2865" i="2"/>
  <c r="S2866" i="2"/>
  <c r="S2867" i="2"/>
  <c r="S2868" i="2"/>
  <c r="S2869" i="2"/>
  <c r="S2870" i="2"/>
  <c r="S2871" i="2"/>
  <c r="S2872" i="2"/>
  <c r="S2873" i="2"/>
  <c r="S2874" i="2"/>
  <c r="S2875" i="2"/>
  <c r="S2876" i="2"/>
  <c r="S2877" i="2"/>
  <c r="S2878" i="2"/>
  <c r="S2879" i="2"/>
  <c r="S2880" i="2"/>
  <c r="S2881" i="2"/>
  <c r="S2882" i="2"/>
  <c r="S2883" i="2"/>
  <c r="S2884" i="2"/>
  <c r="S2885" i="2"/>
  <c r="S2886" i="2"/>
  <c r="S2887" i="2"/>
  <c r="S2888" i="2"/>
  <c r="S2889" i="2"/>
  <c r="S2890" i="2"/>
  <c r="S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T101" i="1" s="1"/>
  <c r="P2" i="1"/>
  <c r="AB3" i="1"/>
  <c r="AB2" i="1"/>
  <c r="AA4" i="1"/>
  <c r="AA2" i="1"/>
  <c r="Z3" i="1"/>
  <c r="Z4" i="1"/>
  <c r="Y3" i="1"/>
  <c r="Y2" i="1"/>
  <c r="X4" i="1"/>
  <c r="X2" i="1"/>
  <c r="W3" i="1"/>
  <c r="W4" i="1"/>
  <c r="K101" i="1" a="1"/>
  <c r="K101" i="1" s="1"/>
  <c r="AB101" i="1" s="1"/>
  <c r="K100" i="1" a="1"/>
  <c r="K100" i="1" s="1"/>
  <c r="AB100" i="1" s="1"/>
  <c r="K99" i="1" a="1"/>
  <c r="K99" i="1" s="1"/>
  <c r="K98" i="1" a="1"/>
  <c r="K98" i="1" s="1"/>
  <c r="AB98" i="1" s="1"/>
  <c r="K97" i="1" a="1"/>
  <c r="K97" i="1" s="1"/>
  <c r="AA97" i="1" s="1"/>
  <c r="K96" i="1" a="1"/>
  <c r="K96" i="1" s="1"/>
  <c r="AA96" i="1" s="1"/>
  <c r="K95" i="1" a="1"/>
  <c r="K95" i="1" s="1"/>
  <c r="AB95" i="1" s="1"/>
  <c r="K94" i="1" a="1"/>
  <c r="K94" i="1" s="1"/>
  <c r="Y94" i="1" s="1"/>
  <c r="K93" i="1" a="1"/>
  <c r="K93" i="1" s="1"/>
  <c r="K92" i="1" a="1"/>
  <c r="K92" i="1" s="1"/>
  <c r="K91" i="1" a="1"/>
  <c r="K91" i="1" s="1"/>
  <c r="AA91" i="1" s="1"/>
  <c r="K90" i="1" a="1"/>
  <c r="K90" i="1" s="1"/>
  <c r="K89" i="1" a="1"/>
  <c r="K89" i="1" s="1"/>
  <c r="AB89" i="1" s="1"/>
  <c r="K88" i="1" a="1"/>
  <c r="K88" i="1" s="1"/>
  <c r="AB88" i="1" s="1"/>
  <c r="K87" i="1" a="1"/>
  <c r="K87" i="1" s="1"/>
  <c r="K86" i="1" a="1"/>
  <c r="K86" i="1" s="1"/>
  <c r="AB86" i="1" s="1"/>
  <c r="K85" i="1" a="1"/>
  <c r="K85" i="1" s="1"/>
  <c r="AA85" i="1" s="1"/>
  <c r="K84" i="1" a="1"/>
  <c r="K84" i="1" s="1"/>
  <c r="W84" i="1" s="1"/>
  <c r="K83" i="1" a="1"/>
  <c r="K83" i="1" s="1"/>
  <c r="AB83" i="1" s="1"/>
  <c r="K82" i="1" a="1"/>
  <c r="K82" i="1" s="1"/>
  <c r="Y82" i="1" s="1"/>
  <c r="K81" i="1" a="1"/>
  <c r="K81" i="1" s="1"/>
  <c r="K80" i="1" a="1"/>
  <c r="K80" i="1" s="1"/>
  <c r="K79" i="1" a="1"/>
  <c r="K79" i="1" s="1"/>
  <c r="X79" i="1" s="1"/>
  <c r="K78" i="1" a="1"/>
  <c r="K78" i="1" s="1"/>
  <c r="AA78" i="1" s="1"/>
  <c r="K77" i="1" a="1"/>
  <c r="K77" i="1" s="1"/>
  <c r="AB77" i="1" s="1"/>
  <c r="K76" i="1" a="1"/>
  <c r="K76" i="1" s="1"/>
  <c r="AB76" i="1" s="1"/>
  <c r="K75" i="1" a="1"/>
  <c r="K75" i="1" s="1"/>
  <c r="K74" i="1" a="1"/>
  <c r="K74" i="1" s="1"/>
  <c r="Z74" i="1" s="1"/>
  <c r="K73" i="1" a="1"/>
  <c r="K73" i="1" s="1"/>
  <c r="AA73" i="1" s="1"/>
  <c r="K72" i="1" a="1"/>
  <c r="K72" i="1" s="1"/>
  <c r="AA72" i="1" s="1"/>
  <c r="K71" i="1" a="1"/>
  <c r="K71" i="1" s="1"/>
  <c r="AB71" i="1" s="1"/>
  <c r="K70" i="1" a="1"/>
  <c r="K70" i="1" s="1"/>
  <c r="AA70" i="1" s="1"/>
  <c r="K69" i="1" a="1"/>
  <c r="K69" i="1" s="1"/>
  <c r="K68" i="1" a="1"/>
  <c r="K68" i="1" s="1"/>
  <c r="K67" i="1" a="1"/>
  <c r="K67" i="1" s="1"/>
  <c r="AA67" i="1" s="1"/>
  <c r="K66" i="1" a="1"/>
  <c r="K66" i="1" s="1"/>
  <c r="K65" i="1" a="1"/>
  <c r="K65" i="1" s="1"/>
  <c r="AB65" i="1" s="1"/>
  <c r="K64" i="1" a="1"/>
  <c r="K64" i="1" s="1"/>
  <c r="AB64" i="1" s="1"/>
  <c r="K63" i="1" a="1"/>
  <c r="K63" i="1" s="1"/>
  <c r="K62" i="1" a="1"/>
  <c r="K62" i="1" s="1"/>
  <c r="W62" i="1" s="1"/>
  <c r="K61" i="1" a="1"/>
  <c r="K61" i="1" s="1"/>
  <c r="AA61" i="1" s="1"/>
  <c r="K60" i="1" a="1"/>
  <c r="K60" i="1" s="1"/>
  <c r="AA60" i="1" s="1"/>
  <c r="K59" i="1" a="1"/>
  <c r="K59" i="1" s="1"/>
  <c r="AB59" i="1" s="1"/>
  <c r="K58" i="1" a="1"/>
  <c r="K58" i="1" s="1"/>
  <c r="AB58" i="1" s="1"/>
  <c r="K57" i="1" a="1"/>
  <c r="K57" i="1" s="1"/>
  <c r="AA57" i="1" s="1"/>
  <c r="K56" i="1" a="1"/>
  <c r="K56" i="1" s="1"/>
  <c r="K55" i="1" a="1"/>
  <c r="K55" i="1" s="1"/>
  <c r="AA55" i="1" s="1"/>
  <c r="K54" i="1" a="1"/>
  <c r="K54" i="1" s="1"/>
  <c r="K53" i="1" a="1"/>
  <c r="K53" i="1" s="1"/>
  <c r="AB53" i="1" s="1"/>
  <c r="K52" i="1" a="1"/>
  <c r="K52" i="1" s="1"/>
  <c r="AB52" i="1" s="1"/>
  <c r="K51" i="1" a="1"/>
  <c r="K51" i="1" s="1"/>
  <c r="K50" i="1" a="1"/>
  <c r="K50" i="1" s="1"/>
  <c r="AB50" i="1" s="1"/>
  <c r="K49" i="1" a="1"/>
  <c r="K49" i="1" s="1"/>
  <c r="AA49" i="1" s="1"/>
  <c r="K48" i="1" a="1"/>
  <c r="K48" i="1" s="1"/>
  <c r="AA48" i="1" s="1"/>
  <c r="K47" i="1" a="1"/>
  <c r="K47" i="1" s="1"/>
  <c r="Y47" i="1" s="1"/>
  <c r="K46" i="1" a="1"/>
  <c r="K46" i="1" s="1"/>
  <c r="X46" i="1" s="1"/>
  <c r="K45" i="1" a="1"/>
  <c r="K45" i="1" s="1"/>
  <c r="K44" i="1" a="1"/>
  <c r="K44" i="1" s="1"/>
  <c r="K43" i="1" a="1"/>
  <c r="K43" i="1" s="1"/>
  <c r="X43" i="1" s="1"/>
  <c r="K42" i="1" a="1"/>
  <c r="K42" i="1" s="1"/>
  <c r="AA42" i="1" s="1"/>
  <c r="K41" i="1" a="1"/>
  <c r="K41" i="1" s="1"/>
  <c r="AB41" i="1" s="1"/>
  <c r="K40" i="1" a="1"/>
  <c r="K40" i="1" s="1"/>
  <c r="AB40" i="1" s="1"/>
  <c r="K39" i="1" a="1"/>
  <c r="K39" i="1" s="1"/>
  <c r="K38" i="1" a="1"/>
  <c r="K38" i="1" s="1"/>
  <c r="W38" i="1" s="1"/>
  <c r="K37" i="1" a="1"/>
  <c r="K37" i="1" s="1"/>
  <c r="AA37" i="1" s="1"/>
  <c r="K36" i="1" a="1"/>
  <c r="K36" i="1" s="1"/>
  <c r="W36" i="1" s="1"/>
  <c r="K35" i="1" a="1"/>
  <c r="K35" i="1" s="1"/>
  <c r="K34" i="1" a="1"/>
  <c r="K34" i="1" s="1"/>
  <c r="AA34" i="1" s="1"/>
  <c r="K33" i="1" a="1"/>
  <c r="K33" i="1" s="1"/>
  <c r="K32" i="1" a="1"/>
  <c r="K32" i="1" s="1"/>
  <c r="K31" i="1" a="1"/>
  <c r="K31" i="1" s="1"/>
  <c r="AA31" i="1" s="1"/>
  <c r="K30" i="1" a="1"/>
  <c r="K30" i="1" s="1"/>
  <c r="K29" i="1" a="1"/>
  <c r="K29" i="1" s="1"/>
  <c r="AB29" i="1" s="1"/>
  <c r="K28" i="1" a="1"/>
  <c r="K28" i="1" s="1"/>
  <c r="AB28" i="1" s="1"/>
  <c r="K27" i="1" a="1"/>
  <c r="K27" i="1" s="1"/>
  <c r="K26" i="1" a="1"/>
  <c r="K26" i="1" s="1"/>
  <c r="W26" i="1" s="1"/>
  <c r="K25" i="1" a="1"/>
  <c r="K25" i="1" s="1"/>
  <c r="AA25" i="1" s="1"/>
  <c r="K24" i="1" a="1"/>
  <c r="K24" i="1" s="1"/>
  <c r="AA24" i="1" s="1"/>
  <c r="K23" i="1" a="1"/>
  <c r="K23" i="1" s="1"/>
  <c r="Y23" i="1" s="1"/>
  <c r="K22" i="1" a="1"/>
  <c r="K22" i="1" s="1"/>
  <c r="AA22" i="1" s="1"/>
  <c r="K21" i="1" a="1"/>
  <c r="K21" i="1" s="1"/>
  <c r="AA21" i="1" s="1"/>
  <c r="K20" i="1" a="1"/>
  <c r="K20" i="1" s="1"/>
  <c r="K19" i="1" a="1"/>
  <c r="K19" i="1" s="1"/>
  <c r="AA19" i="1" s="1"/>
  <c r="K18" i="1" a="1"/>
  <c r="K18" i="1" s="1"/>
  <c r="Z18" i="1" s="1"/>
  <c r="K17" i="1" a="1"/>
  <c r="K17" i="1" s="1"/>
  <c r="AB17" i="1" s="1"/>
  <c r="K16" i="1" a="1"/>
  <c r="K16" i="1" s="1"/>
  <c r="AB16" i="1" s="1"/>
  <c r="K15" i="1" a="1"/>
  <c r="K15" i="1" s="1"/>
  <c r="K14" i="1" a="1"/>
  <c r="K14" i="1" s="1"/>
  <c r="Y14" i="1" s="1"/>
  <c r="K13" i="1" a="1"/>
  <c r="K13" i="1" s="1"/>
  <c r="AA13" i="1" s="1"/>
  <c r="K12" i="1" a="1"/>
  <c r="K12" i="1" s="1"/>
  <c r="AA12" i="1" s="1"/>
  <c r="K11" i="1" a="1"/>
  <c r="K11" i="1" s="1"/>
  <c r="Y11" i="1" s="1"/>
  <c r="K10" i="1" a="1"/>
  <c r="K10" i="1" s="1"/>
  <c r="K9" i="1" a="1"/>
  <c r="K9" i="1" s="1"/>
  <c r="K8" i="1" a="1"/>
  <c r="K8" i="1" s="1"/>
  <c r="K7" i="1" a="1"/>
  <c r="K7" i="1" s="1"/>
  <c r="X7" i="1" s="1"/>
  <c r="K6" i="1" a="1"/>
  <c r="K6" i="1" s="1"/>
  <c r="AA6" i="1" s="1"/>
  <c r="K5" i="1" a="1"/>
  <c r="K5" i="1" s="1"/>
  <c r="AB5" i="1" s="1"/>
  <c r="R3" i="1"/>
  <c r="AA3" i="1" s="1"/>
  <c r="R4" i="1"/>
  <c r="AB4" i="1" s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Z40" i="1" s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Z64" i="1" s="1"/>
  <c r="R65" i="1"/>
  <c r="R66" i="1"/>
  <c r="R67" i="1"/>
  <c r="R68" i="1"/>
  <c r="R69" i="1"/>
  <c r="R70" i="1"/>
  <c r="R71" i="1"/>
  <c r="R72" i="1"/>
  <c r="R73" i="1"/>
  <c r="R74" i="1"/>
  <c r="R75" i="1"/>
  <c r="R76" i="1"/>
  <c r="Z76" i="1" s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Z100" i="1" s="1"/>
  <c r="R101" i="1"/>
  <c r="R2" i="1"/>
  <c r="Z2" i="1" s="1"/>
  <c r="Q3" i="1"/>
  <c r="X3" i="1" s="1"/>
  <c r="Q4" i="1"/>
  <c r="Y4" i="1" s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2" i="1"/>
  <c r="W2" i="1" s="1"/>
  <c r="G2" i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31" i="1" a="1"/>
  <c r="E31" i="1" s="1"/>
  <c r="E32" i="1" a="1"/>
  <c r="E32" i="1" s="1"/>
  <c r="E33" i="1" a="1"/>
  <c r="E33" i="1" s="1"/>
  <c r="E34" i="1" a="1"/>
  <c r="E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E40" i="1" s="1"/>
  <c r="E41" i="1" a="1"/>
  <c r="E41" i="1" s="1"/>
  <c r="E42" i="1" a="1"/>
  <c r="E42" i="1" s="1"/>
  <c r="E43" i="1" a="1"/>
  <c r="E43" i="1" s="1"/>
  <c r="E44" i="1" a="1"/>
  <c r="E44" i="1" s="1"/>
  <c r="E45" i="1" a="1"/>
  <c r="E45" i="1" s="1"/>
  <c r="E46" i="1" a="1"/>
  <c r="E46" i="1" s="1"/>
  <c r="E47" i="1" a="1"/>
  <c r="E47" i="1" s="1"/>
  <c r="E48" i="1" a="1"/>
  <c r="E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E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E64" i="1" s="1"/>
  <c r="E65" i="1" a="1"/>
  <c r="E65" i="1" s="1"/>
  <c r="E66" i="1" a="1"/>
  <c r="E66" i="1" s="1"/>
  <c r="E67" i="1" a="1"/>
  <c r="E67" i="1" s="1"/>
  <c r="E68" i="1" a="1"/>
  <c r="E68" i="1" s="1"/>
  <c r="E69" i="1" a="1"/>
  <c r="E69" i="1" s="1"/>
  <c r="E70" i="1" a="1"/>
  <c r="E70" i="1" s="1"/>
  <c r="E71" i="1" a="1"/>
  <c r="E71" i="1" s="1"/>
  <c r="E72" i="1" a="1"/>
  <c r="E72" i="1" s="1"/>
  <c r="E73" i="1" a="1"/>
  <c r="E73" i="1" s="1"/>
  <c r="E74" i="1" a="1"/>
  <c r="E74" i="1" s="1"/>
  <c r="E75" i="1" a="1"/>
  <c r="E75" i="1" s="1"/>
  <c r="E76" i="1" a="1"/>
  <c r="E76" i="1" s="1"/>
  <c r="E77" i="1" a="1"/>
  <c r="E77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3" i="1" a="1"/>
  <c r="E83" i="1" s="1"/>
  <c r="E84" i="1" a="1"/>
  <c r="E84" i="1" s="1"/>
  <c r="E85" i="1" a="1"/>
  <c r="E85" i="1" s="1"/>
  <c r="E86" i="1" a="1"/>
  <c r="E86" i="1" s="1"/>
  <c r="E87" i="1" a="1"/>
  <c r="E87" i="1" s="1"/>
  <c r="E88" i="1" a="1"/>
  <c r="E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E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102" i="1" a="1"/>
  <c r="E102" i="1" s="1"/>
  <c r="E103" i="1" a="1"/>
  <c r="E103" i="1" s="1"/>
  <c r="E104" i="1" a="1"/>
  <c r="E104" i="1" s="1"/>
  <c r="E105" i="1" a="1"/>
  <c r="E105" i="1" s="1"/>
  <c r="E106" i="1" a="1"/>
  <c r="E106" i="1" s="1"/>
  <c r="E107" i="1" a="1"/>
  <c r="E107" i="1" s="1"/>
  <c r="E108" i="1" a="1"/>
  <c r="E108" i="1" s="1"/>
  <c r="E109" i="1" a="1"/>
  <c r="E109" i="1" s="1"/>
  <c r="E110" i="1" a="1"/>
  <c r="E110" i="1" s="1"/>
  <c r="E111" i="1" a="1"/>
  <c r="E111" i="1" s="1"/>
  <c r="E112" i="1" a="1"/>
  <c r="E112" i="1" s="1"/>
  <c r="E113" i="1" a="1"/>
  <c r="E113" i="1" s="1"/>
  <c r="E114" i="1" a="1"/>
  <c r="E114" i="1" s="1"/>
  <c r="E115" i="1" a="1"/>
  <c r="E115" i="1" s="1"/>
  <c r="E116" i="1" a="1"/>
  <c r="E116" i="1" s="1"/>
  <c r="E117" i="1" a="1"/>
  <c r="E117" i="1" s="1"/>
  <c r="E118" i="1" a="1"/>
  <c r="E118" i="1" s="1"/>
  <c r="E119" i="1" a="1"/>
  <c r="E119" i="1" s="1"/>
  <c r="E120" i="1" a="1"/>
  <c r="E120" i="1" s="1"/>
  <c r="E121" i="1" a="1"/>
  <c r="E121" i="1" s="1"/>
  <c r="E122" i="1" a="1"/>
  <c r="E122" i="1" s="1"/>
  <c r="E123" i="1" a="1"/>
  <c r="E123" i="1" s="1"/>
  <c r="E124" i="1" a="1"/>
  <c r="E124" i="1" s="1"/>
  <c r="E125" i="1" a="1"/>
  <c r="E125" i="1" s="1"/>
  <c r="E126" i="1" a="1"/>
  <c r="E126" i="1" s="1"/>
  <c r="E127" i="1" a="1"/>
  <c r="E127" i="1" s="1"/>
  <c r="E128" i="1" a="1"/>
  <c r="E128" i="1" s="1"/>
  <c r="E129" i="1" a="1"/>
  <c r="E129" i="1" s="1"/>
  <c r="E130" i="1" a="1"/>
  <c r="E130" i="1" s="1"/>
  <c r="E131" i="1" a="1"/>
  <c r="E131" i="1" s="1"/>
  <c r="E132" i="1" a="1"/>
  <c r="E132" i="1" s="1"/>
  <c r="E133" i="1" a="1"/>
  <c r="E133" i="1" s="1"/>
  <c r="E134" i="1" a="1"/>
  <c r="E134" i="1" s="1"/>
  <c r="E135" i="1" a="1"/>
  <c r="E135" i="1" s="1"/>
  <c r="E136" i="1" a="1"/>
  <c r="E136" i="1" s="1"/>
  <c r="E137" i="1" a="1"/>
  <c r="E137" i="1" s="1"/>
  <c r="E138" i="1" a="1"/>
  <c r="E138" i="1" s="1"/>
  <c r="E139" i="1" a="1"/>
  <c r="E139" i="1" s="1"/>
  <c r="E140" i="1" a="1"/>
  <c r="E140" i="1" s="1"/>
  <c r="E141" i="1" a="1"/>
  <c r="E141" i="1" s="1"/>
  <c r="E142" i="1" a="1"/>
  <c r="E142" i="1" s="1"/>
  <c r="E143" i="1" a="1"/>
  <c r="E143" i="1" s="1"/>
  <c r="E144" i="1" a="1"/>
  <c r="E144" i="1" s="1"/>
  <c r="E145" i="1" a="1"/>
  <c r="E145" i="1" s="1"/>
  <c r="E146" i="1" a="1"/>
  <c r="E146" i="1" s="1"/>
  <c r="E147" i="1" a="1"/>
  <c r="E147" i="1" s="1"/>
  <c r="E148" i="1" a="1"/>
  <c r="E148" i="1" s="1"/>
  <c r="E149" i="1" a="1"/>
  <c r="E149" i="1" s="1"/>
  <c r="E150" i="1" a="1"/>
  <c r="E150" i="1" s="1"/>
  <c r="E151" i="1" a="1"/>
  <c r="E151" i="1" s="1"/>
  <c r="E152" i="1" a="1"/>
  <c r="E152" i="1" s="1"/>
  <c r="E153" i="1" a="1"/>
  <c r="E153" i="1" s="1"/>
  <c r="E154" i="1" a="1"/>
  <c r="E154" i="1" s="1"/>
  <c r="E155" i="1" a="1"/>
  <c r="E155" i="1" s="1"/>
  <c r="E156" i="1" a="1"/>
  <c r="E156" i="1" s="1"/>
  <c r="E157" i="1" a="1"/>
  <c r="E157" i="1" s="1"/>
  <c r="E158" i="1" a="1"/>
  <c r="E158" i="1" s="1"/>
  <c r="E159" i="1" a="1"/>
  <c r="E159" i="1" s="1"/>
  <c r="E160" i="1" a="1"/>
  <c r="E160" i="1" s="1"/>
  <c r="E161" i="1" a="1"/>
  <c r="E161" i="1" s="1"/>
  <c r="E162" i="1" a="1"/>
  <c r="E162" i="1" s="1"/>
  <c r="E163" i="1" a="1"/>
  <c r="E163" i="1" s="1"/>
  <c r="E164" i="1" a="1"/>
  <c r="E164" i="1" s="1"/>
  <c r="E165" i="1" a="1"/>
  <c r="E165" i="1" s="1"/>
  <c r="E166" i="1" a="1"/>
  <c r="E166" i="1" s="1"/>
  <c r="E167" i="1" a="1"/>
  <c r="E167" i="1" s="1"/>
  <c r="E168" i="1" a="1"/>
  <c r="E168" i="1" s="1"/>
  <c r="E169" i="1" a="1"/>
  <c r="E169" i="1" s="1"/>
  <c r="E170" i="1" a="1"/>
  <c r="E170" i="1" s="1"/>
  <c r="E171" i="1" a="1"/>
  <c r="E171" i="1" s="1"/>
  <c r="E172" i="1" a="1"/>
  <c r="E172" i="1" s="1"/>
  <c r="E173" i="1" a="1"/>
  <c r="E173" i="1" s="1"/>
  <c r="E174" i="1" a="1"/>
  <c r="E174" i="1" s="1"/>
  <c r="E175" i="1" a="1"/>
  <c r="E175" i="1" s="1"/>
  <c r="E176" i="1" a="1"/>
  <c r="E176" i="1" s="1"/>
  <c r="E177" i="1" a="1"/>
  <c r="E177" i="1" s="1"/>
  <c r="E178" i="1" a="1"/>
  <c r="E178" i="1" s="1"/>
  <c r="E179" i="1" a="1"/>
  <c r="E179" i="1" s="1"/>
  <c r="E180" i="1" a="1"/>
  <c r="E180" i="1" s="1"/>
  <c r="E181" i="1" a="1"/>
  <c r="E181" i="1" s="1"/>
  <c r="E182" i="1" a="1"/>
  <c r="E182" i="1" s="1"/>
  <c r="E183" i="1" a="1"/>
  <c r="E183" i="1" s="1"/>
  <c r="E184" i="1" a="1"/>
  <c r="E184" i="1" s="1"/>
  <c r="E185" i="1" a="1"/>
  <c r="E185" i="1" s="1"/>
  <c r="E186" i="1" a="1"/>
  <c r="E186" i="1" s="1"/>
  <c r="E187" i="1" a="1"/>
  <c r="E187" i="1" s="1"/>
  <c r="E188" i="1" a="1"/>
  <c r="E188" i="1" s="1"/>
  <c r="E189" i="1" a="1"/>
  <c r="E189" i="1" s="1"/>
  <c r="E190" i="1" a="1"/>
  <c r="E190" i="1" s="1"/>
  <c r="E191" i="1" a="1"/>
  <c r="E191" i="1" s="1"/>
  <c r="E192" i="1" a="1"/>
  <c r="E192" i="1" s="1"/>
  <c r="E193" i="1" a="1"/>
  <c r="E193" i="1" s="1"/>
  <c r="E194" i="1" a="1"/>
  <c r="E194" i="1" s="1"/>
  <c r="E195" i="1" a="1"/>
  <c r="E195" i="1" s="1"/>
  <c r="E196" i="1" a="1"/>
  <c r="E196" i="1" s="1"/>
  <c r="E197" i="1" a="1"/>
  <c r="E197" i="1" s="1"/>
  <c r="E198" i="1" a="1"/>
  <c r="E198" i="1" s="1"/>
  <c r="E199" i="1" a="1"/>
  <c r="E199" i="1" s="1"/>
  <c r="E200" i="1" a="1"/>
  <c r="E200" i="1" s="1"/>
  <c r="E201" i="1" a="1"/>
  <c r="E201" i="1" s="1"/>
  <c r="E202" i="1" a="1"/>
  <c r="E202" i="1" s="1"/>
  <c r="E203" i="1" a="1"/>
  <c r="E203" i="1" s="1"/>
  <c r="E204" i="1" a="1"/>
  <c r="E204" i="1" s="1"/>
  <c r="E205" i="1" a="1"/>
  <c r="E205" i="1" s="1"/>
  <c r="E206" i="1" a="1"/>
  <c r="E206" i="1" s="1"/>
  <c r="E207" i="1" a="1"/>
  <c r="E207" i="1" s="1"/>
  <c r="E208" i="1" a="1"/>
  <c r="E208" i="1" s="1"/>
  <c r="E209" i="1" a="1"/>
  <c r="E209" i="1" s="1"/>
  <c r="E210" i="1" a="1"/>
  <c r="E210" i="1" s="1"/>
  <c r="E211" i="1" a="1"/>
  <c r="E211" i="1" s="1"/>
  <c r="E212" i="1" a="1"/>
  <c r="E212" i="1" s="1"/>
  <c r="E213" i="1" a="1"/>
  <c r="E213" i="1" s="1"/>
  <c r="E214" i="1" a="1"/>
  <c r="E214" i="1" s="1"/>
  <c r="E215" i="1" a="1"/>
  <c r="E215" i="1" s="1"/>
  <c r="E216" i="1" a="1"/>
  <c r="E216" i="1" s="1"/>
  <c r="E217" i="1" a="1"/>
  <c r="E217" i="1" s="1"/>
  <c r="E218" i="1" a="1"/>
  <c r="E218" i="1" s="1"/>
  <c r="E219" i="1" a="1"/>
  <c r="E219" i="1" s="1"/>
  <c r="E220" i="1" a="1"/>
  <c r="E220" i="1" s="1"/>
  <c r="E221" i="1" a="1"/>
  <c r="E221" i="1" s="1"/>
  <c r="E222" i="1" a="1"/>
  <c r="E222" i="1" s="1"/>
  <c r="E223" i="1" a="1"/>
  <c r="E223" i="1" s="1"/>
  <c r="E224" i="1" a="1"/>
  <c r="E224" i="1" s="1"/>
  <c r="E225" i="1" a="1"/>
  <c r="E225" i="1" s="1"/>
  <c r="E226" i="1" a="1"/>
  <c r="E226" i="1" s="1"/>
  <c r="E227" i="1" a="1"/>
  <c r="E227" i="1" s="1"/>
  <c r="E228" i="1" a="1"/>
  <c r="E228" i="1" s="1"/>
  <c r="E229" i="1" a="1"/>
  <c r="E229" i="1" s="1"/>
  <c r="E230" i="1" a="1"/>
  <c r="E230" i="1" s="1"/>
  <c r="E231" i="1" a="1"/>
  <c r="E231" i="1" s="1"/>
  <c r="E232" i="1" a="1"/>
  <c r="E232" i="1" s="1"/>
  <c r="E233" i="1" a="1"/>
  <c r="E233" i="1" s="1"/>
  <c r="E234" i="1" a="1"/>
  <c r="E234" i="1" s="1"/>
  <c r="E235" i="1" a="1"/>
  <c r="E235" i="1" s="1"/>
  <c r="E236" i="1" a="1"/>
  <c r="E236" i="1" s="1"/>
  <c r="E237" i="1" a="1"/>
  <c r="E237" i="1" s="1"/>
  <c r="E238" i="1" a="1"/>
  <c r="E238" i="1" s="1"/>
  <c r="E239" i="1" a="1"/>
  <c r="E239" i="1" s="1"/>
  <c r="E240" i="1" a="1"/>
  <c r="E240" i="1" s="1"/>
  <c r="E241" i="1" a="1"/>
  <c r="E241" i="1" s="1"/>
  <c r="E242" i="1" a="1"/>
  <c r="E242" i="1" s="1"/>
  <c r="E243" i="1" a="1"/>
  <c r="E243" i="1" s="1"/>
  <c r="E244" i="1" a="1"/>
  <c r="E244" i="1" s="1"/>
  <c r="E245" i="1" a="1"/>
  <c r="E245" i="1" s="1"/>
  <c r="E246" i="1" a="1"/>
  <c r="E246" i="1" s="1"/>
  <c r="E247" i="1" a="1"/>
  <c r="E247" i="1" s="1"/>
  <c r="E248" i="1" a="1"/>
  <c r="E248" i="1" s="1"/>
  <c r="E249" i="1" a="1"/>
  <c r="E249" i="1" s="1"/>
  <c r="E250" i="1" a="1"/>
  <c r="E250" i="1" s="1"/>
  <c r="E251" i="1" a="1"/>
  <c r="E251" i="1" s="1"/>
  <c r="E252" i="1" a="1"/>
  <c r="E252" i="1" s="1"/>
  <c r="E253" i="1" a="1"/>
  <c r="E253" i="1" s="1"/>
  <c r="E254" i="1" a="1"/>
  <c r="E254" i="1" s="1"/>
  <c r="E255" i="1" a="1"/>
  <c r="E255" i="1" s="1"/>
  <c r="E256" i="1" a="1"/>
  <c r="E256" i="1" s="1"/>
  <c r="E257" i="1" a="1"/>
  <c r="E257" i="1" s="1"/>
  <c r="E258" i="1" a="1"/>
  <c r="E258" i="1" s="1"/>
  <c r="E259" i="1" a="1"/>
  <c r="E259" i="1" s="1"/>
  <c r="E260" i="1" a="1"/>
  <c r="E260" i="1" s="1"/>
  <c r="E261" i="1" a="1"/>
  <c r="E261" i="1" s="1"/>
  <c r="E262" i="1" a="1"/>
  <c r="E262" i="1" s="1"/>
  <c r="E263" i="1" a="1"/>
  <c r="E263" i="1" s="1"/>
  <c r="E264" i="1" a="1"/>
  <c r="E264" i="1" s="1"/>
  <c r="E265" i="1" a="1"/>
  <c r="E265" i="1" s="1"/>
  <c r="E266" i="1" a="1"/>
  <c r="E266" i="1" s="1"/>
  <c r="E267" i="1" a="1"/>
  <c r="E267" i="1" s="1"/>
  <c r="E268" i="1" a="1"/>
  <c r="E268" i="1" s="1"/>
  <c r="E269" i="1" a="1"/>
  <c r="E269" i="1" s="1"/>
  <c r="E270" i="1" a="1"/>
  <c r="E270" i="1" s="1"/>
  <c r="E271" i="1" a="1"/>
  <c r="E271" i="1" s="1"/>
  <c r="E272" i="1" a="1"/>
  <c r="E272" i="1" s="1"/>
  <c r="E273" i="1" a="1"/>
  <c r="E273" i="1" s="1"/>
  <c r="E274" i="1" a="1"/>
  <c r="E274" i="1" s="1"/>
  <c r="E275" i="1" a="1"/>
  <c r="E275" i="1" s="1"/>
  <c r="E276" i="1" a="1"/>
  <c r="E276" i="1" s="1"/>
  <c r="E277" i="1" a="1"/>
  <c r="E277" i="1" s="1"/>
  <c r="E278" i="1" a="1"/>
  <c r="E278" i="1" s="1"/>
  <c r="E279" i="1" a="1"/>
  <c r="E279" i="1" s="1"/>
  <c r="E280" i="1" a="1"/>
  <c r="E280" i="1" s="1"/>
  <c r="E281" i="1" a="1"/>
  <c r="E281" i="1" s="1"/>
  <c r="E282" i="1" a="1"/>
  <c r="E282" i="1" s="1"/>
  <c r="E283" i="1" a="1"/>
  <c r="E283" i="1" s="1"/>
  <c r="E284" i="1" a="1"/>
  <c r="E284" i="1" s="1"/>
  <c r="E285" i="1" a="1"/>
  <c r="E285" i="1" s="1"/>
  <c r="E286" i="1" a="1"/>
  <c r="E286" i="1" s="1"/>
  <c r="E287" i="1" a="1"/>
  <c r="E287" i="1" s="1"/>
  <c r="E288" i="1" a="1"/>
  <c r="E288" i="1" s="1"/>
  <c r="E289" i="1" a="1"/>
  <c r="E289" i="1" s="1"/>
  <c r="E290" i="1" a="1"/>
  <c r="E290" i="1" s="1"/>
  <c r="E291" i="1" a="1"/>
  <c r="E291" i="1" s="1"/>
  <c r="E292" i="1" a="1"/>
  <c r="E292" i="1" s="1"/>
  <c r="E293" i="1" a="1"/>
  <c r="E293" i="1" s="1"/>
  <c r="E294" i="1" a="1"/>
  <c r="E294" i="1" s="1"/>
  <c r="E295" i="1" a="1"/>
  <c r="E295" i="1" s="1"/>
  <c r="E296" i="1" a="1"/>
  <c r="E296" i="1" s="1"/>
  <c r="E297" i="1" a="1"/>
  <c r="E297" i="1" s="1"/>
  <c r="E298" i="1" a="1"/>
  <c r="E298" i="1" s="1"/>
  <c r="E299" i="1" a="1"/>
  <c r="E299" i="1" s="1"/>
  <c r="E300" i="1" a="1"/>
  <c r="E300" i="1" s="1"/>
  <c r="E301" i="1" a="1"/>
  <c r="E301" i="1" s="1"/>
  <c r="E302" i="1" a="1"/>
  <c r="E302" i="1" s="1"/>
  <c r="E303" i="1" a="1"/>
  <c r="E303" i="1" s="1"/>
  <c r="E304" i="1" a="1"/>
  <c r="E304" i="1" s="1"/>
  <c r="E305" i="1" a="1"/>
  <c r="E305" i="1" s="1"/>
  <c r="E306" i="1" a="1"/>
  <c r="E306" i="1" s="1"/>
  <c r="E307" i="1" a="1"/>
  <c r="E307" i="1" s="1"/>
  <c r="E308" i="1" a="1"/>
  <c r="E308" i="1" s="1"/>
  <c r="E309" i="1" a="1"/>
  <c r="E309" i="1" s="1"/>
  <c r="E310" i="1" a="1"/>
  <c r="E310" i="1" s="1"/>
  <c r="E311" i="1" a="1"/>
  <c r="E311" i="1" s="1"/>
  <c r="E312" i="1" a="1"/>
  <c r="E312" i="1" s="1"/>
  <c r="E313" i="1" a="1"/>
  <c r="E313" i="1" s="1"/>
  <c r="E314" i="1" a="1"/>
  <c r="E314" i="1" s="1"/>
  <c r="E315" i="1" a="1"/>
  <c r="E315" i="1" s="1"/>
  <c r="E316" i="1" a="1"/>
  <c r="E316" i="1" s="1"/>
  <c r="E317" i="1" a="1"/>
  <c r="E317" i="1" s="1"/>
  <c r="E318" i="1" a="1"/>
  <c r="E318" i="1" s="1"/>
  <c r="E319" i="1" a="1"/>
  <c r="E319" i="1" s="1"/>
  <c r="E320" i="1" a="1"/>
  <c r="E320" i="1" s="1"/>
  <c r="E321" i="1" a="1"/>
  <c r="E321" i="1" s="1"/>
  <c r="E322" i="1" a="1"/>
  <c r="E322" i="1" s="1"/>
  <c r="E323" i="1" a="1"/>
  <c r="E323" i="1" s="1"/>
  <c r="E324" i="1" a="1"/>
  <c r="E324" i="1" s="1"/>
  <c r="E325" i="1" a="1"/>
  <c r="E325" i="1" s="1"/>
  <c r="E326" i="1" a="1"/>
  <c r="E326" i="1" s="1"/>
  <c r="E327" i="1" a="1"/>
  <c r="E327" i="1" s="1"/>
  <c r="E328" i="1" a="1"/>
  <c r="E328" i="1" s="1"/>
  <c r="E329" i="1" a="1"/>
  <c r="E329" i="1" s="1"/>
  <c r="E330" i="1" a="1"/>
  <c r="E330" i="1" s="1"/>
  <c r="E331" i="1" a="1"/>
  <c r="E331" i="1" s="1"/>
  <c r="E332" i="1" a="1"/>
  <c r="E332" i="1" s="1"/>
  <c r="E333" i="1" a="1"/>
  <c r="E333" i="1" s="1"/>
  <c r="E334" i="1" a="1"/>
  <c r="E334" i="1" s="1"/>
  <c r="E335" i="1" a="1"/>
  <c r="E335" i="1" s="1"/>
  <c r="E336" i="1" a="1"/>
  <c r="E336" i="1" s="1"/>
  <c r="E337" i="1" a="1"/>
  <c r="E337" i="1" s="1"/>
  <c r="E338" i="1" a="1"/>
  <c r="E338" i="1" s="1"/>
  <c r="E339" i="1" a="1"/>
  <c r="E339" i="1" s="1"/>
  <c r="E340" i="1" a="1"/>
  <c r="E340" i="1" s="1"/>
  <c r="E341" i="1" a="1"/>
  <c r="E341" i="1" s="1"/>
  <c r="E342" i="1" a="1"/>
  <c r="E342" i="1" s="1"/>
  <c r="E343" i="1" a="1"/>
  <c r="E343" i="1" s="1"/>
  <c r="E344" i="1" a="1"/>
  <c r="E344" i="1" s="1"/>
  <c r="E345" i="1" a="1"/>
  <c r="E345" i="1" s="1"/>
  <c r="E346" i="1" a="1"/>
  <c r="E346" i="1" s="1"/>
  <c r="E347" i="1" a="1"/>
  <c r="E347" i="1" s="1"/>
  <c r="E348" i="1" a="1"/>
  <c r="E348" i="1" s="1"/>
  <c r="E349" i="1" a="1"/>
  <c r="E349" i="1" s="1"/>
  <c r="E350" i="1" a="1"/>
  <c r="E350" i="1" s="1"/>
  <c r="E351" i="1" a="1"/>
  <c r="E351" i="1" s="1"/>
  <c r="E352" i="1" a="1"/>
  <c r="E352" i="1" s="1"/>
  <c r="E353" i="1" a="1"/>
  <c r="E353" i="1" s="1"/>
  <c r="E354" i="1" a="1"/>
  <c r="E354" i="1" s="1"/>
  <c r="E355" i="1" a="1"/>
  <c r="E355" i="1" s="1"/>
  <c r="E356" i="1" a="1"/>
  <c r="E356" i="1" s="1"/>
  <c r="E357" i="1" a="1"/>
  <c r="E357" i="1" s="1"/>
  <c r="E358" i="1" a="1"/>
  <c r="E358" i="1" s="1"/>
  <c r="E359" i="1" a="1"/>
  <c r="E359" i="1" s="1"/>
  <c r="E360" i="1" a="1"/>
  <c r="E360" i="1" s="1"/>
  <c r="E361" i="1" a="1"/>
  <c r="E361" i="1" s="1"/>
  <c r="E362" i="1" a="1"/>
  <c r="E362" i="1" s="1"/>
  <c r="E363" i="1" a="1"/>
  <c r="E363" i="1" s="1"/>
  <c r="E364" i="1" a="1"/>
  <c r="E364" i="1" s="1"/>
  <c r="E365" i="1" a="1"/>
  <c r="E365" i="1" s="1"/>
  <c r="E366" i="1" a="1"/>
  <c r="E366" i="1" s="1"/>
  <c r="E367" i="1" a="1"/>
  <c r="E367" i="1" s="1"/>
  <c r="E368" i="1" a="1"/>
  <c r="E368" i="1" s="1"/>
  <c r="E369" i="1" a="1"/>
  <c r="E369" i="1" s="1"/>
  <c r="E370" i="1" a="1"/>
  <c r="E370" i="1" s="1"/>
  <c r="E371" i="1" a="1"/>
  <c r="E371" i="1" s="1"/>
  <c r="E372" i="1" a="1"/>
  <c r="E372" i="1" s="1"/>
  <c r="E373" i="1" a="1"/>
  <c r="E373" i="1" s="1"/>
  <c r="E374" i="1" a="1"/>
  <c r="E374" i="1" s="1"/>
  <c r="E375" i="1" a="1"/>
  <c r="E375" i="1" s="1"/>
  <c r="E376" i="1" a="1"/>
  <c r="E376" i="1" s="1"/>
  <c r="E377" i="1" a="1"/>
  <c r="E377" i="1" s="1"/>
  <c r="E378" i="1" a="1"/>
  <c r="E378" i="1" s="1"/>
  <c r="E379" i="1" a="1"/>
  <c r="E379" i="1" s="1"/>
  <c r="E380" i="1" a="1"/>
  <c r="E380" i="1" s="1"/>
  <c r="E381" i="1" a="1"/>
  <c r="E381" i="1" s="1"/>
  <c r="E382" i="1" a="1"/>
  <c r="E382" i="1" s="1"/>
  <c r="E383" i="1" a="1"/>
  <c r="E383" i="1" s="1"/>
  <c r="E384" i="1" a="1"/>
  <c r="E384" i="1" s="1"/>
  <c r="E385" i="1" a="1"/>
  <c r="E385" i="1" s="1"/>
  <c r="E386" i="1" a="1"/>
  <c r="E386" i="1" s="1"/>
  <c r="E387" i="1" a="1"/>
  <c r="E387" i="1" s="1"/>
  <c r="E388" i="1" a="1"/>
  <c r="E388" i="1" s="1"/>
  <c r="E389" i="1" a="1"/>
  <c r="E389" i="1" s="1"/>
  <c r="E390" i="1" a="1"/>
  <c r="E390" i="1" s="1"/>
  <c r="E391" i="1" a="1"/>
  <c r="E391" i="1" s="1"/>
  <c r="E392" i="1" a="1"/>
  <c r="E392" i="1" s="1"/>
  <c r="E393" i="1" a="1"/>
  <c r="E393" i="1" s="1"/>
  <c r="E394" i="1" a="1"/>
  <c r="E394" i="1" s="1"/>
  <c r="E395" i="1" a="1"/>
  <c r="E395" i="1" s="1"/>
  <c r="E396" i="1" a="1"/>
  <c r="E396" i="1" s="1"/>
  <c r="E397" i="1" a="1"/>
  <c r="E397" i="1" s="1"/>
  <c r="E398" i="1" a="1"/>
  <c r="E398" i="1" s="1"/>
  <c r="E399" i="1" a="1"/>
  <c r="E399" i="1" s="1"/>
  <c r="E400" i="1" a="1"/>
  <c r="E400" i="1" s="1"/>
  <c r="E401" i="1" a="1"/>
  <c r="E401" i="1" s="1"/>
  <c r="E402" i="1" a="1"/>
  <c r="E402" i="1" s="1"/>
  <c r="E403" i="1" a="1"/>
  <c r="E403" i="1" s="1"/>
  <c r="E404" i="1" a="1"/>
  <c r="E404" i="1" s="1"/>
  <c r="E405" i="1" a="1"/>
  <c r="E405" i="1" s="1"/>
  <c r="E406" i="1" a="1"/>
  <c r="E406" i="1" s="1"/>
  <c r="E407" i="1" a="1"/>
  <c r="E407" i="1" s="1"/>
  <c r="E408" i="1" a="1"/>
  <c r="E408" i="1" s="1"/>
  <c r="E409" i="1" a="1"/>
  <c r="E409" i="1" s="1"/>
  <c r="E410" i="1" a="1"/>
  <c r="E410" i="1" s="1"/>
  <c r="E411" i="1" a="1"/>
  <c r="E411" i="1" s="1"/>
  <c r="E412" i="1" a="1"/>
  <c r="E412" i="1" s="1"/>
  <c r="E413" i="1" a="1"/>
  <c r="E413" i="1" s="1"/>
  <c r="E414" i="1" a="1"/>
  <c r="E414" i="1" s="1"/>
  <c r="E415" i="1" a="1"/>
  <c r="E415" i="1" s="1"/>
  <c r="E416" i="1" a="1"/>
  <c r="E416" i="1" s="1"/>
  <c r="E417" i="1" a="1"/>
  <c r="E417" i="1" s="1"/>
  <c r="E418" i="1" a="1"/>
  <c r="E418" i="1" s="1"/>
  <c r="E419" i="1" a="1"/>
  <c r="E419" i="1" s="1"/>
  <c r="E420" i="1" a="1"/>
  <c r="E420" i="1" s="1"/>
  <c r="E421" i="1" a="1"/>
  <c r="E421" i="1" s="1"/>
  <c r="E422" i="1" a="1"/>
  <c r="E422" i="1" s="1"/>
  <c r="E423" i="1" a="1"/>
  <c r="E423" i="1" s="1"/>
  <c r="E424" i="1" a="1"/>
  <c r="E424" i="1" s="1"/>
  <c r="E425" i="1" a="1"/>
  <c r="E425" i="1" s="1"/>
  <c r="E426" i="1" a="1"/>
  <c r="E426" i="1" s="1"/>
  <c r="E427" i="1" a="1"/>
  <c r="E427" i="1" s="1"/>
  <c r="E428" i="1" a="1"/>
  <c r="E428" i="1" s="1"/>
  <c r="E429" i="1" a="1"/>
  <c r="E429" i="1" s="1"/>
  <c r="E430" i="1" a="1"/>
  <c r="E430" i="1" s="1"/>
  <c r="E431" i="1" a="1"/>
  <c r="E431" i="1" s="1"/>
  <c r="E432" i="1" a="1"/>
  <c r="E432" i="1" s="1"/>
  <c r="E433" i="1" a="1"/>
  <c r="E433" i="1" s="1"/>
  <c r="E434" i="1" a="1"/>
  <c r="E434" i="1" s="1"/>
  <c r="E435" i="1" a="1"/>
  <c r="E435" i="1" s="1"/>
  <c r="E436" i="1" a="1"/>
  <c r="E436" i="1" s="1"/>
  <c r="E437" i="1" a="1"/>
  <c r="E437" i="1" s="1"/>
  <c r="E438" i="1" a="1"/>
  <c r="E438" i="1" s="1"/>
  <c r="E439" i="1" a="1"/>
  <c r="E439" i="1" s="1"/>
  <c r="E440" i="1" a="1"/>
  <c r="E440" i="1" s="1"/>
  <c r="E441" i="1" a="1"/>
  <c r="E441" i="1" s="1"/>
  <c r="E442" i="1" a="1"/>
  <c r="E442" i="1" s="1"/>
  <c r="E443" i="1" a="1"/>
  <c r="E443" i="1" s="1"/>
  <c r="E444" i="1" a="1"/>
  <c r="E444" i="1" s="1"/>
  <c r="E445" i="1" a="1"/>
  <c r="E445" i="1" s="1"/>
  <c r="E446" i="1" a="1"/>
  <c r="E446" i="1" s="1"/>
  <c r="E447" i="1" a="1"/>
  <c r="E447" i="1" s="1"/>
  <c r="E448" i="1" a="1"/>
  <c r="E448" i="1" s="1"/>
  <c r="E449" i="1" a="1"/>
  <c r="E449" i="1" s="1"/>
  <c r="E450" i="1" a="1"/>
  <c r="E450" i="1" s="1"/>
  <c r="E451" i="1" a="1"/>
  <c r="E451" i="1" s="1"/>
  <c r="E452" i="1" a="1"/>
  <c r="E452" i="1" s="1"/>
  <c r="E453" i="1" a="1"/>
  <c r="E453" i="1" s="1"/>
  <c r="E454" i="1" a="1"/>
  <c r="E454" i="1" s="1"/>
  <c r="E455" i="1" a="1"/>
  <c r="E455" i="1" s="1"/>
  <c r="E456" i="1" a="1"/>
  <c r="E456" i="1" s="1"/>
  <c r="E457" i="1" a="1"/>
  <c r="E457" i="1" s="1"/>
  <c r="E458" i="1" a="1"/>
  <c r="E458" i="1" s="1"/>
  <c r="E459" i="1" a="1"/>
  <c r="E459" i="1" s="1"/>
  <c r="E460" i="1" a="1"/>
  <c r="E460" i="1" s="1"/>
  <c r="E461" i="1" a="1"/>
  <c r="E461" i="1" s="1"/>
  <c r="E462" i="1" a="1"/>
  <c r="E462" i="1" s="1"/>
  <c r="E463" i="1" a="1"/>
  <c r="E463" i="1" s="1"/>
  <c r="E464" i="1" a="1"/>
  <c r="E464" i="1" s="1"/>
  <c r="E465" i="1" a="1"/>
  <c r="E465" i="1" s="1"/>
  <c r="E466" i="1" a="1"/>
  <c r="E466" i="1" s="1"/>
  <c r="E467" i="1" a="1"/>
  <c r="E467" i="1" s="1"/>
  <c r="E468" i="1" a="1"/>
  <c r="E468" i="1" s="1"/>
  <c r="E469" i="1" a="1"/>
  <c r="E469" i="1" s="1"/>
  <c r="E470" i="1" a="1"/>
  <c r="E470" i="1" s="1"/>
  <c r="E471" i="1" a="1"/>
  <c r="E471" i="1" s="1"/>
  <c r="E472" i="1" a="1"/>
  <c r="E472" i="1" s="1"/>
  <c r="E473" i="1" a="1"/>
  <c r="E473" i="1" s="1"/>
  <c r="E474" i="1" a="1"/>
  <c r="E474" i="1" s="1"/>
  <c r="E475" i="1" a="1"/>
  <c r="E475" i="1" s="1"/>
  <c r="E476" i="1" a="1"/>
  <c r="E476" i="1" s="1"/>
  <c r="E477" i="1" a="1"/>
  <c r="E477" i="1" s="1"/>
  <c r="E478" i="1" a="1"/>
  <c r="E478" i="1" s="1"/>
  <c r="E479" i="1" a="1"/>
  <c r="E479" i="1" s="1"/>
  <c r="E480" i="1" a="1"/>
  <c r="E480" i="1" s="1"/>
  <c r="E481" i="1" a="1"/>
  <c r="E481" i="1" s="1"/>
  <c r="E482" i="1" a="1"/>
  <c r="E482" i="1" s="1"/>
  <c r="E483" i="1" a="1"/>
  <c r="E483" i="1" s="1"/>
  <c r="E484" i="1" a="1"/>
  <c r="E484" i="1" s="1"/>
  <c r="E485" i="1" a="1"/>
  <c r="E485" i="1" s="1"/>
  <c r="E486" i="1" a="1"/>
  <c r="E486" i="1" s="1"/>
  <c r="E487" i="1" a="1"/>
  <c r="E487" i="1" s="1"/>
  <c r="E488" i="1" a="1"/>
  <c r="E488" i="1" s="1"/>
  <c r="E489" i="1" a="1"/>
  <c r="E489" i="1" s="1"/>
  <c r="E490" i="1" a="1"/>
  <c r="E490" i="1" s="1"/>
  <c r="E491" i="1" a="1"/>
  <c r="E491" i="1" s="1"/>
  <c r="E492" i="1" a="1"/>
  <c r="E492" i="1" s="1"/>
  <c r="E493" i="1" a="1"/>
  <c r="E493" i="1" s="1"/>
  <c r="E494" i="1" a="1"/>
  <c r="E494" i="1" s="1"/>
  <c r="E495" i="1" a="1"/>
  <c r="E495" i="1" s="1"/>
  <c r="E496" i="1" a="1"/>
  <c r="E496" i="1" s="1"/>
  <c r="E497" i="1" a="1"/>
  <c r="E497" i="1" s="1"/>
  <c r="E498" i="1" a="1"/>
  <c r="E498" i="1" s="1"/>
  <c r="E499" i="1" a="1"/>
  <c r="E499" i="1" s="1"/>
  <c r="E500" i="1" a="1"/>
  <c r="E500" i="1" s="1"/>
  <c r="E501" i="1" a="1"/>
  <c r="E501" i="1" s="1"/>
  <c r="E502" i="1" a="1"/>
  <c r="E502" i="1" s="1"/>
  <c r="E503" i="1" a="1"/>
  <c r="E503" i="1" s="1"/>
  <c r="E504" i="1" a="1"/>
  <c r="E504" i="1" s="1"/>
  <c r="E505" i="1" a="1"/>
  <c r="E505" i="1" s="1"/>
  <c r="E506" i="1" a="1"/>
  <c r="E506" i="1" s="1"/>
  <c r="E507" i="1" a="1"/>
  <c r="E507" i="1" s="1"/>
  <c r="E508" i="1" a="1"/>
  <c r="E508" i="1" s="1"/>
  <c r="E509" i="1" a="1"/>
  <c r="E509" i="1" s="1"/>
  <c r="E510" i="1" a="1"/>
  <c r="E510" i="1" s="1"/>
  <c r="E511" i="1" a="1"/>
  <c r="E511" i="1" s="1"/>
  <c r="E512" i="1" a="1"/>
  <c r="E512" i="1" s="1"/>
  <c r="E513" i="1" a="1"/>
  <c r="E513" i="1" s="1"/>
  <c r="E514" i="1" a="1"/>
  <c r="E514" i="1" s="1"/>
  <c r="E515" i="1" a="1"/>
  <c r="E515" i="1" s="1"/>
  <c r="E516" i="1" a="1"/>
  <c r="E516" i="1" s="1"/>
  <c r="E517" i="1" a="1"/>
  <c r="E517" i="1" s="1"/>
  <c r="E518" i="1" a="1"/>
  <c r="E518" i="1" s="1"/>
  <c r="E519" i="1" a="1"/>
  <c r="E519" i="1" s="1"/>
  <c r="E520" i="1" a="1"/>
  <c r="E520" i="1" s="1"/>
  <c r="E521" i="1" a="1"/>
  <c r="E521" i="1" s="1"/>
  <c r="E522" i="1" a="1"/>
  <c r="E522" i="1" s="1"/>
  <c r="E523" i="1" a="1"/>
  <c r="E523" i="1" s="1"/>
  <c r="E524" i="1" a="1"/>
  <c r="E524" i="1" s="1"/>
  <c r="E525" i="1" a="1"/>
  <c r="E525" i="1" s="1"/>
  <c r="E526" i="1" a="1"/>
  <c r="E526" i="1" s="1"/>
  <c r="E527" i="1" a="1"/>
  <c r="E527" i="1" s="1"/>
  <c r="E528" i="1" a="1"/>
  <c r="E528" i="1" s="1"/>
  <c r="E529" i="1" a="1"/>
  <c r="E529" i="1" s="1"/>
  <c r="E530" i="1" a="1"/>
  <c r="E530" i="1" s="1"/>
  <c r="E531" i="1" a="1"/>
  <c r="E531" i="1" s="1"/>
  <c r="E532" i="1" a="1"/>
  <c r="E532" i="1" s="1"/>
  <c r="E533" i="1" a="1"/>
  <c r="E533" i="1" s="1"/>
  <c r="E534" i="1" a="1"/>
  <c r="E534" i="1" s="1"/>
  <c r="E535" i="1" a="1"/>
  <c r="E535" i="1" s="1"/>
  <c r="E536" i="1" a="1"/>
  <c r="E536" i="1" s="1"/>
  <c r="E537" i="1" a="1"/>
  <c r="E537" i="1" s="1"/>
  <c r="E538" i="1" a="1"/>
  <c r="E538" i="1" s="1"/>
  <c r="E539" i="1" a="1"/>
  <c r="E539" i="1" s="1"/>
  <c r="E540" i="1" a="1"/>
  <c r="E540" i="1" s="1"/>
  <c r="E541" i="1" a="1"/>
  <c r="E541" i="1" s="1"/>
  <c r="E542" i="1" a="1"/>
  <c r="E542" i="1" s="1"/>
  <c r="E543" i="1" a="1"/>
  <c r="E543" i="1" s="1"/>
  <c r="E544" i="1" a="1"/>
  <c r="E544" i="1" s="1"/>
  <c r="E545" i="1" a="1"/>
  <c r="E545" i="1" s="1"/>
  <c r="E546" i="1" a="1"/>
  <c r="E546" i="1" s="1"/>
  <c r="E547" i="1" a="1"/>
  <c r="E547" i="1" s="1"/>
  <c r="E548" i="1" a="1"/>
  <c r="E548" i="1" s="1"/>
  <c r="E549" i="1" a="1"/>
  <c r="E549" i="1" s="1"/>
  <c r="E550" i="1" a="1"/>
  <c r="E550" i="1" s="1"/>
  <c r="E551" i="1" a="1"/>
  <c r="E551" i="1" s="1"/>
  <c r="E552" i="1" a="1"/>
  <c r="E552" i="1" s="1"/>
  <c r="E553" i="1" a="1"/>
  <c r="E553" i="1" s="1"/>
  <c r="E554" i="1" a="1"/>
  <c r="E554" i="1" s="1"/>
  <c r="E555" i="1" a="1"/>
  <c r="E555" i="1" s="1"/>
  <c r="E556" i="1" a="1"/>
  <c r="E556" i="1" s="1"/>
  <c r="E557" i="1" a="1"/>
  <c r="E557" i="1" s="1"/>
  <c r="E558" i="1" a="1"/>
  <c r="E558" i="1" s="1"/>
  <c r="E559" i="1" a="1"/>
  <c r="E559" i="1" s="1"/>
  <c r="E560" i="1" a="1"/>
  <c r="E560" i="1" s="1"/>
  <c r="E561" i="1" a="1"/>
  <c r="E561" i="1" s="1"/>
  <c r="E562" i="1" a="1"/>
  <c r="E562" i="1" s="1"/>
  <c r="E563" i="1" a="1"/>
  <c r="E563" i="1" s="1"/>
  <c r="E564" i="1" a="1"/>
  <c r="E564" i="1" s="1"/>
  <c r="E565" i="1" a="1"/>
  <c r="E565" i="1" s="1"/>
  <c r="E566" i="1" a="1"/>
  <c r="E566" i="1" s="1"/>
  <c r="E567" i="1" a="1"/>
  <c r="E567" i="1" s="1"/>
  <c r="E568" i="1" a="1"/>
  <c r="E568" i="1" s="1"/>
  <c r="E569" i="1" a="1"/>
  <c r="E569" i="1" s="1"/>
  <c r="E570" i="1" a="1"/>
  <c r="E570" i="1" s="1"/>
  <c r="E571" i="1" a="1"/>
  <c r="E571" i="1" s="1"/>
  <c r="E572" i="1" a="1"/>
  <c r="E572" i="1" s="1"/>
  <c r="E573" i="1" a="1"/>
  <c r="E573" i="1" s="1"/>
  <c r="E574" i="1" a="1"/>
  <c r="E574" i="1" s="1"/>
  <c r="E575" i="1" a="1"/>
  <c r="E575" i="1" s="1"/>
  <c r="E576" i="1" a="1"/>
  <c r="E576" i="1" s="1"/>
  <c r="E577" i="1" a="1"/>
  <c r="E577" i="1" s="1"/>
  <c r="E578" i="1" a="1"/>
  <c r="E578" i="1" s="1"/>
  <c r="E579" i="1" a="1"/>
  <c r="E579" i="1" s="1"/>
  <c r="E580" i="1" a="1"/>
  <c r="E580" i="1" s="1"/>
  <c r="E581" i="1" a="1"/>
  <c r="E581" i="1" s="1"/>
  <c r="E582" i="1" a="1"/>
  <c r="E582" i="1" s="1"/>
  <c r="E583" i="1" a="1"/>
  <c r="E583" i="1" s="1"/>
  <c r="E584" i="1" a="1"/>
  <c r="E584" i="1" s="1"/>
  <c r="E585" i="1" a="1"/>
  <c r="E585" i="1" s="1"/>
  <c r="E586" i="1" a="1"/>
  <c r="E586" i="1" s="1"/>
  <c r="E587" i="1" a="1"/>
  <c r="E587" i="1" s="1"/>
  <c r="E588" i="1" a="1"/>
  <c r="E588" i="1" s="1"/>
  <c r="E589" i="1" a="1"/>
  <c r="E589" i="1" s="1"/>
  <c r="E590" i="1" a="1"/>
  <c r="E590" i="1" s="1"/>
  <c r="E591" i="1" a="1"/>
  <c r="E591" i="1" s="1"/>
  <c r="E592" i="1" a="1"/>
  <c r="E592" i="1" s="1"/>
  <c r="E593" i="1" a="1"/>
  <c r="E593" i="1" s="1"/>
  <c r="E594" i="1" a="1"/>
  <c r="E594" i="1" s="1"/>
  <c r="E595" i="1" a="1"/>
  <c r="E595" i="1" s="1"/>
  <c r="E596" i="1" a="1"/>
  <c r="E596" i="1" s="1"/>
  <c r="E597" i="1" a="1"/>
  <c r="E597" i="1" s="1"/>
  <c r="E598" i="1" a="1"/>
  <c r="E598" i="1" s="1"/>
  <c r="E599" i="1" a="1"/>
  <c r="E599" i="1" s="1"/>
  <c r="E600" i="1" a="1"/>
  <c r="E600" i="1" s="1"/>
  <c r="E601" i="1" a="1"/>
  <c r="E601" i="1" s="1"/>
  <c r="E602" i="1" a="1"/>
  <c r="E602" i="1" s="1"/>
  <c r="E603" i="1" a="1"/>
  <c r="E603" i="1" s="1"/>
  <c r="E604" i="1" a="1"/>
  <c r="E604" i="1" s="1"/>
  <c r="E605" i="1" a="1"/>
  <c r="E605" i="1" s="1"/>
  <c r="E606" i="1" a="1"/>
  <c r="E606" i="1" s="1"/>
  <c r="E607" i="1" a="1"/>
  <c r="E607" i="1" s="1"/>
  <c r="E608" i="1" a="1"/>
  <c r="E608" i="1" s="1"/>
  <c r="E609" i="1" a="1"/>
  <c r="E609" i="1" s="1"/>
  <c r="E610" i="1" a="1"/>
  <c r="E610" i="1" s="1"/>
  <c r="E611" i="1" a="1"/>
  <c r="E611" i="1" s="1"/>
  <c r="E612" i="1" a="1"/>
  <c r="E612" i="1" s="1"/>
  <c r="E613" i="1" a="1"/>
  <c r="E613" i="1" s="1"/>
  <c r="E614" i="1" a="1"/>
  <c r="E614" i="1" s="1"/>
  <c r="E615" i="1" a="1"/>
  <c r="E615" i="1" s="1"/>
  <c r="E616" i="1" a="1"/>
  <c r="E616" i="1" s="1"/>
  <c r="E617" i="1" a="1"/>
  <c r="E617" i="1" s="1"/>
  <c r="E618" i="1" a="1"/>
  <c r="E618" i="1" s="1"/>
  <c r="E619" i="1" a="1"/>
  <c r="E619" i="1" s="1"/>
  <c r="E620" i="1" a="1"/>
  <c r="E620" i="1" s="1"/>
  <c r="E621" i="1" a="1"/>
  <c r="E621" i="1" s="1"/>
  <c r="E622" i="1" a="1"/>
  <c r="E622" i="1" s="1"/>
  <c r="E623" i="1" a="1"/>
  <c r="E623" i="1" s="1"/>
  <c r="E624" i="1" a="1"/>
  <c r="E624" i="1" s="1"/>
  <c r="E625" i="1" a="1"/>
  <c r="E625" i="1" s="1"/>
  <c r="E626" i="1" a="1"/>
  <c r="E626" i="1" s="1"/>
  <c r="E627" i="1" a="1"/>
  <c r="E627" i="1" s="1"/>
  <c r="E628" i="1" a="1"/>
  <c r="E628" i="1" s="1"/>
  <c r="E629" i="1" a="1"/>
  <c r="E629" i="1" s="1"/>
  <c r="E630" i="1" a="1"/>
  <c r="E630" i="1" s="1"/>
  <c r="E631" i="1" a="1"/>
  <c r="E631" i="1" s="1"/>
  <c r="E632" i="1" a="1"/>
  <c r="E632" i="1" s="1"/>
  <c r="E633" i="1" a="1"/>
  <c r="E633" i="1" s="1"/>
  <c r="E634" i="1" a="1"/>
  <c r="E634" i="1" s="1"/>
  <c r="E635" i="1" a="1"/>
  <c r="E635" i="1" s="1"/>
  <c r="E636" i="1" a="1"/>
  <c r="E636" i="1" s="1"/>
  <c r="E637" i="1" a="1"/>
  <c r="E637" i="1" s="1"/>
  <c r="E638" i="1" a="1"/>
  <c r="E638" i="1" s="1"/>
  <c r="E639" i="1" a="1"/>
  <c r="E639" i="1" s="1"/>
  <c r="E640" i="1" a="1"/>
  <c r="E640" i="1" s="1"/>
  <c r="E641" i="1" a="1"/>
  <c r="E641" i="1" s="1"/>
  <c r="E642" i="1" a="1"/>
  <c r="E642" i="1" s="1"/>
  <c r="E643" i="1" a="1"/>
  <c r="E643" i="1" s="1"/>
  <c r="E644" i="1" a="1"/>
  <c r="E644" i="1" s="1"/>
  <c r="E645" i="1" a="1"/>
  <c r="E645" i="1" s="1"/>
  <c r="E646" i="1" a="1"/>
  <c r="E646" i="1" s="1"/>
  <c r="E647" i="1" a="1"/>
  <c r="E647" i="1" s="1"/>
  <c r="E648" i="1" a="1"/>
  <c r="E648" i="1" s="1"/>
  <c r="E649" i="1" a="1"/>
  <c r="E649" i="1" s="1"/>
  <c r="E650" i="1" a="1"/>
  <c r="E650" i="1" s="1"/>
  <c r="E651" i="1" a="1"/>
  <c r="E651" i="1" s="1"/>
  <c r="E652" i="1" a="1"/>
  <c r="E652" i="1" s="1"/>
  <c r="E653" i="1" a="1"/>
  <c r="E653" i="1" s="1"/>
  <c r="E654" i="1" a="1"/>
  <c r="E654" i="1" s="1"/>
  <c r="E655" i="1" a="1"/>
  <c r="E655" i="1" s="1"/>
  <c r="E656" i="1" a="1"/>
  <c r="E656" i="1" s="1"/>
  <c r="E657" i="1" a="1"/>
  <c r="E657" i="1" s="1"/>
  <c r="E658" i="1" a="1"/>
  <c r="E658" i="1" s="1"/>
  <c r="E659" i="1" a="1"/>
  <c r="E659" i="1" s="1"/>
  <c r="E660" i="1" a="1"/>
  <c r="E660" i="1" s="1"/>
  <c r="E661" i="1" a="1"/>
  <c r="E661" i="1" s="1"/>
  <c r="E662" i="1" a="1"/>
  <c r="E662" i="1" s="1"/>
  <c r="E663" i="1" a="1"/>
  <c r="E663" i="1" s="1"/>
  <c r="E664" i="1" a="1"/>
  <c r="E664" i="1" s="1"/>
  <c r="E665" i="1" a="1"/>
  <c r="E665" i="1" s="1"/>
  <c r="E666" i="1" a="1"/>
  <c r="E666" i="1" s="1"/>
  <c r="E667" i="1" a="1"/>
  <c r="E667" i="1" s="1"/>
  <c r="E668" i="1" a="1"/>
  <c r="E668" i="1" s="1"/>
  <c r="E669" i="1" a="1"/>
  <c r="E669" i="1" s="1"/>
  <c r="E670" i="1" a="1"/>
  <c r="E670" i="1" s="1"/>
  <c r="E671" i="1" a="1"/>
  <c r="E671" i="1" s="1"/>
  <c r="E672" i="1" a="1"/>
  <c r="E672" i="1" s="1"/>
  <c r="E673" i="1" a="1"/>
  <c r="E673" i="1" s="1"/>
  <c r="E674" i="1" a="1"/>
  <c r="E674" i="1" s="1"/>
  <c r="E675" i="1" a="1"/>
  <c r="E675" i="1" s="1"/>
  <c r="E676" i="1" a="1"/>
  <c r="E676" i="1" s="1"/>
  <c r="E677" i="1" a="1"/>
  <c r="E677" i="1" s="1"/>
  <c r="E678" i="1" a="1"/>
  <c r="E678" i="1" s="1"/>
  <c r="E679" i="1" a="1"/>
  <c r="E679" i="1" s="1"/>
  <c r="E680" i="1" a="1"/>
  <c r="E680" i="1" s="1"/>
  <c r="E681" i="1" a="1"/>
  <c r="E681" i="1" s="1"/>
  <c r="E682" i="1" a="1"/>
  <c r="E682" i="1" s="1"/>
  <c r="E683" i="1" a="1"/>
  <c r="E683" i="1" s="1"/>
  <c r="E684" i="1" a="1"/>
  <c r="E684" i="1" s="1"/>
  <c r="E685" i="1" a="1"/>
  <c r="E685" i="1" s="1"/>
  <c r="E686" i="1" a="1"/>
  <c r="E686" i="1" s="1"/>
  <c r="E687" i="1" a="1"/>
  <c r="E687" i="1" s="1"/>
  <c r="E688" i="1" a="1"/>
  <c r="E688" i="1" s="1"/>
  <c r="E689" i="1" a="1"/>
  <c r="E689" i="1" s="1"/>
  <c r="E690" i="1" a="1"/>
  <c r="E690" i="1" s="1"/>
  <c r="E691" i="1" a="1"/>
  <c r="E691" i="1" s="1"/>
  <c r="E692" i="1" a="1"/>
  <c r="E692" i="1" s="1"/>
  <c r="E693" i="1" a="1"/>
  <c r="E693" i="1" s="1"/>
  <c r="E694" i="1" a="1"/>
  <c r="E694" i="1" s="1"/>
  <c r="E695" i="1" a="1"/>
  <c r="E695" i="1" s="1"/>
  <c r="E696" i="1" a="1"/>
  <c r="E696" i="1" s="1"/>
  <c r="E697" i="1" a="1"/>
  <c r="E697" i="1" s="1"/>
  <c r="E698" i="1" a="1"/>
  <c r="E698" i="1" s="1"/>
  <c r="E699" i="1" a="1"/>
  <c r="E699" i="1" s="1"/>
  <c r="E700" i="1" a="1"/>
  <c r="E700" i="1" s="1"/>
  <c r="E701" i="1" a="1"/>
  <c r="E701" i="1" s="1"/>
  <c r="E702" i="1" a="1"/>
  <c r="E702" i="1" s="1"/>
  <c r="E703" i="1" a="1"/>
  <c r="E703" i="1" s="1"/>
  <c r="E704" i="1" a="1"/>
  <c r="E704" i="1" s="1"/>
  <c r="E705" i="1" a="1"/>
  <c r="E705" i="1" s="1"/>
  <c r="E706" i="1" a="1"/>
  <c r="E706" i="1" s="1"/>
  <c r="E707" i="1" a="1"/>
  <c r="E707" i="1" s="1"/>
  <c r="E708" i="1" a="1"/>
  <c r="E708" i="1" s="1"/>
  <c r="E709" i="1" a="1"/>
  <c r="E709" i="1" s="1"/>
  <c r="E710" i="1" a="1"/>
  <c r="E710" i="1" s="1"/>
  <c r="E711" i="1" a="1"/>
  <c r="E711" i="1" s="1"/>
  <c r="E712" i="1" a="1"/>
  <c r="E712" i="1" s="1"/>
  <c r="E713" i="1" a="1"/>
  <c r="E713" i="1" s="1"/>
  <c r="E714" i="1" a="1"/>
  <c r="E714" i="1" s="1"/>
  <c r="E715" i="1" a="1"/>
  <c r="E715" i="1" s="1"/>
  <c r="E716" i="1" a="1"/>
  <c r="E716" i="1" s="1"/>
  <c r="E717" i="1" a="1"/>
  <c r="E717" i="1" s="1"/>
  <c r="E718" i="1" a="1"/>
  <c r="E718" i="1" s="1"/>
  <c r="E719" i="1" a="1"/>
  <c r="E719" i="1" s="1"/>
  <c r="E720" i="1" a="1"/>
  <c r="E720" i="1" s="1"/>
  <c r="E721" i="1" a="1"/>
  <c r="E721" i="1" s="1"/>
  <c r="E722" i="1" a="1"/>
  <c r="E722" i="1" s="1"/>
  <c r="E723" i="1" a="1"/>
  <c r="E723" i="1" s="1"/>
  <c r="E724" i="1" a="1"/>
  <c r="E724" i="1" s="1"/>
  <c r="E725" i="1" a="1"/>
  <c r="E725" i="1" s="1"/>
  <c r="E726" i="1" a="1"/>
  <c r="E726" i="1" s="1"/>
  <c r="E727" i="1" a="1"/>
  <c r="E727" i="1" s="1"/>
  <c r="E728" i="1" a="1"/>
  <c r="E728" i="1" s="1"/>
  <c r="E729" i="1" a="1"/>
  <c r="E729" i="1" s="1"/>
  <c r="E730" i="1" a="1"/>
  <c r="E730" i="1" s="1"/>
  <c r="E731" i="1" a="1"/>
  <c r="E731" i="1" s="1"/>
  <c r="E732" i="1" a="1"/>
  <c r="E732" i="1" s="1"/>
  <c r="E733" i="1" a="1"/>
  <c r="E733" i="1" s="1"/>
  <c r="E734" i="1" a="1"/>
  <c r="E734" i="1" s="1"/>
  <c r="E735" i="1" a="1"/>
  <c r="E735" i="1" s="1"/>
  <c r="E736" i="1" a="1"/>
  <c r="E736" i="1" s="1"/>
  <c r="E737" i="1" a="1"/>
  <c r="E737" i="1" s="1"/>
  <c r="E738" i="1" a="1"/>
  <c r="E738" i="1" s="1"/>
  <c r="E739" i="1" a="1"/>
  <c r="E739" i="1" s="1"/>
  <c r="E740" i="1" a="1"/>
  <c r="E740" i="1" s="1"/>
  <c r="E741" i="1" a="1"/>
  <c r="E741" i="1" s="1"/>
  <c r="E742" i="1" a="1"/>
  <c r="E742" i="1" s="1"/>
  <c r="E743" i="1" a="1"/>
  <c r="E743" i="1" s="1"/>
  <c r="E744" i="1" a="1"/>
  <c r="E744" i="1" s="1"/>
  <c r="E745" i="1" a="1"/>
  <c r="E745" i="1" s="1"/>
  <c r="E746" i="1" a="1"/>
  <c r="E746" i="1" s="1"/>
  <c r="E747" i="1" a="1"/>
  <c r="E747" i="1" s="1"/>
  <c r="E748" i="1" a="1"/>
  <c r="E748" i="1" s="1"/>
  <c r="E749" i="1" a="1"/>
  <c r="E749" i="1" s="1"/>
  <c r="E750" i="1" a="1"/>
  <c r="E750" i="1" s="1"/>
  <c r="E751" i="1" a="1"/>
  <c r="E751" i="1" s="1"/>
  <c r="E752" i="1" a="1"/>
  <c r="E752" i="1" s="1"/>
  <c r="E753" i="1" a="1"/>
  <c r="E753" i="1" s="1"/>
  <c r="E754" i="1" a="1"/>
  <c r="E754" i="1" s="1"/>
  <c r="E755" i="1" a="1"/>
  <c r="E755" i="1" s="1"/>
  <c r="E756" i="1" a="1"/>
  <c r="E756" i="1" s="1"/>
  <c r="E757" i="1" a="1"/>
  <c r="E757" i="1" s="1"/>
  <c r="E758" i="1" a="1"/>
  <c r="E758" i="1" s="1"/>
  <c r="E759" i="1" a="1"/>
  <c r="E759" i="1" s="1"/>
  <c r="E760" i="1" a="1"/>
  <c r="E760" i="1" s="1"/>
  <c r="E761" i="1" a="1"/>
  <c r="E761" i="1" s="1"/>
  <c r="E762" i="1" a="1"/>
  <c r="E762" i="1" s="1"/>
  <c r="E763" i="1" a="1"/>
  <c r="E763" i="1" s="1"/>
  <c r="E764" i="1" a="1"/>
  <c r="E764" i="1" s="1"/>
  <c r="E765" i="1" a="1"/>
  <c r="E765" i="1" s="1"/>
  <c r="E766" i="1" a="1"/>
  <c r="E766" i="1" s="1"/>
  <c r="E767" i="1" a="1"/>
  <c r="E767" i="1" s="1"/>
  <c r="E768" i="1" a="1"/>
  <c r="E768" i="1" s="1"/>
  <c r="E769" i="1" a="1"/>
  <c r="E769" i="1" s="1"/>
  <c r="E770" i="1" a="1"/>
  <c r="E770" i="1" s="1"/>
  <c r="E771" i="1" a="1"/>
  <c r="E771" i="1" s="1"/>
  <c r="E772" i="1" a="1"/>
  <c r="E772" i="1" s="1"/>
  <c r="E773" i="1" a="1"/>
  <c r="E773" i="1" s="1"/>
  <c r="E774" i="1" a="1"/>
  <c r="E774" i="1" s="1"/>
  <c r="E775" i="1" a="1"/>
  <c r="E775" i="1" s="1"/>
  <c r="E776" i="1" a="1"/>
  <c r="E776" i="1" s="1"/>
  <c r="E777" i="1" a="1"/>
  <c r="E777" i="1" s="1"/>
  <c r="E778" i="1" a="1"/>
  <c r="E778" i="1" s="1"/>
  <c r="E779" i="1" a="1"/>
  <c r="E779" i="1" s="1"/>
  <c r="E780" i="1" a="1"/>
  <c r="E780" i="1" s="1"/>
  <c r="E781" i="1" a="1"/>
  <c r="E781" i="1" s="1"/>
  <c r="E782" i="1" a="1"/>
  <c r="E782" i="1" s="1"/>
  <c r="E783" i="1" a="1"/>
  <c r="E783" i="1" s="1"/>
  <c r="E784" i="1" a="1"/>
  <c r="E784" i="1" s="1"/>
  <c r="E785" i="1" a="1"/>
  <c r="E785" i="1" s="1"/>
  <c r="E786" i="1" a="1"/>
  <c r="E786" i="1" s="1"/>
  <c r="E787" i="1" a="1"/>
  <c r="E787" i="1" s="1"/>
  <c r="E788" i="1" a="1"/>
  <c r="E788" i="1" s="1"/>
  <c r="E789" i="1" a="1"/>
  <c r="E789" i="1" s="1"/>
  <c r="E790" i="1" a="1"/>
  <c r="E790" i="1" s="1"/>
  <c r="E791" i="1" a="1"/>
  <c r="E791" i="1" s="1"/>
  <c r="E792" i="1" a="1"/>
  <c r="E792" i="1" s="1"/>
  <c r="E793" i="1" a="1"/>
  <c r="E793" i="1" s="1"/>
  <c r="E794" i="1" a="1"/>
  <c r="E794" i="1" s="1"/>
  <c r="E795" i="1" a="1"/>
  <c r="E795" i="1" s="1"/>
  <c r="E796" i="1" a="1"/>
  <c r="E796" i="1" s="1"/>
  <c r="E797" i="1" a="1"/>
  <c r="E797" i="1" s="1"/>
  <c r="E798" i="1" a="1"/>
  <c r="E798" i="1" s="1"/>
  <c r="E799" i="1" a="1"/>
  <c r="E799" i="1" s="1"/>
  <c r="E800" i="1" a="1"/>
  <c r="E800" i="1" s="1"/>
  <c r="E801" i="1" a="1"/>
  <c r="E801" i="1" s="1"/>
  <c r="E802" i="1" a="1"/>
  <c r="E802" i="1" s="1"/>
  <c r="E803" i="1" a="1"/>
  <c r="E803" i="1" s="1"/>
  <c r="E804" i="1" a="1"/>
  <c r="E804" i="1" s="1"/>
  <c r="E805" i="1" a="1"/>
  <c r="E805" i="1" s="1"/>
  <c r="E806" i="1" a="1"/>
  <c r="E806" i="1" s="1"/>
  <c r="E807" i="1" a="1"/>
  <c r="E807" i="1" s="1"/>
  <c r="E808" i="1" a="1"/>
  <c r="E808" i="1" s="1"/>
  <c r="E809" i="1" a="1"/>
  <c r="E809" i="1" s="1"/>
  <c r="E810" i="1" a="1"/>
  <c r="E810" i="1" s="1"/>
  <c r="E811" i="1" a="1"/>
  <c r="E811" i="1" s="1"/>
  <c r="E812" i="1" a="1"/>
  <c r="E812" i="1" s="1"/>
  <c r="E813" i="1" a="1"/>
  <c r="E813" i="1" s="1"/>
  <c r="E814" i="1" a="1"/>
  <c r="E814" i="1" s="1"/>
  <c r="E815" i="1" a="1"/>
  <c r="E815" i="1" s="1"/>
  <c r="E816" i="1" a="1"/>
  <c r="E816" i="1" s="1"/>
  <c r="E817" i="1" a="1"/>
  <c r="E817" i="1" s="1"/>
  <c r="E818" i="1" a="1"/>
  <c r="E818" i="1" s="1"/>
  <c r="E819" i="1" a="1"/>
  <c r="E819" i="1" s="1"/>
  <c r="E820" i="1" a="1"/>
  <c r="E820" i="1" s="1"/>
  <c r="E821" i="1" a="1"/>
  <c r="E821" i="1" s="1"/>
  <c r="E822" i="1" a="1"/>
  <c r="E822" i="1" s="1"/>
  <c r="E823" i="1" a="1"/>
  <c r="E823" i="1" s="1"/>
  <c r="E824" i="1" a="1"/>
  <c r="E824" i="1" s="1"/>
  <c r="E825" i="1" a="1"/>
  <c r="E825" i="1" s="1"/>
  <c r="E826" i="1" a="1"/>
  <c r="E826" i="1" s="1"/>
  <c r="E827" i="1" a="1"/>
  <c r="E827" i="1" s="1"/>
  <c r="E828" i="1" a="1"/>
  <c r="E828" i="1" s="1"/>
  <c r="E829" i="1" a="1"/>
  <c r="E829" i="1" s="1"/>
  <c r="E830" i="1" a="1"/>
  <c r="E830" i="1" s="1"/>
  <c r="E831" i="1" a="1"/>
  <c r="E831" i="1" s="1"/>
  <c r="E832" i="1" a="1"/>
  <c r="E832" i="1" s="1"/>
  <c r="E833" i="1" a="1"/>
  <c r="E833" i="1" s="1"/>
  <c r="E834" i="1" a="1"/>
  <c r="E834" i="1" s="1"/>
  <c r="E835" i="1" a="1"/>
  <c r="E835" i="1" s="1"/>
  <c r="E836" i="1" a="1"/>
  <c r="E836" i="1" s="1"/>
  <c r="E837" i="1" a="1"/>
  <c r="E837" i="1" s="1"/>
  <c r="E838" i="1" a="1"/>
  <c r="E838" i="1" s="1"/>
  <c r="E839" i="1" a="1"/>
  <c r="E839" i="1" s="1"/>
  <c r="E840" i="1" a="1"/>
  <c r="E840" i="1" s="1"/>
  <c r="E841" i="1" a="1"/>
  <c r="E841" i="1" s="1"/>
  <c r="E842" i="1" a="1"/>
  <c r="E842" i="1" s="1"/>
  <c r="E843" i="1" a="1"/>
  <c r="E843" i="1" s="1"/>
  <c r="E844" i="1" a="1"/>
  <c r="E844" i="1" s="1"/>
  <c r="E845" i="1" a="1"/>
  <c r="E845" i="1" s="1"/>
  <c r="E846" i="1" a="1"/>
  <c r="E846" i="1" s="1"/>
  <c r="E847" i="1" a="1"/>
  <c r="E847" i="1" s="1"/>
  <c r="E848" i="1" a="1"/>
  <c r="E848" i="1" s="1"/>
  <c r="E849" i="1" a="1"/>
  <c r="E849" i="1" s="1"/>
  <c r="E850" i="1" a="1"/>
  <c r="E850" i="1" s="1"/>
  <c r="E851" i="1" a="1"/>
  <c r="E851" i="1" s="1"/>
  <c r="E852" i="1" a="1"/>
  <c r="E852" i="1" s="1"/>
  <c r="E853" i="1" a="1"/>
  <c r="E853" i="1" s="1"/>
  <c r="E854" i="1" a="1"/>
  <c r="E854" i="1" s="1"/>
  <c r="E855" i="1" a="1"/>
  <c r="E855" i="1" s="1"/>
  <c r="E856" i="1" a="1"/>
  <c r="E856" i="1" s="1"/>
  <c r="E857" i="1" a="1"/>
  <c r="E857" i="1" s="1"/>
  <c r="E858" i="1" a="1"/>
  <c r="E858" i="1" s="1"/>
  <c r="E859" i="1" a="1"/>
  <c r="E859" i="1" s="1"/>
  <c r="E860" i="1" a="1"/>
  <c r="E860" i="1" s="1"/>
  <c r="E861" i="1" a="1"/>
  <c r="E861" i="1" s="1"/>
  <c r="E862" i="1" a="1"/>
  <c r="E862" i="1" s="1"/>
  <c r="E863" i="1" a="1"/>
  <c r="E863" i="1" s="1"/>
  <c r="E864" i="1" a="1"/>
  <c r="E864" i="1" s="1"/>
  <c r="E865" i="1" a="1"/>
  <c r="E865" i="1" s="1"/>
  <c r="E866" i="1" a="1"/>
  <c r="E866" i="1" s="1"/>
  <c r="E867" i="1" a="1"/>
  <c r="E867" i="1" s="1"/>
  <c r="E868" i="1" a="1"/>
  <c r="E868" i="1" s="1"/>
  <c r="E869" i="1" a="1"/>
  <c r="E869" i="1" s="1"/>
  <c r="E870" i="1" a="1"/>
  <c r="E870" i="1" s="1"/>
  <c r="E871" i="1" a="1"/>
  <c r="E871" i="1" s="1"/>
  <c r="E872" i="1" a="1"/>
  <c r="E872" i="1" s="1"/>
  <c r="E873" i="1" a="1"/>
  <c r="E873" i="1" s="1"/>
  <c r="E874" i="1" a="1"/>
  <c r="E874" i="1" s="1"/>
  <c r="E875" i="1" a="1"/>
  <c r="E875" i="1" s="1"/>
  <c r="E876" i="1" a="1"/>
  <c r="E876" i="1" s="1"/>
  <c r="E877" i="1" a="1"/>
  <c r="E877" i="1" s="1"/>
  <c r="E878" i="1" a="1"/>
  <c r="E878" i="1" s="1"/>
  <c r="E879" i="1" a="1"/>
  <c r="E879" i="1" s="1"/>
  <c r="E880" i="1" a="1"/>
  <c r="E880" i="1" s="1"/>
  <c r="E881" i="1" a="1"/>
  <c r="E881" i="1" s="1"/>
  <c r="E882" i="1" a="1"/>
  <c r="E882" i="1" s="1"/>
  <c r="E883" i="1" a="1"/>
  <c r="E883" i="1" s="1"/>
  <c r="E884" i="1" a="1"/>
  <c r="E884" i="1" s="1"/>
  <c r="E885" i="1" a="1"/>
  <c r="E885" i="1" s="1"/>
  <c r="E886" i="1" a="1"/>
  <c r="E886" i="1" s="1"/>
  <c r="E887" i="1" a="1"/>
  <c r="E887" i="1" s="1"/>
  <c r="E888" i="1" a="1"/>
  <c r="E888" i="1" s="1"/>
  <c r="E889" i="1" a="1"/>
  <c r="E889" i="1" s="1"/>
  <c r="E890" i="1" a="1"/>
  <c r="E890" i="1" s="1"/>
  <c r="E891" i="1" a="1"/>
  <c r="E891" i="1" s="1"/>
  <c r="E892" i="1" a="1"/>
  <c r="E892" i="1" s="1"/>
  <c r="E893" i="1" a="1"/>
  <c r="E893" i="1" s="1"/>
  <c r="E894" i="1" a="1"/>
  <c r="E894" i="1" s="1"/>
  <c r="E895" i="1" a="1"/>
  <c r="E895" i="1" s="1"/>
  <c r="E896" i="1" a="1"/>
  <c r="E896" i="1" s="1"/>
  <c r="E897" i="1" a="1"/>
  <c r="E897" i="1" s="1"/>
  <c r="E898" i="1" a="1"/>
  <c r="E898" i="1" s="1"/>
  <c r="E899" i="1" a="1"/>
  <c r="E899" i="1" s="1"/>
  <c r="E900" i="1" a="1"/>
  <c r="E900" i="1" s="1"/>
  <c r="E901" i="1" a="1"/>
  <c r="E901" i="1" s="1"/>
  <c r="E902" i="1" a="1"/>
  <c r="E902" i="1" s="1"/>
  <c r="E903" i="1" a="1"/>
  <c r="E903" i="1" s="1"/>
  <c r="E904" i="1" a="1"/>
  <c r="E904" i="1" s="1"/>
  <c r="E905" i="1" a="1"/>
  <c r="E905" i="1" s="1"/>
  <c r="E906" i="1" a="1"/>
  <c r="E906" i="1" s="1"/>
  <c r="E907" i="1" a="1"/>
  <c r="E907" i="1" s="1"/>
  <c r="E908" i="1" a="1"/>
  <c r="E908" i="1" s="1"/>
  <c r="E909" i="1" a="1"/>
  <c r="E909" i="1" s="1"/>
  <c r="E910" i="1" a="1"/>
  <c r="E910" i="1" s="1"/>
  <c r="E911" i="1" a="1"/>
  <c r="E911" i="1" s="1"/>
  <c r="E912" i="1" a="1"/>
  <c r="E912" i="1" s="1"/>
  <c r="E913" i="1" a="1"/>
  <c r="E913" i="1" s="1"/>
  <c r="E914" i="1" a="1"/>
  <c r="E914" i="1" s="1"/>
  <c r="E915" i="1" a="1"/>
  <c r="E915" i="1" s="1"/>
  <c r="E916" i="1" a="1"/>
  <c r="E916" i="1" s="1"/>
  <c r="E917" i="1" a="1"/>
  <c r="E917" i="1" s="1"/>
  <c r="E918" i="1" a="1"/>
  <c r="E918" i="1" s="1"/>
  <c r="E919" i="1" a="1"/>
  <c r="E919" i="1" s="1"/>
  <c r="E920" i="1" a="1"/>
  <c r="E920" i="1" s="1"/>
  <c r="E921" i="1" a="1"/>
  <c r="E921" i="1" s="1"/>
  <c r="E922" i="1" a="1"/>
  <c r="E922" i="1" s="1"/>
  <c r="E923" i="1" a="1"/>
  <c r="E923" i="1" s="1"/>
  <c r="E924" i="1" a="1"/>
  <c r="E924" i="1" s="1"/>
  <c r="E925" i="1" a="1"/>
  <c r="E925" i="1" s="1"/>
  <c r="E926" i="1" a="1"/>
  <c r="E926" i="1" s="1"/>
  <c r="E927" i="1" a="1"/>
  <c r="E927" i="1" s="1"/>
  <c r="E928" i="1" a="1"/>
  <c r="E928" i="1" s="1"/>
  <c r="E929" i="1" a="1"/>
  <c r="E929" i="1" s="1"/>
  <c r="E930" i="1" a="1"/>
  <c r="E930" i="1" s="1"/>
  <c r="E931" i="1" a="1"/>
  <c r="E931" i="1" s="1"/>
  <c r="E932" i="1" a="1"/>
  <c r="E932" i="1" s="1"/>
  <c r="E933" i="1" a="1"/>
  <c r="E933" i="1" s="1"/>
  <c r="E934" i="1" a="1"/>
  <c r="E934" i="1" s="1"/>
  <c r="E935" i="1" a="1"/>
  <c r="E935" i="1" s="1"/>
  <c r="E936" i="1" a="1"/>
  <c r="E936" i="1" s="1"/>
  <c r="E937" i="1" a="1"/>
  <c r="E937" i="1" s="1"/>
  <c r="E938" i="1" a="1"/>
  <c r="E938" i="1" s="1"/>
  <c r="E939" i="1" a="1"/>
  <c r="E939" i="1" s="1"/>
  <c r="E940" i="1" a="1"/>
  <c r="E940" i="1" s="1"/>
  <c r="E941" i="1" a="1"/>
  <c r="E941" i="1" s="1"/>
  <c r="E942" i="1" a="1"/>
  <c r="E942" i="1" s="1"/>
  <c r="E943" i="1" a="1"/>
  <c r="E943" i="1" s="1"/>
  <c r="E944" i="1" a="1"/>
  <c r="E944" i="1" s="1"/>
  <c r="E945" i="1" a="1"/>
  <c r="E945" i="1" s="1"/>
  <c r="E946" i="1" a="1"/>
  <c r="E946" i="1" s="1"/>
  <c r="E947" i="1" a="1"/>
  <c r="E947" i="1" s="1"/>
  <c r="E948" i="1" a="1"/>
  <c r="E948" i="1" s="1"/>
  <c r="E949" i="1" a="1"/>
  <c r="E949" i="1" s="1"/>
  <c r="E950" i="1" a="1"/>
  <c r="E950" i="1" s="1"/>
  <c r="E951" i="1" a="1"/>
  <c r="E951" i="1" s="1"/>
  <c r="E952" i="1" a="1"/>
  <c r="E952" i="1" s="1"/>
  <c r="E953" i="1" a="1"/>
  <c r="E953" i="1" s="1"/>
  <c r="E954" i="1" a="1"/>
  <c r="E954" i="1" s="1"/>
  <c r="E955" i="1" a="1"/>
  <c r="E955" i="1" s="1"/>
  <c r="E956" i="1" a="1"/>
  <c r="E956" i="1" s="1"/>
  <c r="E957" i="1" a="1"/>
  <c r="E957" i="1" s="1"/>
  <c r="E958" i="1" a="1"/>
  <c r="E958" i="1" s="1"/>
  <c r="E959" i="1" a="1"/>
  <c r="E959" i="1" s="1"/>
  <c r="E960" i="1" a="1"/>
  <c r="E960" i="1" s="1"/>
  <c r="E961" i="1" a="1"/>
  <c r="E961" i="1" s="1"/>
  <c r="E962" i="1" a="1"/>
  <c r="E962" i="1" s="1"/>
  <c r="E963" i="1" a="1"/>
  <c r="E963" i="1" s="1"/>
  <c r="E964" i="1" a="1"/>
  <c r="E964" i="1" s="1"/>
  <c r="E965" i="1" a="1"/>
  <c r="E965" i="1" s="1"/>
  <c r="E966" i="1" a="1"/>
  <c r="E966" i="1" s="1"/>
  <c r="E967" i="1" a="1"/>
  <c r="E967" i="1" s="1"/>
  <c r="E968" i="1" a="1"/>
  <c r="E968" i="1" s="1"/>
  <c r="E969" i="1" a="1"/>
  <c r="E969" i="1" s="1"/>
  <c r="E970" i="1" a="1"/>
  <c r="E970" i="1" s="1"/>
  <c r="E971" i="1" a="1"/>
  <c r="E971" i="1" s="1"/>
  <c r="E972" i="1" a="1"/>
  <c r="E972" i="1" s="1"/>
  <c r="E973" i="1" a="1"/>
  <c r="E973" i="1" s="1"/>
  <c r="E974" i="1" a="1"/>
  <c r="E974" i="1" s="1"/>
  <c r="E975" i="1" a="1"/>
  <c r="E975" i="1" s="1"/>
  <c r="E976" i="1" a="1"/>
  <c r="E976" i="1" s="1"/>
  <c r="E977" i="1" a="1"/>
  <c r="E977" i="1" s="1"/>
  <c r="E978" i="1" a="1"/>
  <c r="E978" i="1" s="1"/>
  <c r="E979" i="1" a="1"/>
  <c r="E979" i="1" s="1"/>
  <c r="E980" i="1" a="1"/>
  <c r="E980" i="1" s="1"/>
  <c r="E981" i="1" a="1"/>
  <c r="E981" i="1" s="1"/>
  <c r="E982" i="1" a="1"/>
  <c r="E982" i="1" s="1"/>
  <c r="E983" i="1" a="1"/>
  <c r="E983" i="1" s="1"/>
  <c r="E984" i="1" a="1"/>
  <c r="E984" i="1" s="1"/>
  <c r="E985" i="1" a="1"/>
  <c r="E985" i="1" s="1"/>
  <c r="E986" i="1" a="1"/>
  <c r="E986" i="1" s="1"/>
  <c r="E987" i="1" a="1"/>
  <c r="E987" i="1" s="1"/>
  <c r="E988" i="1" a="1"/>
  <c r="E988" i="1" s="1"/>
  <c r="E989" i="1" a="1"/>
  <c r="E989" i="1" s="1"/>
  <c r="E990" i="1" a="1"/>
  <c r="E990" i="1" s="1"/>
  <c r="E991" i="1" a="1"/>
  <c r="E991" i="1" s="1"/>
  <c r="E992" i="1" a="1"/>
  <c r="E992" i="1" s="1"/>
  <c r="E993" i="1" a="1"/>
  <c r="E993" i="1" s="1"/>
  <c r="E994" i="1" a="1"/>
  <c r="E994" i="1" s="1"/>
  <c r="E995" i="1" a="1"/>
  <c r="E995" i="1" s="1"/>
  <c r="E996" i="1" a="1"/>
  <c r="E996" i="1" s="1"/>
  <c r="E997" i="1" a="1"/>
  <c r="E997" i="1" s="1"/>
  <c r="E998" i="1" a="1"/>
  <c r="E998" i="1" s="1"/>
  <c r="E999" i="1" a="1"/>
  <c r="E999" i="1" s="1"/>
  <c r="E1000" i="1" a="1"/>
  <c r="E1000" i="1" s="1"/>
  <c r="E1001" i="1" a="1"/>
  <c r="E1001" i="1" s="1"/>
  <c r="E1002" i="1" a="1"/>
  <c r="E1002" i="1" s="1"/>
  <c r="E1003" i="1" a="1"/>
  <c r="E1003" i="1" s="1"/>
  <c r="E1004" i="1" a="1"/>
  <c r="E1004" i="1" s="1"/>
  <c r="E1005" i="1" a="1"/>
  <c r="E1005" i="1" s="1"/>
  <c r="E1006" i="1" a="1"/>
  <c r="E1006" i="1" s="1"/>
  <c r="E1007" i="1" a="1"/>
  <c r="E1007" i="1" s="1"/>
  <c r="E1008" i="1" a="1"/>
  <c r="E1008" i="1" s="1"/>
  <c r="E1009" i="1" a="1"/>
  <c r="E1009" i="1" s="1"/>
  <c r="E1010" i="1" a="1"/>
  <c r="E1010" i="1" s="1"/>
  <c r="E1011" i="1" a="1"/>
  <c r="E1011" i="1" s="1"/>
  <c r="E1012" i="1" a="1"/>
  <c r="E1012" i="1" s="1"/>
  <c r="E1013" i="1" a="1"/>
  <c r="E1013" i="1" s="1"/>
  <c r="E1014" i="1" a="1"/>
  <c r="E1014" i="1" s="1"/>
  <c r="E1015" i="1" a="1"/>
  <c r="E1015" i="1" s="1"/>
  <c r="E1016" i="1" a="1"/>
  <c r="E1016" i="1" s="1"/>
  <c r="E1017" i="1" a="1"/>
  <c r="E1017" i="1" s="1"/>
  <c r="E1018" i="1" a="1"/>
  <c r="E1018" i="1" s="1"/>
  <c r="E1019" i="1" a="1"/>
  <c r="E1019" i="1" s="1"/>
  <c r="E1020" i="1" a="1"/>
  <c r="E1020" i="1" s="1"/>
  <c r="E1021" i="1" a="1"/>
  <c r="E1021" i="1" s="1"/>
  <c r="E1022" i="1" a="1"/>
  <c r="E1022" i="1" s="1"/>
  <c r="E1023" i="1" a="1"/>
  <c r="E1023" i="1" s="1"/>
  <c r="E1024" i="1" a="1"/>
  <c r="E1024" i="1" s="1"/>
  <c r="E1025" i="1" a="1"/>
  <c r="E1025" i="1" s="1"/>
  <c r="E1026" i="1" a="1"/>
  <c r="E1026" i="1" s="1"/>
  <c r="E1027" i="1" a="1"/>
  <c r="E1027" i="1" s="1"/>
  <c r="E1028" i="1" a="1"/>
  <c r="E1028" i="1" s="1"/>
  <c r="E1029" i="1" a="1"/>
  <c r="E1029" i="1" s="1"/>
  <c r="E1030" i="1" a="1"/>
  <c r="E1030" i="1" s="1"/>
  <c r="E1031" i="1" a="1"/>
  <c r="E1031" i="1" s="1"/>
  <c r="E1032" i="1" a="1"/>
  <c r="E1032" i="1" s="1"/>
  <c r="E1033" i="1" a="1"/>
  <c r="E1033" i="1" s="1"/>
  <c r="E1034" i="1" a="1"/>
  <c r="E1034" i="1" s="1"/>
  <c r="E1035" i="1" a="1"/>
  <c r="E1035" i="1" s="1"/>
  <c r="E1036" i="1" a="1"/>
  <c r="E1036" i="1" s="1"/>
  <c r="E1037" i="1" a="1"/>
  <c r="E1037" i="1" s="1"/>
  <c r="E1038" i="1" a="1"/>
  <c r="E1038" i="1" s="1"/>
  <c r="E1039" i="1" a="1"/>
  <c r="E1039" i="1" s="1"/>
  <c r="E1040" i="1" a="1"/>
  <c r="E1040" i="1" s="1"/>
  <c r="E1041" i="1" a="1"/>
  <c r="E1041" i="1" s="1"/>
  <c r="E1042" i="1" a="1"/>
  <c r="E1042" i="1" s="1"/>
  <c r="E1043" i="1" a="1"/>
  <c r="E1043" i="1" s="1"/>
  <c r="E1044" i="1" a="1"/>
  <c r="E1044" i="1" s="1"/>
  <c r="E1045" i="1" a="1"/>
  <c r="E1045" i="1" s="1"/>
  <c r="E1046" i="1" a="1"/>
  <c r="E1046" i="1" s="1"/>
  <c r="E1047" i="1" a="1"/>
  <c r="E1047" i="1" s="1"/>
  <c r="E1048" i="1" a="1"/>
  <c r="E1048" i="1" s="1"/>
  <c r="E1049" i="1" a="1"/>
  <c r="E1049" i="1" s="1"/>
  <c r="E1050" i="1" a="1"/>
  <c r="E1050" i="1" s="1"/>
  <c r="E1051" i="1" a="1"/>
  <c r="E1051" i="1" s="1"/>
  <c r="E1052" i="1" a="1"/>
  <c r="E1052" i="1" s="1"/>
  <c r="E1053" i="1" a="1"/>
  <c r="E1053" i="1" s="1"/>
  <c r="E1054" i="1" a="1"/>
  <c r="E1054" i="1" s="1"/>
  <c r="E1055" i="1" a="1"/>
  <c r="E1055" i="1" s="1"/>
  <c r="E1056" i="1" a="1"/>
  <c r="E1056" i="1" s="1"/>
  <c r="E1057" i="1" a="1"/>
  <c r="E1057" i="1" s="1"/>
  <c r="E1058" i="1" a="1"/>
  <c r="E1058" i="1" s="1"/>
  <c r="E1059" i="1" a="1"/>
  <c r="E1059" i="1" s="1"/>
  <c r="E1060" i="1" a="1"/>
  <c r="E1060" i="1" s="1"/>
  <c r="E1061" i="1" a="1"/>
  <c r="E1061" i="1" s="1"/>
  <c r="E1062" i="1" a="1"/>
  <c r="E1062" i="1" s="1"/>
  <c r="E1063" i="1" a="1"/>
  <c r="E1063" i="1" s="1"/>
  <c r="E1064" i="1" a="1"/>
  <c r="E1064" i="1" s="1"/>
  <c r="E1065" i="1" a="1"/>
  <c r="E1065" i="1" s="1"/>
  <c r="E1066" i="1" a="1"/>
  <c r="E1066" i="1" s="1"/>
  <c r="E1067" i="1" a="1"/>
  <c r="E1067" i="1" s="1"/>
  <c r="E1068" i="1" a="1"/>
  <c r="E1068" i="1" s="1"/>
  <c r="E1069" i="1" a="1"/>
  <c r="E1069" i="1" s="1"/>
  <c r="E1070" i="1" a="1"/>
  <c r="E1070" i="1" s="1"/>
  <c r="E1071" i="1" a="1"/>
  <c r="E1071" i="1" s="1"/>
  <c r="E1072" i="1" a="1"/>
  <c r="E1072" i="1" s="1"/>
  <c r="E1073" i="1" a="1"/>
  <c r="E1073" i="1" s="1"/>
  <c r="E1074" i="1" a="1"/>
  <c r="E1074" i="1" s="1"/>
  <c r="E1075" i="1" a="1"/>
  <c r="E1075" i="1" s="1"/>
  <c r="E1076" i="1" a="1"/>
  <c r="E1076" i="1" s="1"/>
  <c r="E1077" i="1" a="1"/>
  <c r="E1077" i="1" s="1"/>
  <c r="E1078" i="1" a="1"/>
  <c r="E1078" i="1" s="1"/>
  <c r="E1079" i="1" a="1"/>
  <c r="E1079" i="1" s="1"/>
  <c r="E1080" i="1" a="1"/>
  <c r="E1080" i="1" s="1"/>
  <c r="E1081" i="1" a="1"/>
  <c r="E1081" i="1" s="1"/>
  <c r="E1082" i="1" a="1"/>
  <c r="E1082" i="1" s="1"/>
  <c r="E1083" i="1" a="1"/>
  <c r="E1083" i="1" s="1"/>
  <c r="E1084" i="1" a="1"/>
  <c r="E1084" i="1" s="1"/>
  <c r="E1085" i="1" a="1"/>
  <c r="E1085" i="1" s="1"/>
  <c r="E1086" i="1" a="1"/>
  <c r="E1086" i="1" s="1"/>
  <c r="E1087" i="1" a="1"/>
  <c r="E1087" i="1" s="1"/>
  <c r="E5" i="1" a="1"/>
  <c r="E5" i="1" s="1"/>
  <c r="R857" i="2" l="1"/>
  <c r="R796" i="2"/>
  <c r="R747" i="2"/>
  <c r="R591" i="2"/>
  <c r="R759" i="2"/>
  <c r="S751" i="2"/>
  <c r="S761" i="2"/>
  <c r="R2391" i="2"/>
  <c r="R1178" i="2"/>
  <c r="R2388" i="2"/>
  <c r="S859" i="2"/>
  <c r="S748" i="2"/>
  <c r="T2" i="2" s="1"/>
  <c r="S2" i="1"/>
  <c r="S93" i="1"/>
  <c r="S53" i="1"/>
  <c r="S17" i="1"/>
  <c r="S100" i="1"/>
  <c r="S7" i="1"/>
  <c r="S99" i="1"/>
  <c r="S67" i="1"/>
  <c r="S3" i="1"/>
  <c r="S98" i="1"/>
  <c r="S54" i="1"/>
  <c r="S97" i="1"/>
  <c r="S85" i="1"/>
  <c r="S73" i="1"/>
  <c r="S61" i="1"/>
  <c r="S49" i="1"/>
  <c r="S37" i="1"/>
  <c r="S25" i="1"/>
  <c r="S13" i="1"/>
  <c r="S81" i="1"/>
  <c r="S5" i="1"/>
  <c r="S76" i="1"/>
  <c r="S20" i="1"/>
  <c r="S43" i="1"/>
  <c r="S27" i="1"/>
  <c r="S78" i="1"/>
  <c r="S42" i="1"/>
  <c r="S14" i="1"/>
  <c r="S84" i="1"/>
  <c r="S60" i="1"/>
  <c r="S36" i="1"/>
  <c r="S12" i="1"/>
  <c r="S95" i="1"/>
  <c r="S83" i="1"/>
  <c r="S71" i="1"/>
  <c r="S59" i="1"/>
  <c r="S47" i="1"/>
  <c r="S35" i="1"/>
  <c r="S23" i="1"/>
  <c r="S11" i="1"/>
  <c r="S65" i="1"/>
  <c r="S29" i="1"/>
  <c r="S64" i="1"/>
  <c r="S52" i="1"/>
  <c r="S55" i="1"/>
  <c r="S15" i="1"/>
  <c r="S66" i="1"/>
  <c r="S30" i="1"/>
  <c r="S18" i="1"/>
  <c r="S96" i="1"/>
  <c r="S72" i="1"/>
  <c r="S48" i="1"/>
  <c r="S24" i="1"/>
  <c r="S94" i="1"/>
  <c r="S82" i="1"/>
  <c r="S70" i="1"/>
  <c r="S58" i="1"/>
  <c r="S46" i="1"/>
  <c r="S34" i="1"/>
  <c r="S22" i="1"/>
  <c r="S10" i="1"/>
  <c r="S77" i="1"/>
  <c r="S33" i="1"/>
  <c r="S80" i="1"/>
  <c r="S40" i="1"/>
  <c r="S87" i="1"/>
  <c r="S31" i="1"/>
  <c r="S9" i="1"/>
  <c r="S69" i="1"/>
  <c r="S21" i="1"/>
  <c r="S92" i="1"/>
  <c r="S68" i="1"/>
  <c r="S32" i="1"/>
  <c r="S91" i="1"/>
  <c r="S79" i="1"/>
  <c r="S19" i="1"/>
  <c r="S90" i="1"/>
  <c r="S88" i="1"/>
  <c r="S28" i="1"/>
  <c r="S51" i="1"/>
  <c r="S86" i="1"/>
  <c r="S74" i="1"/>
  <c r="S62" i="1"/>
  <c r="S50" i="1"/>
  <c r="S38" i="1"/>
  <c r="S26" i="1"/>
  <c r="S101" i="1"/>
  <c r="S41" i="1"/>
  <c r="S39" i="1"/>
  <c r="S44" i="1"/>
  <c r="S89" i="1"/>
  <c r="S63" i="1"/>
  <c r="S57" i="1"/>
  <c r="S8" i="1"/>
  <c r="S56" i="1"/>
  <c r="S6" i="1"/>
  <c r="S16" i="1"/>
  <c r="S75" i="1"/>
  <c r="S45" i="1"/>
  <c r="T97" i="1"/>
  <c r="T46" i="1"/>
  <c r="T96" i="1"/>
  <c r="T94" i="1"/>
  <c r="T98" i="1"/>
  <c r="T49" i="1"/>
  <c r="T10" i="1"/>
  <c r="T48" i="1"/>
  <c r="T92" i="1"/>
  <c r="T32" i="1"/>
  <c r="T19" i="1"/>
  <c r="T18" i="1"/>
  <c r="T17" i="1"/>
  <c r="T100" i="1"/>
  <c r="T88" i="1"/>
  <c r="T76" i="1"/>
  <c r="T64" i="1"/>
  <c r="T52" i="1"/>
  <c r="T40" i="1"/>
  <c r="T28" i="1"/>
  <c r="T16" i="1"/>
  <c r="T4" i="1"/>
  <c r="T84" i="1"/>
  <c r="T69" i="1"/>
  <c r="T9" i="1"/>
  <c r="T80" i="1"/>
  <c r="T68" i="1"/>
  <c r="T8" i="1"/>
  <c r="T91" i="1"/>
  <c r="T67" i="1"/>
  <c r="T7" i="1"/>
  <c r="T90" i="1"/>
  <c r="T78" i="1"/>
  <c r="T6" i="1"/>
  <c r="T89" i="1"/>
  <c r="T5" i="1"/>
  <c r="T99" i="1"/>
  <c r="T87" i="1"/>
  <c r="T75" i="1"/>
  <c r="T63" i="1"/>
  <c r="T51" i="1"/>
  <c r="T39" i="1"/>
  <c r="T27" i="1"/>
  <c r="T15" i="1"/>
  <c r="T3" i="1"/>
  <c r="T21" i="1"/>
  <c r="T56" i="1"/>
  <c r="T43" i="1"/>
  <c r="T42" i="1"/>
  <c r="T29" i="1"/>
  <c r="T70" i="1"/>
  <c r="T13" i="1"/>
  <c r="T24" i="1"/>
  <c r="T20" i="1"/>
  <c r="T31" i="1"/>
  <c r="T54" i="1"/>
  <c r="T41" i="1"/>
  <c r="T81" i="1"/>
  <c r="T79" i="1"/>
  <c r="T66" i="1"/>
  <c r="T65" i="1"/>
  <c r="T73" i="1"/>
  <c r="T34" i="1"/>
  <c r="T45" i="1"/>
  <c r="T44" i="1"/>
  <c r="T55" i="1"/>
  <c r="T30" i="1"/>
  <c r="T77" i="1"/>
  <c r="T53" i="1"/>
  <c r="T95" i="1"/>
  <c r="T74" i="1"/>
  <c r="T62" i="1"/>
  <c r="T59" i="1"/>
  <c r="T38" i="1"/>
  <c r="T35" i="1"/>
  <c r="T23" i="1"/>
  <c r="T11" i="1"/>
  <c r="T72" i="1"/>
  <c r="T12" i="1"/>
  <c r="T83" i="1"/>
  <c r="T71" i="1"/>
  <c r="T82" i="1"/>
  <c r="T58" i="1"/>
  <c r="T22" i="1"/>
  <c r="T93" i="1"/>
  <c r="T57" i="1"/>
  <c r="T86" i="1"/>
  <c r="T26" i="1"/>
  <c r="T37" i="1"/>
  <c r="T36" i="1"/>
  <c r="T47" i="1"/>
  <c r="T25" i="1"/>
  <c r="T2" i="1"/>
  <c r="T33" i="1"/>
  <c r="T50" i="1"/>
  <c r="T14" i="1"/>
  <c r="T85" i="1"/>
  <c r="T61" i="1"/>
  <c r="T60" i="1"/>
  <c r="S4" i="1"/>
  <c r="Z28" i="1"/>
  <c r="AB26" i="1"/>
  <c r="X52" i="1"/>
  <c r="AA16" i="1"/>
  <c r="AA7" i="1"/>
  <c r="Y34" i="1"/>
  <c r="AA44" i="1"/>
  <c r="AA41" i="1"/>
  <c r="AA40" i="1"/>
  <c r="W74" i="1"/>
  <c r="Y98" i="1"/>
  <c r="W77" i="1"/>
  <c r="AA80" i="1"/>
  <c r="W50" i="1"/>
  <c r="Z101" i="1"/>
  <c r="Y33" i="1"/>
  <c r="Y81" i="1"/>
  <c r="W41" i="1"/>
  <c r="Z65" i="1"/>
  <c r="AB47" i="1"/>
  <c r="X101" i="1"/>
  <c r="X77" i="1"/>
  <c r="X65" i="1"/>
  <c r="X41" i="1"/>
  <c r="X29" i="1"/>
  <c r="X5" i="1"/>
  <c r="W17" i="1"/>
  <c r="Z29" i="1"/>
  <c r="AB38" i="1"/>
  <c r="W13" i="1"/>
  <c r="Y97" i="1"/>
  <c r="Z5" i="1"/>
  <c r="AA5" i="1"/>
  <c r="Y36" i="1"/>
  <c r="Y12" i="1"/>
  <c r="AB15" i="1"/>
  <c r="AB27" i="1"/>
  <c r="AB39" i="1"/>
  <c r="AB51" i="1"/>
  <c r="AB63" i="1"/>
  <c r="AB75" i="1"/>
  <c r="AB87" i="1"/>
  <c r="AB99" i="1"/>
  <c r="W5" i="1"/>
  <c r="Y74" i="1"/>
  <c r="Y73" i="1"/>
  <c r="Y71" i="1"/>
  <c r="AB84" i="1"/>
  <c r="AB34" i="1"/>
  <c r="Z97" i="1"/>
  <c r="Z85" i="1"/>
  <c r="Z73" i="1"/>
  <c r="Z61" i="1"/>
  <c r="Z49" i="1"/>
  <c r="Z37" i="1"/>
  <c r="Z25" i="1"/>
  <c r="Z13" i="1"/>
  <c r="Y62" i="1"/>
  <c r="AA101" i="1"/>
  <c r="AB96" i="1"/>
  <c r="AB72" i="1"/>
  <c r="AB48" i="1"/>
  <c r="AB36" i="1"/>
  <c r="AB12" i="1"/>
  <c r="W101" i="1"/>
  <c r="X89" i="1"/>
  <c r="AB74" i="1"/>
  <c r="X34" i="1"/>
  <c r="AA8" i="1"/>
  <c r="AA20" i="1"/>
  <c r="W85" i="1"/>
  <c r="X76" i="1"/>
  <c r="Y38" i="1"/>
  <c r="AA76" i="1"/>
  <c r="AB73" i="1"/>
  <c r="X15" i="1"/>
  <c r="AA51" i="1"/>
  <c r="W15" i="1"/>
  <c r="X88" i="1"/>
  <c r="X51" i="1"/>
  <c r="Z75" i="1"/>
  <c r="Z39" i="1"/>
  <c r="AA79" i="1"/>
  <c r="AA15" i="1"/>
  <c r="W76" i="1"/>
  <c r="W49" i="1"/>
  <c r="W14" i="1"/>
  <c r="X87" i="1"/>
  <c r="X40" i="1"/>
  <c r="Y72" i="1"/>
  <c r="Y37" i="1"/>
  <c r="Z38" i="1"/>
  <c r="AA77" i="1"/>
  <c r="AA43" i="1"/>
  <c r="AB82" i="1"/>
  <c r="AB37" i="1"/>
  <c r="W75" i="1"/>
  <c r="AA75" i="1"/>
  <c r="AA56" i="1"/>
  <c r="AA92" i="1"/>
  <c r="W100" i="1"/>
  <c r="W73" i="1"/>
  <c r="X70" i="1"/>
  <c r="X33" i="1"/>
  <c r="Y96" i="1"/>
  <c r="Y61" i="1"/>
  <c r="Z99" i="1"/>
  <c r="Z63" i="1"/>
  <c r="Z27" i="1"/>
  <c r="AA100" i="1"/>
  <c r="AA65" i="1"/>
  <c r="AA39" i="1"/>
  <c r="AB62" i="1"/>
  <c r="AB25" i="1"/>
  <c r="X39" i="1"/>
  <c r="Y45" i="1"/>
  <c r="Y69" i="1"/>
  <c r="Y93" i="1"/>
  <c r="W99" i="1"/>
  <c r="W65" i="1"/>
  <c r="W37" i="1"/>
  <c r="X69" i="1"/>
  <c r="X28" i="1"/>
  <c r="Y95" i="1"/>
  <c r="Y60" i="1"/>
  <c r="Y26" i="1"/>
  <c r="Z98" i="1"/>
  <c r="Z62" i="1"/>
  <c r="Z26" i="1"/>
  <c r="AA99" i="1"/>
  <c r="AA64" i="1"/>
  <c r="AA29" i="1"/>
  <c r="AB61" i="1"/>
  <c r="AB24" i="1"/>
  <c r="W51" i="1"/>
  <c r="W39" i="1"/>
  <c r="X75" i="1"/>
  <c r="W98" i="1"/>
  <c r="W63" i="1"/>
  <c r="W29" i="1"/>
  <c r="X64" i="1"/>
  <c r="X27" i="1"/>
  <c r="Y86" i="1"/>
  <c r="Y58" i="1"/>
  <c r="Y25" i="1"/>
  <c r="Z89" i="1"/>
  <c r="Z53" i="1"/>
  <c r="AA94" i="1"/>
  <c r="AA63" i="1"/>
  <c r="AA28" i="1"/>
  <c r="AB60" i="1"/>
  <c r="AB23" i="1"/>
  <c r="W88" i="1"/>
  <c r="W64" i="1"/>
  <c r="W40" i="1"/>
  <c r="W16" i="1"/>
  <c r="W97" i="1"/>
  <c r="W28" i="1"/>
  <c r="X100" i="1"/>
  <c r="X63" i="1"/>
  <c r="X20" i="1"/>
  <c r="Y85" i="1"/>
  <c r="Y57" i="1"/>
  <c r="Y24" i="1"/>
  <c r="Z88" i="1"/>
  <c r="Z52" i="1"/>
  <c r="Z17" i="1"/>
  <c r="AA93" i="1"/>
  <c r="AA58" i="1"/>
  <c r="AA27" i="1"/>
  <c r="AB22" i="1"/>
  <c r="W89" i="1"/>
  <c r="W61" i="1"/>
  <c r="W27" i="1"/>
  <c r="X99" i="1"/>
  <c r="X56" i="1"/>
  <c r="X19" i="1"/>
  <c r="Y84" i="1"/>
  <c r="Y50" i="1"/>
  <c r="Z87" i="1"/>
  <c r="Z51" i="1"/>
  <c r="Z16" i="1"/>
  <c r="AA89" i="1"/>
  <c r="AB97" i="1"/>
  <c r="AB14" i="1"/>
  <c r="W87" i="1"/>
  <c r="W53" i="1"/>
  <c r="X92" i="1"/>
  <c r="X55" i="1"/>
  <c r="X17" i="1"/>
  <c r="Y49" i="1"/>
  <c r="Z86" i="1"/>
  <c r="Z50" i="1"/>
  <c r="Z15" i="1"/>
  <c r="AA88" i="1"/>
  <c r="AA53" i="1"/>
  <c r="AB13" i="1"/>
  <c r="X14" i="1"/>
  <c r="X26" i="1"/>
  <c r="X38" i="1"/>
  <c r="AA50" i="1"/>
  <c r="X62" i="1"/>
  <c r="AA74" i="1"/>
  <c r="AA86" i="1"/>
  <c r="AA98" i="1"/>
  <c r="W86" i="1"/>
  <c r="W52" i="1"/>
  <c r="W25" i="1"/>
  <c r="X91" i="1"/>
  <c r="X53" i="1"/>
  <c r="X16" i="1"/>
  <c r="Y48" i="1"/>
  <c r="Y13" i="1"/>
  <c r="Z77" i="1"/>
  <c r="Z41" i="1"/>
  <c r="Z14" i="1"/>
  <c r="AA87" i="1"/>
  <c r="AA52" i="1"/>
  <c r="AA17" i="1"/>
  <c r="AB85" i="1"/>
  <c r="AB49" i="1"/>
  <c r="Y18" i="1"/>
  <c r="AB18" i="1"/>
  <c r="Y30" i="1"/>
  <c r="AB30" i="1"/>
  <c r="AB54" i="1"/>
  <c r="Y54" i="1"/>
  <c r="Y66" i="1"/>
  <c r="AB66" i="1"/>
  <c r="Y90" i="1"/>
  <c r="AB90" i="1"/>
  <c r="W78" i="1"/>
  <c r="W54" i="1"/>
  <c r="W6" i="1"/>
  <c r="X54" i="1"/>
  <c r="X18" i="1"/>
  <c r="Z8" i="1"/>
  <c r="W8" i="1"/>
  <c r="AB8" i="1"/>
  <c r="Y8" i="1"/>
  <c r="AB32" i="1"/>
  <c r="Z32" i="1"/>
  <c r="W32" i="1"/>
  <c r="Y32" i="1"/>
  <c r="Y44" i="1"/>
  <c r="Z44" i="1"/>
  <c r="W44" i="1"/>
  <c r="AB44" i="1"/>
  <c r="Z68" i="1"/>
  <c r="W68" i="1"/>
  <c r="AB68" i="1"/>
  <c r="Y68" i="1"/>
  <c r="Z80" i="1"/>
  <c r="W80" i="1"/>
  <c r="AB80" i="1"/>
  <c r="Y80" i="1"/>
  <c r="X68" i="1"/>
  <c r="X32" i="1"/>
  <c r="Z33" i="1"/>
  <c r="W33" i="1"/>
  <c r="AB33" i="1"/>
  <c r="Z57" i="1"/>
  <c r="W57" i="1"/>
  <c r="AB57" i="1"/>
  <c r="Z81" i="1"/>
  <c r="W81" i="1"/>
  <c r="AB81" i="1"/>
  <c r="X31" i="1"/>
  <c r="Z22" i="1"/>
  <c r="W22" i="1"/>
  <c r="W58" i="1"/>
  <c r="Z58" i="1"/>
  <c r="Z82" i="1"/>
  <c r="W82" i="1"/>
  <c r="X82" i="1"/>
  <c r="Z90" i="1"/>
  <c r="AA35" i="1"/>
  <c r="X35" i="1"/>
  <c r="Z35" i="1"/>
  <c r="W35" i="1"/>
  <c r="AA47" i="1"/>
  <c r="X47" i="1"/>
  <c r="Z47" i="1"/>
  <c r="W47" i="1"/>
  <c r="AA59" i="1"/>
  <c r="X59" i="1"/>
  <c r="Z59" i="1"/>
  <c r="W59" i="1"/>
  <c r="AA83" i="1"/>
  <c r="X83" i="1"/>
  <c r="Z83" i="1"/>
  <c r="W83" i="1"/>
  <c r="X81" i="1"/>
  <c r="X45" i="1"/>
  <c r="AA69" i="1"/>
  <c r="AA33" i="1"/>
  <c r="W66" i="1"/>
  <c r="X80" i="1"/>
  <c r="X44" i="1"/>
  <c r="AA68" i="1"/>
  <c r="AA32" i="1"/>
  <c r="AB70" i="1"/>
  <c r="AB11" i="1"/>
  <c r="AB6" i="1"/>
  <c r="Y6" i="1"/>
  <c r="Y42" i="1"/>
  <c r="AB42" i="1"/>
  <c r="AB78" i="1"/>
  <c r="Y78" i="1"/>
  <c r="W30" i="1"/>
  <c r="X90" i="1"/>
  <c r="Z7" i="1"/>
  <c r="W7" i="1"/>
  <c r="AB7" i="1"/>
  <c r="Y7" i="1"/>
  <c r="Z19" i="1"/>
  <c r="W19" i="1"/>
  <c r="Y19" i="1"/>
  <c r="AB19" i="1"/>
  <c r="Z31" i="1"/>
  <c r="W31" i="1"/>
  <c r="AB31" i="1"/>
  <c r="Y31" i="1"/>
  <c r="Z43" i="1"/>
  <c r="W43" i="1"/>
  <c r="Y43" i="1"/>
  <c r="AB43" i="1"/>
  <c r="Z55" i="1"/>
  <c r="W55" i="1"/>
  <c r="AB55" i="1"/>
  <c r="Y55" i="1"/>
  <c r="Z67" i="1"/>
  <c r="W67" i="1"/>
  <c r="AB67" i="1"/>
  <c r="Y67" i="1"/>
  <c r="Z79" i="1"/>
  <c r="W79" i="1"/>
  <c r="AB79" i="1"/>
  <c r="Y79" i="1"/>
  <c r="Z91" i="1"/>
  <c r="W91" i="1"/>
  <c r="AB91" i="1"/>
  <c r="Y91" i="1"/>
  <c r="Z42" i="1"/>
  <c r="Z20" i="1"/>
  <c r="W20" i="1"/>
  <c r="AB20" i="1"/>
  <c r="Y20" i="1"/>
  <c r="Z56" i="1"/>
  <c r="W56" i="1"/>
  <c r="Y56" i="1"/>
  <c r="AB56" i="1"/>
  <c r="Z92" i="1"/>
  <c r="W92" i="1"/>
  <c r="AB92" i="1"/>
  <c r="Y92" i="1"/>
  <c r="Z9" i="1"/>
  <c r="W9" i="1"/>
  <c r="AB9" i="1"/>
  <c r="Y9" i="1"/>
  <c r="Z45" i="1"/>
  <c r="W45" i="1"/>
  <c r="AB45" i="1"/>
  <c r="AB93" i="1"/>
  <c r="Z93" i="1"/>
  <c r="W93" i="1"/>
  <c r="Z66" i="1"/>
  <c r="W10" i="1"/>
  <c r="Z10" i="1"/>
  <c r="Z46" i="1"/>
  <c r="W46" i="1"/>
  <c r="Z94" i="1"/>
  <c r="W94" i="1"/>
  <c r="X66" i="1"/>
  <c r="X10" i="1"/>
  <c r="Y70" i="1"/>
  <c r="Y22" i="1"/>
  <c r="Z6" i="1"/>
  <c r="AA90" i="1"/>
  <c r="AA54" i="1"/>
  <c r="AA18" i="1"/>
  <c r="AA23" i="1"/>
  <c r="X23" i="1"/>
  <c r="Z23" i="1"/>
  <c r="W23" i="1"/>
  <c r="AA71" i="1"/>
  <c r="X71" i="1"/>
  <c r="W71" i="1"/>
  <c r="Z71" i="1"/>
  <c r="W18" i="1"/>
  <c r="X8" i="1"/>
  <c r="Z30" i="1"/>
  <c r="X94" i="1"/>
  <c r="X78" i="1"/>
  <c r="X58" i="1"/>
  <c r="X42" i="1"/>
  <c r="X22" i="1"/>
  <c r="X6" i="1"/>
  <c r="Z54" i="1"/>
  <c r="AA82" i="1"/>
  <c r="AA66" i="1"/>
  <c r="AA46" i="1"/>
  <c r="AA30" i="1"/>
  <c r="AA10" i="1"/>
  <c r="AB10" i="1"/>
  <c r="AB21" i="1"/>
  <c r="Z21" i="1"/>
  <c r="W21" i="1"/>
  <c r="Y21" i="1"/>
  <c r="Z69" i="1"/>
  <c r="W69" i="1"/>
  <c r="AB69" i="1"/>
  <c r="X67" i="1"/>
  <c r="W34" i="1"/>
  <c r="Z34" i="1"/>
  <c r="Z70" i="1"/>
  <c r="W70" i="1"/>
  <c r="X30" i="1"/>
  <c r="Y46" i="1"/>
  <c r="AA11" i="1"/>
  <c r="X11" i="1"/>
  <c r="Z11" i="1"/>
  <c r="W11" i="1"/>
  <c r="AA95" i="1"/>
  <c r="X95" i="1"/>
  <c r="Z95" i="1"/>
  <c r="W95" i="1"/>
  <c r="X9" i="1"/>
  <c r="AB46" i="1"/>
  <c r="W90" i="1"/>
  <c r="W42" i="1"/>
  <c r="X93" i="1"/>
  <c r="X57" i="1"/>
  <c r="X21" i="1"/>
  <c r="Y83" i="1"/>
  <c r="Y59" i="1"/>
  <c r="Y35" i="1"/>
  <c r="Y10" i="1"/>
  <c r="Z78" i="1"/>
  <c r="AA81" i="1"/>
  <c r="AA45" i="1"/>
  <c r="AA9" i="1"/>
  <c r="AB94" i="1"/>
  <c r="AB35" i="1"/>
  <c r="W96" i="1"/>
  <c r="W60" i="1"/>
  <c r="W24" i="1"/>
  <c r="Z84" i="1"/>
  <c r="Z48" i="1"/>
  <c r="Z24" i="1"/>
  <c r="W72" i="1"/>
  <c r="W48" i="1"/>
  <c r="W12" i="1"/>
  <c r="Z96" i="1"/>
  <c r="Z72" i="1"/>
  <c r="Z60" i="1"/>
  <c r="Z36" i="1"/>
  <c r="Z12" i="1"/>
  <c r="X97" i="1"/>
  <c r="X85" i="1"/>
  <c r="X73" i="1"/>
  <c r="X61" i="1"/>
  <c r="X49" i="1"/>
  <c r="X37" i="1"/>
  <c r="X25" i="1"/>
  <c r="X13" i="1"/>
  <c r="Y101" i="1"/>
  <c r="Y89" i="1"/>
  <c r="Y77" i="1"/>
  <c r="Y65" i="1"/>
  <c r="Y53" i="1"/>
  <c r="Y41" i="1"/>
  <c r="Y29" i="1"/>
  <c r="Y17" i="1"/>
  <c r="Y5" i="1"/>
  <c r="X86" i="1"/>
  <c r="X50" i="1"/>
  <c r="AA62" i="1"/>
  <c r="AA38" i="1"/>
  <c r="AA26" i="1"/>
  <c r="AA14" i="1"/>
  <c r="X96" i="1"/>
  <c r="X84" i="1"/>
  <c r="X72" i="1"/>
  <c r="X60" i="1"/>
  <c r="X48" i="1"/>
  <c r="X36" i="1"/>
  <c r="X24" i="1"/>
  <c r="X12" i="1"/>
  <c r="Y100" i="1"/>
  <c r="Y88" i="1"/>
  <c r="Y76" i="1"/>
  <c r="Y64" i="1"/>
  <c r="Y52" i="1"/>
  <c r="Y40" i="1"/>
  <c r="Y28" i="1"/>
  <c r="Y16" i="1"/>
  <c r="AA84" i="1"/>
  <c r="AA36" i="1"/>
  <c r="X98" i="1"/>
  <c r="X74" i="1"/>
  <c r="Y99" i="1"/>
  <c r="Y87" i="1"/>
  <c r="Y75" i="1"/>
  <c r="Y63" i="1"/>
  <c r="Y51" i="1"/>
  <c r="Y39" i="1"/>
  <c r="Y27" i="1"/>
  <c r="Y15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2" i="1"/>
  <c r="J3" i="1"/>
  <c r="H3" i="1" s="1"/>
  <c r="J4" i="1"/>
  <c r="H4" i="1" s="1"/>
  <c r="J5" i="1"/>
  <c r="H5" i="1" s="1"/>
  <c r="J6" i="1"/>
  <c r="H6" i="1" s="1"/>
  <c r="J7" i="1"/>
  <c r="H7" i="1" s="1"/>
  <c r="J8" i="1"/>
  <c r="H8" i="1" s="1"/>
  <c r="J9" i="1"/>
  <c r="H9" i="1" s="1"/>
  <c r="J10" i="1"/>
  <c r="H10" i="1" s="1"/>
  <c r="J11" i="1"/>
  <c r="H11" i="1" s="1"/>
  <c r="J12" i="1"/>
  <c r="H12" i="1" s="1"/>
  <c r="J13" i="1"/>
  <c r="H13" i="1" s="1"/>
  <c r="J14" i="1"/>
  <c r="H14" i="1" s="1"/>
  <c r="J15" i="1"/>
  <c r="H15" i="1" s="1"/>
  <c r="J16" i="1"/>
  <c r="H16" i="1" s="1"/>
  <c r="J17" i="1"/>
  <c r="H17" i="1" s="1"/>
  <c r="J18" i="1"/>
  <c r="H18" i="1" s="1"/>
  <c r="J19" i="1"/>
  <c r="H19" i="1" s="1"/>
  <c r="J20" i="1"/>
  <c r="H20" i="1" s="1"/>
  <c r="J21" i="1"/>
  <c r="H21" i="1" s="1"/>
  <c r="J22" i="1"/>
  <c r="H22" i="1" s="1"/>
  <c r="J23" i="1"/>
  <c r="H23" i="1" s="1"/>
  <c r="J24" i="1"/>
  <c r="H24" i="1" s="1"/>
  <c r="J25" i="1"/>
  <c r="H25" i="1" s="1"/>
  <c r="J26" i="1"/>
  <c r="H26" i="1" s="1"/>
  <c r="J27" i="1"/>
  <c r="H27" i="1" s="1"/>
  <c r="J28" i="1"/>
  <c r="H28" i="1" s="1"/>
  <c r="J29" i="1"/>
  <c r="H29" i="1" s="1"/>
  <c r="J30" i="1"/>
  <c r="H30" i="1" s="1"/>
  <c r="J31" i="1"/>
  <c r="H31" i="1" s="1"/>
  <c r="J32" i="1"/>
  <c r="H32" i="1" s="1"/>
  <c r="J33" i="1"/>
  <c r="H33" i="1" s="1"/>
  <c r="J34" i="1"/>
  <c r="H34" i="1" s="1"/>
  <c r="J35" i="1"/>
  <c r="H35" i="1" s="1"/>
  <c r="J36" i="1"/>
  <c r="H36" i="1" s="1"/>
  <c r="J37" i="1"/>
  <c r="H37" i="1" s="1"/>
  <c r="J38" i="1"/>
  <c r="H38" i="1" s="1"/>
  <c r="J39" i="1"/>
  <c r="H39" i="1" s="1"/>
  <c r="J40" i="1"/>
  <c r="H40" i="1" s="1"/>
  <c r="J41" i="1"/>
  <c r="H41" i="1" s="1"/>
  <c r="J42" i="1"/>
  <c r="H42" i="1" s="1"/>
  <c r="J43" i="1"/>
  <c r="H43" i="1" s="1"/>
  <c r="J44" i="1"/>
  <c r="H44" i="1" s="1"/>
  <c r="J45" i="1"/>
  <c r="H45" i="1" s="1"/>
  <c r="J46" i="1"/>
  <c r="H46" i="1" s="1"/>
  <c r="J47" i="1"/>
  <c r="H47" i="1" s="1"/>
  <c r="J48" i="1"/>
  <c r="H48" i="1" s="1"/>
  <c r="J49" i="1"/>
  <c r="H49" i="1" s="1"/>
  <c r="J50" i="1"/>
  <c r="H50" i="1" s="1"/>
  <c r="J51" i="1"/>
  <c r="H51" i="1" s="1"/>
  <c r="J52" i="1"/>
  <c r="H52" i="1" s="1"/>
  <c r="J53" i="1"/>
  <c r="H53" i="1" s="1"/>
  <c r="J54" i="1"/>
  <c r="H54" i="1" s="1"/>
  <c r="J55" i="1"/>
  <c r="H55" i="1" s="1"/>
  <c r="J56" i="1"/>
  <c r="H56" i="1" s="1"/>
  <c r="J57" i="1"/>
  <c r="H57" i="1" s="1"/>
  <c r="J58" i="1"/>
  <c r="H58" i="1" s="1"/>
  <c r="J59" i="1"/>
  <c r="H59" i="1" s="1"/>
  <c r="J60" i="1"/>
  <c r="H60" i="1" s="1"/>
  <c r="J61" i="1"/>
  <c r="H61" i="1" s="1"/>
  <c r="J62" i="1"/>
  <c r="H62" i="1" s="1"/>
  <c r="J63" i="1"/>
  <c r="H63" i="1" s="1"/>
  <c r="J64" i="1"/>
  <c r="H64" i="1" s="1"/>
  <c r="J65" i="1"/>
  <c r="H65" i="1" s="1"/>
  <c r="J66" i="1"/>
  <c r="H66" i="1" s="1"/>
  <c r="J67" i="1"/>
  <c r="H67" i="1" s="1"/>
  <c r="J68" i="1"/>
  <c r="H68" i="1" s="1"/>
  <c r="J69" i="1"/>
  <c r="H69" i="1" s="1"/>
  <c r="J70" i="1"/>
  <c r="H70" i="1" s="1"/>
  <c r="J71" i="1"/>
  <c r="H71" i="1" s="1"/>
  <c r="J72" i="1"/>
  <c r="H72" i="1" s="1"/>
  <c r="J73" i="1"/>
  <c r="H73" i="1" s="1"/>
  <c r="J74" i="1"/>
  <c r="H74" i="1" s="1"/>
  <c r="J75" i="1"/>
  <c r="H75" i="1" s="1"/>
  <c r="J76" i="1"/>
  <c r="H76" i="1" s="1"/>
  <c r="J77" i="1"/>
  <c r="H77" i="1" s="1"/>
  <c r="J78" i="1"/>
  <c r="H78" i="1" s="1"/>
  <c r="J79" i="1"/>
  <c r="H79" i="1" s="1"/>
  <c r="J80" i="1"/>
  <c r="H80" i="1" s="1"/>
  <c r="J81" i="1"/>
  <c r="H81" i="1" s="1"/>
  <c r="J82" i="1"/>
  <c r="H82" i="1" s="1"/>
  <c r="J83" i="1"/>
  <c r="H83" i="1" s="1"/>
  <c r="J84" i="1"/>
  <c r="H84" i="1" s="1"/>
  <c r="J85" i="1"/>
  <c r="H85" i="1" s="1"/>
  <c r="J86" i="1"/>
  <c r="H86" i="1" s="1"/>
  <c r="J87" i="1"/>
  <c r="H87" i="1" s="1"/>
  <c r="J88" i="1"/>
  <c r="H88" i="1" s="1"/>
  <c r="J89" i="1"/>
  <c r="H89" i="1" s="1"/>
  <c r="J90" i="1"/>
  <c r="H90" i="1" s="1"/>
  <c r="J91" i="1"/>
  <c r="H91" i="1" s="1"/>
  <c r="J92" i="1"/>
  <c r="H92" i="1" s="1"/>
  <c r="J93" i="1"/>
  <c r="H93" i="1" s="1"/>
  <c r="J94" i="1"/>
  <c r="H94" i="1" s="1"/>
  <c r="J95" i="1"/>
  <c r="H95" i="1" s="1"/>
  <c r="J96" i="1"/>
  <c r="H96" i="1" s="1"/>
  <c r="J97" i="1"/>
  <c r="H97" i="1" s="1"/>
  <c r="J98" i="1"/>
  <c r="H98" i="1" s="1"/>
  <c r="J99" i="1"/>
  <c r="H99" i="1" s="1"/>
  <c r="J100" i="1"/>
  <c r="H100" i="1" s="1"/>
  <c r="J101" i="1"/>
  <c r="H101" i="1" s="1"/>
  <c r="J102" i="1"/>
  <c r="H102" i="1" s="1"/>
  <c r="J103" i="1"/>
  <c r="H103" i="1" s="1"/>
  <c r="J104" i="1"/>
  <c r="H104" i="1" s="1"/>
  <c r="J105" i="1"/>
  <c r="H105" i="1" s="1"/>
  <c r="J106" i="1"/>
  <c r="H106" i="1" s="1"/>
  <c r="J107" i="1"/>
  <c r="H107" i="1" s="1"/>
  <c r="J108" i="1"/>
  <c r="H108" i="1" s="1"/>
  <c r="J109" i="1"/>
  <c r="H109" i="1" s="1"/>
  <c r="J110" i="1"/>
  <c r="H110" i="1" s="1"/>
  <c r="J111" i="1"/>
  <c r="H111" i="1" s="1"/>
  <c r="J112" i="1"/>
  <c r="H112" i="1" s="1"/>
  <c r="J113" i="1"/>
  <c r="H113" i="1" s="1"/>
  <c r="J114" i="1"/>
  <c r="H114" i="1" s="1"/>
  <c r="J115" i="1"/>
  <c r="H115" i="1" s="1"/>
  <c r="J116" i="1"/>
  <c r="H116" i="1" s="1"/>
  <c r="J117" i="1"/>
  <c r="H117" i="1" s="1"/>
  <c r="J118" i="1"/>
  <c r="H118" i="1" s="1"/>
  <c r="J119" i="1"/>
  <c r="H119" i="1" s="1"/>
  <c r="J120" i="1"/>
  <c r="H120" i="1" s="1"/>
  <c r="J121" i="1"/>
  <c r="H121" i="1" s="1"/>
  <c r="J122" i="1"/>
  <c r="H122" i="1" s="1"/>
  <c r="J123" i="1"/>
  <c r="H123" i="1" s="1"/>
  <c r="J124" i="1"/>
  <c r="H124" i="1" s="1"/>
  <c r="J125" i="1"/>
  <c r="H125" i="1" s="1"/>
  <c r="J126" i="1"/>
  <c r="H126" i="1" s="1"/>
  <c r="J127" i="1"/>
  <c r="H127" i="1" s="1"/>
  <c r="J128" i="1"/>
  <c r="H128" i="1" s="1"/>
  <c r="J129" i="1"/>
  <c r="H129" i="1" s="1"/>
  <c r="J130" i="1"/>
  <c r="H130" i="1" s="1"/>
  <c r="J131" i="1"/>
  <c r="H131" i="1" s="1"/>
  <c r="J132" i="1"/>
  <c r="H132" i="1" s="1"/>
  <c r="J133" i="1"/>
  <c r="H133" i="1" s="1"/>
  <c r="J134" i="1"/>
  <c r="H134" i="1" s="1"/>
  <c r="J135" i="1"/>
  <c r="H135" i="1" s="1"/>
  <c r="J136" i="1"/>
  <c r="H136" i="1" s="1"/>
  <c r="J137" i="1"/>
  <c r="H137" i="1" s="1"/>
  <c r="J138" i="1"/>
  <c r="H138" i="1" s="1"/>
  <c r="J139" i="1"/>
  <c r="H139" i="1" s="1"/>
  <c r="J140" i="1"/>
  <c r="H140" i="1" s="1"/>
  <c r="J141" i="1"/>
  <c r="H141" i="1" s="1"/>
  <c r="J142" i="1"/>
  <c r="H142" i="1" s="1"/>
  <c r="J143" i="1"/>
  <c r="H143" i="1" s="1"/>
  <c r="J144" i="1"/>
  <c r="H144" i="1" s="1"/>
  <c r="J145" i="1"/>
  <c r="H145" i="1" s="1"/>
  <c r="J146" i="1"/>
  <c r="H146" i="1" s="1"/>
  <c r="J147" i="1"/>
  <c r="H147" i="1" s="1"/>
  <c r="J148" i="1"/>
  <c r="H148" i="1" s="1"/>
  <c r="J149" i="1"/>
  <c r="H149" i="1" s="1"/>
  <c r="J150" i="1"/>
  <c r="H150" i="1" s="1"/>
  <c r="J151" i="1"/>
  <c r="H151" i="1" s="1"/>
  <c r="J152" i="1"/>
  <c r="H152" i="1" s="1"/>
  <c r="J153" i="1"/>
  <c r="H153" i="1" s="1"/>
  <c r="J154" i="1"/>
  <c r="H154" i="1" s="1"/>
  <c r="J155" i="1"/>
  <c r="H155" i="1" s="1"/>
  <c r="J156" i="1"/>
  <c r="H156" i="1" s="1"/>
  <c r="J157" i="1"/>
  <c r="H157" i="1" s="1"/>
  <c r="J158" i="1"/>
  <c r="H158" i="1" s="1"/>
  <c r="J159" i="1"/>
  <c r="H159" i="1" s="1"/>
  <c r="J160" i="1"/>
  <c r="H160" i="1" s="1"/>
  <c r="J161" i="1"/>
  <c r="H161" i="1" s="1"/>
  <c r="J162" i="1"/>
  <c r="H162" i="1" s="1"/>
  <c r="J163" i="1"/>
  <c r="H163" i="1" s="1"/>
  <c r="J164" i="1"/>
  <c r="H164" i="1" s="1"/>
  <c r="J165" i="1"/>
  <c r="H165" i="1" s="1"/>
  <c r="J166" i="1"/>
  <c r="H166" i="1" s="1"/>
  <c r="J167" i="1"/>
  <c r="H167" i="1" s="1"/>
  <c r="J168" i="1"/>
  <c r="H168" i="1" s="1"/>
  <c r="J169" i="1"/>
  <c r="H169" i="1" s="1"/>
  <c r="J170" i="1"/>
  <c r="H170" i="1" s="1"/>
  <c r="J171" i="1"/>
  <c r="H171" i="1" s="1"/>
  <c r="J172" i="1"/>
  <c r="H172" i="1" s="1"/>
  <c r="J173" i="1"/>
  <c r="H173" i="1" s="1"/>
  <c r="J174" i="1"/>
  <c r="H174" i="1" s="1"/>
  <c r="J175" i="1"/>
  <c r="H175" i="1" s="1"/>
  <c r="J176" i="1"/>
  <c r="H176" i="1" s="1"/>
  <c r="J177" i="1"/>
  <c r="H177" i="1" s="1"/>
  <c r="J178" i="1"/>
  <c r="H178" i="1" s="1"/>
  <c r="J179" i="1"/>
  <c r="H179" i="1" s="1"/>
  <c r="J180" i="1"/>
  <c r="H180" i="1" s="1"/>
  <c r="J181" i="1"/>
  <c r="H181" i="1" s="1"/>
  <c r="J182" i="1"/>
  <c r="H182" i="1" s="1"/>
  <c r="J183" i="1"/>
  <c r="H183" i="1" s="1"/>
  <c r="J184" i="1"/>
  <c r="H184" i="1" s="1"/>
  <c r="J185" i="1"/>
  <c r="H185" i="1" s="1"/>
  <c r="J186" i="1"/>
  <c r="H186" i="1" s="1"/>
  <c r="J187" i="1"/>
  <c r="H187" i="1" s="1"/>
  <c r="J188" i="1"/>
  <c r="H188" i="1" s="1"/>
  <c r="J189" i="1"/>
  <c r="H189" i="1" s="1"/>
  <c r="J190" i="1"/>
  <c r="H190" i="1" s="1"/>
  <c r="J191" i="1"/>
  <c r="H191" i="1" s="1"/>
  <c r="J192" i="1"/>
  <c r="H192" i="1" s="1"/>
  <c r="J193" i="1"/>
  <c r="H193" i="1" s="1"/>
  <c r="J194" i="1"/>
  <c r="H194" i="1" s="1"/>
  <c r="J195" i="1"/>
  <c r="H195" i="1" s="1"/>
  <c r="J196" i="1"/>
  <c r="H196" i="1" s="1"/>
  <c r="J197" i="1"/>
  <c r="H197" i="1" s="1"/>
  <c r="J198" i="1"/>
  <c r="H198" i="1" s="1"/>
  <c r="J199" i="1"/>
  <c r="H199" i="1" s="1"/>
  <c r="J200" i="1"/>
  <c r="H200" i="1" s="1"/>
  <c r="J201" i="1"/>
  <c r="H201" i="1" s="1"/>
  <c r="J202" i="1"/>
  <c r="H202" i="1" s="1"/>
  <c r="J203" i="1"/>
  <c r="H203" i="1" s="1"/>
  <c r="J204" i="1"/>
  <c r="H204" i="1" s="1"/>
  <c r="J205" i="1"/>
  <c r="H205" i="1" s="1"/>
  <c r="J206" i="1"/>
  <c r="H206" i="1" s="1"/>
  <c r="J207" i="1"/>
  <c r="H207" i="1" s="1"/>
  <c r="J208" i="1"/>
  <c r="H208" i="1" s="1"/>
  <c r="J209" i="1"/>
  <c r="H209" i="1" s="1"/>
  <c r="J210" i="1"/>
  <c r="H210" i="1" s="1"/>
  <c r="J211" i="1"/>
  <c r="H211" i="1" s="1"/>
  <c r="J212" i="1"/>
  <c r="H212" i="1" s="1"/>
  <c r="J213" i="1"/>
  <c r="H213" i="1" s="1"/>
  <c r="J214" i="1"/>
  <c r="H214" i="1" s="1"/>
  <c r="J215" i="1"/>
  <c r="H215" i="1" s="1"/>
  <c r="J216" i="1"/>
  <c r="H216" i="1" s="1"/>
  <c r="J217" i="1"/>
  <c r="H217" i="1" s="1"/>
  <c r="J218" i="1"/>
  <c r="H218" i="1" s="1"/>
  <c r="J219" i="1"/>
  <c r="H219" i="1" s="1"/>
  <c r="J220" i="1"/>
  <c r="H220" i="1" s="1"/>
  <c r="J221" i="1"/>
  <c r="H221" i="1" s="1"/>
  <c r="J222" i="1"/>
  <c r="H222" i="1" s="1"/>
  <c r="J223" i="1"/>
  <c r="H223" i="1" s="1"/>
  <c r="J224" i="1"/>
  <c r="H224" i="1" s="1"/>
  <c r="J225" i="1"/>
  <c r="H225" i="1" s="1"/>
  <c r="J226" i="1"/>
  <c r="H226" i="1" s="1"/>
  <c r="J227" i="1"/>
  <c r="H227" i="1" s="1"/>
  <c r="J228" i="1"/>
  <c r="H228" i="1" s="1"/>
  <c r="J229" i="1"/>
  <c r="H229" i="1" s="1"/>
  <c r="J230" i="1"/>
  <c r="H230" i="1" s="1"/>
  <c r="J231" i="1"/>
  <c r="H231" i="1" s="1"/>
  <c r="J232" i="1"/>
  <c r="H232" i="1" s="1"/>
  <c r="J233" i="1"/>
  <c r="H233" i="1" s="1"/>
  <c r="J234" i="1"/>
  <c r="H234" i="1" s="1"/>
  <c r="J235" i="1"/>
  <c r="H235" i="1" s="1"/>
  <c r="J236" i="1"/>
  <c r="H236" i="1" s="1"/>
  <c r="J237" i="1"/>
  <c r="H237" i="1" s="1"/>
  <c r="J238" i="1"/>
  <c r="H238" i="1" s="1"/>
  <c r="J239" i="1"/>
  <c r="H239" i="1" s="1"/>
  <c r="J240" i="1"/>
  <c r="H240" i="1" s="1"/>
  <c r="J241" i="1"/>
  <c r="H241" i="1" s="1"/>
  <c r="J242" i="1"/>
  <c r="H242" i="1" s="1"/>
  <c r="J243" i="1"/>
  <c r="H243" i="1" s="1"/>
  <c r="J244" i="1"/>
  <c r="H244" i="1" s="1"/>
  <c r="J245" i="1"/>
  <c r="H245" i="1" s="1"/>
  <c r="J246" i="1"/>
  <c r="H246" i="1" s="1"/>
  <c r="J247" i="1"/>
  <c r="H247" i="1" s="1"/>
  <c r="J248" i="1"/>
  <c r="H248" i="1" s="1"/>
  <c r="J249" i="1"/>
  <c r="H249" i="1" s="1"/>
  <c r="J250" i="1"/>
  <c r="H250" i="1" s="1"/>
  <c r="J251" i="1"/>
  <c r="H251" i="1" s="1"/>
  <c r="J252" i="1"/>
  <c r="H252" i="1" s="1"/>
  <c r="J253" i="1"/>
  <c r="H253" i="1" s="1"/>
  <c r="J254" i="1"/>
  <c r="H254" i="1" s="1"/>
  <c r="J255" i="1"/>
  <c r="H255" i="1" s="1"/>
  <c r="J256" i="1"/>
  <c r="H256" i="1" s="1"/>
  <c r="J257" i="1"/>
  <c r="H257" i="1" s="1"/>
  <c r="J258" i="1"/>
  <c r="H258" i="1" s="1"/>
  <c r="J259" i="1"/>
  <c r="H259" i="1" s="1"/>
  <c r="J260" i="1"/>
  <c r="H260" i="1" s="1"/>
  <c r="J261" i="1"/>
  <c r="H261" i="1" s="1"/>
  <c r="J262" i="1"/>
  <c r="H262" i="1" s="1"/>
  <c r="J263" i="1"/>
  <c r="H263" i="1" s="1"/>
  <c r="J264" i="1"/>
  <c r="H264" i="1" s="1"/>
  <c r="J265" i="1"/>
  <c r="H265" i="1" s="1"/>
  <c r="J266" i="1"/>
  <c r="H266" i="1" s="1"/>
  <c r="J267" i="1"/>
  <c r="H267" i="1" s="1"/>
  <c r="J268" i="1"/>
  <c r="H268" i="1" s="1"/>
  <c r="J269" i="1"/>
  <c r="H269" i="1" s="1"/>
  <c r="J270" i="1"/>
  <c r="H270" i="1" s="1"/>
  <c r="J271" i="1"/>
  <c r="H271" i="1" s="1"/>
  <c r="J272" i="1"/>
  <c r="H272" i="1" s="1"/>
  <c r="J273" i="1"/>
  <c r="H273" i="1" s="1"/>
  <c r="J274" i="1"/>
  <c r="H274" i="1" s="1"/>
  <c r="J275" i="1"/>
  <c r="H275" i="1" s="1"/>
  <c r="J276" i="1"/>
  <c r="H276" i="1" s="1"/>
  <c r="J277" i="1"/>
  <c r="H277" i="1" s="1"/>
  <c r="J278" i="1"/>
  <c r="H278" i="1" s="1"/>
  <c r="J279" i="1"/>
  <c r="H279" i="1" s="1"/>
  <c r="J280" i="1"/>
  <c r="H280" i="1" s="1"/>
  <c r="J281" i="1"/>
  <c r="H281" i="1" s="1"/>
  <c r="J282" i="1"/>
  <c r="H282" i="1" s="1"/>
  <c r="J283" i="1"/>
  <c r="H283" i="1" s="1"/>
  <c r="J284" i="1"/>
  <c r="H284" i="1" s="1"/>
  <c r="J285" i="1"/>
  <c r="H285" i="1" s="1"/>
  <c r="J286" i="1"/>
  <c r="H286" i="1" s="1"/>
  <c r="J287" i="1"/>
  <c r="H287" i="1" s="1"/>
  <c r="J288" i="1"/>
  <c r="H288" i="1" s="1"/>
  <c r="J289" i="1"/>
  <c r="H289" i="1" s="1"/>
  <c r="J290" i="1"/>
  <c r="H290" i="1" s="1"/>
  <c r="J291" i="1"/>
  <c r="H291" i="1" s="1"/>
  <c r="J292" i="1"/>
  <c r="H292" i="1" s="1"/>
  <c r="J293" i="1"/>
  <c r="H293" i="1" s="1"/>
  <c r="J294" i="1"/>
  <c r="H294" i="1" s="1"/>
  <c r="J295" i="1"/>
  <c r="H295" i="1" s="1"/>
  <c r="J296" i="1"/>
  <c r="H296" i="1" s="1"/>
  <c r="J297" i="1"/>
  <c r="H297" i="1" s="1"/>
  <c r="J298" i="1"/>
  <c r="H298" i="1" s="1"/>
  <c r="J299" i="1"/>
  <c r="H299" i="1" s="1"/>
  <c r="J300" i="1"/>
  <c r="H300" i="1" s="1"/>
  <c r="J301" i="1"/>
  <c r="H301" i="1" s="1"/>
  <c r="J302" i="1"/>
  <c r="H302" i="1" s="1"/>
  <c r="J303" i="1"/>
  <c r="H303" i="1" s="1"/>
  <c r="J304" i="1"/>
  <c r="H304" i="1" s="1"/>
  <c r="J305" i="1"/>
  <c r="H305" i="1" s="1"/>
  <c r="J306" i="1"/>
  <c r="H306" i="1" s="1"/>
  <c r="J307" i="1"/>
  <c r="H307" i="1" s="1"/>
  <c r="J308" i="1"/>
  <c r="H308" i="1" s="1"/>
  <c r="J309" i="1"/>
  <c r="H309" i="1" s="1"/>
  <c r="J310" i="1"/>
  <c r="H310" i="1" s="1"/>
  <c r="J311" i="1"/>
  <c r="H311" i="1" s="1"/>
  <c r="J312" i="1"/>
  <c r="H312" i="1" s="1"/>
  <c r="J313" i="1"/>
  <c r="H313" i="1" s="1"/>
  <c r="J314" i="1"/>
  <c r="H314" i="1" s="1"/>
  <c r="J315" i="1"/>
  <c r="H315" i="1" s="1"/>
  <c r="J316" i="1"/>
  <c r="H316" i="1" s="1"/>
  <c r="J317" i="1"/>
  <c r="H317" i="1" s="1"/>
  <c r="J318" i="1"/>
  <c r="H318" i="1" s="1"/>
  <c r="J319" i="1"/>
  <c r="H319" i="1" s="1"/>
  <c r="J320" i="1"/>
  <c r="H320" i="1" s="1"/>
  <c r="J321" i="1"/>
  <c r="H321" i="1" s="1"/>
  <c r="J322" i="1"/>
  <c r="H322" i="1" s="1"/>
  <c r="J323" i="1"/>
  <c r="H323" i="1" s="1"/>
  <c r="J324" i="1"/>
  <c r="H324" i="1" s="1"/>
  <c r="J325" i="1"/>
  <c r="H325" i="1" s="1"/>
  <c r="J326" i="1"/>
  <c r="H326" i="1" s="1"/>
  <c r="J327" i="1"/>
  <c r="H327" i="1" s="1"/>
  <c r="J328" i="1"/>
  <c r="H328" i="1" s="1"/>
  <c r="J329" i="1"/>
  <c r="H329" i="1" s="1"/>
  <c r="J330" i="1"/>
  <c r="H330" i="1" s="1"/>
  <c r="J331" i="1"/>
  <c r="H331" i="1" s="1"/>
  <c r="J332" i="1"/>
  <c r="H332" i="1" s="1"/>
  <c r="J333" i="1"/>
  <c r="H333" i="1" s="1"/>
  <c r="J334" i="1"/>
  <c r="H334" i="1" s="1"/>
  <c r="J335" i="1"/>
  <c r="H335" i="1" s="1"/>
  <c r="J336" i="1"/>
  <c r="H336" i="1" s="1"/>
  <c r="J337" i="1"/>
  <c r="H337" i="1" s="1"/>
  <c r="J338" i="1"/>
  <c r="H338" i="1" s="1"/>
  <c r="J339" i="1"/>
  <c r="H339" i="1" s="1"/>
  <c r="J340" i="1"/>
  <c r="H340" i="1" s="1"/>
  <c r="J341" i="1"/>
  <c r="H341" i="1" s="1"/>
  <c r="J342" i="1"/>
  <c r="H342" i="1" s="1"/>
  <c r="J343" i="1"/>
  <c r="H343" i="1" s="1"/>
  <c r="J344" i="1"/>
  <c r="H344" i="1" s="1"/>
  <c r="J345" i="1"/>
  <c r="H345" i="1" s="1"/>
  <c r="J346" i="1"/>
  <c r="H346" i="1" s="1"/>
  <c r="J347" i="1"/>
  <c r="H347" i="1" s="1"/>
  <c r="J348" i="1"/>
  <c r="H348" i="1" s="1"/>
  <c r="J349" i="1"/>
  <c r="H349" i="1" s="1"/>
  <c r="J350" i="1"/>
  <c r="H350" i="1" s="1"/>
  <c r="J351" i="1"/>
  <c r="H351" i="1" s="1"/>
  <c r="J352" i="1"/>
  <c r="H352" i="1" s="1"/>
  <c r="J353" i="1"/>
  <c r="H353" i="1" s="1"/>
  <c r="J354" i="1"/>
  <c r="H354" i="1" s="1"/>
  <c r="J355" i="1"/>
  <c r="H355" i="1" s="1"/>
  <c r="J356" i="1"/>
  <c r="H356" i="1" s="1"/>
  <c r="J357" i="1"/>
  <c r="H357" i="1" s="1"/>
  <c r="J358" i="1"/>
  <c r="H358" i="1" s="1"/>
  <c r="J359" i="1"/>
  <c r="H359" i="1" s="1"/>
  <c r="J360" i="1"/>
  <c r="H360" i="1" s="1"/>
  <c r="J361" i="1"/>
  <c r="H361" i="1" s="1"/>
  <c r="J362" i="1"/>
  <c r="H362" i="1" s="1"/>
  <c r="J363" i="1"/>
  <c r="H363" i="1" s="1"/>
  <c r="J364" i="1"/>
  <c r="H364" i="1" s="1"/>
  <c r="J365" i="1"/>
  <c r="H365" i="1" s="1"/>
  <c r="J366" i="1"/>
  <c r="H366" i="1" s="1"/>
  <c r="J367" i="1"/>
  <c r="H367" i="1" s="1"/>
  <c r="J368" i="1"/>
  <c r="H368" i="1" s="1"/>
  <c r="J369" i="1"/>
  <c r="H369" i="1" s="1"/>
  <c r="J370" i="1"/>
  <c r="H370" i="1" s="1"/>
  <c r="J371" i="1"/>
  <c r="H371" i="1" s="1"/>
  <c r="J372" i="1"/>
  <c r="H372" i="1" s="1"/>
  <c r="J373" i="1"/>
  <c r="H373" i="1" s="1"/>
  <c r="J374" i="1"/>
  <c r="H374" i="1" s="1"/>
  <c r="J375" i="1"/>
  <c r="H375" i="1" s="1"/>
  <c r="J376" i="1"/>
  <c r="H376" i="1" s="1"/>
  <c r="J377" i="1"/>
  <c r="H377" i="1" s="1"/>
  <c r="J378" i="1"/>
  <c r="H378" i="1" s="1"/>
  <c r="J379" i="1"/>
  <c r="H379" i="1" s="1"/>
  <c r="J380" i="1"/>
  <c r="H380" i="1" s="1"/>
  <c r="J381" i="1"/>
  <c r="H381" i="1" s="1"/>
  <c r="J382" i="1"/>
  <c r="H382" i="1" s="1"/>
  <c r="J383" i="1"/>
  <c r="H383" i="1" s="1"/>
  <c r="J384" i="1"/>
  <c r="H384" i="1" s="1"/>
  <c r="J385" i="1"/>
  <c r="H385" i="1" s="1"/>
  <c r="J386" i="1"/>
  <c r="H386" i="1" s="1"/>
  <c r="J387" i="1"/>
  <c r="H387" i="1" s="1"/>
  <c r="J388" i="1"/>
  <c r="H388" i="1" s="1"/>
  <c r="J389" i="1"/>
  <c r="H389" i="1" s="1"/>
  <c r="J390" i="1"/>
  <c r="H390" i="1" s="1"/>
  <c r="J391" i="1"/>
  <c r="H391" i="1" s="1"/>
  <c r="J392" i="1"/>
  <c r="H392" i="1" s="1"/>
  <c r="J393" i="1"/>
  <c r="H393" i="1" s="1"/>
  <c r="J394" i="1"/>
  <c r="H394" i="1" s="1"/>
  <c r="J395" i="1"/>
  <c r="H395" i="1" s="1"/>
  <c r="J396" i="1"/>
  <c r="H396" i="1" s="1"/>
  <c r="J397" i="1"/>
  <c r="H397" i="1" s="1"/>
  <c r="J398" i="1"/>
  <c r="H398" i="1" s="1"/>
  <c r="J399" i="1"/>
  <c r="H399" i="1" s="1"/>
  <c r="J400" i="1"/>
  <c r="H400" i="1" s="1"/>
  <c r="J401" i="1"/>
  <c r="H401" i="1" s="1"/>
  <c r="J402" i="1"/>
  <c r="H402" i="1" s="1"/>
  <c r="J403" i="1"/>
  <c r="H403" i="1" s="1"/>
  <c r="J404" i="1"/>
  <c r="H404" i="1" s="1"/>
  <c r="J405" i="1"/>
  <c r="H405" i="1" s="1"/>
  <c r="J406" i="1"/>
  <c r="H406" i="1" s="1"/>
  <c r="J407" i="1"/>
  <c r="H407" i="1" s="1"/>
  <c r="J408" i="1"/>
  <c r="H408" i="1" s="1"/>
  <c r="J409" i="1"/>
  <c r="H409" i="1" s="1"/>
  <c r="J410" i="1"/>
  <c r="H410" i="1" s="1"/>
  <c r="J411" i="1"/>
  <c r="H411" i="1" s="1"/>
  <c r="J412" i="1"/>
  <c r="H412" i="1" s="1"/>
  <c r="J413" i="1"/>
  <c r="H413" i="1" s="1"/>
  <c r="J414" i="1"/>
  <c r="H414" i="1" s="1"/>
  <c r="J415" i="1"/>
  <c r="H415" i="1" s="1"/>
  <c r="J416" i="1"/>
  <c r="H416" i="1" s="1"/>
  <c r="J417" i="1"/>
  <c r="H417" i="1" s="1"/>
  <c r="J418" i="1"/>
  <c r="H418" i="1" s="1"/>
  <c r="J419" i="1"/>
  <c r="H419" i="1" s="1"/>
  <c r="J420" i="1"/>
  <c r="H420" i="1" s="1"/>
  <c r="J421" i="1"/>
  <c r="H421" i="1" s="1"/>
  <c r="J422" i="1"/>
  <c r="H422" i="1" s="1"/>
  <c r="J423" i="1"/>
  <c r="H423" i="1" s="1"/>
  <c r="J424" i="1"/>
  <c r="H424" i="1" s="1"/>
  <c r="J425" i="1"/>
  <c r="H425" i="1" s="1"/>
  <c r="J426" i="1"/>
  <c r="H426" i="1" s="1"/>
  <c r="J427" i="1"/>
  <c r="H427" i="1" s="1"/>
  <c r="J428" i="1"/>
  <c r="H428" i="1" s="1"/>
  <c r="J429" i="1"/>
  <c r="H429" i="1" s="1"/>
  <c r="J430" i="1"/>
  <c r="H430" i="1" s="1"/>
  <c r="J431" i="1"/>
  <c r="H431" i="1" s="1"/>
  <c r="J432" i="1"/>
  <c r="H432" i="1" s="1"/>
  <c r="J433" i="1"/>
  <c r="H433" i="1" s="1"/>
  <c r="J434" i="1"/>
  <c r="H434" i="1" s="1"/>
  <c r="J435" i="1"/>
  <c r="H435" i="1" s="1"/>
  <c r="J436" i="1"/>
  <c r="H436" i="1" s="1"/>
  <c r="J437" i="1"/>
  <c r="H437" i="1" s="1"/>
  <c r="J438" i="1"/>
  <c r="H438" i="1" s="1"/>
  <c r="J439" i="1"/>
  <c r="H439" i="1" s="1"/>
  <c r="J440" i="1"/>
  <c r="H440" i="1" s="1"/>
  <c r="J441" i="1"/>
  <c r="H441" i="1" s="1"/>
  <c r="J442" i="1"/>
  <c r="H442" i="1" s="1"/>
  <c r="J443" i="1"/>
  <c r="H443" i="1" s="1"/>
  <c r="J444" i="1"/>
  <c r="H444" i="1" s="1"/>
  <c r="J445" i="1"/>
  <c r="H445" i="1" s="1"/>
  <c r="J446" i="1"/>
  <c r="H446" i="1" s="1"/>
  <c r="J447" i="1"/>
  <c r="H447" i="1" s="1"/>
  <c r="J448" i="1"/>
  <c r="H448" i="1" s="1"/>
  <c r="J449" i="1"/>
  <c r="H449" i="1" s="1"/>
  <c r="J450" i="1"/>
  <c r="H450" i="1" s="1"/>
  <c r="J451" i="1"/>
  <c r="H451" i="1" s="1"/>
  <c r="J452" i="1"/>
  <c r="H452" i="1" s="1"/>
  <c r="J453" i="1"/>
  <c r="H453" i="1" s="1"/>
  <c r="J454" i="1"/>
  <c r="H454" i="1" s="1"/>
  <c r="J455" i="1"/>
  <c r="H455" i="1" s="1"/>
  <c r="J456" i="1"/>
  <c r="H456" i="1" s="1"/>
  <c r="J457" i="1"/>
  <c r="H457" i="1" s="1"/>
  <c r="J458" i="1"/>
  <c r="H458" i="1" s="1"/>
  <c r="J459" i="1"/>
  <c r="H459" i="1" s="1"/>
  <c r="J460" i="1"/>
  <c r="H460" i="1" s="1"/>
  <c r="J461" i="1"/>
  <c r="H461" i="1" s="1"/>
  <c r="J462" i="1"/>
  <c r="H462" i="1" s="1"/>
  <c r="J463" i="1"/>
  <c r="H463" i="1" s="1"/>
  <c r="J464" i="1"/>
  <c r="H464" i="1" s="1"/>
  <c r="J465" i="1"/>
  <c r="H465" i="1" s="1"/>
  <c r="J466" i="1"/>
  <c r="H466" i="1" s="1"/>
  <c r="J467" i="1"/>
  <c r="H467" i="1" s="1"/>
  <c r="J468" i="1"/>
  <c r="H468" i="1" s="1"/>
  <c r="J469" i="1"/>
  <c r="H469" i="1" s="1"/>
  <c r="J470" i="1"/>
  <c r="H470" i="1" s="1"/>
  <c r="J471" i="1"/>
  <c r="H471" i="1" s="1"/>
  <c r="J472" i="1"/>
  <c r="H472" i="1" s="1"/>
  <c r="J473" i="1"/>
  <c r="H473" i="1" s="1"/>
  <c r="J474" i="1"/>
  <c r="H474" i="1" s="1"/>
  <c r="J475" i="1"/>
  <c r="H475" i="1" s="1"/>
  <c r="J476" i="1"/>
  <c r="H476" i="1" s="1"/>
  <c r="J477" i="1"/>
  <c r="H477" i="1" s="1"/>
  <c r="J478" i="1"/>
  <c r="H478" i="1" s="1"/>
  <c r="J479" i="1"/>
  <c r="H479" i="1" s="1"/>
  <c r="J480" i="1"/>
  <c r="H480" i="1" s="1"/>
  <c r="J481" i="1"/>
  <c r="H481" i="1" s="1"/>
  <c r="J482" i="1"/>
  <c r="H482" i="1" s="1"/>
  <c r="J483" i="1"/>
  <c r="H483" i="1" s="1"/>
  <c r="J484" i="1"/>
  <c r="H484" i="1" s="1"/>
  <c r="J485" i="1"/>
  <c r="H485" i="1" s="1"/>
  <c r="J486" i="1"/>
  <c r="H486" i="1" s="1"/>
  <c r="J487" i="1"/>
  <c r="H487" i="1" s="1"/>
  <c r="J488" i="1"/>
  <c r="H488" i="1" s="1"/>
  <c r="J489" i="1"/>
  <c r="H489" i="1" s="1"/>
  <c r="J490" i="1"/>
  <c r="H490" i="1" s="1"/>
  <c r="J491" i="1"/>
  <c r="H491" i="1" s="1"/>
  <c r="J492" i="1"/>
  <c r="H492" i="1" s="1"/>
  <c r="J493" i="1"/>
  <c r="H493" i="1" s="1"/>
  <c r="J494" i="1"/>
  <c r="H494" i="1" s="1"/>
  <c r="J495" i="1"/>
  <c r="H495" i="1" s="1"/>
  <c r="J496" i="1"/>
  <c r="H496" i="1" s="1"/>
  <c r="J497" i="1"/>
  <c r="H497" i="1" s="1"/>
  <c r="J498" i="1"/>
  <c r="H498" i="1" s="1"/>
  <c r="J499" i="1"/>
  <c r="H499" i="1" s="1"/>
  <c r="J500" i="1"/>
  <c r="H500" i="1" s="1"/>
  <c r="J501" i="1"/>
  <c r="H501" i="1" s="1"/>
  <c r="J502" i="1"/>
  <c r="H502" i="1" s="1"/>
  <c r="J503" i="1"/>
  <c r="H503" i="1" s="1"/>
  <c r="J504" i="1"/>
  <c r="H504" i="1" s="1"/>
  <c r="J505" i="1"/>
  <c r="H505" i="1" s="1"/>
  <c r="J506" i="1"/>
  <c r="H506" i="1" s="1"/>
  <c r="J507" i="1"/>
  <c r="H507" i="1" s="1"/>
  <c r="J508" i="1"/>
  <c r="H508" i="1" s="1"/>
  <c r="J509" i="1"/>
  <c r="H509" i="1" s="1"/>
  <c r="J510" i="1"/>
  <c r="H510" i="1" s="1"/>
  <c r="J511" i="1"/>
  <c r="H511" i="1" s="1"/>
  <c r="J512" i="1"/>
  <c r="H512" i="1" s="1"/>
  <c r="J513" i="1"/>
  <c r="H513" i="1" s="1"/>
  <c r="J514" i="1"/>
  <c r="H514" i="1" s="1"/>
  <c r="J515" i="1"/>
  <c r="H515" i="1" s="1"/>
  <c r="J516" i="1"/>
  <c r="H516" i="1" s="1"/>
  <c r="J517" i="1"/>
  <c r="H517" i="1" s="1"/>
  <c r="J518" i="1"/>
  <c r="H518" i="1" s="1"/>
  <c r="J519" i="1"/>
  <c r="H519" i="1" s="1"/>
  <c r="J520" i="1"/>
  <c r="H520" i="1" s="1"/>
  <c r="J521" i="1"/>
  <c r="H521" i="1" s="1"/>
  <c r="J522" i="1"/>
  <c r="H522" i="1" s="1"/>
  <c r="J523" i="1"/>
  <c r="H523" i="1" s="1"/>
  <c r="J524" i="1"/>
  <c r="H524" i="1" s="1"/>
  <c r="J525" i="1"/>
  <c r="H525" i="1" s="1"/>
  <c r="J526" i="1"/>
  <c r="H526" i="1" s="1"/>
  <c r="J527" i="1"/>
  <c r="H527" i="1" s="1"/>
  <c r="J528" i="1"/>
  <c r="H528" i="1" s="1"/>
  <c r="J529" i="1"/>
  <c r="H529" i="1" s="1"/>
  <c r="J530" i="1"/>
  <c r="H530" i="1" s="1"/>
  <c r="J531" i="1"/>
  <c r="H531" i="1" s="1"/>
  <c r="J532" i="1"/>
  <c r="H532" i="1" s="1"/>
  <c r="J533" i="1"/>
  <c r="H533" i="1" s="1"/>
  <c r="J534" i="1"/>
  <c r="H534" i="1" s="1"/>
  <c r="J535" i="1"/>
  <c r="H535" i="1" s="1"/>
  <c r="J536" i="1"/>
  <c r="H536" i="1" s="1"/>
  <c r="J537" i="1"/>
  <c r="H537" i="1" s="1"/>
  <c r="J538" i="1"/>
  <c r="H538" i="1" s="1"/>
  <c r="J539" i="1"/>
  <c r="H539" i="1" s="1"/>
  <c r="J540" i="1"/>
  <c r="H540" i="1" s="1"/>
  <c r="J541" i="1"/>
  <c r="H541" i="1" s="1"/>
  <c r="J542" i="1"/>
  <c r="H542" i="1" s="1"/>
  <c r="J543" i="1"/>
  <c r="H543" i="1" s="1"/>
  <c r="J544" i="1"/>
  <c r="H544" i="1" s="1"/>
  <c r="J545" i="1"/>
  <c r="H545" i="1" s="1"/>
  <c r="J546" i="1"/>
  <c r="H546" i="1" s="1"/>
  <c r="J547" i="1"/>
  <c r="H547" i="1" s="1"/>
  <c r="J548" i="1"/>
  <c r="H548" i="1" s="1"/>
  <c r="J549" i="1"/>
  <c r="H549" i="1" s="1"/>
  <c r="J550" i="1"/>
  <c r="H550" i="1" s="1"/>
  <c r="J551" i="1"/>
  <c r="H551" i="1" s="1"/>
  <c r="J552" i="1"/>
  <c r="H552" i="1" s="1"/>
  <c r="J553" i="1"/>
  <c r="H553" i="1" s="1"/>
  <c r="J554" i="1"/>
  <c r="H554" i="1" s="1"/>
  <c r="J555" i="1"/>
  <c r="H555" i="1" s="1"/>
  <c r="J556" i="1"/>
  <c r="H556" i="1" s="1"/>
  <c r="J557" i="1"/>
  <c r="H557" i="1" s="1"/>
  <c r="J558" i="1"/>
  <c r="H558" i="1" s="1"/>
  <c r="J559" i="1"/>
  <c r="H559" i="1" s="1"/>
  <c r="J560" i="1"/>
  <c r="H560" i="1" s="1"/>
  <c r="J561" i="1"/>
  <c r="H561" i="1" s="1"/>
  <c r="J562" i="1"/>
  <c r="H562" i="1" s="1"/>
  <c r="J563" i="1"/>
  <c r="H563" i="1" s="1"/>
  <c r="J564" i="1"/>
  <c r="H564" i="1" s="1"/>
  <c r="J565" i="1"/>
  <c r="H565" i="1" s="1"/>
  <c r="J566" i="1"/>
  <c r="H566" i="1" s="1"/>
  <c r="J567" i="1"/>
  <c r="H567" i="1" s="1"/>
  <c r="J568" i="1"/>
  <c r="H568" i="1" s="1"/>
  <c r="J569" i="1"/>
  <c r="H569" i="1" s="1"/>
  <c r="J570" i="1"/>
  <c r="H570" i="1" s="1"/>
  <c r="J571" i="1"/>
  <c r="H571" i="1" s="1"/>
  <c r="J572" i="1"/>
  <c r="H572" i="1" s="1"/>
  <c r="J573" i="1"/>
  <c r="H573" i="1" s="1"/>
  <c r="J574" i="1"/>
  <c r="H574" i="1" s="1"/>
  <c r="J575" i="1"/>
  <c r="H575" i="1" s="1"/>
  <c r="J576" i="1"/>
  <c r="H576" i="1" s="1"/>
  <c r="J577" i="1"/>
  <c r="H577" i="1" s="1"/>
  <c r="J578" i="1"/>
  <c r="H578" i="1" s="1"/>
  <c r="J579" i="1"/>
  <c r="H579" i="1" s="1"/>
  <c r="J580" i="1"/>
  <c r="H580" i="1" s="1"/>
  <c r="J581" i="1"/>
  <c r="H581" i="1" s="1"/>
  <c r="J582" i="1"/>
  <c r="H582" i="1" s="1"/>
  <c r="J583" i="1"/>
  <c r="H583" i="1" s="1"/>
  <c r="J584" i="1"/>
  <c r="H584" i="1" s="1"/>
  <c r="J585" i="1"/>
  <c r="H585" i="1" s="1"/>
  <c r="J586" i="1"/>
  <c r="H586" i="1" s="1"/>
  <c r="J587" i="1"/>
  <c r="H587" i="1" s="1"/>
  <c r="J588" i="1"/>
  <c r="H588" i="1" s="1"/>
  <c r="J589" i="1"/>
  <c r="H589" i="1" s="1"/>
  <c r="J590" i="1"/>
  <c r="H590" i="1" s="1"/>
  <c r="J591" i="1"/>
  <c r="H591" i="1" s="1"/>
  <c r="J592" i="1"/>
  <c r="H592" i="1" s="1"/>
  <c r="J593" i="1"/>
  <c r="H593" i="1" s="1"/>
  <c r="J594" i="1"/>
  <c r="H594" i="1" s="1"/>
  <c r="J595" i="1"/>
  <c r="H595" i="1" s="1"/>
  <c r="J596" i="1"/>
  <c r="H596" i="1" s="1"/>
  <c r="J597" i="1"/>
  <c r="H597" i="1" s="1"/>
  <c r="J598" i="1"/>
  <c r="H598" i="1" s="1"/>
  <c r="J599" i="1"/>
  <c r="H599" i="1" s="1"/>
  <c r="J600" i="1"/>
  <c r="H600" i="1" s="1"/>
  <c r="J601" i="1"/>
  <c r="H601" i="1" s="1"/>
  <c r="J602" i="1"/>
  <c r="H602" i="1" s="1"/>
  <c r="J603" i="1"/>
  <c r="H603" i="1" s="1"/>
  <c r="J604" i="1"/>
  <c r="H604" i="1" s="1"/>
  <c r="J605" i="1"/>
  <c r="H605" i="1" s="1"/>
  <c r="J606" i="1"/>
  <c r="H606" i="1" s="1"/>
  <c r="J607" i="1"/>
  <c r="H607" i="1" s="1"/>
  <c r="J608" i="1"/>
  <c r="H608" i="1" s="1"/>
  <c r="J609" i="1"/>
  <c r="H609" i="1" s="1"/>
  <c r="J610" i="1"/>
  <c r="H610" i="1" s="1"/>
  <c r="J611" i="1"/>
  <c r="H611" i="1" s="1"/>
  <c r="J612" i="1"/>
  <c r="H612" i="1" s="1"/>
  <c r="J613" i="1"/>
  <c r="H613" i="1" s="1"/>
  <c r="J614" i="1"/>
  <c r="H614" i="1" s="1"/>
  <c r="J615" i="1"/>
  <c r="H615" i="1" s="1"/>
  <c r="J616" i="1"/>
  <c r="H616" i="1" s="1"/>
  <c r="J617" i="1"/>
  <c r="H617" i="1" s="1"/>
  <c r="J618" i="1"/>
  <c r="H618" i="1" s="1"/>
  <c r="J619" i="1"/>
  <c r="H619" i="1" s="1"/>
  <c r="J620" i="1"/>
  <c r="H620" i="1" s="1"/>
  <c r="J621" i="1"/>
  <c r="H621" i="1" s="1"/>
  <c r="J622" i="1"/>
  <c r="H622" i="1" s="1"/>
  <c r="J623" i="1"/>
  <c r="H623" i="1" s="1"/>
  <c r="J624" i="1"/>
  <c r="H624" i="1" s="1"/>
  <c r="J625" i="1"/>
  <c r="H625" i="1" s="1"/>
  <c r="J626" i="1"/>
  <c r="H626" i="1" s="1"/>
  <c r="J627" i="1"/>
  <c r="H627" i="1" s="1"/>
  <c r="J628" i="1"/>
  <c r="H628" i="1" s="1"/>
  <c r="J629" i="1"/>
  <c r="H629" i="1" s="1"/>
  <c r="J630" i="1"/>
  <c r="H630" i="1" s="1"/>
  <c r="J631" i="1"/>
  <c r="H631" i="1" s="1"/>
  <c r="J632" i="1"/>
  <c r="H632" i="1" s="1"/>
  <c r="J633" i="1"/>
  <c r="H633" i="1" s="1"/>
  <c r="J634" i="1"/>
  <c r="H634" i="1" s="1"/>
  <c r="J635" i="1"/>
  <c r="H635" i="1" s="1"/>
  <c r="J636" i="1"/>
  <c r="H636" i="1" s="1"/>
  <c r="J637" i="1"/>
  <c r="H637" i="1" s="1"/>
  <c r="J638" i="1"/>
  <c r="H638" i="1" s="1"/>
  <c r="J639" i="1"/>
  <c r="H639" i="1" s="1"/>
  <c r="J640" i="1"/>
  <c r="H640" i="1" s="1"/>
  <c r="J641" i="1"/>
  <c r="H641" i="1" s="1"/>
  <c r="J642" i="1"/>
  <c r="H642" i="1" s="1"/>
  <c r="J643" i="1"/>
  <c r="H643" i="1" s="1"/>
  <c r="J644" i="1"/>
  <c r="H644" i="1" s="1"/>
  <c r="J645" i="1"/>
  <c r="H645" i="1" s="1"/>
  <c r="J646" i="1"/>
  <c r="H646" i="1" s="1"/>
  <c r="J647" i="1"/>
  <c r="H647" i="1" s="1"/>
  <c r="J648" i="1"/>
  <c r="H648" i="1" s="1"/>
  <c r="J649" i="1"/>
  <c r="H649" i="1" s="1"/>
  <c r="J650" i="1"/>
  <c r="H650" i="1" s="1"/>
  <c r="J651" i="1"/>
  <c r="H651" i="1" s="1"/>
  <c r="J652" i="1"/>
  <c r="H652" i="1" s="1"/>
  <c r="J653" i="1"/>
  <c r="H653" i="1" s="1"/>
  <c r="J654" i="1"/>
  <c r="H654" i="1" s="1"/>
  <c r="J655" i="1"/>
  <c r="H655" i="1" s="1"/>
  <c r="J656" i="1"/>
  <c r="H656" i="1" s="1"/>
  <c r="J657" i="1"/>
  <c r="H657" i="1" s="1"/>
  <c r="J658" i="1"/>
  <c r="H658" i="1" s="1"/>
  <c r="J659" i="1"/>
  <c r="H659" i="1" s="1"/>
  <c r="J660" i="1"/>
  <c r="H660" i="1" s="1"/>
  <c r="J661" i="1"/>
  <c r="H661" i="1" s="1"/>
  <c r="J662" i="1"/>
  <c r="H662" i="1" s="1"/>
  <c r="J663" i="1"/>
  <c r="H663" i="1" s="1"/>
  <c r="J664" i="1"/>
  <c r="H664" i="1" s="1"/>
  <c r="J665" i="1"/>
  <c r="H665" i="1" s="1"/>
  <c r="J666" i="1"/>
  <c r="H666" i="1" s="1"/>
  <c r="J667" i="1"/>
  <c r="H667" i="1" s="1"/>
  <c r="J668" i="1"/>
  <c r="H668" i="1" s="1"/>
  <c r="J669" i="1"/>
  <c r="H669" i="1" s="1"/>
  <c r="J670" i="1"/>
  <c r="H670" i="1" s="1"/>
  <c r="J671" i="1"/>
  <c r="H671" i="1" s="1"/>
  <c r="J672" i="1"/>
  <c r="H672" i="1" s="1"/>
  <c r="J673" i="1"/>
  <c r="H673" i="1" s="1"/>
  <c r="J674" i="1"/>
  <c r="H674" i="1" s="1"/>
  <c r="J675" i="1"/>
  <c r="H675" i="1" s="1"/>
  <c r="J676" i="1"/>
  <c r="H676" i="1" s="1"/>
  <c r="J677" i="1"/>
  <c r="H677" i="1" s="1"/>
  <c r="J678" i="1"/>
  <c r="H678" i="1" s="1"/>
  <c r="J679" i="1"/>
  <c r="H679" i="1" s="1"/>
  <c r="J680" i="1"/>
  <c r="H680" i="1" s="1"/>
  <c r="J681" i="1"/>
  <c r="H681" i="1" s="1"/>
  <c r="J682" i="1"/>
  <c r="H682" i="1" s="1"/>
  <c r="J683" i="1"/>
  <c r="H683" i="1" s="1"/>
  <c r="J684" i="1"/>
  <c r="H684" i="1" s="1"/>
  <c r="J685" i="1"/>
  <c r="H685" i="1" s="1"/>
  <c r="J686" i="1"/>
  <c r="H686" i="1" s="1"/>
  <c r="J687" i="1"/>
  <c r="H687" i="1" s="1"/>
  <c r="J688" i="1"/>
  <c r="H688" i="1" s="1"/>
  <c r="J689" i="1"/>
  <c r="H689" i="1" s="1"/>
  <c r="J690" i="1"/>
  <c r="H690" i="1" s="1"/>
  <c r="J691" i="1"/>
  <c r="H691" i="1" s="1"/>
  <c r="J692" i="1"/>
  <c r="H692" i="1" s="1"/>
  <c r="J693" i="1"/>
  <c r="H693" i="1" s="1"/>
  <c r="J694" i="1"/>
  <c r="H694" i="1" s="1"/>
  <c r="J695" i="1"/>
  <c r="H695" i="1" s="1"/>
  <c r="J696" i="1"/>
  <c r="H696" i="1" s="1"/>
  <c r="J697" i="1"/>
  <c r="H697" i="1" s="1"/>
  <c r="J698" i="1"/>
  <c r="H698" i="1" s="1"/>
  <c r="J699" i="1"/>
  <c r="H699" i="1" s="1"/>
  <c r="J700" i="1"/>
  <c r="H700" i="1" s="1"/>
  <c r="J701" i="1"/>
  <c r="H701" i="1" s="1"/>
  <c r="J702" i="1"/>
  <c r="H702" i="1" s="1"/>
  <c r="J703" i="1"/>
  <c r="H703" i="1" s="1"/>
  <c r="J704" i="1"/>
  <c r="H704" i="1" s="1"/>
  <c r="J705" i="1"/>
  <c r="H705" i="1" s="1"/>
  <c r="J706" i="1"/>
  <c r="H706" i="1" s="1"/>
  <c r="J707" i="1"/>
  <c r="H707" i="1" s="1"/>
  <c r="J708" i="1"/>
  <c r="H708" i="1" s="1"/>
  <c r="J709" i="1"/>
  <c r="H709" i="1" s="1"/>
  <c r="J710" i="1"/>
  <c r="H710" i="1" s="1"/>
  <c r="J711" i="1"/>
  <c r="H711" i="1" s="1"/>
  <c r="J712" i="1"/>
  <c r="H712" i="1" s="1"/>
  <c r="J713" i="1"/>
  <c r="H713" i="1" s="1"/>
  <c r="J714" i="1"/>
  <c r="H714" i="1" s="1"/>
  <c r="J715" i="1"/>
  <c r="H715" i="1" s="1"/>
  <c r="J716" i="1"/>
  <c r="H716" i="1" s="1"/>
  <c r="J717" i="1"/>
  <c r="H717" i="1" s="1"/>
  <c r="J718" i="1"/>
  <c r="H718" i="1" s="1"/>
  <c r="J719" i="1"/>
  <c r="H719" i="1" s="1"/>
  <c r="J720" i="1"/>
  <c r="H720" i="1" s="1"/>
  <c r="J721" i="1"/>
  <c r="H721" i="1" s="1"/>
  <c r="J722" i="1"/>
  <c r="H722" i="1" s="1"/>
  <c r="J723" i="1"/>
  <c r="H723" i="1" s="1"/>
  <c r="J724" i="1"/>
  <c r="H724" i="1" s="1"/>
  <c r="J725" i="1"/>
  <c r="H725" i="1" s="1"/>
  <c r="J726" i="1"/>
  <c r="H726" i="1" s="1"/>
  <c r="J727" i="1"/>
  <c r="H727" i="1" s="1"/>
  <c r="J728" i="1"/>
  <c r="H728" i="1" s="1"/>
  <c r="J729" i="1"/>
  <c r="H729" i="1" s="1"/>
  <c r="J730" i="1"/>
  <c r="H730" i="1" s="1"/>
  <c r="J731" i="1"/>
  <c r="H731" i="1" s="1"/>
  <c r="J732" i="1"/>
  <c r="H732" i="1" s="1"/>
  <c r="J733" i="1"/>
  <c r="H733" i="1" s="1"/>
  <c r="J734" i="1"/>
  <c r="H734" i="1" s="1"/>
  <c r="J735" i="1"/>
  <c r="H735" i="1" s="1"/>
  <c r="J736" i="1"/>
  <c r="H736" i="1" s="1"/>
  <c r="J737" i="1"/>
  <c r="H737" i="1" s="1"/>
  <c r="J738" i="1"/>
  <c r="H738" i="1" s="1"/>
  <c r="J739" i="1"/>
  <c r="H739" i="1" s="1"/>
  <c r="J740" i="1"/>
  <c r="H740" i="1" s="1"/>
  <c r="J741" i="1"/>
  <c r="H741" i="1" s="1"/>
  <c r="J742" i="1"/>
  <c r="H742" i="1" s="1"/>
  <c r="J743" i="1"/>
  <c r="H743" i="1" s="1"/>
  <c r="J744" i="1"/>
  <c r="H744" i="1" s="1"/>
  <c r="J745" i="1"/>
  <c r="H745" i="1" s="1"/>
  <c r="J746" i="1"/>
  <c r="H746" i="1" s="1"/>
  <c r="J747" i="1"/>
  <c r="H747" i="1" s="1"/>
  <c r="J748" i="1"/>
  <c r="H748" i="1" s="1"/>
  <c r="J749" i="1"/>
  <c r="H749" i="1" s="1"/>
  <c r="J750" i="1"/>
  <c r="H750" i="1" s="1"/>
  <c r="J751" i="1"/>
  <c r="H751" i="1" s="1"/>
  <c r="J752" i="1"/>
  <c r="H752" i="1" s="1"/>
  <c r="J753" i="1"/>
  <c r="H753" i="1" s="1"/>
  <c r="J754" i="1"/>
  <c r="H754" i="1" s="1"/>
  <c r="J755" i="1"/>
  <c r="H755" i="1" s="1"/>
  <c r="J756" i="1"/>
  <c r="H756" i="1" s="1"/>
  <c r="J757" i="1"/>
  <c r="H757" i="1" s="1"/>
  <c r="J758" i="1"/>
  <c r="H758" i="1" s="1"/>
  <c r="J759" i="1"/>
  <c r="H759" i="1" s="1"/>
  <c r="J760" i="1"/>
  <c r="H760" i="1" s="1"/>
  <c r="J761" i="1"/>
  <c r="H761" i="1" s="1"/>
  <c r="J762" i="1"/>
  <c r="H762" i="1" s="1"/>
  <c r="J763" i="1"/>
  <c r="H763" i="1" s="1"/>
  <c r="J764" i="1"/>
  <c r="H764" i="1" s="1"/>
  <c r="J765" i="1"/>
  <c r="H765" i="1" s="1"/>
  <c r="J766" i="1"/>
  <c r="H766" i="1" s="1"/>
  <c r="J767" i="1"/>
  <c r="H767" i="1" s="1"/>
  <c r="J768" i="1"/>
  <c r="H768" i="1" s="1"/>
  <c r="J769" i="1"/>
  <c r="H769" i="1" s="1"/>
  <c r="J770" i="1"/>
  <c r="H770" i="1" s="1"/>
  <c r="J771" i="1"/>
  <c r="H771" i="1" s="1"/>
  <c r="J772" i="1"/>
  <c r="H772" i="1" s="1"/>
  <c r="J773" i="1"/>
  <c r="H773" i="1" s="1"/>
  <c r="J774" i="1"/>
  <c r="H774" i="1" s="1"/>
  <c r="J775" i="1"/>
  <c r="H775" i="1" s="1"/>
  <c r="J776" i="1"/>
  <c r="H776" i="1" s="1"/>
  <c r="J777" i="1"/>
  <c r="H777" i="1" s="1"/>
  <c r="J778" i="1"/>
  <c r="H778" i="1" s="1"/>
  <c r="J779" i="1"/>
  <c r="H779" i="1" s="1"/>
  <c r="J780" i="1"/>
  <c r="H780" i="1" s="1"/>
  <c r="J781" i="1"/>
  <c r="H781" i="1" s="1"/>
  <c r="J782" i="1"/>
  <c r="H782" i="1" s="1"/>
  <c r="J783" i="1"/>
  <c r="H783" i="1" s="1"/>
  <c r="J784" i="1"/>
  <c r="H784" i="1" s="1"/>
  <c r="J785" i="1"/>
  <c r="H785" i="1" s="1"/>
  <c r="J786" i="1"/>
  <c r="H786" i="1" s="1"/>
  <c r="J787" i="1"/>
  <c r="H787" i="1" s="1"/>
  <c r="J788" i="1"/>
  <c r="H788" i="1" s="1"/>
  <c r="J789" i="1"/>
  <c r="H789" i="1" s="1"/>
  <c r="J790" i="1"/>
  <c r="H790" i="1" s="1"/>
  <c r="J791" i="1"/>
  <c r="H791" i="1" s="1"/>
  <c r="J792" i="1"/>
  <c r="H792" i="1" s="1"/>
  <c r="J793" i="1"/>
  <c r="H793" i="1" s="1"/>
  <c r="J794" i="1"/>
  <c r="H794" i="1" s="1"/>
  <c r="J795" i="1"/>
  <c r="H795" i="1" s="1"/>
  <c r="J796" i="1"/>
  <c r="H796" i="1" s="1"/>
  <c r="J797" i="1"/>
  <c r="H797" i="1" s="1"/>
  <c r="J798" i="1"/>
  <c r="H798" i="1" s="1"/>
  <c r="J799" i="1"/>
  <c r="H799" i="1" s="1"/>
  <c r="J800" i="1"/>
  <c r="H800" i="1" s="1"/>
  <c r="J801" i="1"/>
  <c r="H801" i="1" s="1"/>
  <c r="J802" i="1"/>
  <c r="H802" i="1" s="1"/>
  <c r="J803" i="1"/>
  <c r="H803" i="1" s="1"/>
  <c r="J804" i="1"/>
  <c r="H804" i="1" s="1"/>
  <c r="J805" i="1"/>
  <c r="H805" i="1" s="1"/>
  <c r="J806" i="1"/>
  <c r="H806" i="1" s="1"/>
  <c r="J807" i="1"/>
  <c r="H807" i="1" s="1"/>
  <c r="J808" i="1"/>
  <c r="H808" i="1" s="1"/>
  <c r="J809" i="1"/>
  <c r="H809" i="1" s="1"/>
  <c r="J810" i="1"/>
  <c r="H810" i="1" s="1"/>
  <c r="J811" i="1"/>
  <c r="H811" i="1" s="1"/>
  <c r="J812" i="1"/>
  <c r="H812" i="1" s="1"/>
  <c r="J813" i="1"/>
  <c r="H813" i="1" s="1"/>
  <c r="J814" i="1"/>
  <c r="H814" i="1" s="1"/>
  <c r="J815" i="1"/>
  <c r="H815" i="1" s="1"/>
  <c r="J816" i="1"/>
  <c r="H816" i="1" s="1"/>
  <c r="J817" i="1"/>
  <c r="H817" i="1" s="1"/>
  <c r="J818" i="1"/>
  <c r="H818" i="1" s="1"/>
  <c r="J819" i="1"/>
  <c r="H819" i="1" s="1"/>
  <c r="J820" i="1"/>
  <c r="H820" i="1" s="1"/>
  <c r="J821" i="1"/>
  <c r="H821" i="1" s="1"/>
  <c r="J822" i="1"/>
  <c r="H822" i="1" s="1"/>
  <c r="J823" i="1"/>
  <c r="H823" i="1" s="1"/>
  <c r="J824" i="1"/>
  <c r="H824" i="1" s="1"/>
  <c r="J825" i="1"/>
  <c r="H825" i="1" s="1"/>
  <c r="J826" i="1"/>
  <c r="H826" i="1" s="1"/>
  <c r="J827" i="1"/>
  <c r="H827" i="1" s="1"/>
  <c r="J828" i="1"/>
  <c r="H828" i="1" s="1"/>
  <c r="J829" i="1"/>
  <c r="H829" i="1" s="1"/>
  <c r="J830" i="1"/>
  <c r="H830" i="1" s="1"/>
  <c r="J831" i="1"/>
  <c r="H831" i="1" s="1"/>
  <c r="J832" i="1"/>
  <c r="H832" i="1" s="1"/>
  <c r="J833" i="1"/>
  <c r="H833" i="1" s="1"/>
  <c r="J834" i="1"/>
  <c r="H834" i="1" s="1"/>
  <c r="J835" i="1"/>
  <c r="H835" i="1" s="1"/>
  <c r="J836" i="1"/>
  <c r="H836" i="1" s="1"/>
  <c r="J837" i="1"/>
  <c r="H837" i="1" s="1"/>
  <c r="J838" i="1"/>
  <c r="H838" i="1" s="1"/>
  <c r="J839" i="1"/>
  <c r="H839" i="1" s="1"/>
  <c r="J840" i="1"/>
  <c r="H840" i="1" s="1"/>
  <c r="J841" i="1"/>
  <c r="H841" i="1" s="1"/>
  <c r="J842" i="1"/>
  <c r="H842" i="1" s="1"/>
  <c r="J843" i="1"/>
  <c r="H843" i="1" s="1"/>
  <c r="J844" i="1"/>
  <c r="H844" i="1" s="1"/>
  <c r="J845" i="1"/>
  <c r="H845" i="1" s="1"/>
  <c r="J846" i="1"/>
  <c r="H846" i="1" s="1"/>
  <c r="J847" i="1"/>
  <c r="H847" i="1" s="1"/>
  <c r="J848" i="1"/>
  <c r="H848" i="1" s="1"/>
  <c r="J849" i="1"/>
  <c r="H849" i="1" s="1"/>
  <c r="J850" i="1"/>
  <c r="H850" i="1" s="1"/>
  <c r="J851" i="1"/>
  <c r="H851" i="1" s="1"/>
  <c r="J852" i="1"/>
  <c r="H852" i="1" s="1"/>
  <c r="J853" i="1"/>
  <c r="H853" i="1" s="1"/>
  <c r="J854" i="1"/>
  <c r="H854" i="1" s="1"/>
  <c r="J855" i="1"/>
  <c r="H855" i="1" s="1"/>
  <c r="J856" i="1"/>
  <c r="H856" i="1" s="1"/>
  <c r="J857" i="1"/>
  <c r="H857" i="1" s="1"/>
  <c r="J858" i="1"/>
  <c r="H858" i="1" s="1"/>
  <c r="J859" i="1"/>
  <c r="H859" i="1" s="1"/>
  <c r="J860" i="1"/>
  <c r="H860" i="1" s="1"/>
  <c r="J861" i="1"/>
  <c r="H861" i="1" s="1"/>
  <c r="J862" i="1"/>
  <c r="H862" i="1" s="1"/>
  <c r="J863" i="1"/>
  <c r="H863" i="1" s="1"/>
  <c r="J864" i="1"/>
  <c r="H864" i="1" s="1"/>
  <c r="J865" i="1"/>
  <c r="H865" i="1" s="1"/>
  <c r="J866" i="1"/>
  <c r="H866" i="1" s="1"/>
  <c r="J867" i="1"/>
  <c r="H867" i="1" s="1"/>
  <c r="J868" i="1"/>
  <c r="H868" i="1" s="1"/>
  <c r="J869" i="1"/>
  <c r="H869" i="1" s="1"/>
  <c r="J870" i="1"/>
  <c r="H870" i="1" s="1"/>
  <c r="J871" i="1"/>
  <c r="H871" i="1" s="1"/>
  <c r="J872" i="1"/>
  <c r="H872" i="1" s="1"/>
  <c r="J873" i="1"/>
  <c r="H873" i="1" s="1"/>
  <c r="J874" i="1"/>
  <c r="H874" i="1" s="1"/>
  <c r="J875" i="1"/>
  <c r="H875" i="1" s="1"/>
  <c r="J876" i="1"/>
  <c r="H876" i="1" s="1"/>
  <c r="J877" i="1"/>
  <c r="H877" i="1" s="1"/>
  <c r="J878" i="1"/>
  <c r="H878" i="1" s="1"/>
  <c r="J879" i="1"/>
  <c r="H879" i="1" s="1"/>
  <c r="J880" i="1"/>
  <c r="H880" i="1" s="1"/>
  <c r="J881" i="1"/>
  <c r="H881" i="1" s="1"/>
  <c r="J882" i="1"/>
  <c r="H882" i="1" s="1"/>
  <c r="J883" i="1"/>
  <c r="H883" i="1" s="1"/>
  <c r="J884" i="1"/>
  <c r="H884" i="1" s="1"/>
  <c r="J885" i="1"/>
  <c r="H885" i="1" s="1"/>
  <c r="J886" i="1"/>
  <c r="H886" i="1" s="1"/>
  <c r="J887" i="1"/>
  <c r="H887" i="1" s="1"/>
  <c r="J888" i="1"/>
  <c r="H888" i="1" s="1"/>
  <c r="J889" i="1"/>
  <c r="H889" i="1" s="1"/>
  <c r="J890" i="1"/>
  <c r="H890" i="1" s="1"/>
  <c r="J891" i="1"/>
  <c r="H891" i="1" s="1"/>
  <c r="J892" i="1"/>
  <c r="H892" i="1" s="1"/>
  <c r="J893" i="1"/>
  <c r="H893" i="1" s="1"/>
  <c r="J894" i="1"/>
  <c r="H894" i="1" s="1"/>
  <c r="J895" i="1"/>
  <c r="H895" i="1" s="1"/>
  <c r="J896" i="1"/>
  <c r="H896" i="1" s="1"/>
  <c r="J897" i="1"/>
  <c r="H897" i="1" s="1"/>
  <c r="J898" i="1"/>
  <c r="H898" i="1" s="1"/>
  <c r="J899" i="1"/>
  <c r="H899" i="1" s="1"/>
  <c r="J900" i="1"/>
  <c r="H900" i="1" s="1"/>
  <c r="J901" i="1"/>
  <c r="H901" i="1" s="1"/>
  <c r="J902" i="1"/>
  <c r="H902" i="1" s="1"/>
  <c r="J903" i="1"/>
  <c r="H903" i="1" s="1"/>
  <c r="J904" i="1"/>
  <c r="H904" i="1" s="1"/>
  <c r="J905" i="1"/>
  <c r="H905" i="1" s="1"/>
  <c r="J906" i="1"/>
  <c r="H906" i="1" s="1"/>
  <c r="J907" i="1"/>
  <c r="H907" i="1" s="1"/>
  <c r="J908" i="1"/>
  <c r="H908" i="1" s="1"/>
  <c r="J909" i="1"/>
  <c r="H909" i="1" s="1"/>
  <c r="J910" i="1"/>
  <c r="H910" i="1" s="1"/>
  <c r="J911" i="1"/>
  <c r="H911" i="1" s="1"/>
  <c r="J912" i="1"/>
  <c r="H912" i="1" s="1"/>
  <c r="J913" i="1"/>
  <c r="H913" i="1" s="1"/>
  <c r="J914" i="1"/>
  <c r="H914" i="1" s="1"/>
  <c r="J915" i="1"/>
  <c r="H915" i="1" s="1"/>
  <c r="J916" i="1"/>
  <c r="H916" i="1" s="1"/>
  <c r="J917" i="1"/>
  <c r="H917" i="1" s="1"/>
  <c r="J918" i="1"/>
  <c r="H918" i="1" s="1"/>
  <c r="J919" i="1"/>
  <c r="H919" i="1" s="1"/>
  <c r="J920" i="1"/>
  <c r="H920" i="1" s="1"/>
  <c r="J921" i="1"/>
  <c r="H921" i="1" s="1"/>
  <c r="J922" i="1"/>
  <c r="H922" i="1" s="1"/>
  <c r="J923" i="1"/>
  <c r="H923" i="1" s="1"/>
  <c r="J924" i="1"/>
  <c r="H924" i="1" s="1"/>
  <c r="J925" i="1"/>
  <c r="H925" i="1" s="1"/>
  <c r="J926" i="1"/>
  <c r="H926" i="1" s="1"/>
  <c r="J927" i="1"/>
  <c r="H927" i="1" s="1"/>
  <c r="J928" i="1"/>
  <c r="H928" i="1" s="1"/>
  <c r="J929" i="1"/>
  <c r="H929" i="1" s="1"/>
  <c r="J930" i="1"/>
  <c r="H930" i="1" s="1"/>
  <c r="J931" i="1"/>
  <c r="H931" i="1" s="1"/>
  <c r="J932" i="1"/>
  <c r="H932" i="1" s="1"/>
  <c r="J933" i="1"/>
  <c r="H933" i="1" s="1"/>
  <c r="J934" i="1"/>
  <c r="H934" i="1" s="1"/>
  <c r="J935" i="1"/>
  <c r="H935" i="1" s="1"/>
  <c r="J936" i="1"/>
  <c r="H936" i="1" s="1"/>
  <c r="J937" i="1"/>
  <c r="H937" i="1" s="1"/>
  <c r="J938" i="1"/>
  <c r="H938" i="1" s="1"/>
  <c r="J939" i="1"/>
  <c r="H939" i="1" s="1"/>
  <c r="J940" i="1"/>
  <c r="H940" i="1" s="1"/>
  <c r="J941" i="1"/>
  <c r="H941" i="1" s="1"/>
  <c r="J942" i="1"/>
  <c r="H942" i="1" s="1"/>
  <c r="J943" i="1"/>
  <c r="H943" i="1" s="1"/>
  <c r="J944" i="1"/>
  <c r="H944" i="1" s="1"/>
  <c r="J945" i="1"/>
  <c r="H945" i="1" s="1"/>
  <c r="J946" i="1"/>
  <c r="H946" i="1" s="1"/>
  <c r="J947" i="1"/>
  <c r="H947" i="1" s="1"/>
  <c r="J948" i="1"/>
  <c r="H948" i="1" s="1"/>
  <c r="J949" i="1"/>
  <c r="H949" i="1" s="1"/>
  <c r="J950" i="1"/>
  <c r="H950" i="1" s="1"/>
  <c r="J951" i="1"/>
  <c r="H951" i="1" s="1"/>
  <c r="J952" i="1"/>
  <c r="H952" i="1" s="1"/>
  <c r="J953" i="1"/>
  <c r="H953" i="1" s="1"/>
  <c r="J954" i="1"/>
  <c r="H954" i="1" s="1"/>
  <c r="J955" i="1"/>
  <c r="H955" i="1" s="1"/>
  <c r="J956" i="1"/>
  <c r="H956" i="1" s="1"/>
  <c r="J957" i="1"/>
  <c r="H957" i="1" s="1"/>
  <c r="J958" i="1"/>
  <c r="H958" i="1" s="1"/>
  <c r="J959" i="1"/>
  <c r="H959" i="1" s="1"/>
  <c r="J960" i="1"/>
  <c r="H960" i="1" s="1"/>
  <c r="J961" i="1"/>
  <c r="H961" i="1" s="1"/>
  <c r="J962" i="1"/>
  <c r="H962" i="1" s="1"/>
  <c r="J963" i="1"/>
  <c r="H963" i="1" s="1"/>
  <c r="J964" i="1"/>
  <c r="H964" i="1" s="1"/>
  <c r="J965" i="1"/>
  <c r="H965" i="1" s="1"/>
  <c r="J966" i="1"/>
  <c r="H966" i="1" s="1"/>
  <c r="J967" i="1"/>
  <c r="H967" i="1" s="1"/>
  <c r="J968" i="1"/>
  <c r="H968" i="1" s="1"/>
  <c r="J969" i="1"/>
  <c r="H969" i="1" s="1"/>
  <c r="J970" i="1"/>
  <c r="H970" i="1" s="1"/>
  <c r="J971" i="1"/>
  <c r="H971" i="1" s="1"/>
  <c r="J972" i="1"/>
  <c r="H972" i="1" s="1"/>
  <c r="J973" i="1"/>
  <c r="H973" i="1" s="1"/>
  <c r="J974" i="1"/>
  <c r="H974" i="1" s="1"/>
  <c r="J975" i="1"/>
  <c r="H975" i="1" s="1"/>
  <c r="J976" i="1"/>
  <c r="H976" i="1" s="1"/>
  <c r="J977" i="1"/>
  <c r="H977" i="1" s="1"/>
  <c r="J978" i="1"/>
  <c r="H978" i="1" s="1"/>
  <c r="J979" i="1"/>
  <c r="H979" i="1" s="1"/>
  <c r="J980" i="1"/>
  <c r="H980" i="1" s="1"/>
  <c r="J981" i="1"/>
  <c r="H981" i="1" s="1"/>
  <c r="J982" i="1"/>
  <c r="H982" i="1" s="1"/>
  <c r="J983" i="1"/>
  <c r="H983" i="1" s="1"/>
  <c r="J984" i="1"/>
  <c r="H984" i="1" s="1"/>
  <c r="J985" i="1"/>
  <c r="H985" i="1" s="1"/>
  <c r="J986" i="1"/>
  <c r="H986" i="1" s="1"/>
  <c r="J987" i="1"/>
  <c r="H987" i="1" s="1"/>
  <c r="J988" i="1"/>
  <c r="H988" i="1" s="1"/>
  <c r="J989" i="1"/>
  <c r="H989" i="1" s="1"/>
  <c r="J990" i="1"/>
  <c r="H990" i="1" s="1"/>
  <c r="J991" i="1"/>
  <c r="H991" i="1" s="1"/>
  <c r="J992" i="1"/>
  <c r="H992" i="1" s="1"/>
  <c r="J993" i="1"/>
  <c r="H993" i="1" s="1"/>
  <c r="J994" i="1"/>
  <c r="H994" i="1" s="1"/>
  <c r="J995" i="1"/>
  <c r="H995" i="1" s="1"/>
  <c r="J996" i="1"/>
  <c r="H996" i="1" s="1"/>
  <c r="J997" i="1"/>
  <c r="H997" i="1" s="1"/>
  <c r="J998" i="1"/>
  <c r="H998" i="1" s="1"/>
  <c r="J999" i="1"/>
  <c r="H999" i="1" s="1"/>
  <c r="J1000" i="1"/>
  <c r="H1000" i="1" s="1"/>
  <c r="J1001" i="1"/>
  <c r="H1001" i="1" s="1"/>
  <c r="J1002" i="1"/>
  <c r="H1002" i="1" s="1"/>
  <c r="J1003" i="1"/>
  <c r="H1003" i="1" s="1"/>
  <c r="J1004" i="1"/>
  <c r="H1004" i="1" s="1"/>
  <c r="J1005" i="1"/>
  <c r="H1005" i="1" s="1"/>
  <c r="J1006" i="1"/>
  <c r="H1006" i="1" s="1"/>
  <c r="J1007" i="1"/>
  <c r="H1007" i="1" s="1"/>
  <c r="J1008" i="1"/>
  <c r="H1008" i="1" s="1"/>
  <c r="J1009" i="1"/>
  <c r="H1009" i="1" s="1"/>
  <c r="J1010" i="1"/>
  <c r="H1010" i="1" s="1"/>
  <c r="J1011" i="1"/>
  <c r="H1011" i="1" s="1"/>
  <c r="J1012" i="1"/>
  <c r="H1012" i="1" s="1"/>
  <c r="J1013" i="1"/>
  <c r="H1013" i="1" s="1"/>
  <c r="J1014" i="1"/>
  <c r="H1014" i="1" s="1"/>
  <c r="J1015" i="1"/>
  <c r="H1015" i="1" s="1"/>
  <c r="J1016" i="1"/>
  <c r="H1016" i="1" s="1"/>
  <c r="J1017" i="1"/>
  <c r="H1017" i="1" s="1"/>
  <c r="J1018" i="1"/>
  <c r="H1018" i="1" s="1"/>
  <c r="J1019" i="1"/>
  <c r="H1019" i="1" s="1"/>
  <c r="J1020" i="1"/>
  <c r="H1020" i="1" s="1"/>
  <c r="J1021" i="1"/>
  <c r="H1021" i="1" s="1"/>
  <c r="J1022" i="1"/>
  <c r="H1022" i="1" s="1"/>
  <c r="J1023" i="1"/>
  <c r="H1023" i="1" s="1"/>
  <c r="J1024" i="1"/>
  <c r="H1024" i="1" s="1"/>
  <c r="J1025" i="1"/>
  <c r="H1025" i="1" s="1"/>
  <c r="J1026" i="1"/>
  <c r="H1026" i="1" s="1"/>
  <c r="J1027" i="1"/>
  <c r="H1027" i="1" s="1"/>
  <c r="J1028" i="1"/>
  <c r="H1028" i="1" s="1"/>
  <c r="J1029" i="1"/>
  <c r="H1029" i="1" s="1"/>
  <c r="J1030" i="1"/>
  <c r="H1030" i="1" s="1"/>
  <c r="J1031" i="1"/>
  <c r="H1031" i="1" s="1"/>
  <c r="J1032" i="1"/>
  <c r="H1032" i="1" s="1"/>
  <c r="J1033" i="1"/>
  <c r="H1033" i="1" s="1"/>
  <c r="J1034" i="1"/>
  <c r="H1034" i="1" s="1"/>
  <c r="J1035" i="1"/>
  <c r="H1035" i="1" s="1"/>
  <c r="J1036" i="1"/>
  <c r="H1036" i="1" s="1"/>
  <c r="J1037" i="1"/>
  <c r="H1037" i="1" s="1"/>
  <c r="J1038" i="1"/>
  <c r="H1038" i="1" s="1"/>
  <c r="J1039" i="1"/>
  <c r="H1039" i="1" s="1"/>
  <c r="J1040" i="1"/>
  <c r="H1040" i="1" s="1"/>
  <c r="J1041" i="1"/>
  <c r="H1041" i="1" s="1"/>
  <c r="J1042" i="1"/>
  <c r="H1042" i="1" s="1"/>
  <c r="J1043" i="1"/>
  <c r="H1043" i="1" s="1"/>
  <c r="J1044" i="1"/>
  <c r="H1044" i="1" s="1"/>
  <c r="J1045" i="1"/>
  <c r="H1045" i="1" s="1"/>
  <c r="J1046" i="1"/>
  <c r="H1046" i="1" s="1"/>
  <c r="J1047" i="1"/>
  <c r="H1047" i="1" s="1"/>
  <c r="J1048" i="1"/>
  <c r="H1048" i="1" s="1"/>
  <c r="J1049" i="1"/>
  <c r="H1049" i="1" s="1"/>
  <c r="J1050" i="1"/>
  <c r="H1050" i="1" s="1"/>
  <c r="J1051" i="1"/>
  <c r="H1051" i="1" s="1"/>
  <c r="J1052" i="1"/>
  <c r="H1052" i="1" s="1"/>
  <c r="J1053" i="1"/>
  <c r="H1053" i="1" s="1"/>
  <c r="J1054" i="1"/>
  <c r="H1054" i="1" s="1"/>
  <c r="J1055" i="1"/>
  <c r="H1055" i="1" s="1"/>
  <c r="J1056" i="1"/>
  <c r="H1056" i="1" s="1"/>
  <c r="J1057" i="1"/>
  <c r="H1057" i="1" s="1"/>
  <c r="J1058" i="1"/>
  <c r="H1058" i="1" s="1"/>
  <c r="J1059" i="1"/>
  <c r="H1059" i="1" s="1"/>
  <c r="J1060" i="1"/>
  <c r="H1060" i="1" s="1"/>
  <c r="J1061" i="1"/>
  <c r="H1061" i="1" s="1"/>
  <c r="J1062" i="1"/>
  <c r="H1062" i="1" s="1"/>
  <c r="J1063" i="1"/>
  <c r="H1063" i="1" s="1"/>
  <c r="J1064" i="1"/>
  <c r="H1064" i="1" s="1"/>
  <c r="J1065" i="1"/>
  <c r="H1065" i="1" s="1"/>
  <c r="J1066" i="1"/>
  <c r="H1066" i="1" s="1"/>
  <c r="J1067" i="1"/>
  <c r="H1067" i="1" s="1"/>
  <c r="J1068" i="1"/>
  <c r="H1068" i="1" s="1"/>
  <c r="J1069" i="1"/>
  <c r="H1069" i="1" s="1"/>
  <c r="J1070" i="1"/>
  <c r="H1070" i="1" s="1"/>
  <c r="J1071" i="1"/>
  <c r="H1071" i="1" s="1"/>
  <c r="J1072" i="1"/>
  <c r="H1072" i="1" s="1"/>
  <c r="J1073" i="1"/>
  <c r="H1073" i="1" s="1"/>
  <c r="J1074" i="1"/>
  <c r="H1074" i="1" s="1"/>
  <c r="J1075" i="1"/>
  <c r="H1075" i="1" s="1"/>
  <c r="J1076" i="1"/>
  <c r="H1076" i="1" s="1"/>
  <c r="J1077" i="1"/>
  <c r="H1077" i="1" s="1"/>
  <c r="J1078" i="1"/>
  <c r="H1078" i="1" s="1"/>
  <c r="J1079" i="1"/>
  <c r="H1079" i="1" s="1"/>
  <c r="J1080" i="1"/>
  <c r="H1080" i="1" s="1"/>
  <c r="J1081" i="1"/>
  <c r="H1081" i="1" s="1"/>
  <c r="J1082" i="1"/>
  <c r="H1082" i="1" s="1"/>
  <c r="J1083" i="1"/>
  <c r="H1083" i="1" s="1"/>
  <c r="J1084" i="1"/>
  <c r="H1084" i="1" s="1"/>
  <c r="J1085" i="1"/>
  <c r="H1085" i="1" s="1"/>
  <c r="J1086" i="1"/>
  <c r="H1086" i="1" s="1"/>
  <c r="J1087" i="1"/>
  <c r="H1087" i="1" s="1"/>
  <c r="J2" i="1"/>
  <c r="H2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<sst xmlns="http://schemas.openxmlformats.org/spreadsheetml/2006/main" count="17841" uniqueCount="4062">
  <si>
    <t>HRD_CRD</t>
  </si>
  <si>
    <t>OC_TOR</t>
  </si>
  <si>
    <t>SupplyOrderId</t>
  </si>
  <si>
    <t>StandardResourceId</t>
  </si>
  <si>
    <t>CoolingTime</t>
  </si>
  <si>
    <t>PreprocessingTime</t>
  </si>
  <si>
    <t>ProductionCapacity</t>
  </si>
  <si>
    <t>ProductionTime</t>
  </si>
  <si>
    <t>TransportTime</t>
  </si>
  <si>
    <t>FWO-056422</t>
  </si>
  <si>
    <t>FWO-056425</t>
  </si>
  <si>
    <t>FWO-056428</t>
  </si>
  <si>
    <t>FWO-056430</t>
  </si>
  <si>
    <t>FWO-056465</t>
  </si>
  <si>
    <t>FWO-056467</t>
  </si>
  <si>
    <t>FWO-056865</t>
  </si>
  <si>
    <t>FWO-057079</t>
  </si>
  <si>
    <t>FWO-057082</t>
  </si>
  <si>
    <t>FWO-057085</t>
  </si>
  <si>
    <t>FWO-057088</t>
  </si>
  <si>
    <t>FWO-057091</t>
  </si>
  <si>
    <t>FWO-057095</t>
  </si>
  <si>
    <t>FWO-057097</t>
  </si>
  <si>
    <t>FWO-057100</t>
  </si>
  <si>
    <t>FWO-057103</t>
  </si>
  <si>
    <t>FWO-057106</t>
  </si>
  <si>
    <t>FWO-057109</t>
  </si>
  <si>
    <t>FWO-057112</t>
  </si>
  <si>
    <t>FWO-057115</t>
  </si>
  <si>
    <t>FWO-057118</t>
  </si>
  <si>
    <t>FWO-057121</t>
  </si>
  <si>
    <t>FWO-057124</t>
  </si>
  <si>
    <t>FWO-057127</t>
  </si>
  <si>
    <t>FWO-057130</t>
  </si>
  <si>
    <t>FWO-057133</t>
  </si>
  <si>
    <t>FWO-057135</t>
  </si>
  <si>
    <t>FWO-057137</t>
  </si>
  <si>
    <t>FWO-057139</t>
  </si>
  <si>
    <t>FWO-057142</t>
  </si>
  <si>
    <t>FWO-057144</t>
  </si>
  <si>
    <t>FWO-057146</t>
  </si>
  <si>
    <t>FWO-057152</t>
  </si>
  <si>
    <t>FWO-057157</t>
  </si>
  <si>
    <t>FWO-057159</t>
  </si>
  <si>
    <t>FWO-057162</t>
  </si>
  <si>
    <t>FWO-057164</t>
  </si>
  <si>
    <t>FWO-057166</t>
  </si>
  <si>
    <t>FWO-057172</t>
  </si>
  <si>
    <t>FWO-057191</t>
  </si>
  <si>
    <t>FWO-057193</t>
  </si>
  <si>
    <t>FWO-057198</t>
  </si>
  <si>
    <t>FWO-057203</t>
  </si>
  <si>
    <t>FWO-057221</t>
  </si>
  <si>
    <t>FWO-057225</t>
  </si>
  <si>
    <t>FWO-057230</t>
  </si>
  <si>
    <t>FWO-057236</t>
  </si>
  <si>
    <t>FWO-057238</t>
  </si>
  <si>
    <t>FWO-057240</t>
  </si>
  <si>
    <t>FWO-057245</t>
  </si>
  <si>
    <t>FWO-057247</t>
  </si>
  <si>
    <t>FWO-057249</t>
  </si>
  <si>
    <t>FWO-057260</t>
  </si>
  <si>
    <t>FWO-057262</t>
  </si>
  <si>
    <t>FWO-057270</t>
  </si>
  <si>
    <t>FWO-057284</t>
  </si>
  <si>
    <t>FWO-057286</t>
  </si>
  <si>
    <t>FWO-057288</t>
  </si>
  <si>
    <t>FWO-057290</t>
  </si>
  <si>
    <t>FWO-057293</t>
  </si>
  <si>
    <t>FWO-057296</t>
  </si>
  <si>
    <t>FWO-057298</t>
  </si>
  <si>
    <t>FWO-057301</t>
  </si>
  <si>
    <t>FWO-057305</t>
  </si>
  <si>
    <t>FWO-057307</t>
  </si>
  <si>
    <t>FWO-057309</t>
  </si>
  <si>
    <t>FWO-057313</t>
  </si>
  <si>
    <t>FWO-057322</t>
  </si>
  <si>
    <t>FWO-057325</t>
  </si>
  <si>
    <t>FWO-057327</t>
  </si>
  <si>
    <t>FWO-057329</t>
  </si>
  <si>
    <t>FWO-057336</t>
  </si>
  <si>
    <t>FWO-057338</t>
  </si>
  <si>
    <t>FWO-057340</t>
  </si>
  <si>
    <t>FWO-057343</t>
  </si>
  <si>
    <t>FWO-057345</t>
  </si>
  <si>
    <t>FWO-057356</t>
  </si>
  <si>
    <t>FWO-057375</t>
  </si>
  <si>
    <t>FWO-057377</t>
  </si>
  <si>
    <t>FWO-057387</t>
  </si>
  <si>
    <t>FWO-057414</t>
  </si>
  <si>
    <t>FWO-057416</t>
  </si>
  <si>
    <t>FWO-057423</t>
  </si>
  <si>
    <t>FWO-057427</t>
  </si>
  <si>
    <t>FWO-057440</t>
  </si>
  <si>
    <t>FWO-057442</t>
  </si>
  <si>
    <t>FWO-057444</t>
  </si>
  <si>
    <t>FWO-057447</t>
  </si>
  <si>
    <t>FWO-057450</t>
  </si>
  <si>
    <t>FWO-057452</t>
  </si>
  <si>
    <t>FWO-057455</t>
  </si>
  <si>
    <t>FWO-057457</t>
  </si>
  <si>
    <t>FWO-057464</t>
  </si>
  <si>
    <t>FWO-057468</t>
  </si>
  <si>
    <t>FWO-057470</t>
  </si>
  <si>
    <t>FWO-057492</t>
  </si>
  <si>
    <t>FWO-057506</t>
  </si>
  <si>
    <t>FWO-057510</t>
  </si>
  <si>
    <t>FWO-057516</t>
  </si>
  <si>
    <t>FWO-057519</t>
  </si>
  <si>
    <t>FWO-057531</t>
  </si>
  <si>
    <t>FWO-057533</t>
  </si>
  <si>
    <t>FWO-057535</t>
  </si>
  <si>
    <t>FWO-057538</t>
  </si>
  <si>
    <t>FWO-057550</t>
  </si>
  <si>
    <t>FWO-057554</t>
  </si>
  <si>
    <t>FWO-057560</t>
  </si>
  <si>
    <t>FWO-057562</t>
  </si>
  <si>
    <t>FWO-057568</t>
  </si>
  <si>
    <t>FWO-057571</t>
  </si>
  <si>
    <t>FWO-057573</t>
  </si>
  <si>
    <t>FWO-057578</t>
  </si>
  <si>
    <t>FWO-057595</t>
  </si>
  <si>
    <t>FWO-057597</t>
  </si>
  <si>
    <t>FWO-057600</t>
  </si>
  <si>
    <t>FWO-057604</t>
  </si>
  <si>
    <t>FWO-057615</t>
  </si>
  <si>
    <t>FWO-057624</t>
  </si>
  <si>
    <t>FWO-057632</t>
  </si>
  <si>
    <t>FWO-057638</t>
  </si>
  <si>
    <t>FWO-057640</t>
  </si>
  <si>
    <t>FWO-057643</t>
  </si>
  <si>
    <t>FWO-057645</t>
  </si>
  <si>
    <t>FWO-057647</t>
  </si>
  <si>
    <t>FWO-057649</t>
  </si>
  <si>
    <t>FWO-057651</t>
  </si>
  <si>
    <t>FWO-057658</t>
  </si>
  <si>
    <t>FWO-057660</t>
  </si>
  <si>
    <t>FWO-057676</t>
  </si>
  <si>
    <t>FWO-057680</t>
  </si>
  <si>
    <t>FWO-057685</t>
  </si>
  <si>
    <t>FWO-057690</t>
  </si>
  <si>
    <t>FWO-057693</t>
  </si>
  <si>
    <t>FWO-057698</t>
  </si>
  <si>
    <t>FWO-057730</t>
  </si>
  <si>
    <t>FWO-057732</t>
  </si>
  <si>
    <t>FWO-057742</t>
  </si>
  <si>
    <t>FWO-057755</t>
  </si>
  <si>
    <t>FWO-057757</t>
  </si>
  <si>
    <t>FWO-057764</t>
  </si>
  <si>
    <t>FWO-057777</t>
  </si>
  <si>
    <t>FWO-057784</t>
  </si>
  <si>
    <t>FWO-057786</t>
  </si>
  <si>
    <t>FWO-057788</t>
  </si>
  <si>
    <t>FWO-057791</t>
  </si>
  <si>
    <t>FWO-057796</t>
  </si>
  <si>
    <t>FWO-057824</t>
  </si>
  <si>
    <t>FWO-057850</t>
  </si>
  <si>
    <t>FWO-057861</t>
  </si>
  <si>
    <t>FWO-057863</t>
  </si>
  <si>
    <t>FWO-057865</t>
  </si>
  <si>
    <t>FWO-057884</t>
  </si>
  <si>
    <t>FWO-057886</t>
  </si>
  <si>
    <t>FWO-057894</t>
  </si>
  <si>
    <t>FWO-057896</t>
  </si>
  <si>
    <t>FWO-057902</t>
  </si>
  <si>
    <t>FWO-057906</t>
  </si>
  <si>
    <t>FWO-057910</t>
  </si>
  <si>
    <t>FWO-057917</t>
  </si>
  <si>
    <t>FWO-057925</t>
  </si>
  <si>
    <t>FWO-057946</t>
  </si>
  <si>
    <t>FWO-057949</t>
  </si>
  <si>
    <t>FWO-057987</t>
  </si>
  <si>
    <t>FWO-057989</t>
  </si>
  <si>
    <t>FWO-057991</t>
  </si>
  <si>
    <t>FWO-057993</t>
  </si>
  <si>
    <t>FWO-057997</t>
  </si>
  <si>
    <t>FWO-058000</t>
  </si>
  <si>
    <t>FWO-058003</t>
  </si>
  <si>
    <t>FWO-058006</t>
  </si>
  <si>
    <t>FWO-058009</t>
  </si>
  <si>
    <t>FWO-058012</t>
  </si>
  <si>
    <t>FWO-058015</t>
  </si>
  <si>
    <t>FWO-058027</t>
  </si>
  <si>
    <t>FWO-058033</t>
  </si>
  <si>
    <t>FWO-058049</t>
  </si>
  <si>
    <t>FWO-058055</t>
  </si>
  <si>
    <t>FWO-058058</t>
  </si>
  <si>
    <t>FWO-058060</t>
  </si>
  <si>
    <t>FWO-058078</t>
  </si>
  <si>
    <t>FWO-058080</t>
  </si>
  <si>
    <t>FWO-058095</t>
  </si>
  <si>
    <t>FWO-058098</t>
  </si>
  <si>
    <t>FWO-058100</t>
  </si>
  <si>
    <t>FWO-058102</t>
  </si>
  <si>
    <t>FWO-058114</t>
  </si>
  <si>
    <t>FWO-058132</t>
  </si>
  <si>
    <t>FWO-058135</t>
  </si>
  <si>
    <t>FWO-058150</t>
  </si>
  <si>
    <t>FWO-058168</t>
  </si>
  <si>
    <t>FWO-058175</t>
  </si>
  <si>
    <t>FWO-058178</t>
  </si>
  <si>
    <t>FWO-058188</t>
  </si>
  <si>
    <t>FWO-058191</t>
  </si>
  <si>
    <t>FWO-058195</t>
  </si>
  <si>
    <t>FWO-058198</t>
  </si>
  <si>
    <t>FWO-058213</t>
  </si>
  <si>
    <t>FWO-058220</t>
  </si>
  <si>
    <t>FWO-058226</t>
  </si>
  <si>
    <t>FWO-058229</t>
  </si>
  <si>
    <t>FWO-058232</t>
  </si>
  <si>
    <t>FWO-058247</t>
  </si>
  <si>
    <t>FWO-058253</t>
  </si>
  <si>
    <t>FWO-058255</t>
  </si>
  <si>
    <t>FWO-058262</t>
  </si>
  <si>
    <t>FWO-058274</t>
  </si>
  <si>
    <t>FWO-058278</t>
  </si>
  <si>
    <t>FWO-058296</t>
  </si>
  <si>
    <t>FWO-058298</t>
  </si>
  <si>
    <t>FWO-058313</t>
  </si>
  <si>
    <t>FWO-058320</t>
  </si>
  <si>
    <t>FWO-058329</t>
  </si>
  <si>
    <t>FWO-058331</t>
  </si>
  <si>
    <t>FWO-058334</t>
  </si>
  <si>
    <t>FWO-058336</t>
  </si>
  <si>
    <t>FWO-058338</t>
  </si>
  <si>
    <t>FWO-058368</t>
  </si>
  <si>
    <t>FWO-058372</t>
  </si>
  <si>
    <t>FWO-058374</t>
  </si>
  <si>
    <t>FWO-058376</t>
  </si>
  <si>
    <t>FWO-058379</t>
  </si>
  <si>
    <t>FWO-058382</t>
  </si>
  <si>
    <t>FWO-058384</t>
  </si>
  <si>
    <t>FWO-058386</t>
  </si>
  <si>
    <t>FWO-058388</t>
  </si>
  <si>
    <t>FWO-058418</t>
  </si>
  <si>
    <t>FWO-058420</t>
  </si>
  <si>
    <t>FWO-058433</t>
  </si>
  <si>
    <t>FWO-058435</t>
  </si>
  <si>
    <t>FWO-058439</t>
  </si>
  <si>
    <t>FWO-058666</t>
  </si>
  <si>
    <t>FWO-058668</t>
  </si>
  <si>
    <t>FWO-058672</t>
  </si>
  <si>
    <t>FWO-058675</t>
  </si>
  <si>
    <t>FWO-058678</t>
  </si>
  <si>
    <t>FWO-058680</t>
  </si>
  <si>
    <t>FWO-058683</t>
  </si>
  <si>
    <t>FWO-058686</t>
  </si>
  <si>
    <t>FWO-058688</t>
  </si>
  <si>
    <t>FWO-058690</t>
  </si>
  <si>
    <t>FWO-058693</t>
  </si>
  <si>
    <t>FWO-058695</t>
  </si>
  <si>
    <t>FWO-058697</t>
  </si>
  <si>
    <t>FWO-058699</t>
  </si>
  <si>
    <t>FWO-058702</t>
  </si>
  <si>
    <t>FWO-058705</t>
  </si>
  <si>
    <t>FWO-058708</t>
  </si>
  <si>
    <t>FWO-058711</t>
  </si>
  <si>
    <t>FWO-058714</t>
  </si>
  <si>
    <t>FWO-058717</t>
  </si>
  <si>
    <t>FWO-058720</t>
  </si>
  <si>
    <t>FWO-058723</t>
  </si>
  <si>
    <t>FWO-058725</t>
  </si>
  <si>
    <t>FWO-058727</t>
  </si>
  <si>
    <t>FWO-058729</t>
  </si>
  <si>
    <t>FWO-058732</t>
  </si>
  <si>
    <t>FWO-058743</t>
  </si>
  <si>
    <t>FWO-058745</t>
  </si>
  <si>
    <t>FWO-058752</t>
  </si>
  <si>
    <t>FWO-058756</t>
  </si>
  <si>
    <t>FWO-058771</t>
  </si>
  <si>
    <t>FWO-058773</t>
  </si>
  <si>
    <t>FWO-058775</t>
  </si>
  <si>
    <t>FWO-058777</t>
  </si>
  <si>
    <t>FWO-058779</t>
  </si>
  <si>
    <t>FWO-058782</t>
  </si>
  <si>
    <t>FWO-058793</t>
  </si>
  <si>
    <t>FWO-058795</t>
  </si>
  <si>
    <t>FWO-058798</t>
  </si>
  <si>
    <t>FWO-058800</t>
  </si>
  <si>
    <t>FWO-058809</t>
  </si>
  <si>
    <t>FWO-058823</t>
  </si>
  <si>
    <t>FWO-058829</t>
  </si>
  <si>
    <t>FWO-058847</t>
  </si>
  <si>
    <t>FWO-058849</t>
  </si>
  <si>
    <t>FWO-058851</t>
  </si>
  <si>
    <t>FWO-058853</t>
  </si>
  <si>
    <t>FWO-058855</t>
  </si>
  <si>
    <t>FWO-058859</t>
  </si>
  <si>
    <t>FWO-058863</t>
  </si>
  <si>
    <t>FWO-058867</t>
  </si>
  <si>
    <t>FWO-058869</t>
  </si>
  <si>
    <t>FWO-058871</t>
  </si>
  <si>
    <t>FWO-058875</t>
  </si>
  <si>
    <t>FWO-058877</t>
  </si>
  <si>
    <t>FWO-058880</t>
  </si>
  <si>
    <t>FWO-058882</t>
  </si>
  <si>
    <t>FWO-058886</t>
  </si>
  <si>
    <t>FWO-058888</t>
  </si>
  <si>
    <t>FWO-058893</t>
  </si>
  <si>
    <t>FWO-058896</t>
  </si>
  <si>
    <t>FWO-058898</t>
  </si>
  <si>
    <t>FWO-058904</t>
  </si>
  <si>
    <t>FWO-058908</t>
  </si>
  <si>
    <t>FWO-058910</t>
  </si>
  <si>
    <t>FWO-058913</t>
  </si>
  <si>
    <t>FWO-058915</t>
  </si>
  <si>
    <t>FWO-058921</t>
  </si>
  <si>
    <t>FWO-058931</t>
  </si>
  <si>
    <t>FWO-058933</t>
  </si>
  <si>
    <t>FWO-058935</t>
  </si>
  <si>
    <t>FWO-058947</t>
  </si>
  <si>
    <t>FWO-058949</t>
  </si>
  <si>
    <t>FWO-058953</t>
  </si>
  <si>
    <t>FWO-058957</t>
  </si>
  <si>
    <t>FWO-058959</t>
  </si>
  <si>
    <t>FWO-058973</t>
  </si>
  <si>
    <t>FWO-058975</t>
  </si>
  <si>
    <t>FWO-058977</t>
  </si>
  <si>
    <t>FWO-058979</t>
  </si>
  <si>
    <t>FWO-058983</t>
  </si>
  <si>
    <t>FWO-058988</t>
  </si>
  <si>
    <t>FWO-058992</t>
  </si>
  <si>
    <t>FWO-059076</t>
  </si>
  <si>
    <t>FWO-059096</t>
  </si>
  <si>
    <t>FWO-059098</t>
  </si>
  <si>
    <t>FWO-059109</t>
  </si>
  <si>
    <t>FWO-059112</t>
  </si>
  <si>
    <t>FWO-059114</t>
  </si>
  <si>
    <t>FWO-059117</t>
  </si>
  <si>
    <t>FWO-059119</t>
  </si>
  <si>
    <t>FWO-059123</t>
  </si>
  <si>
    <t>FWO-059126</t>
  </si>
  <si>
    <t>FWO-059130</t>
  </si>
  <si>
    <t>FWO-059132</t>
  </si>
  <si>
    <t>FWO-059136</t>
  </si>
  <si>
    <t>FWO-059140</t>
  </si>
  <si>
    <t>FWO-059143</t>
  </si>
  <si>
    <t>FWO-059158</t>
  </si>
  <si>
    <t>FWO-059161</t>
  </si>
  <si>
    <t>FWO-059188</t>
  </si>
  <si>
    <t>FWO-059192</t>
  </si>
  <si>
    <t>FWO-059194</t>
  </si>
  <si>
    <t>FWO-059209</t>
  </si>
  <si>
    <t>FWO-059211</t>
  </si>
  <si>
    <t>FWO-059217</t>
  </si>
  <si>
    <t>FWO-059236</t>
  </si>
  <si>
    <t>FWO-059238</t>
  </si>
  <si>
    <t>FWO-059240</t>
  </si>
  <si>
    <t>FWO-059322</t>
  </si>
  <si>
    <t>FWO-059332</t>
  </si>
  <si>
    <t>FWO-059352</t>
  </si>
  <si>
    <t>FWO-059391</t>
  </si>
  <si>
    <t>FWO-059398</t>
  </si>
  <si>
    <t>FWO-059402</t>
  </si>
  <si>
    <t>FWO-059410</t>
  </si>
  <si>
    <t>FWO-059434</t>
  </si>
  <si>
    <t>FWO-059442</t>
  </si>
  <si>
    <t>FWO-059451</t>
  </si>
  <si>
    <t>FWO-059456</t>
  </si>
  <si>
    <t>FWO-059469</t>
  </si>
  <si>
    <t>FWO-059471</t>
  </si>
  <si>
    <t>FWO-059473</t>
  </si>
  <si>
    <t>FWO-059489</t>
  </si>
  <si>
    <t>FWO-059498</t>
  </si>
  <si>
    <t>FWO-059500</t>
  </si>
  <si>
    <t>FWO-059502</t>
  </si>
  <si>
    <t>FWO-059520</t>
  </si>
  <si>
    <t>FWO-059534</t>
  </si>
  <si>
    <t>FWO-059536</t>
  </si>
  <si>
    <t>FWO-059538</t>
  </si>
  <si>
    <t>FWO-059540</t>
  </si>
  <si>
    <t>FWO-059557</t>
  </si>
  <si>
    <t>FWO-059559</t>
  </si>
  <si>
    <t>FWO-059561</t>
  </si>
  <si>
    <t>FWO-059563</t>
  </si>
  <si>
    <t>FWO-059574</t>
  </si>
  <si>
    <t>FWO-059581</t>
  </si>
  <si>
    <t>FWO-059591</t>
  </si>
  <si>
    <t>FWO-059596</t>
  </si>
  <si>
    <t>FWO-059598</t>
  </si>
  <si>
    <t>FWO-059604</t>
  </si>
  <si>
    <t>FWO-059606</t>
  </si>
  <si>
    <t>FWO-059608</t>
  </si>
  <si>
    <t>FWO-059610</t>
  </si>
  <si>
    <t>FWO-059612</t>
  </si>
  <si>
    <t>FWO-059614</t>
  </si>
  <si>
    <t>FWO-059649</t>
  </si>
  <si>
    <t>FWO-059651</t>
  </si>
  <si>
    <t>FWO-059653</t>
  </si>
  <si>
    <t>FWO-059655</t>
  </si>
  <si>
    <t>FWO-059670</t>
  </si>
  <si>
    <t>FWO-059672</t>
  </si>
  <si>
    <t>FWO-059676</t>
  </si>
  <si>
    <t>FWO-059678</t>
  </si>
  <si>
    <t>FWO-059692</t>
  </si>
  <si>
    <t>FWO-059705</t>
  </si>
  <si>
    <t>FWO-059752</t>
  </si>
  <si>
    <t>FWO-059754</t>
  </si>
  <si>
    <t>FWO-059756</t>
  </si>
  <si>
    <t>FWO-059759</t>
  </si>
  <si>
    <t>FWO-059762</t>
  </si>
  <si>
    <t>FWO-059765</t>
  </si>
  <si>
    <t>FWO-059772</t>
  </si>
  <si>
    <t>FWO-059774</t>
  </si>
  <si>
    <t>FWO-059776</t>
  </si>
  <si>
    <t>FWO-059780</t>
  </si>
  <si>
    <t>FWO-059784</t>
  </si>
  <si>
    <t>FWO-059786</t>
  </si>
  <si>
    <t>FWO-059803</t>
  </si>
  <si>
    <t>FWO-059805</t>
  </si>
  <si>
    <t>FWO-059809</t>
  </si>
  <si>
    <t>FWO-059811</t>
  </si>
  <si>
    <t>FWO-059813</t>
  </si>
  <si>
    <t>FWO-059816</t>
  </si>
  <si>
    <t>FWO-059829</t>
  </si>
  <si>
    <t>FWO-059831</t>
  </si>
  <si>
    <t>FWO-059842</t>
  </si>
  <si>
    <t>FWO-059846</t>
  </si>
  <si>
    <t>FWO-059850</t>
  </si>
  <si>
    <t>FWO-059852</t>
  </si>
  <si>
    <t>FWO-059858</t>
  </si>
  <si>
    <t>FWO-059862</t>
  </si>
  <si>
    <t>FWO-059864</t>
  </si>
  <si>
    <t>FWO-059866</t>
  </si>
  <si>
    <t>FWO-059868</t>
  </si>
  <si>
    <t>FWO-059870</t>
  </si>
  <si>
    <t>FWO-059872</t>
  </si>
  <si>
    <t>FWO-059874</t>
  </si>
  <si>
    <t>FWO-059876</t>
  </si>
  <si>
    <t>FWO-059878</t>
  </si>
  <si>
    <t>FWO-059880</t>
  </si>
  <si>
    <t>FWO-059882</t>
  </si>
  <si>
    <t>FWO-059884</t>
  </si>
  <si>
    <t>FWO-059886</t>
  </si>
  <si>
    <t>FWO-059888</t>
  </si>
  <si>
    <t>FWO-059890</t>
  </si>
  <si>
    <t>FWO-059892</t>
  </si>
  <si>
    <t>FWO-059894</t>
  </si>
  <si>
    <t>FWO-059896</t>
  </si>
  <si>
    <t>FWO-059898</t>
  </si>
  <si>
    <t>FWO-059900</t>
  </si>
  <si>
    <t>FWO-059902</t>
  </si>
  <si>
    <t>FWO-059904</t>
  </si>
  <si>
    <t>FWO-059906</t>
  </si>
  <si>
    <t>FWO-059908</t>
  </si>
  <si>
    <t>FWO-059910</t>
  </si>
  <si>
    <t>FWO-059912</t>
  </si>
  <si>
    <t>FWO-059914</t>
  </si>
  <si>
    <t>FWO-059916</t>
  </si>
  <si>
    <t>FWO-059918</t>
  </si>
  <si>
    <t>FWO-059920</t>
  </si>
  <si>
    <t>FWO-059922</t>
  </si>
  <si>
    <t>FWO-059924</t>
  </si>
  <si>
    <t>FWO-059926</t>
  </si>
  <si>
    <t>FWO-059928</t>
  </si>
  <si>
    <t>FWO-059930</t>
  </si>
  <si>
    <t>FWO-059934</t>
  </si>
  <si>
    <t>FWO-059936</t>
  </si>
  <si>
    <t>FWO-059938</t>
  </si>
  <si>
    <t>FWO-059940</t>
  </si>
  <si>
    <t>FWO-059944</t>
  </si>
  <si>
    <t>FWO-059948</t>
  </si>
  <si>
    <t>FWO-059950</t>
  </si>
  <si>
    <t>FWO-059952</t>
  </si>
  <si>
    <t>FWO-059954</t>
  </si>
  <si>
    <t>FWO-059956</t>
  </si>
  <si>
    <t>FWO-059958</t>
  </si>
  <si>
    <t>FWO-059960</t>
  </si>
  <si>
    <t>FWO-059962</t>
  </si>
  <si>
    <t>FWO-059964</t>
  </si>
  <si>
    <t>FWO-059966</t>
  </si>
  <si>
    <t>FWO-059968</t>
  </si>
  <si>
    <t>FWO-059970</t>
  </si>
  <si>
    <t>FWO-059972</t>
  </si>
  <si>
    <t>FWO-059974</t>
  </si>
  <si>
    <t>FWO-059976</t>
  </si>
  <si>
    <t>FWO-059978</t>
  </si>
  <si>
    <t>FWO-059980</t>
  </si>
  <si>
    <t>FWO-059982</t>
  </si>
  <si>
    <t>FWO-059984</t>
  </si>
  <si>
    <t>FWO-059988</t>
  </si>
  <si>
    <t>FWO-059990</t>
  </si>
  <si>
    <t>FWO-059994</t>
  </si>
  <si>
    <t>FWO-059996</t>
  </si>
  <si>
    <t>FWO-059998</t>
  </si>
  <si>
    <t>FWO-060000</t>
  </si>
  <si>
    <t>FWO-060002</t>
  </si>
  <si>
    <t>FWO-060005</t>
  </si>
  <si>
    <t>FWO-060007</t>
  </si>
  <si>
    <t>FWO-060009</t>
  </si>
  <si>
    <t>FWO-060011</t>
  </si>
  <si>
    <t>FWO-060014</t>
  </si>
  <si>
    <t>FWO-060017</t>
  </si>
  <si>
    <t>FWO-060019</t>
  </si>
  <si>
    <t>FWO-060021</t>
  </si>
  <si>
    <t>FWO-060023</t>
  </si>
  <si>
    <t>FWO-060025</t>
  </si>
  <si>
    <t>FWO-060027</t>
  </si>
  <si>
    <t>FWO-060029</t>
  </si>
  <si>
    <t>FWO-060031</t>
  </si>
  <si>
    <t>FWO-060033</t>
  </si>
  <si>
    <t>FWO-060035</t>
  </si>
  <si>
    <t>FWO-060037</t>
  </si>
  <si>
    <t>FWO-060040</t>
  </si>
  <si>
    <t>FWO-060042</t>
  </si>
  <si>
    <t>FWO-060044</t>
  </si>
  <si>
    <t>FWO-060046</t>
  </si>
  <si>
    <t>FWO-060048</t>
  </si>
  <si>
    <t>FWO-060050</t>
  </si>
  <si>
    <t>FWO-060052</t>
  </si>
  <si>
    <t>FWO-060054</t>
  </si>
  <si>
    <t>FWO-060056</t>
  </si>
  <si>
    <t>FWO-060058</t>
  </si>
  <si>
    <t>FWO-060060</t>
  </si>
  <si>
    <t>FWO-060064</t>
  </si>
  <si>
    <t>FWO-060066</t>
  </si>
  <si>
    <t>FWO-060069</t>
  </si>
  <si>
    <t>FWO-060071</t>
  </si>
  <si>
    <t>FWO-060073</t>
  </si>
  <si>
    <t>FWO-060075</t>
  </si>
  <si>
    <t>FWO-060077</t>
  </si>
  <si>
    <t>FWO-060079</t>
  </si>
  <si>
    <t>FWO-060081</t>
  </si>
  <si>
    <t>FWO-060083</t>
  </si>
  <si>
    <t>FWO-060085</t>
  </si>
  <si>
    <t>FWO-060088</t>
  </si>
  <si>
    <t>FWO-060092</t>
  </si>
  <si>
    <t>FWO-060094</t>
  </si>
  <si>
    <t>FWO-060096</t>
  </si>
  <si>
    <t>FWO-060098</t>
  </si>
  <si>
    <t>FWO-060103</t>
  </si>
  <si>
    <t>FWO-060105</t>
  </si>
  <si>
    <t>FWO-060107</t>
  </si>
  <si>
    <t>FWO-060109</t>
  </si>
  <si>
    <t>FWO-060111</t>
  </si>
  <si>
    <t>FWO-060113</t>
  </si>
  <si>
    <t>FWO-060115</t>
  </si>
  <si>
    <t>FWO-060123</t>
  </si>
  <si>
    <t>FWO-060130</t>
  </si>
  <si>
    <t>FWO-060132</t>
  </si>
  <si>
    <t>FWO-060134</t>
  </si>
  <si>
    <t>FWO-060136</t>
  </si>
  <si>
    <t>FWO-060138</t>
  </si>
  <si>
    <t>FWO-060140</t>
  </si>
  <si>
    <t>FWO-060142</t>
  </si>
  <si>
    <t>FWO-060146</t>
  </si>
  <si>
    <t>FWO-060150</t>
  </si>
  <si>
    <t>FWO-060152</t>
  </si>
  <si>
    <t>FWO-060154</t>
  </si>
  <si>
    <t>FWO-060156</t>
  </si>
  <si>
    <t>FWO-060159</t>
  </si>
  <si>
    <t>FWO-060161</t>
  </si>
  <si>
    <t>FWO-060163</t>
  </si>
  <si>
    <t>FWO-060165</t>
  </si>
  <si>
    <t>FWO-060169</t>
  </si>
  <si>
    <t>FWO-060173</t>
  </si>
  <si>
    <t>FWO-060175</t>
  </si>
  <si>
    <t>FWO-060179</t>
  </si>
  <si>
    <t>FWO-060181</t>
  </si>
  <si>
    <t>FWO-060183</t>
  </si>
  <si>
    <t>FWO-060185</t>
  </si>
  <si>
    <t>FWO-060187</t>
  </si>
  <si>
    <t>FWO-060189</t>
  </si>
  <si>
    <t>FWO-060191</t>
  </si>
  <si>
    <t>FWO-060193</t>
  </si>
  <si>
    <t>FWO-060195</t>
  </si>
  <si>
    <t>FWO-060197</t>
  </si>
  <si>
    <t>FWO-060199</t>
  </si>
  <si>
    <t>FWO-060203</t>
  </si>
  <si>
    <t>FWO-060205</t>
  </si>
  <si>
    <t>FWO-060209</t>
  </si>
  <si>
    <t>FWO-060211</t>
  </si>
  <si>
    <t>FWO-060213</t>
  </si>
  <si>
    <t>FWO-060216</t>
  </si>
  <si>
    <t>FWO-060219</t>
  </si>
  <si>
    <t>FWO-060221</t>
  </si>
  <si>
    <t>FWO-060223</t>
  </si>
  <si>
    <t>FWO-060228</t>
  </si>
  <si>
    <t>FWO-060254</t>
  </si>
  <si>
    <t>FWO-060256</t>
  </si>
  <si>
    <t>FWO-060258</t>
  </si>
  <si>
    <t>FWO-060260</t>
  </si>
  <si>
    <t>FWO-060262</t>
  </si>
  <si>
    <t>FWO-060264</t>
  </si>
  <si>
    <t>FWO-060267</t>
  </si>
  <si>
    <t>FWO-060270</t>
  </si>
  <si>
    <t>FWO-060272</t>
  </si>
  <si>
    <t>FWO-060274</t>
  </si>
  <si>
    <t>FWO-060278</t>
  </si>
  <si>
    <t>FWO-060280</t>
  </si>
  <si>
    <t>FWO-060282</t>
  </si>
  <si>
    <t>FWO-060284</t>
  </si>
  <si>
    <t>FWO-060291</t>
  </si>
  <si>
    <t>FWO-060293</t>
  </si>
  <si>
    <t>FWO-060296</t>
  </si>
  <si>
    <t>FWO-060301</t>
  </si>
  <si>
    <t>FWO-060303</t>
  </si>
  <si>
    <t>FWO-060305</t>
  </si>
  <si>
    <t>FWO-060307</t>
  </si>
  <si>
    <t>FWO-060309</t>
  </si>
  <si>
    <t>FWO-060311</t>
  </si>
  <si>
    <t>FWO-060318</t>
  </si>
  <si>
    <t>FWO-060320</t>
  </si>
  <si>
    <t>FWO-060322</t>
  </si>
  <si>
    <t>FWO-060327</t>
  </si>
  <si>
    <t>FWO-060332</t>
  </si>
  <si>
    <t>FWO-060334</t>
  </si>
  <si>
    <t>FWO-060338</t>
  </si>
  <si>
    <t>FWO-060344</t>
  </si>
  <si>
    <t>FWO-060346</t>
  </si>
  <si>
    <t>FWO-060348</t>
  </si>
  <si>
    <t>FWO-060354</t>
  </si>
  <si>
    <t>FWO-060374</t>
  </si>
  <si>
    <t>FWO-060378</t>
  </si>
  <si>
    <t>FWO-060381</t>
  </si>
  <si>
    <t>FWO-060385</t>
  </si>
  <si>
    <t>FWO-060388</t>
  </si>
  <si>
    <t>FWO-060399</t>
  </si>
  <si>
    <t>FWO-060401</t>
  </si>
  <si>
    <t>FWO-060412</t>
  </si>
  <si>
    <t>FWO-060414</t>
  </si>
  <si>
    <t>FWO-060421</t>
  </si>
  <si>
    <t>FWO-060425</t>
  </si>
  <si>
    <t>FWO-060443</t>
  </si>
  <si>
    <t>FWO-060445</t>
  </si>
  <si>
    <t>FWO-060449</t>
  </si>
  <si>
    <t>FWO-060452</t>
  </si>
  <si>
    <t>FWO-060460</t>
  </si>
  <si>
    <t>FWO-060536</t>
  </si>
  <si>
    <t>FWO-060556</t>
  </si>
  <si>
    <t>FWO-060571</t>
  </si>
  <si>
    <t>FWO-060573</t>
  </si>
  <si>
    <t>FWO-060575</t>
  </si>
  <si>
    <t>FWO-060585</t>
  </si>
  <si>
    <t>FWO-060587</t>
  </si>
  <si>
    <t>FWO-060593</t>
  </si>
  <si>
    <t>FWO-060595</t>
  </si>
  <si>
    <t>FWO-060606</t>
  </si>
  <si>
    <t>FWO-060608</t>
  </si>
  <si>
    <t>FWO-060610</t>
  </si>
  <si>
    <t>FWO-060613</t>
  </si>
  <si>
    <t>FWO-060615</t>
  </si>
  <si>
    <t>FWO-060617</t>
  </si>
  <si>
    <t>FWO-060619</t>
  </si>
  <si>
    <t>FWO-060621</t>
  </si>
  <si>
    <t>FWO-060623</t>
  </si>
  <si>
    <t>FWO-060625</t>
  </si>
  <si>
    <t>FWO-060630</t>
  </si>
  <si>
    <t>FWO-060632</t>
  </si>
  <si>
    <t>FWO-060634</t>
  </si>
  <si>
    <t>FWO-060636</t>
  </si>
  <si>
    <t>FWO-060638</t>
  </si>
  <si>
    <t>FWO-060640</t>
  </si>
  <si>
    <t>FWO-060642</t>
  </si>
  <si>
    <t>FWO-060644</t>
  </si>
  <si>
    <t>FWO-060646</t>
  </si>
  <si>
    <t>FWO-060650</t>
  </si>
  <si>
    <t>FWO-060652</t>
  </si>
  <si>
    <t>FWO-060654</t>
  </si>
  <si>
    <t>FWO-060657</t>
  </si>
  <si>
    <t>FWO-060659</t>
  </si>
  <si>
    <t>FWO-060661</t>
  </si>
  <si>
    <t>FWO-060663</t>
  </si>
  <si>
    <t>FWO-060665</t>
  </si>
  <si>
    <t>FWO-060667</t>
  </si>
  <si>
    <t>FWO-060669</t>
  </si>
  <si>
    <t>FWO-060671</t>
  </si>
  <si>
    <t>FWO-060673</t>
  </si>
  <si>
    <t>FWO-060675</t>
  </si>
  <si>
    <t>FWO-060679</t>
  </si>
  <si>
    <t>FWO-060683</t>
  </si>
  <si>
    <t>FWO-060685</t>
  </si>
  <si>
    <t>FWO-060688</t>
  </si>
  <si>
    <t>FWO-060690</t>
  </si>
  <si>
    <t>FWO-060694</t>
  </si>
  <si>
    <t>FWO-060696</t>
  </si>
  <si>
    <t>FWO-060698</t>
  </si>
  <si>
    <t>FWO-060700</t>
  </si>
  <si>
    <t>FWO-060702</t>
  </si>
  <si>
    <t>FWO-060704</t>
  </si>
  <si>
    <t>FWO-060706</t>
  </si>
  <si>
    <t>FWO-060708</t>
  </si>
  <si>
    <t>FWO-060710</t>
  </si>
  <si>
    <t>FWO-060712</t>
  </si>
  <si>
    <t>FWO-060714</t>
  </si>
  <si>
    <t>FWO-060716</t>
  </si>
  <si>
    <t>FWO-060718</t>
  </si>
  <si>
    <t>FWO-060722</t>
  </si>
  <si>
    <t>FWO-060724</t>
  </si>
  <si>
    <t>FWO-060726</t>
  </si>
  <si>
    <t>FWO-060728</t>
  </si>
  <si>
    <t>FWO-060730</t>
  </si>
  <si>
    <t>FWO-060733</t>
  </si>
  <si>
    <t>FWO-060735</t>
  </si>
  <si>
    <t>FWO-060737</t>
  </si>
  <si>
    <t>FWO-060739</t>
  </si>
  <si>
    <t>FWO-060743</t>
  </si>
  <si>
    <t>FWO-060745</t>
  </si>
  <si>
    <t>FWO-060747</t>
  </si>
  <si>
    <t>FWO-060749</t>
  </si>
  <si>
    <t>FWO-060751</t>
  </si>
  <si>
    <t>FWO-060755</t>
  </si>
  <si>
    <t>FWO-060757</t>
  </si>
  <si>
    <t>FWO-060759</t>
  </si>
  <si>
    <t>FWO-060765</t>
  </si>
  <si>
    <t>FWO-060767</t>
  </si>
  <si>
    <t>FWO-060770</t>
  </si>
  <si>
    <t>FWO-060772</t>
  </si>
  <si>
    <t>FWO-060774</t>
  </si>
  <si>
    <t>FWO-060776</t>
  </si>
  <si>
    <t>FWO-060778</t>
  </si>
  <si>
    <t>FWO-060781</t>
  </si>
  <si>
    <t>FWO-060783</t>
  </si>
  <si>
    <t>FWO-060785</t>
  </si>
  <si>
    <t>FWO-060787</t>
  </si>
  <si>
    <t>FWO-060789</t>
  </si>
  <si>
    <t>FWO-060791</t>
  </si>
  <si>
    <t>FWO-060793</t>
  </si>
  <si>
    <t>FWO-060795</t>
  </si>
  <si>
    <t>FWO-060799</t>
  </si>
  <si>
    <t>FWO-060804</t>
  </si>
  <si>
    <t>FWO-060807</t>
  </si>
  <si>
    <t>FWO-060818</t>
  </si>
  <si>
    <t>FWO-060821</t>
  </si>
  <si>
    <t>FWO-060823</t>
  </si>
  <si>
    <t>FWO-060828</t>
  </si>
  <si>
    <t>FWO-060830</t>
  </si>
  <si>
    <t>FWO-060832</t>
  </si>
  <si>
    <t>FWO-060835</t>
  </si>
  <si>
    <t>FWO-060852</t>
  </si>
  <si>
    <t>FWO-060854</t>
  </si>
  <si>
    <t>FWO-060861</t>
  </si>
  <si>
    <t>FWO-060866</t>
  </si>
  <si>
    <t>FWO-060874</t>
  </si>
  <si>
    <t>FWO-060876</t>
  </si>
  <si>
    <t>FWO-060881</t>
  </si>
  <si>
    <t>FWO-060883</t>
  </si>
  <si>
    <t>FWO-060886</t>
  </si>
  <si>
    <t>FWO-060896</t>
  </si>
  <si>
    <t>FWO-060898</t>
  </si>
  <si>
    <t>FWO-060900</t>
  </si>
  <si>
    <t>FWO-060910</t>
  </si>
  <si>
    <t>FWO-060931</t>
  </si>
  <si>
    <t>FWO-060935</t>
  </si>
  <si>
    <t>FWO-060943</t>
  </si>
  <si>
    <t>FWO-060946</t>
  </si>
  <si>
    <t>FWO-060948</t>
  </si>
  <si>
    <t>FWO-060951</t>
  </si>
  <si>
    <t>FWO-060953</t>
  </si>
  <si>
    <t>FWO-060963</t>
  </si>
  <si>
    <t>FWO-060965</t>
  </si>
  <si>
    <t>FWO-060970</t>
  </si>
  <si>
    <t>FWO-060975</t>
  </si>
  <si>
    <t>FWO-060977</t>
  </si>
  <si>
    <t>FWO-060979</t>
  </si>
  <si>
    <t>FWO-060982</t>
  </si>
  <si>
    <t>FWO-060986</t>
  </si>
  <si>
    <t>FWO-060992</t>
  </si>
  <si>
    <t>FWO-060994</t>
  </si>
  <si>
    <t>FWO-060996</t>
  </si>
  <si>
    <t>FWO-061016</t>
  </si>
  <si>
    <t>FWO-061018</t>
  </si>
  <si>
    <t>FWO-061022</t>
  </si>
  <si>
    <t>FWO-061024</t>
  </si>
  <si>
    <t>FWO-061026</t>
  </si>
  <si>
    <t>FWO-061028</t>
  </si>
  <si>
    <t>FWO-061030</t>
  </si>
  <si>
    <t>FWO-061036</t>
  </si>
  <si>
    <t>FWO-061040</t>
  </si>
  <si>
    <t>FWO-061042</t>
  </si>
  <si>
    <t>FWO-061049</t>
  </si>
  <si>
    <t>FWO-061051</t>
  </si>
  <si>
    <t>FWO-061056</t>
  </si>
  <si>
    <t>FWO-061058</t>
  </si>
  <si>
    <t>FWO-061065</t>
  </si>
  <si>
    <t>FWO-061075</t>
  </si>
  <si>
    <t>FWO-061081</t>
  </si>
  <si>
    <t>FWO-061108</t>
  </si>
  <si>
    <t>FWO-061113</t>
  </si>
  <si>
    <t>FWO-061119</t>
  </si>
  <si>
    <t>FWO-061122</t>
  </si>
  <si>
    <t>FWO-061124</t>
  </si>
  <si>
    <t>FWO-061130</t>
  </si>
  <si>
    <t>FWO-061135</t>
  </si>
  <si>
    <t>FWO-061137</t>
  </si>
  <si>
    <t>FWO-061139</t>
  </si>
  <si>
    <t>FWO-061145</t>
  </si>
  <si>
    <t>FWO-061147</t>
  </si>
  <si>
    <t>FWO-061152</t>
  </si>
  <si>
    <t>FWO-061155</t>
  </si>
  <si>
    <t>FWO-061159</t>
  </si>
  <si>
    <t>FWO-061165</t>
  </si>
  <si>
    <t>FWO-061168</t>
  </si>
  <si>
    <t>FWO-061173</t>
  </si>
  <si>
    <t>FWO-061178</t>
  </si>
  <si>
    <t>FWO-061183</t>
  </si>
  <si>
    <t>FWO-061186</t>
  </si>
  <si>
    <t>FWO-061190</t>
  </si>
  <si>
    <t>FWO-061202</t>
  </si>
  <si>
    <t>FWO-061204</t>
  </si>
  <si>
    <t>FWO-061206</t>
  </si>
  <si>
    <t>FWO-061209</t>
  </si>
  <si>
    <t>FWO-061225</t>
  </si>
  <si>
    <t>FWO-061227</t>
  </si>
  <si>
    <t>FWO-061230</t>
  </si>
  <si>
    <t>FWO-061241</t>
  </si>
  <si>
    <t>FWO-061266</t>
  </si>
  <si>
    <t>FWO-061271</t>
  </si>
  <si>
    <t>FWO-061274</t>
  </si>
  <si>
    <t>FWO-061295</t>
  </si>
  <si>
    <t>FWO-061297</t>
  </si>
  <si>
    <t>FWO-061301</t>
  </si>
  <si>
    <t>FWO-061305</t>
  </si>
  <si>
    <t>FWO-061308</t>
  </si>
  <si>
    <t>FWO-061311</t>
  </si>
  <si>
    <t>FWO-061314</t>
  </si>
  <si>
    <t>FWO-061316</t>
  </si>
  <si>
    <t>FWO-061320</t>
  </si>
  <si>
    <t>FWO-061331</t>
  </si>
  <si>
    <t>FWO-061333</t>
  </si>
  <si>
    <t>FWO-061335</t>
  </si>
  <si>
    <t>FWO-061337</t>
  </si>
  <si>
    <t>FWO-061339</t>
  </si>
  <si>
    <t>FWO-061341</t>
  </si>
  <si>
    <t>FWO-061343</t>
  </si>
  <si>
    <t>FWO-061345</t>
  </si>
  <si>
    <t>FWO-061347</t>
  </si>
  <si>
    <t>FWO-061349</t>
  </si>
  <si>
    <t>FWO-061351</t>
  </si>
  <si>
    <t>FWO-061353</t>
  </si>
  <si>
    <t>FWO-061355</t>
  </si>
  <si>
    <t>FWO-061366</t>
  </si>
  <si>
    <t>FWO-061375</t>
  </si>
  <si>
    <t>FWO-061378</t>
  </si>
  <si>
    <t>FWO-061383</t>
  </si>
  <si>
    <t>FWO-061385</t>
  </si>
  <si>
    <t>FWO-061387</t>
  </si>
  <si>
    <t>FWO-061390</t>
  </si>
  <si>
    <t>FWO-061403</t>
  </si>
  <si>
    <t>FWO-061405</t>
  </si>
  <si>
    <t>FWO-061407</t>
  </si>
  <si>
    <t>FWO-061411</t>
  </si>
  <si>
    <t>FWO-061424</t>
  </si>
  <si>
    <t>FWO-061427</t>
  </si>
  <si>
    <t>FWO-061429</t>
  </si>
  <si>
    <t>FWO-061431</t>
  </si>
  <si>
    <t>FWO-061437</t>
  </si>
  <si>
    <t>FWO-061439</t>
  </si>
  <si>
    <t>FWO-061441</t>
  </si>
  <si>
    <t>FWO-061443</t>
  </si>
  <si>
    <t>FWO-061445</t>
  </si>
  <si>
    <t>FWO-061447</t>
  </si>
  <si>
    <t>FWO-061449</t>
  </si>
  <si>
    <t>FWO-061451</t>
  </si>
  <si>
    <t>FWO-061453</t>
  </si>
  <si>
    <t>FWO-061457</t>
  </si>
  <si>
    <t>FWO-061459</t>
  </si>
  <si>
    <t>FWO-061461</t>
  </si>
  <si>
    <t>FWO-061466</t>
  </si>
  <si>
    <t>FWO-061478</t>
  </si>
  <si>
    <t>FWO-061481</t>
  </si>
  <si>
    <t>FWO-061486</t>
  </si>
  <si>
    <t>FWO-061490</t>
  </si>
  <si>
    <t>FWO-061495</t>
  </si>
  <si>
    <t>FWO-061498</t>
  </si>
  <si>
    <t>FWO-061500</t>
  </si>
  <si>
    <t>FWO-061503</t>
  </si>
  <si>
    <t>FWO-061548</t>
  </si>
  <si>
    <t>FWO-061551</t>
  </si>
  <si>
    <t>FWO-061554</t>
  </si>
  <si>
    <t>FWO-061571</t>
  </si>
  <si>
    <t>FWO-061574</t>
  </si>
  <si>
    <t>FWO-061577</t>
  </si>
  <si>
    <t>FWO-061581</t>
  </si>
  <si>
    <t>FWO-061585</t>
  </si>
  <si>
    <t>FWO-061591</t>
  </si>
  <si>
    <t>FWO-061614</t>
  </si>
  <si>
    <t>FWO-061619</t>
  </si>
  <si>
    <t>FWO-061642</t>
  </si>
  <si>
    <t>FWO-061646</t>
  </si>
  <si>
    <t>FWO-061649</t>
  </si>
  <si>
    <t>FWO-061652</t>
  </si>
  <si>
    <t>FWO-061655</t>
  </si>
  <si>
    <t>FWO-061671</t>
  </si>
  <si>
    <t>FWO-061673</t>
  </si>
  <si>
    <t>FWO-061676</t>
  </si>
  <si>
    <t>FWO-061679</t>
  </si>
  <si>
    <t>FWO-061687</t>
  </si>
  <si>
    <t>FWO-061696</t>
  </si>
  <si>
    <t>FWO-061700</t>
  </si>
  <si>
    <t>FWO-061710</t>
  </si>
  <si>
    <t>FWO-061714</t>
  </si>
  <si>
    <t>FWO-061717</t>
  </si>
  <si>
    <t>FWO-061725</t>
  </si>
  <si>
    <t>FWO-061728</t>
  </si>
  <si>
    <t>FWO-061730</t>
  </si>
  <si>
    <t>FWO-061732</t>
  </si>
  <si>
    <t>FWO-061734</t>
  </si>
  <si>
    <t>FWO-061736</t>
  </si>
  <si>
    <t>FWO-061738</t>
  </si>
  <si>
    <t>FWO-061740</t>
  </si>
  <si>
    <t>FWO-061742</t>
  </si>
  <si>
    <t>FWO-061744</t>
  </si>
  <si>
    <t>FWO-061746</t>
  </si>
  <si>
    <t>FWO-061748</t>
  </si>
  <si>
    <t>FWO-061750</t>
  </si>
  <si>
    <t>FWO-061752</t>
  </si>
  <si>
    <t>FWO-061754</t>
  </si>
  <si>
    <t>FWO-061756</t>
  </si>
  <si>
    <t>FWO-061758</t>
  </si>
  <si>
    <t>FWO-061760</t>
  </si>
  <si>
    <t>FWO-061762</t>
  </si>
  <si>
    <t>FWO-061764</t>
  </si>
  <si>
    <t>FWO-061768</t>
  </si>
  <si>
    <t>FWO-061770</t>
  </si>
  <si>
    <t>FWO-061772</t>
  </si>
  <si>
    <t>FWO-061774</t>
  </si>
  <si>
    <t>FWO-061776</t>
  </si>
  <si>
    <t>FWO-061778</t>
  </si>
  <si>
    <t>FWO-061780</t>
  </si>
  <si>
    <t>FWO-061782</t>
  </si>
  <si>
    <t>FWO-061784</t>
  </si>
  <si>
    <t>FWO-061792</t>
  </si>
  <si>
    <t>FWO-061795</t>
  </si>
  <si>
    <t>FWO-061797</t>
  </si>
  <si>
    <t>FWO-061799</t>
  </si>
  <si>
    <t>FWO-061802</t>
  </si>
  <si>
    <t>FWO-061805</t>
  </si>
  <si>
    <t>FWO-061808</t>
  </si>
  <si>
    <t>FWO-061810</t>
  </si>
  <si>
    <t>FWO-061812</t>
  </si>
  <si>
    <t>FWO-061815</t>
  </si>
  <si>
    <t>FWO-061817</t>
  </si>
  <si>
    <t>FWO-061819</t>
  </si>
  <si>
    <t>FWO-061822</t>
  </si>
  <si>
    <t>FWO-061825</t>
  </si>
  <si>
    <t>FWO-061828</t>
  </si>
  <si>
    <t>FWO-061833</t>
  </si>
  <si>
    <t>FWO-061836</t>
  </si>
  <si>
    <t>FWO-061838</t>
  </si>
  <si>
    <t>FWO-061840</t>
  </si>
  <si>
    <t>FWO-061842</t>
  </si>
  <si>
    <t>FWO-061844</t>
  </si>
  <si>
    <t>FWO-061848</t>
  </si>
  <si>
    <t>FWO-061850</t>
  </si>
  <si>
    <t>FWO-061852</t>
  </si>
  <si>
    <t>FWO-061856</t>
  </si>
  <si>
    <t>FWO-061858</t>
  </si>
  <si>
    <t>FWO-061860</t>
  </si>
  <si>
    <t>FWO-061862</t>
  </si>
  <si>
    <t>FWO-061864</t>
  </si>
  <si>
    <t>FWO-061866</t>
  </si>
  <si>
    <t>FWO-061868</t>
  </si>
  <si>
    <t>FWO-061870</t>
  </si>
  <si>
    <t>FWO-061873</t>
  </si>
  <si>
    <t>FWO-061875</t>
  </si>
  <si>
    <t>FWO-061877</t>
  </si>
  <si>
    <t>FWO-061893</t>
  </si>
  <si>
    <t>FWO-061896</t>
  </si>
  <si>
    <t>FWO-061898</t>
  </si>
  <si>
    <t>FWO-061901</t>
  </si>
  <si>
    <t>FWO-061903</t>
  </si>
  <si>
    <t>FWO-061905</t>
  </si>
  <si>
    <t>FWO-061908</t>
  </si>
  <si>
    <t>FWO-061911</t>
  </si>
  <si>
    <t>FWO-061914</t>
  </si>
  <si>
    <t>FWO-061917</t>
  </si>
  <si>
    <t>FWO-061919</t>
  </si>
  <si>
    <t>FWO-061922</t>
  </si>
  <si>
    <t>FWO-061924</t>
  </si>
  <si>
    <t>FWO-061929</t>
  </si>
  <si>
    <t>FWO-061931</t>
  </si>
  <si>
    <t>FWO-061936</t>
  </si>
  <si>
    <t>FWO-061939</t>
  </si>
  <si>
    <t>FWO-061953</t>
  </si>
  <si>
    <t>FWO-061955</t>
  </si>
  <si>
    <t>FWO-061957</t>
  </si>
  <si>
    <t>FWO-061960</t>
  </si>
  <si>
    <t>FWO-061964</t>
  </si>
  <si>
    <t>FWO-061966</t>
  </si>
  <si>
    <t>FWO-061968</t>
  </si>
  <si>
    <t>FWO-061984</t>
  </si>
  <si>
    <t>FWO-061986</t>
  </si>
  <si>
    <t>FWO-061988</t>
  </si>
  <si>
    <t>FWO-061990</t>
  </si>
  <si>
    <t>FWO-061992</t>
  </si>
  <si>
    <t>FWO-061994</t>
  </si>
  <si>
    <t>FWO-061996</t>
  </si>
  <si>
    <t>FWO-061998</t>
  </si>
  <si>
    <t>FWO-062000</t>
  </si>
  <si>
    <t>FWO-062002</t>
  </si>
  <si>
    <t>FWO-062004</t>
  </si>
  <si>
    <t>FWO-062006</t>
  </si>
  <si>
    <t>FWO-062008</t>
  </si>
  <si>
    <t>FWO-062010</t>
  </si>
  <si>
    <t>FWO-062012</t>
  </si>
  <si>
    <t>FWO-062014</t>
  </si>
  <si>
    <t>FWO-062017</t>
  </si>
  <si>
    <t>FWO-062038</t>
  </si>
  <si>
    <t>FWO-062040</t>
  </si>
  <si>
    <t>FWO-062044</t>
  </si>
  <si>
    <t>FWO-062046</t>
  </si>
  <si>
    <t>FWO-062048</t>
  </si>
  <si>
    <t>FWO-062050</t>
  </si>
  <si>
    <t>FWO-062052</t>
  </si>
  <si>
    <t>FWO-062054</t>
  </si>
  <si>
    <t>FWO-062056</t>
  </si>
  <si>
    <t>FWO-062058</t>
  </si>
  <si>
    <t>FWO-062060</t>
  </si>
  <si>
    <t>FWO-062062</t>
  </si>
  <si>
    <t>FWO-062064</t>
  </si>
  <si>
    <t>FWO-062066</t>
  </si>
  <si>
    <t>FWO-062068</t>
  </si>
  <si>
    <t>FWO-062070</t>
  </si>
  <si>
    <t>FWO-062072</t>
  </si>
  <si>
    <t>FWO-062076</t>
  </si>
  <si>
    <t>FWO-062078</t>
  </si>
  <si>
    <t>FWO-062081</t>
  </si>
  <si>
    <t>FWO-062083</t>
  </si>
  <si>
    <t>FWO-062086</t>
  </si>
  <si>
    <t>FWO-062088</t>
  </si>
  <si>
    <t>FWO-062091</t>
  </si>
  <si>
    <t>FWO-062095</t>
  </si>
  <si>
    <t>FWO-062097</t>
  </si>
  <si>
    <t>FWO-062099</t>
  </si>
  <si>
    <t>FWO-062101</t>
  </si>
  <si>
    <t>FWO-062103</t>
  </si>
  <si>
    <t>FWO-062105</t>
  </si>
  <si>
    <t>FWO-062107</t>
  </si>
  <si>
    <t>FWO-062110</t>
  </si>
  <si>
    <t>FWO-062112</t>
  </si>
  <si>
    <t>FWO-062115</t>
  </si>
  <si>
    <t>FWO-062123</t>
  </si>
  <si>
    <t>FWO-062138</t>
  </si>
  <si>
    <t>FWO-062141</t>
  </si>
  <si>
    <t>FWO-062144</t>
  </si>
  <si>
    <t>FWO-062147</t>
  </si>
  <si>
    <t>FWO-062152</t>
  </si>
  <si>
    <t>FWO-062188</t>
  </si>
  <si>
    <t>FWO-062191</t>
  </si>
  <si>
    <t>FWO-062193</t>
  </si>
  <si>
    <t>FWO-062198</t>
  </si>
  <si>
    <t>FWO-062201</t>
  </si>
  <si>
    <t>FWO-062203</t>
  </si>
  <si>
    <t>FWO-062208</t>
  </si>
  <si>
    <t>FWO-062212</t>
  </si>
  <si>
    <t>FWO-062215</t>
  </si>
  <si>
    <t>FWO-062218</t>
  </si>
  <si>
    <t>FWO-062222</t>
  </si>
  <si>
    <t>FWO-062225</t>
  </si>
  <si>
    <t>FWO-062227</t>
  </si>
  <si>
    <t>FWO-062229</t>
  </si>
  <si>
    <t>FWO-062231</t>
  </si>
  <si>
    <t>FWO-062233</t>
  </si>
  <si>
    <t>FWO-062235</t>
  </si>
  <si>
    <t>FWO-062237</t>
  </si>
  <si>
    <t>FWO-062239</t>
  </si>
  <si>
    <t>FWO-062462</t>
  </si>
  <si>
    <t>FWO-062538</t>
  </si>
  <si>
    <t>FWO-062540</t>
  </si>
  <si>
    <t>FWO-062542</t>
  </si>
  <si>
    <t>FWO-062544</t>
  </si>
  <si>
    <t>FWO-062546</t>
  </si>
  <si>
    <t>FWO-062548</t>
  </si>
  <si>
    <t>FWO-062550</t>
  </si>
  <si>
    <t>FWO-062552</t>
  </si>
  <si>
    <t>FWO-062554</t>
  </si>
  <si>
    <t>FWO-062556</t>
  </si>
  <si>
    <t>FWO-062558</t>
  </si>
  <si>
    <t>FWO-062560</t>
  </si>
  <si>
    <t>FWO-062562</t>
  </si>
  <si>
    <t>FWO-062564</t>
  </si>
  <si>
    <t>FWO-062566</t>
  </si>
  <si>
    <t>FWO-062568</t>
  </si>
  <si>
    <t>FWO-062570</t>
  </si>
  <si>
    <t>FWO-062572</t>
  </si>
  <si>
    <t>FWO-062574</t>
  </si>
  <si>
    <t>FWO-062576</t>
  </si>
  <si>
    <t>FWO-062578</t>
  </si>
  <si>
    <t>FWO-062580</t>
  </si>
  <si>
    <t>FWO-062582</t>
  </si>
  <si>
    <t>FWO-062584</t>
  </si>
  <si>
    <t>FWO-062587</t>
  </si>
  <si>
    <t>FWO-062590</t>
  </si>
  <si>
    <t>FWO-062592</t>
  </si>
  <si>
    <t>FWO-062594</t>
  </si>
  <si>
    <t>FWO-062596</t>
  </si>
  <si>
    <t>FWO-062600</t>
  </si>
  <si>
    <t>FWO-062602</t>
  </si>
  <si>
    <t>FWO5927</t>
  </si>
  <si>
    <t>FWO5948</t>
  </si>
  <si>
    <t>FWO5962</t>
  </si>
  <si>
    <t>FWO5975</t>
  </si>
  <si>
    <t>FWO5994</t>
  </si>
  <si>
    <t>FWO6005</t>
  </si>
  <si>
    <t>OrderLineId</t>
  </si>
  <si>
    <t>Product Class</t>
  </si>
  <si>
    <t>Thickness</t>
  </si>
  <si>
    <t>Width</t>
  </si>
  <si>
    <t>Length</t>
  </si>
  <si>
    <t>OrdQty</t>
  </si>
  <si>
    <t>Qty</t>
  </si>
  <si>
    <t>ProductSegmentId</t>
  </si>
  <si>
    <t>EffectiveSoDate</t>
  </si>
  <si>
    <t>Requested</t>
  </si>
  <si>
    <t>Planned</t>
  </si>
  <si>
    <t>ProposedConfirmationDate</t>
  </si>
  <si>
    <t>ConfirmedDelivery</t>
  </si>
  <si>
    <t>FOLDate</t>
  </si>
  <si>
    <t>OTIF Planned Orders</t>
  </si>
  <si>
    <t>SO Item No.</t>
  </si>
  <si>
    <t>StockingPointId</t>
  </si>
  <si>
    <t>0558116373-4</t>
  </si>
  <si>
    <t>WIRE ROD</t>
  </si>
  <si>
    <t>OTIF PASS</t>
  </si>
  <si>
    <t>1110_FG_LNG</t>
  </si>
  <si>
    <t>0558116371-1</t>
  </si>
  <si>
    <t>OTIF FAIL</t>
  </si>
  <si>
    <t>0558116373-9</t>
  </si>
  <si>
    <t>0558116375-2</t>
  </si>
  <si>
    <t>0558116366-2</t>
  </si>
  <si>
    <t>0558116373-11</t>
  </si>
  <si>
    <t>0558116374-1</t>
  </si>
  <si>
    <t>0558116704-1</t>
  </si>
  <si>
    <t>-</t>
  </si>
  <si>
    <t>0558116373-3</t>
  </si>
  <si>
    <t>0558116370-1</t>
  </si>
  <si>
    <t>0558116370-2</t>
  </si>
  <si>
    <t>0558116383-1</t>
  </si>
  <si>
    <t>0558116374-2</t>
  </si>
  <si>
    <t>0558116373-12</t>
  </si>
  <si>
    <t>0558116366-4</t>
  </si>
  <si>
    <t>0558116373-8</t>
  </si>
  <si>
    <t>0558116378-2</t>
  </si>
  <si>
    <t>0558116384-1</t>
  </si>
  <si>
    <t>0558116364-1</t>
  </si>
  <si>
    <t>0558116373-2</t>
  </si>
  <si>
    <t>0558116648-3</t>
  </si>
  <si>
    <t>0558116648-2</t>
  </si>
  <si>
    <t>0558116704-2</t>
  </si>
  <si>
    <t>0558116378-1</t>
  </si>
  <si>
    <t>0558116373-10</t>
  </si>
  <si>
    <t>0558116565-2</t>
  </si>
  <si>
    <t>FLAT</t>
  </si>
  <si>
    <t>0558116728-3</t>
  </si>
  <si>
    <t>0558116376-1</t>
  </si>
  <si>
    <t>0558116373-1</t>
  </si>
  <si>
    <t>0558116766-2</t>
  </si>
  <si>
    <t>0558116368-4</t>
  </si>
  <si>
    <t>0558116375-1</t>
  </si>
  <si>
    <t>0558116542-1</t>
  </si>
  <si>
    <t>0558116372-1</t>
  </si>
  <si>
    <t>0558116366-3</t>
  </si>
  <si>
    <t>0558116372-4</t>
  </si>
  <si>
    <t>0558116681-2</t>
  </si>
  <si>
    <t>0558116365-1</t>
  </si>
  <si>
    <t>0558116681-3</t>
  </si>
  <si>
    <t>0558116369-1</t>
  </si>
  <si>
    <t>0558116373-7</t>
  </si>
  <si>
    <t>0558116368-1</t>
  </si>
  <si>
    <t>0558116367-2</t>
  </si>
  <si>
    <t>0558116625-3</t>
  </si>
  <si>
    <t>0558116372-3</t>
  </si>
  <si>
    <t>0558116380-1</t>
  </si>
  <si>
    <t>0558116565-1</t>
  </si>
  <si>
    <t>0558116542-2</t>
  </si>
  <si>
    <t>0558116766-1</t>
  </si>
  <si>
    <t>0558116384-2</t>
  </si>
  <si>
    <t>0558116379-1</t>
  </si>
  <si>
    <t>0558116367-1</t>
  </si>
  <si>
    <t>0558116374-3</t>
  </si>
  <si>
    <t>0558116365-2</t>
  </si>
  <si>
    <t>0558116648-1</t>
  </si>
  <si>
    <t>0558116728-2</t>
  </si>
  <si>
    <t>0558116625-1</t>
  </si>
  <si>
    <t>0558116368-2</t>
  </si>
  <si>
    <t>0558116385-1</t>
  </si>
  <si>
    <t>0558116681-1</t>
  </si>
  <si>
    <t>0558116373-6</t>
  </si>
  <si>
    <t>0558116382-1</t>
  </si>
  <si>
    <t>0558116372-2</t>
  </si>
  <si>
    <t>0558116381-1</t>
  </si>
  <si>
    <t>0558116704-3</t>
  </si>
  <si>
    <t>0558116367-3</t>
  </si>
  <si>
    <t>0558116366-1</t>
  </si>
  <si>
    <t>0558116373-5</t>
  </si>
  <si>
    <t>0558116728-1</t>
  </si>
  <si>
    <t>0558116377-1</t>
  </si>
  <si>
    <t>0558116372-5</t>
  </si>
  <si>
    <t>0558116766-3</t>
  </si>
  <si>
    <t>0558116542-3</t>
  </si>
  <si>
    <t>0558116565-3</t>
  </si>
  <si>
    <t>0558116382-3</t>
  </si>
  <si>
    <t>0558116368-3</t>
  </si>
  <si>
    <t>0558116373-13</t>
  </si>
  <si>
    <t>0558116625-2</t>
  </si>
  <si>
    <t>0558116386-3</t>
  </si>
  <si>
    <t>BLOOM</t>
  </si>
  <si>
    <t>1110_FG_CST</t>
  </si>
  <si>
    <t>CST</t>
  </si>
  <si>
    <t>0558116763-1</t>
  </si>
  <si>
    <t>0558116543-1</t>
  </si>
  <si>
    <t>0558116386-1</t>
  </si>
  <si>
    <t>0558116564-1</t>
  </si>
  <si>
    <t>0558116386-2</t>
  </si>
  <si>
    <t>3100152211-1</t>
  </si>
  <si>
    <t>BNK</t>
  </si>
  <si>
    <t>8900_FG_CBL</t>
  </si>
  <si>
    <t>CRAP</t>
  </si>
  <si>
    <t>3100128703-2</t>
  </si>
  <si>
    <t>0568011013-4</t>
  </si>
  <si>
    <t>1210_FG_CBL</t>
  </si>
  <si>
    <t>0558116565-6</t>
  </si>
  <si>
    <t>0558116565-7</t>
  </si>
  <si>
    <t>0558112074-1</t>
  </si>
  <si>
    <t>1210_FG_CRC</t>
  </si>
  <si>
    <t>0558112074-2</t>
  </si>
  <si>
    <t>0558113229-1</t>
  </si>
  <si>
    <t>0569023218-6</t>
  </si>
  <si>
    <t>0558110655-2</t>
  </si>
  <si>
    <t>0558108139-1</t>
  </si>
  <si>
    <t>0558111208-2</t>
  </si>
  <si>
    <t>0558116769-2</t>
  </si>
  <si>
    <t>0558116769-6</t>
  </si>
  <si>
    <t>0558116769-5</t>
  </si>
  <si>
    <t>0558111359-5</t>
  </si>
  <si>
    <t>0558111359-1</t>
  </si>
  <si>
    <t>0558111359-4</t>
  </si>
  <si>
    <t>0558116769-3</t>
  </si>
  <si>
    <t>0558116769-4</t>
  </si>
  <si>
    <t>0558114066-2</t>
  </si>
  <si>
    <t>0558116769-1</t>
  </si>
  <si>
    <t>0558114066-1</t>
  </si>
  <si>
    <t>0558111359-2</t>
  </si>
  <si>
    <t>0569023217-6</t>
  </si>
  <si>
    <t>0558111208-1</t>
  </si>
  <si>
    <t>0568012768-6</t>
  </si>
  <si>
    <t>0568012226-2</t>
  </si>
  <si>
    <t>0568012768-4</t>
  </si>
  <si>
    <t>0568012768-5</t>
  </si>
  <si>
    <t>0558116284-1</t>
  </si>
  <si>
    <t>0558104238-3</t>
  </si>
  <si>
    <t>0558110657-2</t>
  </si>
  <si>
    <t>0568012688-2</t>
  </si>
  <si>
    <t>0558116016-1</t>
  </si>
  <si>
    <t>0558114328-1</t>
  </si>
  <si>
    <t>0558108365-1</t>
  </si>
  <si>
    <t>0558113511-1</t>
  </si>
  <si>
    <t>0558114325-2</t>
  </si>
  <si>
    <t>0558108619-2</t>
  </si>
  <si>
    <t>0558108707-2</t>
  </si>
  <si>
    <t>0558108717-2</t>
  </si>
  <si>
    <t>0569022901-7</t>
  </si>
  <si>
    <t>0558113560-2</t>
  </si>
  <si>
    <t>0558114377-1</t>
  </si>
  <si>
    <t>0558114563-6</t>
  </si>
  <si>
    <t>0558107436-1</t>
  </si>
  <si>
    <t>0569023158-2</t>
  </si>
  <si>
    <t>0558114303-2</t>
  </si>
  <si>
    <t>0558114303-1</t>
  </si>
  <si>
    <t>0569023262-2</t>
  </si>
  <si>
    <t>0558114287-1</t>
  </si>
  <si>
    <t>0558115880-2</t>
  </si>
  <si>
    <t>0558115970-2</t>
  </si>
  <si>
    <t>0568012693-1</t>
  </si>
  <si>
    <t>0558114849-12</t>
  </si>
  <si>
    <t>0558114270-1</t>
  </si>
  <si>
    <t>0569022713-1</t>
  </si>
  <si>
    <t>0569023206-2</t>
  </si>
  <si>
    <t>0569023206-1</t>
  </si>
  <si>
    <t>0558114857-1</t>
  </si>
  <si>
    <t>0558116552-5</t>
  </si>
  <si>
    <t>0569023119-4</t>
  </si>
  <si>
    <t>0569022833-2</t>
  </si>
  <si>
    <t>0558111333-3</t>
  </si>
  <si>
    <t>0558115613-2</t>
  </si>
  <si>
    <t>0569022008-1</t>
  </si>
  <si>
    <t>0558115610-1</t>
  </si>
  <si>
    <t>0569022583-1</t>
  </si>
  <si>
    <t>0569023119-1</t>
  </si>
  <si>
    <t>0558114850-7</t>
  </si>
  <si>
    <t>0558115610-2</t>
  </si>
  <si>
    <t>0558114849-10</t>
  </si>
  <si>
    <t>0558110131-1</t>
  </si>
  <si>
    <t>0558114303-3</t>
  </si>
  <si>
    <t>0569022380-1</t>
  </si>
  <si>
    <t>0558114850-5</t>
  </si>
  <si>
    <t>0558116150-4</t>
  </si>
  <si>
    <t>0558113737-1</t>
  </si>
  <si>
    <t>0569023213-1</t>
  </si>
  <si>
    <t>0558115777-3</t>
  </si>
  <si>
    <t>0558116139-5</t>
  </si>
  <si>
    <t>0569023010-1</t>
  </si>
  <si>
    <t>0558116139-4</t>
  </si>
  <si>
    <t>0558110446-9</t>
  </si>
  <si>
    <t>0569023062-1</t>
  </si>
  <si>
    <t>0558114850-6</t>
  </si>
  <si>
    <t>0558111005-1</t>
  </si>
  <si>
    <t>0569023157-1</t>
  </si>
  <si>
    <t>0558115777-1</t>
  </si>
  <si>
    <t>0558108292-7</t>
  </si>
  <si>
    <t>0558110353-1</t>
  </si>
  <si>
    <t>0569022914-2</t>
  </si>
  <si>
    <t>0569022901-6</t>
  </si>
  <si>
    <t>0569022833-3</t>
  </si>
  <si>
    <t>0568012787-2</t>
  </si>
  <si>
    <t>0569022529-5</t>
  </si>
  <si>
    <t>0558114367-1</t>
  </si>
  <si>
    <t>0568012787-1</t>
  </si>
  <si>
    <t>0558114358-1</t>
  </si>
  <si>
    <t>0558116552-4</t>
  </si>
  <si>
    <t>0558110446-7</t>
  </si>
  <si>
    <t>0558113148-3</t>
  </si>
  <si>
    <t>0558115636-1</t>
  </si>
  <si>
    <t>0558113148-2</t>
  </si>
  <si>
    <t>0569022998-4</t>
  </si>
  <si>
    <t>0569023119-5</t>
  </si>
  <si>
    <t>0569023119-6</t>
  </si>
  <si>
    <t>0558110939-3</t>
  </si>
  <si>
    <t>0569022901-5</t>
  </si>
  <si>
    <t>0569022901-4</t>
  </si>
  <si>
    <t>0569023119-3</t>
  </si>
  <si>
    <t>0569022998-2</t>
  </si>
  <si>
    <t>0558103165-4</t>
  </si>
  <si>
    <t>0558115250-1</t>
  </si>
  <si>
    <t>0558115777-2</t>
  </si>
  <si>
    <t>0558110131-2</t>
  </si>
  <si>
    <t>0558115613-1</t>
  </si>
  <si>
    <t>0558113933-3</t>
  </si>
  <si>
    <t>0569022833-1</t>
  </si>
  <si>
    <t>0569022998-1</t>
  </si>
  <si>
    <t>0558116535-4</t>
  </si>
  <si>
    <t>0558113518-3</t>
  </si>
  <si>
    <t>0558113518-4</t>
  </si>
  <si>
    <t>0558116674-1</t>
  </si>
  <si>
    <t>0558116535-2</t>
  </si>
  <si>
    <t>0558106954-1</t>
  </si>
  <si>
    <t>0569022434-3</t>
  </si>
  <si>
    <t>0569022914-1</t>
  </si>
  <si>
    <t>0558110446-11</t>
  </si>
  <si>
    <t>0558116535-5</t>
  </si>
  <si>
    <t>0558116535-3</t>
  </si>
  <si>
    <t>0558113836-1</t>
  </si>
  <si>
    <t>0558114598-3</t>
  </si>
  <si>
    <t>0558113256-1</t>
  </si>
  <si>
    <t>0558116535-6</t>
  </si>
  <si>
    <t>0558116754-5</t>
  </si>
  <si>
    <t>0558115316-3</t>
  </si>
  <si>
    <t>0558116754-4</t>
  </si>
  <si>
    <t>0558113428-1</t>
  </si>
  <si>
    <t>0558116754-3</t>
  </si>
  <si>
    <t>0558113657-2</t>
  </si>
  <si>
    <t>0558113018-1</t>
  </si>
  <si>
    <t>0558110597-2</t>
  </si>
  <si>
    <t>0558110127-1</t>
  </si>
  <si>
    <t>0558114683-3</t>
  </si>
  <si>
    <t>0558114057-1</t>
  </si>
  <si>
    <t>0558114057-2</t>
  </si>
  <si>
    <t>0558114683-1</t>
  </si>
  <si>
    <t>0558116553-1</t>
  </si>
  <si>
    <t>0558114064-2</t>
  </si>
  <si>
    <t>0569022532-1</t>
  </si>
  <si>
    <t>0558116537-2</t>
  </si>
  <si>
    <t>0558114922-4</t>
  </si>
  <si>
    <t>0558116755-1</t>
  </si>
  <si>
    <t>0558109794-1</t>
  </si>
  <si>
    <t>0558116286-1</t>
  </si>
  <si>
    <t>0568012672-1</t>
  </si>
  <si>
    <t>0568012862-2</t>
  </si>
  <si>
    <t>0558114163-1</t>
  </si>
  <si>
    <t>0558111255-1</t>
  </si>
  <si>
    <t>0558116285-1</t>
  </si>
  <si>
    <t>0558114243-1</t>
  </si>
  <si>
    <t>0558110425-1</t>
  </si>
  <si>
    <t>0558107654-2</t>
  </si>
  <si>
    <t>0558108346-1</t>
  </si>
  <si>
    <t>0558113637-6</t>
  </si>
  <si>
    <t>0558108366-1</t>
  </si>
  <si>
    <t>0558114809-1</t>
  </si>
  <si>
    <t>0558114085-1</t>
  </si>
  <si>
    <t>0558109765-1</t>
  </si>
  <si>
    <t>0558113655-2</t>
  </si>
  <si>
    <t>0558113972-1</t>
  </si>
  <si>
    <t>0558115834-1</t>
  </si>
  <si>
    <t>0558113973-1</t>
  </si>
  <si>
    <t>0569021825-1</t>
  </si>
  <si>
    <t>0569022069-2</t>
  </si>
  <si>
    <t>0558114849-9</t>
  </si>
  <si>
    <t>0558115829-1</t>
  </si>
  <si>
    <t>0569022838-3</t>
  </si>
  <si>
    <t>0558114850-3</t>
  </si>
  <si>
    <t>0558114850-4</t>
  </si>
  <si>
    <t>0558110540-2</t>
  </si>
  <si>
    <t>0558110540-3</t>
  </si>
  <si>
    <t>0558110446-2</t>
  </si>
  <si>
    <t>0558112283-1</t>
  </si>
  <si>
    <t>0558115789-7</t>
  </si>
  <si>
    <t>0558115654-4</t>
  </si>
  <si>
    <t>0558113657-1</t>
  </si>
  <si>
    <t>0558115789-3</t>
  </si>
  <si>
    <t>0558115789-1</t>
  </si>
  <si>
    <t>0558110446-1</t>
  </si>
  <si>
    <t>0558114849-8</t>
  </si>
  <si>
    <t>0558114849-3</t>
  </si>
  <si>
    <t>0558115789-6</t>
  </si>
  <si>
    <t>0558114850-2</t>
  </si>
  <si>
    <t>0558114849-5</t>
  </si>
  <si>
    <t>0558113973-3</t>
  </si>
  <si>
    <t>0558101516-1</t>
  </si>
  <si>
    <t>0558108823-3</t>
  </si>
  <si>
    <t>0558114849-6</t>
  </si>
  <si>
    <t>0558113655-1</t>
  </si>
  <si>
    <t>0558115789-2</t>
  </si>
  <si>
    <t>0558115654-1</t>
  </si>
  <si>
    <t>0558115654-2</t>
  </si>
  <si>
    <t>0558115654-3</t>
  </si>
  <si>
    <t>0558114847-2</t>
  </si>
  <si>
    <t>0558111299-5</t>
  </si>
  <si>
    <t>0558115789-5</t>
  </si>
  <si>
    <t>0558104343-3</t>
  </si>
  <si>
    <t>0558115789-4</t>
  </si>
  <si>
    <t>0558113651-2</t>
  </si>
  <si>
    <t>0558110446-6</t>
  </si>
  <si>
    <t>0558114847-1</t>
  </si>
  <si>
    <t>0558113649-6</t>
  </si>
  <si>
    <t>0558114849-7</t>
  </si>
  <si>
    <t>0558114850-1</t>
  </si>
  <si>
    <t>0558108341-1</t>
  </si>
  <si>
    <t>0558108095-3</t>
  </si>
  <si>
    <t>0558108821-3</t>
  </si>
  <si>
    <t>0558114849-4</t>
  </si>
  <si>
    <t>0558116590-2</t>
  </si>
  <si>
    <t>0558113653-2</t>
  </si>
  <si>
    <t>0558115654-5</t>
  </si>
  <si>
    <t>0558106469-3</t>
  </si>
  <si>
    <t>0558108341-2</t>
  </si>
  <si>
    <t>0569022523-1</t>
  </si>
  <si>
    <t>0519010821-4</t>
  </si>
  <si>
    <t>1110_FG_CRC</t>
  </si>
  <si>
    <t>0519010821-1</t>
  </si>
  <si>
    <t>0558112603-2</t>
  </si>
  <si>
    <t>0558114646-1</t>
  </si>
  <si>
    <t>0558111257-1</t>
  </si>
  <si>
    <t>0519010821-2</t>
  </si>
  <si>
    <t>0519010821-3</t>
  </si>
  <si>
    <t>0519010807-4</t>
  </si>
  <si>
    <t>0519010807-3</t>
  </si>
  <si>
    <t>0569023124-2</t>
  </si>
  <si>
    <t>0519010633-1</t>
  </si>
  <si>
    <t>0558108565-2</t>
  </si>
  <si>
    <t>0569023074-1</t>
  </si>
  <si>
    <t>0569022501-3</t>
  </si>
  <si>
    <t>0568012672-3</t>
  </si>
  <si>
    <t>0569022900-1</t>
  </si>
  <si>
    <t>0558108565-1</t>
  </si>
  <si>
    <t>0519010829-4</t>
  </si>
  <si>
    <t>0519010829-2</t>
  </si>
  <si>
    <t>0569023169-9</t>
  </si>
  <si>
    <t>0569023074-2</t>
  </si>
  <si>
    <t>0569023124-1</t>
  </si>
  <si>
    <t>0569022918-24</t>
  </si>
  <si>
    <t>0569022918-15</t>
  </si>
  <si>
    <t>0569022900-2</t>
  </si>
  <si>
    <t>0519010829-3</t>
  </si>
  <si>
    <t>0558109784-9</t>
  </si>
  <si>
    <t>0558112522-1</t>
  </si>
  <si>
    <t>0558111260-1</t>
  </si>
  <si>
    <t>0569022918-33</t>
  </si>
  <si>
    <t>0558109959-7</t>
  </si>
  <si>
    <t>0558114915-5</t>
  </si>
  <si>
    <t>0558114213-1</t>
  </si>
  <si>
    <t>0569022839-3</t>
  </si>
  <si>
    <t>0558108070-1</t>
  </si>
  <si>
    <t>0569023050-26</t>
  </si>
  <si>
    <t>0558112956-3</t>
  </si>
  <si>
    <t>0569022839-2</t>
  </si>
  <si>
    <t>0569022838-1</t>
  </si>
  <si>
    <t>0569022838-4</t>
  </si>
  <si>
    <t>0568012695-2</t>
  </si>
  <si>
    <t>0569022837-2</t>
  </si>
  <si>
    <t>0558114915-4</t>
  </si>
  <si>
    <t>0568012672-2</t>
  </si>
  <si>
    <t>0569023020-2</t>
  </si>
  <si>
    <t>0558113137-1</t>
  </si>
  <si>
    <t>0569023178-2</t>
  </si>
  <si>
    <t>0569023178-3</t>
  </si>
  <si>
    <t>0569023178-1</t>
  </si>
  <si>
    <t>0558114774-2</t>
  </si>
  <si>
    <t>0558113538-7</t>
  </si>
  <si>
    <t>0569022127-1</t>
  </si>
  <si>
    <t>0569023169-2</t>
  </si>
  <si>
    <t>0558114678-1</t>
  </si>
  <si>
    <t>0558115964-2</t>
  </si>
  <si>
    <t>0558113511-2</t>
  </si>
  <si>
    <t>0569023173-1</t>
  </si>
  <si>
    <t>0558113847-13</t>
  </si>
  <si>
    <t>0558116087-2</t>
  </si>
  <si>
    <t>0569022837-1</t>
  </si>
  <si>
    <t>0558114158-2</t>
  </si>
  <si>
    <t>0569022523-2</t>
  </si>
  <si>
    <t>0558115990-1</t>
  </si>
  <si>
    <t>0558108195-2</t>
  </si>
  <si>
    <t>0558113436-1</t>
  </si>
  <si>
    <t>0558114135-1</t>
  </si>
  <si>
    <t>0558114117-2</t>
  </si>
  <si>
    <t>0569023169-3</t>
  </si>
  <si>
    <t>0569023169-4</t>
  </si>
  <si>
    <t>0558114660-3</t>
  </si>
  <si>
    <t>0568012688-4</t>
  </si>
  <si>
    <t>0558111333-2</t>
  </si>
  <si>
    <t>0569022529-4</t>
  </si>
  <si>
    <t>0558113307-1</t>
  </si>
  <si>
    <t>0558114101-2</t>
  </si>
  <si>
    <t>0569023169-8</t>
  </si>
  <si>
    <t>0569023169-1</t>
  </si>
  <si>
    <t>0569022787-1</t>
  </si>
  <si>
    <t>0568012695-3</t>
  </si>
  <si>
    <t>0569023069-3</t>
  </si>
  <si>
    <t>0558113404-1</t>
  </si>
  <si>
    <t>0558110846-1</t>
  </si>
  <si>
    <t>0569022918-26</t>
  </si>
  <si>
    <t>0558110380-4</t>
  </si>
  <si>
    <t>0558113326-2</t>
  </si>
  <si>
    <t>0569023063-2</t>
  </si>
  <si>
    <t>0558110504-1</t>
  </si>
  <si>
    <t>0569023050-8</t>
  </si>
  <si>
    <t>0569023050-25</t>
  </si>
  <si>
    <t>0558114952-1</t>
  </si>
  <si>
    <t>0568012765-3</t>
  </si>
  <si>
    <t>0558116266-2</t>
  </si>
  <si>
    <t>0558107580-1</t>
  </si>
  <si>
    <t>0558116266-3</t>
  </si>
  <si>
    <t>0558116266-1</t>
  </si>
  <si>
    <t>0558114062-5</t>
  </si>
  <si>
    <t>0558116267-1</t>
  </si>
  <si>
    <t>0558113548-1</t>
  </si>
  <si>
    <t>0558116267-2</t>
  </si>
  <si>
    <t>0558116267-3</t>
  </si>
  <si>
    <t>0558116268-2</t>
  </si>
  <si>
    <t>0558116268-1</t>
  </si>
  <si>
    <t>0558116268-3</t>
  </si>
  <si>
    <t>0569023069-4</t>
  </si>
  <si>
    <t>0558114048-2</t>
  </si>
  <si>
    <t>0558114158-1</t>
  </si>
  <si>
    <t>0569022529-7</t>
  </si>
  <si>
    <t>0558107008-6</t>
  </si>
  <si>
    <t>0558113737-2</t>
  </si>
  <si>
    <t>0569023050-24</t>
  </si>
  <si>
    <t>0558110852-5</t>
  </si>
  <si>
    <t>0558110852-3</t>
  </si>
  <si>
    <t>0558113587-1</t>
  </si>
  <si>
    <t>0558114032-7</t>
  </si>
  <si>
    <t>0569023050-27</t>
  </si>
  <si>
    <t>0558115984-1</t>
  </si>
  <si>
    <t>0558115435-5</t>
  </si>
  <si>
    <t>0569023014-2</t>
  </si>
  <si>
    <t>0558115807-1</t>
  </si>
  <si>
    <t>0558115807-2</t>
  </si>
  <si>
    <t>0558115438-2</t>
  </si>
  <si>
    <t>0558111495-1</t>
  </si>
  <si>
    <t>0558113552-2</t>
  </si>
  <si>
    <t>0558115636-3</t>
  </si>
  <si>
    <t>0558115636-4</t>
  </si>
  <si>
    <t>0558114341-1</t>
  </si>
  <si>
    <t>0558114341-2</t>
  </si>
  <si>
    <t>0558113562-7</t>
  </si>
  <si>
    <t>0558115438-3</t>
  </si>
  <si>
    <t>0558116754-2</t>
  </si>
  <si>
    <t>0558114480-1</t>
  </si>
  <si>
    <t>0558114563-4</t>
  </si>
  <si>
    <t>0558115313-1</t>
  </si>
  <si>
    <t>0558115282-1</t>
  </si>
  <si>
    <t>0558115282-2</t>
  </si>
  <si>
    <t>0558115282-3</t>
  </si>
  <si>
    <t>0569023063-3</t>
  </si>
  <si>
    <t>0558115257-2</t>
  </si>
  <si>
    <t>0558114563-5</t>
  </si>
  <si>
    <t>0558114905-1</t>
  </si>
  <si>
    <t>0558114863-1</t>
  </si>
  <si>
    <t>0558112912-1</t>
  </si>
  <si>
    <t>0558114600-1</t>
  </si>
  <si>
    <t>0558114636-1</t>
  </si>
  <si>
    <t>0558114650-3</t>
  </si>
  <si>
    <t>0558116250-3</t>
  </si>
  <si>
    <t>0558114650-2</t>
  </si>
  <si>
    <t>0558113353-1</t>
  </si>
  <si>
    <t>0558116246-1</t>
  </si>
  <si>
    <t>0569023121-3</t>
  </si>
  <si>
    <t>0558114650-1</t>
  </si>
  <si>
    <t>0558116249-3</t>
  </si>
  <si>
    <t>0558116754-6</t>
  </si>
  <si>
    <t>0558113290-1</t>
  </si>
  <si>
    <t>0558113290-2</t>
  </si>
  <si>
    <t>0568011593-4</t>
  </si>
  <si>
    <t>0568011593-2</t>
  </si>
  <si>
    <t>0558114731-1</t>
  </si>
  <si>
    <t>0568011774-1</t>
  </si>
  <si>
    <t>0558111261-1</t>
  </si>
  <si>
    <t>0558114863-2</t>
  </si>
  <si>
    <t>0558113270-1</t>
  </si>
  <si>
    <t>0558113206-1</t>
  </si>
  <si>
    <t>0558116248-3</t>
  </si>
  <si>
    <t>0558116247-3</t>
  </si>
  <si>
    <t>0519010823-2</t>
  </si>
  <si>
    <t>0569023218-3</t>
  </si>
  <si>
    <t>0569023217-3</t>
  </si>
  <si>
    <t>0558111465-3</t>
  </si>
  <si>
    <t>0519010823-3</t>
  </si>
  <si>
    <t>0519010823-1</t>
  </si>
  <si>
    <t>0558113338-15</t>
  </si>
  <si>
    <t>0519010823-4</t>
  </si>
  <si>
    <t>0519010822-2</t>
  </si>
  <si>
    <t>0519010822-1</t>
  </si>
  <si>
    <t>0519010822-4</t>
  </si>
  <si>
    <t>0519010822-3</t>
  </si>
  <si>
    <t>0569022625-1</t>
  </si>
  <si>
    <t>0558112955-2</t>
  </si>
  <si>
    <t>0569023062-7</t>
  </si>
  <si>
    <t>0519010826-1</t>
  </si>
  <si>
    <t>0569021870-6</t>
  </si>
  <si>
    <t>0519010827-1</t>
  </si>
  <si>
    <t>0569023239-1</t>
  </si>
  <si>
    <t>0569023237-1</t>
  </si>
  <si>
    <t>0569023235-4</t>
  </si>
  <si>
    <t>0519010830-2</t>
  </si>
  <si>
    <t>0569022821-1</t>
  </si>
  <si>
    <t>0569023240-1</t>
  </si>
  <si>
    <t>0558115780-1</t>
  </si>
  <si>
    <t>0569022895-6</t>
  </si>
  <si>
    <t>0558114888-8</t>
  </si>
  <si>
    <t>0569022895-7</t>
  </si>
  <si>
    <t>0569023174-1</t>
  </si>
  <si>
    <t>0569023174-2</t>
  </si>
  <si>
    <t>0569023173-3</t>
  </si>
  <si>
    <t>0569023173-2</t>
  </si>
  <si>
    <t>0569023169-21</t>
  </si>
  <si>
    <t>0558114900-1</t>
  </si>
  <si>
    <t>0569023169-13</t>
  </si>
  <si>
    <t>0569023169-23</t>
  </si>
  <si>
    <t>0569023169-18</t>
  </si>
  <si>
    <t>0569023169-15</t>
  </si>
  <si>
    <t>0558114058-2</t>
  </si>
  <si>
    <t>0569023169-19</t>
  </si>
  <si>
    <t>0519010824-1</t>
  </si>
  <si>
    <t>0569023233-1</t>
  </si>
  <si>
    <t>0569022625-3</t>
  </si>
  <si>
    <t>0558115468-1</t>
  </si>
  <si>
    <t>0558113270-2</t>
  </si>
  <si>
    <t>0569023234-1</t>
  </si>
  <si>
    <t>0558112993-2</t>
  </si>
  <si>
    <t>0569022895-8</t>
  </si>
  <si>
    <t>0569022998-15</t>
  </si>
  <si>
    <t>0519010825-1</t>
  </si>
  <si>
    <t>0558114888-7</t>
  </si>
  <si>
    <t>0569021433-6</t>
  </si>
  <si>
    <t>0519010828-1</t>
  </si>
  <si>
    <t>0569023228-1</t>
  </si>
  <si>
    <t>0569023229-1</t>
  </si>
  <si>
    <t>0569023069-2</t>
  </si>
  <si>
    <t>0569023235-5</t>
  </si>
  <si>
    <t>0569023068-1</t>
  </si>
  <si>
    <t>0569022821-2</t>
  </si>
  <si>
    <t>0569023093-1</t>
  </si>
  <si>
    <t>0569022895-9</t>
  </si>
  <si>
    <t>0569023235-2</t>
  </si>
  <si>
    <t>0569023231-1</t>
  </si>
  <si>
    <t>0569023235-1</t>
  </si>
  <si>
    <t>0569023231-2</t>
  </si>
  <si>
    <t>0569023064-1</t>
  </si>
  <si>
    <t>0558113009-1</t>
  </si>
  <si>
    <t>0558111352-2</t>
  </si>
  <si>
    <t>0569023233-4</t>
  </si>
  <si>
    <t>0569023062-8</t>
  </si>
  <si>
    <t>0569023229-2</t>
  </si>
  <si>
    <t>0569022419-1</t>
  </si>
  <si>
    <t>0558112993-4</t>
  </si>
  <si>
    <t>0558113751-1</t>
  </si>
  <si>
    <t>0569023015-1</t>
  </si>
  <si>
    <t>0558114888-5</t>
  </si>
  <si>
    <t>0569023235-3</t>
  </si>
  <si>
    <t>0569022998-13</t>
  </si>
  <si>
    <t>0558114697-1</t>
  </si>
  <si>
    <t>0569022515-2</t>
  </si>
  <si>
    <t>0569022628-1</t>
  </si>
  <si>
    <t>0569022625-2</t>
  </si>
  <si>
    <t>0569021870-1</t>
  </si>
  <si>
    <t>0569022625-4</t>
  </si>
  <si>
    <t>0569023236-2</t>
  </si>
  <si>
    <t>0519010820-1</t>
  </si>
  <si>
    <t>0519010818-2</t>
  </si>
  <si>
    <t>0519010818-1</t>
  </si>
  <si>
    <t>0519010817-1</t>
  </si>
  <si>
    <t>0569022966-3</t>
  </si>
  <si>
    <t>0569023237-2</t>
  </si>
  <si>
    <t>0569022574-1</t>
  </si>
  <si>
    <t>0519010804-1</t>
  </si>
  <si>
    <t>0569023233-3</t>
  </si>
  <si>
    <t>0519010804-2</t>
  </si>
  <si>
    <t>0569023236-1</t>
  </si>
  <si>
    <t>0519010804-3</t>
  </si>
  <si>
    <t>0569023233-2</t>
  </si>
  <si>
    <t>0558114888-6</t>
  </si>
  <si>
    <t>0569021870-2</t>
  </si>
  <si>
    <t>0569022998-14</t>
  </si>
  <si>
    <t>0569021870-3</t>
  </si>
  <si>
    <t>0558114115-1</t>
  </si>
  <si>
    <t>0569023062-4</t>
  </si>
  <si>
    <t>0558115446-1</t>
  </si>
  <si>
    <t>0558115794-1</t>
  </si>
  <si>
    <t>0569023062-6</t>
  </si>
  <si>
    <t>0558113602-1</t>
  </si>
  <si>
    <t>0569022434-1</t>
  </si>
  <si>
    <t>0558114888-2</t>
  </si>
  <si>
    <t>0558111416-2</t>
  </si>
  <si>
    <t>0558114888-4</t>
  </si>
  <si>
    <t>0558116793-10</t>
  </si>
  <si>
    <t>0569022998-5</t>
  </si>
  <si>
    <t>0569023217-1</t>
  </si>
  <si>
    <t>0558111712-1</t>
  </si>
  <si>
    <t>0569023218-1</t>
  </si>
  <si>
    <t>0569022998-9</t>
  </si>
  <si>
    <t>0558113091-1</t>
  </si>
  <si>
    <t>0569023062-5</t>
  </si>
  <si>
    <t>0558113090-1</t>
  </si>
  <si>
    <t>0558112960-1</t>
  </si>
  <si>
    <t>0558112956-1</t>
  </si>
  <si>
    <t>0569022779-1</t>
  </si>
  <si>
    <t>0558111428-5</t>
  </si>
  <si>
    <t>0568011811-3</t>
  </si>
  <si>
    <t>0569023249-4</t>
  </si>
  <si>
    <t>0558112541-3</t>
  </si>
  <si>
    <t>0569023230-1</t>
  </si>
  <si>
    <t>0558111465-1</t>
  </si>
  <si>
    <t>0558112494-1</t>
  </si>
  <si>
    <t>0569023249-3</t>
  </si>
  <si>
    <t>0558112459-6</t>
  </si>
  <si>
    <t>0568011811-5</t>
  </si>
  <si>
    <t>0558112371-3</t>
  </si>
  <si>
    <t>0558078645-4</t>
  </si>
  <si>
    <t>0568012226-1</t>
  </si>
  <si>
    <t>0558114264-1</t>
  </si>
  <si>
    <t>0569023010-3</t>
  </si>
  <si>
    <t>0558114888-1</t>
  </si>
  <si>
    <t>0569022895-2</t>
  </si>
  <si>
    <t>0569022998-6</t>
  </si>
  <si>
    <t>0569022998-10</t>
  </si>
  <si>
    <t>0569022998-11</t>
  </si>
  <si>
    <t>0569023232-1</t>
  </si>
  <si>
    <t>0558116674-2</t>
  </si>
  <si>
    <t>0569022895-1</t>
  </si>
  <si>
    <t>0569022998-7</t>
  </si>
  <si>
    <t>0569023168-2</t>
  </si>
  <si>
    <t>0558114660-2</t>
  </si>
  <si>
    <t>0569021526-8</t>
  </si>
  <si>
    <t>0569021526-10</t>
  </si>
  <si>
    <t>0569023249-6</t>
  </si>
  <si>
    <t>0558116087-4</t>
  </si>
  <si>
    <t>0558116741-1</t>
  </si>
  <si>
    <t>0569022998-12</t>
  </si>
  <si>
    <t>0558113008-1</t>
  </si>
  <si>
    <t>0558110131-3</t>
  </si>
  <si>
    <t>0569023013-1</t>
  </si>
  <si>
    <t>0569023244-3</t>
  </si>
  <si>
    <t>0569022955-3</t>
  </si>
  <si>
    <t>0569022998-8</t>
  </si>
  <si>
    <t>0569023244-5</t>
  </si>
  <si>
    <t>0558111494-1</t>
  </si>
  <si>
    <t>0558108414-1</t>
  </si>
  <si>
    <t>0558116090-2</t>
  </si>
  <si>
    <t>0558114579-1</t>
  </si>
  <si>
    <t>0569023249-10</t>
  </si>
  <si>
    <t>0558116087-1</t>
  </si>
  <si>
    <t>0558111302-1</t>
  </si>
  <si>
    <t>0558111299-2</t>
  </si>
  <si>
    <t>0558111299-4</t>
  </si>
  <si>
    <t>0569023062-3</t>
  </si>
  <si>
    <t>0558116087-3</t>
  </si>
  <si>
    <t>0558113933-6</t>
  </si>
  <si>
    <t>0569022943-1</t>
  </si>
  <si>
    <t>0558105826-1</t>
  </si>
  <si>
    <t>0569022430-1</t>
  </si>
  <si>
    <t>0569023168-1</t>
  </si>
  <si>
    <t>0569023244-2</t>
  </si>
  <si>
    <t>0569023249-7</t>
  </si>
  <si>
    <t>0569023249-9</t>
  </si>
  <si>
    <t>0569023249-5</t>
  </si>
  <si>
    <t>0558114402-2</t>
  </si>
  <si>
    <t>0569023249-8</t>
  </si>
  <si>
    <t>0558112274-1</t>
  </si>
  <si>
    <t>0569023249-2</t>
  </si>
  <si>
    <t>0569023249-1</t>
  </si>
  <si>
    <t>0569022012-14</t>
  </si>
  <si>
    <t>0558116754-1</t>
  </si>
  <si>
    <t>0569023245-1</t>
  </si>
  <si>
    <t>0558112472-1</t>
  </si>
  <si>
    <t>0569023244-9</t>
  </si>
  <si>
    <t>0569023244-8</t>
  </si>
  <si>
    <t>0569023244-7</t>
  </si>
  <si>
    <t>0558116721-1</t>
  </si>
  <si>
    <t>0558116721-2</t>
  </si>
  <si>
    <t>0569023244-6</t>
  </si>
  <si>
    <t>0569023244-4</t>
  </si>
  <si>
    <t>0558116535-1</t>
  </si>
  <si>
    <t>0569023244-1</t>
  </si>
  <si>
    <t>0569023238-1</t>
  </si>
  <si>
    <t>0558113997-7</t>
  </si>
  <si>
    <t>0569022895-5</t>
  </si>
  <si>
    <t>0569022895-4</t>
  </si>
  <si>
    <t>0558116697-1</t>
  </si>
  <si>
    <t>0558116536-1</t>
  </si>
  <si>
    <t>0558116536-2</t>
  </si>
  <si>
    <t>0558116697-2</t>
  </si>
  <si>
    <t>0569022895-3</t>
  </si>
  <si>
    <t>0558116723-1</t>
  </si>
  <si>
    <t>0558112480-2</t>
  </si>
  <si>
    <t>0558110553-3</t>
  </si>
  <si>
    <t>0558116723-2</t>
  </si>
  <si>
    <t>0558116676-1</t>
  </si>
  <si>
    <t>0558116722-1</t>
  </si>
  <si>
    <t>0558113277-2</t>
  </si>
  <si>
    <t>0558109843-6</t>
  </si>
  <si>
    <t>0558116700-1</t>
  </si>
  <si>
    <t>0558113796-1</t>
  </si>
  <si>
    <t>0558113096-1</t>
  </si>
  <si>
    <t>0558116699-2</t>
  </si>
  <si>
    <t>0558110631-1</t>
  </si>
  <si>
    <t>0558116676-2</t>
  </si>
  <si>
    <t>0558114723-2</t>
  </si>
  <si>
    <t>0558116122-2</t>
  </si>
  <si>
    <t>0558116677-1</t>
  </si>
  <si>
    <t>0558114660-1</t>
  </si>
  <si>
    <t>0558113290-4</t>
  </si>
  <si>
    <t>0558114660-4</t>
  </si>
  <si>
    <t>0558102211-1</t>
  </si>
  <si>
    <t>0558116703-1</t>
  </si>
  <si>
    <t>0558114649-5</t>
  </si>
  <si>
    <t>0558116552-1</t>
  </si>
  <si>
    <t>0558116621-1</t>
  </si>
  <si>
    <t>0558116699-1</t>
  </si>
  <si>
    <t>0558116620-1</t>
  </si>
  <si>
    <t>0558114829-1</t>
  </si>
  <si>
    <t>0558110384-1</t>
  </si>
  <si>
    <t>0558114572-3</t>
  </si>
  <si>
    <t>0558116647-1</t>
  </si>
  <si>
    <t>0558116644-1</t>
  </si>
  <si>
    <t>0558116562-1</t>
  </si>
  <si>
    <t>0558116562-2</t>
  </si>
  <si>
    <t>0558114922-3</t>
  </si>
  <si>
    <t>0558114488-1</t>
  </si>
  <si>
    <t>0558116680-1</t>
  </si>
  <si>
    <t>0558116619-1</t>
  </si>
  <si>
    <t>0558114922-2</t>
  </si>
  <si>
    <t>0558116624-1</t>
  </si>
  <si>
    <t>0558116643-2</t>
  </si>
  <si>
    <t>0558114730-1</t>
  </si>
  <si>
    <t>0558115344-1</t>
  </si>
  <si>
    <t>0558116643-1</t>
  </si>
  <si>
    <t>0558116642-1</t>
  </si>
  <si>
    <t>0568012702-2</t>
  </si>
  <si>
    <t>0558113403-1</t>
  </si>
  <si>
    <t>0558110383-6</t>
  </si>
  <si>
    <t>0558110553-2</t>
  </si>
  <si>
    <t>0558110553-1</t>
  </si>
  <si>
    <t>0558116620-2</t>
  </si>
  <si>
    <t>0558116698-1</t>
  </si>
  <si>
    <t>0558112177-1</t>
  </si>
  <si>
    <t>0558116675-1</t>
  </si>
  <si>
    <t>0558116727-1</t>
  </si>
  <si>
    <t>0558116724-1</t>
  </si>
  <si>
    <t>0558111186-1</t>
  </si>
  <si>
    <t>0558116725-1</t>
  </si>
  <si>
    <t>0558116701-1</t>
  </si>
  <si>
    <t>0558116618-2</t>
  </si>
  <si>
    <t>0558116618-1</t>
  </si>
  <si>
    <t>0558116678-1</t>
  </si>
  <si>
    <t>0558114345-1</t>
  </si>
  <si>
    <t>0558116283-2</t>
  </si>
  <si>
    <t>0558116283-1</t>
  </si>
  <si>
    <t>0558116282-1</t>
  </si>
  <si>
    <t>0569023169-20</t>
  </si>
  <si>
    <t>0558109177-1</t>
  </si>
  <si>
    <t>0558113089-1</t>
  </si>
  <si>
    <t>0558116726-1</t>
  </si>
  <si>
    <t>0558116679-1</t>
  </si>
  <si>
    <t>0558116623-1</t>
  </si>
  <si>
    <t>0558116144-1</t>
  </si>
  <si>
    <t>0568012792-15</t>
  </si>
  <si>
    <t>0558116645-1</t>
  </si>
  <si>
    <t>0558116282-2</t>
  </si>
  <si>
    <t>0558116287-1</t>
  </si>
  <si>
    <t>0558116144-2</t>
  </si>
  <si>
    <t>0569022585-1</t>
  </si>
  <si>
    <t>0558108419-3</t>
  </si>
  <si>
    <t>0558113933-2</t>
  </si>
  <si>
    <t>0558116641-1</t>
  </si>
  <si>
    <t>0558110930-1</t>
  </si>
  <si>
    <t>0569022747-2</t>
  </si>
  <si>
    <t>0568012792-14</t>
  </si>
  <si>
    <t>0558115880-3</t>
  </si>
  <si>
    <t>0558110878-1</t>
  </si>
  <si>
    <t>0558113933-5</t>
  </si>
  <si>
    <t>0558114725-1</t>
  </si>
  <si>
    <t>0558110847-1</t>
  </si>
  <si>
    <t>0568012792-12</t>
  </si>
  <si>
    <t>0558108573-1</t>
  </si>
  <si>
    <t>0558110972-1</t>
  </si>
  <si>
    <t>0558114649-2</t>
  </si>
  <si>
    <t>0558108573-2</t>
  </si>
  <si>
    <t>0558116622-1</t>
  </si>
  <si>
    <t>0558115796-7</t>
  </si>
  <si>
    <t>0568012753-2</t>
  </si>
  <si>
    <t>0558116702-1</t>
  </si>
  <si>
    <t>0568012792-10</t>
  </si>
  <si>
    <t>0558109044-8</t>
  </si>
  <si>
    <t>0568012792-11</t>
  </si>
  <si>
    <t>0568012792-13</t>
  </si>
  <si>
    <t>0558115995-1</t>
  </si>
  <si>
    <t>0558114062-1</t>
  </si>
  <si>
    <t>0558108714-2</t>
  </si>
  <si>
    <t>0558116646-1</t>
  </si>
  <si>
    <t>0558115611-4</t>
  </si>
  <si>
    <t>0558112038-2</t>
  </si>
  <si>
    <t>0558098237-9</t>
  </si>
  <si>
    <t>0558108714-3</t>
  </si>
  <si>
    <t>0558110587-1</t>
  </si>
  <si>
    <t>0558110374-5</t>
  </si>
  <si>
    <t>0558111073-1</t>
  </si>
  <si>
    <t>0558114649-3</t>
  </si>
  <si>
    <t>0558110577-1</t>
  </si>
  <si>
    <t>0558110991-5</t>
  </si>
  <si>
    <t>0558110156-3</t>
  </si>
  <si>
    <t>0569022747-1</t>
  </si>
  <si>
    <t>0569022380-2</t>
  </si>
  <si>
    <t>0558106703-2</t>
  </si>
  <si>
    <t>0569022380-3</t>
  </si>
  <si>
    <t>0558113481-1</t>
  </si>
  <si>
    <t>0558112395-4</t>
  </si>
  <si>
    <t>0558108039-3</t>
  </si>
  <si>
    <t>0569022942-2</t>
  </si>
  <si>
    <t>0558115796-9</t>
  </si>
  <si>
    <t>0558115976-1</t>
  </si>
  <si>
    <t>0558107713-2</t>
  </si>
  <si>
    <t>0558107797-2</t>
  </si>
  <si>
    <t>0558113825-1</t>
  </si>
  <si>
    <t>0558116552-3</t>
  </si>
  <si>
    <t>0558116552-2</t>
  </si>
  <si>
    <t>0558115775-16</t>
  </si>
  <si>
    <t>0558078645-5</t>
  </si>
  <si>
    <t>0558115775-17</t>
  </si>
  <si>
    <t>0558115775-12</t>
  </si>
  <si>
    <t>0569022675-1</t>
  </si>
  <si>
    <t>0558115775-3</t>
  </si>
  <si>
    <t>0558115775-13</t>
  </si>
  <si>
    <t>0558115775-10</t>
  </si>
  <si>
    <t>0558115775-2</t>
  </si>
  <si>
    <t>0558115775-15</t>
  </si>
  <si>
    <t>0558115775-7</t>
  </si>
  <si>
    <t>0558115775-6</t>
  </si>
  <si>
    <t>0558115775-8</t>
  </si>
  <si>
    <t>0558115775-5</t>
  </si>
  <si>
    <t>0558115775-11</t>
  </si>
  <si>
    <t>0558115775-4</t>
  </si>
  <si>
    <t>0558116641-2</t>
  </si>
  <si>
    <t>0558104921-4</t>
  </si>
  <si>
    <t>0558104921-6</t>
  </si>
  <si>
    <t>0558112841-1</t>
  </si>
  <si>
    <t>0558101344-1</t>
  </si>
  <si>
    <t>0558104921-5</t>
  </si>
  <si>
    <t>0558113013-1</t>
  </si>
  <si>
    <t>0569022839-1</t>
  </si>
  <si>
    <t>0558113933-1</t>
  </si>
  <si>
    <t>0558112276-2</t>
  </si>
  <si>
    <t>0558115485-1</t>
  </si>
  <si>
    <t>0558116122-1</t>
  </si>
  <si>
    <t>0558115485-2</t>
  </si>
  <si>
    <t>0558109603-1</t>
  </si>
  <si>
    <t>0568012768-3</t>
  </si>
  <si>
    <t>0568012768-2</t>
  </si>
  <si>
    <t>0558114915-3</t>
  </si>
  <si>
    <t>0558113718-10</t>
  </si>
  <si>
    <t>0558116516-1</t>
  </si>
  <si>
    <t>0558116552-6</t>
  </si>
  <si>
    <t>0558116782-1</t>
  </si>
  <si>
    <t>0558114915-2</t>
  </si>
  <si>
    <t>0558111073-3</t>
  </si>
  <si>
    <t>0569023169-14</t>
  </si>
  <si>
    <t>0569023169-16</t>
  </si>
  <si>
    <t>0558104168-1</t>
  </si>
  <si>
    <t>0558114268-1</t>
  </si>
  <si>
    <t>0558114268-3</t>
  </si>
  <si>
    <t>0558114268-2</t>
  </si>
  <si>
    <t>0558098249-4</t>
  </si>
  <si>
    <t>0558112371-2</t>
  </si>
  <si>
    <t>0558115816-2</t>
  </si>
  <si>
    <t>0558113973-2</t>
  </si>
  <si>
    <t>0558113256-2</t>
  </si>
  <si>
    <t>0558100276-1</t>
  </si>
  <si>
    <t>0558114336-4</t>
  </si>
  <si>
    <t>0558114849-11</t>
  </si>
  <si>
    <t>0558114847-3</t>
  </si>
  <si>
    <t>0558113933-4</t>
  </si>
  <si>
    <t>0569022769-2</t>
  </si>
  <si>
    <t>0558113219-4</t>
  </si>
  <si>
    <t>0558115293-1</t>
  </si>
  <si>
    <t>0558114030-1</t>
  </si>
  <si>
    <t>0558115477-6</t>
  </si>
  <si>
    <t>0558113577-1</t>
  </si>
  <si>
    <t>0558113126-1</t>
  </si>
  <si>
    <t>0558115477-3</t>
  </si>
  <si>
    <t>0558115477-1</t>
  </si>
  <si>
    <t>0558115583-1</t>
  </si>
  <si>
    <t>0558112404-6</t>
  </si>
  <si>
    <t>0558115776-1</t>
  </si>
  <si>
    <t>0558114598-1</t>
  </si>
  <si>
    <t>0558114454-1</t>
  </si>
  <si>
    <t>0558115746-5</t>
  </si>
  <si>
    <t>0558115611-3</t>
  </si>
  <si>
    <t>0558114103-1</t>
  </si>
  <si>
    <t>0569022885-6</t>
  </si>
  <si>
    <t>0558114151-4</t>
  </si>
  <si>
    <t>0558115477-5</t>
  </si>
  <si>
    <t>0558115607-1</t>
  </si>
  <si>
    <t>0558113642-1</t>
  </si>
  <si>
    <t>0558113196-5</t>
  </si>
  <si>
    <t>0558115793-1</t>
  </si>
  <si>
    <t>0558114200-1</t>
  </si>
  <si>
    <t>0558116127-1</t>
  </si>
  <si>
    <t>0558114911-1</t>
  </si>
  <si>
    <t>0558115477-4</t>
  </si>
  <si>
    <t>0558113192-3</t>
  </si>
  <si>
    <t>0558115763-1</t>
  </si>
  <si>
    <t>0558114742-2</t>
  </si>
  <si>
    <t>0558112020-1</t>
  </si>
  <si>
    <t>0558116271-2</t>
  </si>
  <si>
    <t>0558113830-1</t>
  </si>
  <si>
    <t>0558116271-1</t>
  </si>
  <si>
    <t>0558114845-2</t>
  </si>
  <si>
    <t>0569023217-2</t>
  </si>
  <si>
    <t>0558114598-2</t>
  </si>
  <si>
    <t>0558113991-2</t>
  </si>
  <si>
    <t>0558116270-2</t>
  </si>
  <si>
    <t>0558111102-1</t>
  </si>
  <si>
    <t>0558114817-3</t>
  </si>
  <si>
    <t>0569022769-1</t>
  </si>
  <si>
    <t>0558113991-1</t>
  </si>
  <si>
    <t>0558114312-1</t>
  </si>
  <si>
    <t>0558101371-2</t>
  </si>
  <si>
    <t>0558102521-6</t>
  </si>
  <si>
    <t>0569023217-4</t>
  </si>
  <si>
    <t>0569023218-4</t>
  </si>
  <si>
    <t>0558114534-19</t>
  </si>
  <si>
    <t>0569022756-4</t>
  </si>
  <si>
    <t>0569023218-2</t>
  </si>
  <si>
    <t>0569022756-1</t>
  </si>
  <si>
    <t>0558095455-3</t>
  </si>
  <si>
    <t>0558111162-2</t>
  </si>
  <si>
    <t>0558115477-2</t>
  </si>
  <si>
    <t>0558116247-2</t>
  </si>
  <si>
    <t>0558116248-2</t>
  </si>
  <si>
    <t>0558113219-1</t>
  </si>
  <si>
    <t>0558113219-3</t>
  </si>
  <si>
    <t>0558113137-2</t>
  </si>
  <si>
    <t>0558113851-1</t>
  </si>
  <si>
    <t>0558116165-4</t>
  </si>
  <si>
    <t>0558115605-3</t>
  </si>
  <si>
    <t>0558116126-3</t>
  </si>
  <si>
    <t>0558116165-1</t>
  </si>
  <si>
    <t>0558113850-2</t>
  </si>
  <si>
    <t>0558115782-1</t>
  </si>
  <si>
    <t>0558115821-1</t>
  </si>
  <si>
    <t>0558113219-2</t>
  </si>
  <si>
    <t>0558116249-2</t>
  </si>
  <si>
    <t>0558114817-1</t>
  </si>
  <si>
    <t>0558109959-8</t>
  </si>
  <si>
    <t>0558114546-1</t>
  </si>
  <si>
    <t>0558113548-2</t>
  </si>
  <si>
    <t>0558111709-2</t>
  </si>
  <si>
    <t>0558115796-5</t>
  </si>
  <si>
    <t>0558113719-1</t>
  </si>
  <si>
    <t>0558113126-3</t>
  </si>
  <si>
    <t>0558114224-1</t>
  </si>
  <si>
    <t>0558111777-1</t>
  </si>
  <si>
    <t>0558114827-1</t>
  </si>
  <si>
    <t>0558116127-4</t>
  </si>
  <si>
    <t>0558114409-3</t>
  </si>
  <si>
    <t>0558116165-3</t>
  </si>
  <si>
    <t>0558111162-3</t>
  </si>
  <si>
    <t>0558115796-4</t>
  </si>
  <si>
    <t>0558115412-1</t>
  </si>
  <si>
    <t>0558114207-4</t>
  </si>
  <si>
    <t>0558113335-2</t>
  </si>
  <si>
    <t>0558113353-8</t>
  </si>
  <si>
    <t>0569022880-1</t>
  </si>
  <si>
    <t>0569022880-8</t>
  </si>
  <si>
    <t>0558113636-2</t>
  </si>
  <si>
    <t>0558116076-1</t>
  </si>
  <si>
    <t>0558114816-1</t>
  </si>
  <si>
    <t>0558114816-3</t>
  </si>
  <si>
    <t>0558111102-2</t>
  </si>
  <si>
    <t>0558112730-3</t>
  </si>
  <si>
    <t>0558111642-2</t>
  </si>
  <si>
    <t>0558115972-1</t>
  </si>
  <si>
    <t>0558114845-4</t>
  </si>
  <si>
    <t>0558115837-1</t>
  </si>
  <si>
    <t>0558114845-5</t>
  </si>
  <si>
    <t>0558114642-3</t>
  </si>
  <si>
    <t>0569022756-3</t>
  </si>
  <si>
    <t>0558112751-2</t>
  </si>
  <si>
    <t>0558113806-1</t>
  </si>
  <si>
    <t>0558114036-4</t>
  </si>
  <si>
    <t>0558116270-1</t>
  </si>
  <si>
    <t>0558114032-6</t>
  </si>
  <si>
    <t>0558116250-2</t>
  </si>
  <si>
    <t>0558113599-1</t>
  </si>
  <si>
    <t>0558116126-1</t>
  </si>
  <si>
    <t>0558109959-17</t>
  </si>
  <si>
    <t>0558115804-1</t>
  </si>
  <si>
    <t>0558114421-2</t>
  </si>
  <si>
    <t>0558107411-5</t>
  </si>
  <si>
    <t>0558113290-5</t>
  </si>
  <si>
    <t>0569022769-3</t>
  </si>
  <si>
    <t>0558115826-4</t>
  </si>
  <si>
    <t>0558114897-1</t>
  </si>
  <si>
    <t>0558115291-4</t>
  </si>
  <si>
    <t>0558114417-2</t>
  </si>
  <si>
    <t>0558115291-3</t>
  </si>
  <si>
    <t>0569023218-5</t>
  </si>
  <si>
    <t>0569023217-5</t>
  </si>
  <si>
    <t>0558114678-3</t>
  </si>
  <si>
    <t>0558113636-3</t>
  </si>
  <si>
    <t>0558113636-6</t>
  </si>
  <si>
    <t>0558113636-5</t>
  </si>
  <si>
    <t>0558114255-3</t>
  </si>
  <si>
    <t>0558108416-6</t>
  </si>
  <si>
    <t>0558114589-1</t>
  </si>
  <si>
    <t>0558116139-2</t>
  </si>
  <si>
    <t>0558114480-4</t>
  </si>
  <si>
    <t>0558111428-4</t>
  </si>
  <si>
    <t>0569022903-1</t>
  </si>
  <si>
    <t>0558109312-1</t>
  </si>
  <si>
    <t>0558112037-1</t>
  </si>
  <si>
    <t>0558116115-1</t>
  </si>
  <si>
    <t>0558115970-3</t>
  </si>
  <si>
    <t>0558115983-1</t>
  </si>
  <si>
    <t>0558113567-2</t>
  </si>
  <si>
    <t>0569022901-8</t>
  </si>
  <si>
    <t>0558114480-5</t>
  </si>
  <si>
    <t>0569022899-2</t>
  </si>
  <si>
    <t>0558113567-1</t>
  </si>
  <si>
    <t>0558116006-1</t>
  </si>
  <si>
    <t>0558116118-1</t>
  </si>
  <si>
    <t>0558116139-1</t>
  </si>
  <si>
    <t>0558111296-1</t>
  </si>
  <si>
    <t>0558116164-1</t>
  </si>
  <si>
    <t>0558110940-2</t>
  </si>
  <si>
    <t>0558110940-1</t>
  </si>
  <si>
    <t>0558110939-4</t>
  </si>
  <si>
    <t>0558116089-1</t>
  </si>
  <si>
    <t>0569022517-1</t>
  </si>
  <si>
    <t>0558113535-1</t>
  </si>
  <si>
    <t>0558111358-7</t>
  </si>
  <si>
    <t>0558113816-2</t>
  </si>
  <si>
    <t>0558113838-5</t>
  </si>
  <si>
    <t>0558113838-2</t>
  </si>
  <si>
    <t>0558109036-6</t>
  </si>
  <si>
    <t>0558110067-1</t>
  </si>
  <si>
    <t>0558110067-2</t>
  </si>
  <si>
    <t>0558114003-1</t>
  </si>
  <si>
    <t>0558114152-2</t>
  </si>
  <si>
    <t>0558114097-1</t>
  </si>
  <si>
    <t>0558110479-1</t>
  </si>
  <si>
    <t>0558109966-3</t>
  </si>
  <si>
    <t>0558104451-1</t>
  </si>
  <si>
    <t>0558111175-1</t>
  </si>
  <si>
    <t>0558112741-1</t>
  </si>
  <si>
    <t>0558111180-1</t>
  </si>
  <si>
    <t>0558111181-1</t>
  </si>
  <si>
    <t>0558115824-1</t>
  </si>
  <si>
    <t>0558108334-1</t>
  </si>
  <si>
    <t>0558108333-1</t>
  </si>
  <si>
    <t>0558111184-1</t>
  </si>
  <si>
    <t>0558109455-1</t>
  </si>
  <si>
    <t>0558114865-1</t>
  </si>
  <si>
    <t>0558114864-2</t>
  </si>
  <si>
    <t>0558113975-3</t>
  </si>
  <si>
    <t>0558113975-5</t>
  </si>
  <si>
    <t>0558115465-2</t>
  </si>
  <si>
    <t>0558108407-1</t>
  </si>
  <si>
    <t>0558113975-2</t>
  </si>
  <si>
    <t>0558110614-3</t>
  </si>
  <si>
    <t>0558110614-2</t>
  </si>
  <si>
    <t>0558113975-4</t>
  </si>
  <si>
    <t>0558113975-1</t>
  </si>
  <si>
    <t>0558113976-3</t>
  </si>
  <si>
    <t>0558110612-4</t>
  </si>
  <si>
    <t>0558110612-3</t>
  </si>
  <si>
    <t>0558110612-1</t>
  </si>
  <si>
    <t>0558110612-2</t>
  </si>
  <si>
    <t>0558113976-2</t>
  </si>
  <si>
    <t>0558110614-1</t>
  </si>
  <si>
    <t>0558113976-1</t>
  </si>
  <si>
    <t>0558112522-2</t>
  </si>
  <si>
    <t>0558111304-1</t>
  </si>
  <si>
    <t>0558111247-7</t>
  </si>
  <si>
    <t>0558109007-1</t>
  </si>
  <si>
    <t>0558114188-2</t>
  </si>
  <si>
    <t>0558114188-1</t>
  </si>
  <si>
    <t>0558113946-2</t>
  </si>
  <si>
    <t>0558113946-1</t>
  </si>
  <si>
    <t>0558114149-1</t>
  </si>
  <si>
    <t>0558110344-11</t>
  </si>
  <si>
    <t>0558115783-4</t>
  </si>
  <si>
    <t>0558108954-1</t>
  </si>
  <si>
    <t>0558108818-2</t>
  </si>
  <si>
    <t>0558108796-1</t>
  </si>
  <si>
    <t>0558105691-1</t>
  </si>
  <si>
    <t>0568012699-2</t>
  </si>
  <si>
    <t>0558114674-1</t>
  </si>
  <si>
    <t>0558113290-3</t>
  </si>
  <si>
    <t>0558116147-1</t>
  </si>
  <si>
    <t>0558112757-2</t>
  </si>
  <si>
    <t>0558113306-2</t>
  </si>
  <si>
    <t>0558096736-1</t>
  </si>
  <si>
    <t>0558110428-3</t>
  </si>
  <si>
    <t>0558114406-3</t>
  </si>
  <si>
    <t>0558114326-2</t>
  </si>
  <si>
    <t>0558110428-1</t>
  </si>
  <si>
    <t>0558110428-2</t>
  </si>
  <si>
    <t>0558114406-9</t>
  </si>
  <si>
    <t>0558114406-7</t>
  </si>
  <si>
    <t>0558110242-1</t>
  </si>
  <si>
    <t>0558110428-4</t>
  </si>
  <si>
    <t>0558107558-7</t>
  </si>
  <si>
    <t>0558114406-5</t>
  </si>
  <si>
    <t>0558114406-2</t>
  </si>
  <si>
    <t>0558114406-6</t>
  </si>
  <si>
    <t>0558114406-1</t>
  </si>
  <si>
    <t>0558112837-4</t>
  </si>
  <si>
    <t>0558111411-1</t>
  </si>
  <si>
    <t>0558113102-1</t>
  </si>
  <si>
    <t>0558111291-3</t>
  </si>
  <si>
    <t>0558113676-3</t>
  </si>
  <si>
    <t>0558109207-3</t>
  </si>
  <si>
    <t>0558110682-1</t>
  </si>
  <si>
    <t>0569022440-2</t>
  </si>
  <si>
    <t>0558110627-7</t>
  </si>
  <si>
    <t>0558111416-3</t>
  </si>
  <si>
    <t>0558111228-1</t>
  </si>
  <si>
    <t>0558108634-3</t>
  </si>
  <si>
    <t>0558111053-7</t>
  </si>
  <si>
    <t>0558114921-4</t>
  </si>
  <si>
    <t>0558111358-4</t>
  </si>
  <si>
    <t>0558113277-3</t>
  </si>
  <si>
    <t>0558114563-7</t>
  </si>
  <si>
    <t>0558114211-1</t>
  </si>
  <si>
    <t>0558115285-3</t>
  </si>
  <si>
    <t>0558114211-2</t>
  </si>
  <si>
    <t>0558114326-3</t>
  </si>
  <si>
    <t>0558114406-4</t>
  </si>
  <si>
    <t>0558116167-3</t>
  </si>
  <si>
    <t>0558115796-11</t>
  </si>
  <si>
    <t>0558115796-8</t>
  </si>
  <si>
    <t>0558116587-2</t>
  </si>
  <si>
    <t>0558114470-1</t>
  </si>
  <si>
    <t>0558110819-1</t>
  </si>
  <si>
    <t>0558113306-1</t>
  </si>
  <si>
    <t>0558114210-1</t>
  </si>
  <si>
    <t>0558113315-2</t>
  </si>
  <si>
    <t>0558113315-1</t>
  </si>
  <si>
    <t>0558110055-1</t>
  </si>
  <si>
    <t>0558110344-1</t>
  </si>
  <si>
    <t>0558114480-2</t>
  </si>
  <si>
    <t>0558113344-1</t>
  </si>
  <si>
    <t>0569022899-1</t>
  </si>
  <si>
    <t>0558111090-1</t>
  </si>
  <si>
    <t>0558114807-2</t>
  </si>
  <si>
    <t>0558114068-2</t>
  </si>
  <si>
    <t>0558110917-1</t>
  </si>
  <si>
    <t>0558115783-1</t>
  </si>
  <si>
    <t>0558110991-7</t>
  </si>
  <si>
    <t>0558111358-2</t>
  </si>
  <si>
    <t>0558110086-1</t>
  </si>
  <si>
    <t>0558109601-1</t>
  </si>
  <si>
    <t>0558111085-1</t>
  </si>
  <si>
    <t>0558112918-4</t>
  </si>
  <si>
    <t>0558110917-2</t>
  </si>
  <si>
    <t>0558114899-2</t>
  </si>
  <si>
    <t>0569022712-1</t>
  </si>
  <si>
    <t>0558111073-4</t>
  </si>
  <si>
    <t>0558113824-3</t>
  </si>
  <si>
    <t>0558112400-1</t>
  </si>
  <si>
    <t>0558114159-1</t>
  </si>
  <si>
    <t>0569022529-3</t>
  </si>
  <si>
    <t>0558114440-4</t>
  </si>
  <si>
    <t>0569023160-1</t>
  </si>
  <si>
    <t>0558113824-2</t>
  </si>
  <si>
    <t>0558112499-1</t>
  </si>
  <si>
    <t>0558112499-2</t>
  </si>
  <si>
    <t>0558113511-3</t>
  </si>
  <si>
    <t>0568012907-2</t>
  </si>
  <si>
    <t>0569022440-1</t>
  </si>
  <si>
    <t>0558114547-1</t>
  </si>
  <si>
    <t>0558114542-1</t>
  </si>
  <si>
    <t>0558111358-3</t>
  </si>
  <si>
    <t>0558105303-3</t>
  </si>
  <si>
    <t>0558111034-1</t>
  </si>
  <si>
    <t>0558110359-1</t>
  </si>
  <si>
    <t>0558115979-2</t>
  </si>
  <si>
    <t>0558111085-2</t>
  </si>
  <si>
    <t>0558115979-1</t>
  </si>
  <si>
    <t>0558113843-1</t>
  </si>
  <si>
    <t>0558115783-2</t>
  </si>
  <si>
    <t>0569022124-3</t>
  </si>
  <si>
    <t>0558110273-5</t>
  </si>
  <si>
    <t>0558111010-6</t>
  </si>
  <si>
    <t>0569022124-1</t>
  </si>
  <si>
    <t>0569022528-2</t>
  </si>
  <si>
    <t>0558114276-3</t>
  </si>
  <si>
    <t>0558107864-1</t>
  </si>
  <si>
    <t>0569022528-1</t>
  </si>
  <si>
    <t>0558113511-4</t>
  </si>
  <si>
    <t>0558116122-3</t>
  </si>
  <si>
    <t>0558110255-1</t>
  </si>
  <si>
    <t>0558113332-1</t>
  </si>
  <si>
    <t>0558111787-5</t>
  </si>
  <si>
    <t>0558114899-1</t>
  </si>
  <si>
    <t>0558114853-1</t>
  </si>
  <si>
    <t>0558115430-6</t>
  </si>
  <si>
    <t>0558111073-5</t>
  </si>
  <si>
    <t>0558114873-3</t>
  </si>
  <si>
    <t>0558112943-1</t>
  </si>
  <si>
    <t>0568012699-3</t>
  </si>
  <si>
    <t>0568012699-4</t>
  </si>
  <si>
    <t>0569022529-6</t>
  </si>
  <si>
    <t>0558111416-4</t>
  </si>
  <si>
    <t>0568012699-1</t>
  </si>
  <si>
    <t>0558114873-2</t>
  </si>
  <si>
    <t>0558113444-1</t>
  </si>
  <si>
    <t>0569021810-4</t>
  </si>
  <si>
    <t>0569023009-1</t>
  </si>
  <si>
    <t>0569023002-8</t>
  </si>
  <si>
    <t>0569023167-2</t>
  </si>
  <si>
    <t>0569023002-1</t>
  </si>
  <si>
    <t>0569022960-3</t>
  </si>
  <si>
    <t>0569023002-7</t>
  </si>
  <si>
    <t>0569023115-1</t>
  </si>
  <si>
    <t>0569022399-2</t>
  </si>
  <si>
    <t>0569022400-1</t>
  </si>
  <si>
    <t>0569022667-3</t>
  </si>
  <si>
    <t>0569023002-5</t>
  </si>
  <si>
    <t>0569022909-3</t>
  </si>
  <si>
    <t>0569023002-13</t>
  </si>
  <si>
    <t>0569022911-1</t>
  </si>
  <si>
    <t>0569022912-1</t>
  </si>
  <si>
    <t>0569023002-11</t>
  </si>
  <si>
    <t>0569022912-2</t>
  </si>
  <si>
    <t>0569022668-1</t>
  </si>
  <si>
    <t>0569022912-3</t>
  </si>
  <si>
    <t>0569022667-2</t>
  </si>
  <si>
    <t>0569022665-1</t>
  </si>
  <si>
    <t>0569022960-2</t>
  </si>
  <si>
    <t>0569023002-6</t>
  </si>
  <si>
    <t>0569023009-2</t>
  </si>
  <si>
    <t>0569023117-2</t>
  </si>
  <si>
    <t>0568012711-1</t>
  </si>
  <si>
    <t>0569022909-2</t>
  </si>
  <si>
    <t>0569023117-3</t>
  </si>
  <si>
    <t>0569023002-3</t>
  </si>
  <si>
    <t>0569022911-2</t>
  </si>
  <si>
    <t>0569021810-3</t>
  </si>
  <si>
    <t>0569022910-1</t>
  </si>
  <si>
    <t>0569023002-12</t>
  </si>
  <si>
    <t>0569023115-2</t>
  </si>
  <si>
    <t>0569023002-2</t>
  </si>
  <si>
    <t>0569023116-2</t>
  </si>
  <si>
    <t>0569022668-2</t>
  </si>
  <si>
    <t>0569023116-1</t>
  </si>
  <si>
    <t>0569023167-1</t>
  </si>
  <si>
    <t>0569023117-1</t>
  </si>
  <si>
    <t>0558114925-2</t>
  </si>
  <si>
    <t>0558107594-2</t>
  </si>
  <si>
    <t>0558113191-1</t>
  </si>
  <si>
    <t>0558112291-3</t>
  </si>
  <si>
    <t>0568012538-2</t>
  </si>
  <si>
    <t>0558107594-1</t>
  </si>
  <si>
    <t>0568012538-1</t>
  </si>
  <si>
    <t>0558111052-5</t>
  </si>
  <si>
    <t>0558113188-8</t>
  </si>
  <si>
    <t>0558111093-3</t>
  </si>
  <si>
    <t>0558111093-2</t>
  </si>
  <si>
    <t>0558116137-2</t>
  </si>
  <si>
    <t>0558108074-1</t>
  </si>
  <si>
    <t>0568012538-3</t>
  </si>
  <si>
    <t>0558112503-2</t>
  </si>
  <si>
    <t>0558112503-3</t>
  </si>
  <si>
    <t>0558115746-1</t>
  </si>
  <si>
    <t>0558113509-1</t>
  </si>
  <si>
    <t>0558110733-2</t>
  </si>
  <si>
    <t>0558115746-4</t>
  </si>
  <si>
    <t>0558111247-4</t>
  </si>
  <si>
    <t>0558114925-1</t>
  </si>
  <si>
    <t>0558115985-3</t>
  </si>
  <si>
    <t>0558116269-1</t>
  </si>
  <si>
    <t>0558115268-1</t>
  </si>
  <si>
    <t>0558116167-1</t>
  </si>
  <si>
    <t>0569022880-5</t>
  </si>
  <si>
    <t>0558116162-2</t>
  </si>
  <si>
    <t>0558116148-1</t>
  </si>
  <si>
    <t>0558116137-1</t>
  </si>
  <si>
    <t>0569022772-6</t>
  </si>
  <si>
    <t>0558115985-2</t>
  </si>
  <si>
    <t>0558116167-2</t>
  </si>
  <si>
    <t>0558115801-4</t>
  </si>
  <si>
    <t>0558115970-4</t>
  </si>
  <si>
    <t>0558114369-1</t>
  </si>
  <si>
    <t>0558115325-2</t>
  </si>
  <si>
    <t>0558113702-3</t>
  </si>
  <si>
    <t>0558112473-3</t>
  </si>
  <si>
    <t>0558112539-6</t>
  </si>
  <si>
    <t>0558115276-2</t>
  </si>
  <si>
    <t>0569022882-2</t>
  </si>
  <si>
    <t>0569022881-5</t>
  </si>
  <si>
    <t>0558114721-1</t>
  </si>
  <si>
    <t>0558113648-2</t>
  </si>
  <si>
    <t>0569022880-3</t>
  </si>
  <si>
    <t>0558111004-1</t>
  </si>
  <si>
    <t>0558113685-1</t>
  </si>
  <si>
    <t>0558114105-1</t>
  </si>
  <si>
    <t>0558114102-1</t>
  </si>
  <si>
    <t>0558113804-3</t>
  </si>
  <si>
    <t>0558113745-1</t>
  </si>
  <si>
    <t>0558110642-2</t>
  </si>
  <si>
    <t>0558113749-1</t>
  </si>
  <si>
    <t>0558113804-1</t>
  </si>
  <si>
    <t>0558113585-1</t>
  </si>
  <si>
    <t>0558113595-3</t>
  </si>
  <si>
    <t>0558115601-1</t>
  </si>
  <si>
    <t>0569022772-2</t>
  </si>
  <si>
    <t>0558115430-3</t>
  </si>
  <si>
    <t>0558115427-1</t>
  </si>
  <si>
    <t>0558115327-1</t>
  </si>
  <si>
    <t>0558115316-4</t>
  </si>
  <si>
    <t>0558115253-1</t>
  </si>
  <si>
    <t>0558114963-1</t>
  </si>
  <si>
    <t>0558114830-1</t>
  </si>
  <si>
    <t>0558114829-3</t>
  </si>
  <si>
    <t>0558114827-3</t>
  </si>
  <si>
    <t>0558114816-4</t>
  </si>
  <si>
    <t>0558114014-1</t>
  </si>
  <si>
    <t>0558113329-2</t>
  </si>
  <si>
    <t>0558113305-1</t>
  </si>
  <si>
    <t>0558113305-2</t>
  </si>
  <si>
    <t>0558113279-3</t>
  </si>
  <si>
    <t>0558113279-2</t>
  </si>
  <si>
    <t>0558113277-4</t>
  </si>
  <si>
    <t>0558113277-5</t>
  </si>
  <si>
    <t>0558113274-2</t>
  </si>
  <si>
    <t>0558113115-6</t>
  </si>
  <si>
    <t>0569022772-8</t>
  </si>
  <si>
    <t>0568012907-1</t>
  </si>
  <si>
    <t>0558111251-1</t>
  </si>
  <si>
    <t>0558112933-3</t>
  </si>
  <si>
    <t>0558112961-1</t>
  </si>
  <si>
    <t>0558112925-1</t>
  </si>
  <si>
    <t>0558112473-4</t>
  </si>
  <si>
    <t>0558112395-8</t>
  </si>
  <si>
    <t>0558113828-6</t>
  </si>
  <si>
    <t>0558112313-2</t>
  </si>
  <si>
    <t>0569022773-3</t>
  </si>
  <si>
    <t>0558113617-1</t>
  </si>
  <si>
    <t>0558113774-3</t>
  </si>
  <si>
    <t>0558112291-1</t>
  </si>
  <si>
    <t>0558112081-1</t>
  </si>
  <si>
    <t>0558112078-1</t>
  </si>
  <si>
    <t>0558111251-2</t>
  </si>
  <si>
    <t>0558111168-1</t>
  </si>
  <si>
    <t>0558109225-1</t>
  </si>
  <si>
    <t>0558111155-1</t>
  </si>
  <si>
    <t>0558111069-4</t>
  </si>
  <si>
    <t>0558111052-3</t>
  </si>
  <si>
    <t>0569022772-5</t>
  </si>
  <si>
    <t>0558111251-3</t>
  </si>
  <si>
    <t>0568012874-1</t>
  </si>
  <si>
    <t>0558116120-1</t>
  </si>
  <si>
    <t>0558113620-8</t>
  </si>
  <si>
    <t>0558114644-1</t>
  </si>
  <si>
    <t>0558114578-1</t>
  </si>
  <si>
    <t>0558112473-1</t>
  </si>
  <si>
    <t>0558113620-7</t>
  </si>
  <si>
    <t>0558114474-1</t>
  </si>
  <si>
    <t>0558115257-1</t>
  </si>
  <si>
    <t>0558114822-1</t>
  </si>
  <si>
    <t>0558111002-4</t>
  </si>
  <si>
    <t>0558113177-1</t>
  </si>
  <si>
    <t>0558110938-1</t>
  </si>
  <si>
    <t>0558110886-1</t>
  </si>
  <si>
    <t>0558111069-5</t>
  </si>
  <si>
    <t>0558110865-1</t>
  </si>
  <si>
    <t>0558114512-1</t>
  </si>
  <si>
    <t>0569023270-2</t>
  </si>
  <si>
    <t>0558113804-2</t>
  </si>
  <si>
    <t>0558110505-1</t>
  </si>
  <si>
    <t>0558110350-3</t>
  </si>
  <si>
    <t>0558110350-2</t>
  </si>
  <si>
    <t>0558113772-1</t>
  </si>
  <si>
    <t>0558106953-1</t>
  </si>
  <si>
    <t>0569022883-4</t>
  </si>
  <si>
    <t>0558111069-2</t>
  </si>
  <si>
    <t>0569022068-1</t>
  </si>
  <si>
    <t>0558115792-1</t>
  </si>
  <si>
    <t>0558113648-3</t>
  </si>
  <si>
    <t>0558113824-4</t>
  </si>
  <si>
    <t>0558113828-5</t>
  </si>
  <si>
    <t>0558115985-1</t>
  </si>
  <si>
    <t>0569022669-1</t>
  </si>
  <si>
    <t>0558113674-4</t>
  </si>
  <si>
    <t>0558113676-1</t>
  </si>
  <si>
    <t>0558113824-5</t>
  </si>
  <si>
    <t>0558114336-1</t>
  </si>
  <si>
    <t>0558114921-3</t>
  </si>
  <si>
    <t>0558112274-2</t>
  </si>
  <si>
    <t>0558115825-4</t>
  </si>
  <si>
    <t>0558113285-1</t>
  </si>
  <si>
    <t>0558114476-1</t>
  </si>
  <si>
    <t>0558114820-1</t>
  </si>
  <si>
    <t>0558114253-1</t>
  </si>
  <si>
    <t>0558109968-1</t>
  </si>
  <si>
    <t>0569022960-4</t>
  </si>
  <si>
    <t>0558109959-16</t>
  </si>
  <si>
    <t>0558109475-3</t>
  </si>
  <si>
    <t>0569022885-2</t>
  </si>
  <si>
    <t>0558115628-2</t>
  </si>
  <si>
    <t>0569022885-3</t>
  </si>
  <si>
    <t>0569022884-1</t>
  </si>
  <si>
    <t>0569022881-3</t>
  </si>
  <si>
    <t>0569022874-4</t>
  </si>
  <si>
    <t>0558113847-16</t>
  </si>
  <si>
    <t>0558111052-2</t>
  </si>
  <si>
    <t>0558115430-1</t>
  </si>
  <si>
    <t>0558114036-1</t>
  </si>
  <si>
    <t>0558114574-2</t>
  </si>
  <si>
    <t>0558114963-2</t>
  </si>
  <si>
    <t>0558116247-4</t>
  </si>
  <si>
    <t>0558113804-4</t>
  </si>
  <si>
    <t>0558114257-3</t>
  </si>
  <si>
    <t>0558116248-4</t>
  </si>
  <si>
    <t>0558114921-1</t>
  </si>
  <si>
    <t>0558115831-1</t>
  </si>
  <si>
    <t>0558113425-1</t>
  </si>
  <si>
    <t>0558115831-2</t>
  </si>
  <si>
    <t>0569022837-3</t>
  </si>
  <si>
    <t>0569022773-1</t>
  </si>
  <si>
    <t>0569022773-2</t>
  </si>
  <si>
    <t>0569022772-9</t>
  </si>
  <si>
    <t>0558113841-1</t>
  </si>
  <si>
    <t>0569022772-3</t>
  </si>
  <si>
    <t>0569022772-4</t>
  </si>
  <si>
    <t>0569022772-1</t>
  </si>
  <si>
    <t>0558116249-4</t>
  </si>
  <si>
    <t>0558116250-4</t>
  </si>
  <si>
    <t>0558114139-1</t>
  </si>
  <si>
    <t>0558113827-2</t>
  </si>
  <si>
    <t>0558116015-1</t>
  </si>
  <si>
    <t>0558109013-1</t>
  </si>
  <si>
    <t>0558113646-1</t>
  </si>
  <si>
    <t>0558110634-1</t>
  </si>
  <si>
    <t>0558116162-4</t>
  </si>
  <si>
    <t>0568012874-2</t>
  </si>
  <si>
    <t>0568012874-3</t>
  </si>
  <si>
    <t>0558111436-1</t>
  </si>
  <si>
    <t>0569022909-4</t>
  </si>
  <si>
    <t>0569022960-1</t>
  </si>
  <si>
    <t>0569022665-2</t>
  </si>
  <si>
    <t>0569022909-1</t>
  </si>
  <si>
    <t>0558116262-2</t>
  </si>
  <si>
    <t>0558116263-4</t>
  </si>
  <si>
    <t>0569022963-5</t>
  </si>
  <si>
    <t>0569023001-6</t>
  </si>
  <si>
    <t>0558116263-3</t>
  </si>
  <si>
    <t>0569023001-3</t>
  </si>
  <si>
    <t>0558116265-3</t>
  </si>
  <si>
    <t>0558116264-2</t>
  </si>
  <si>
    <t>0558116263-2</t>
  </si>
  <si>
    <t>0558116264-4</t>
  </si>
  <si>
    <t>0558104297-1</t>
  </si>
  <si>
    <t>0558116262-3</t>
  </si>
  <si>
    <t>0558116264-3</t>
  </si>
  <si>
    <t>0569022963-1</t>
  </si>
  <si>
    <t>0569022256-3</t>
  </si>
  <si>
    <t>0558114084-1</t>
  </si>
  <si>
    <t>0569023001-1</t>
  </si>
  <si>
    <t>0558104297-2</t>
  </si>
  <si>
    <t>0569022963-3</t>
  </si>
  <si>
    <t>0569022963-2</t>
  </si>
  <si>
    <t>0558116265-4</t>
  </si>
  <si>
    <t>0569022963-4</t>
  </si>
  <si>
    <t>0558112097-2</t>
  </si>
  <si>
    <t>0558112097-3</t>
  </si>
  <si>
    <t>0569023001-5</t>
  </si>
  <si>
    <t>0569023001-4</t>
  </si>
  <si>
    <t>0558112097-1</t>
  </si>
  <si>
    <t>0558115441-1</t>
  </si>
  <si>
    <t>0569022169-1</t>
  </si>
  <si>
    <t>0569022303-1</t>
  </si>
  <si>
    <t>0558113204-2</t>
  </si>
  <si>
    <t>0558113204-3</t>
  </si>
  <si>
    <t>0558113204-1</t>
  </si>
  <si>
    <t>0558108993-4</t>
  </si>
  <si>
    <t>0558116265-2</t>
  </si>
  <si>
    <t>0558108993-1</t>
  </si>
  <si>
    <t>0569022256-5</t>
  </si>
  <si>
    <t>0569022256-1</t>
  </si>
  <si>
    <t>0569022256-2</t>
  </si>
  <si>
    <t>0569023001-2</t>
  </si>
  <si>
    <t>0558111332-5</t>
  </si>
  <si>
    <t>0558116262-4</t>
  </si>
  <si>
    <t>0558106927-4</t>
  </si>
  <si>
    <t>0569022256-4</t>
  </si>
  <si>
    <t>0569022169-2</t>
  </si>
  <si>
    <t>0558116387-2</t>
  </si>
  <si>
    <t>1110_FG_FLT</t>
  </si>
  <si>
    <t>0558116387-6</t>
  </si>
  <si>
    <t>0558116495-1</t>
  </si>
  <si>
    <t>0558116395-1</t>
  </si>
  <si>
    <t>0558116387-5</t>
  </si>
  <si>
    <t>0558116387-7</t>
  </si>
  <si>
    <t>0558116387-4</t>
  </si>
  <si>
    <t>0558110130-37</t>
  </si>
  <si>
    <t>0558116387-1</t>
  </si>
  <si>
    <t>0558116395-2</t>
  </si>
  <si>
    <t>0558116387-3</t>
  </si>
  <si>
    <t>0558116388-5</t>
  </si>
  <si>
    <t>0558115016-6</t>
  </si>
  <si>
    <t>0558116390-3</t>
  </si>
  <si>
    <t>0558116557-1</t>
  </si>
  <si>
    <t>0558116390-4</t>
  </si>
  <si>
    <t>0558116760-1</t>
  </si>
  <si>
    <t>0558116541-1</t>
  </si>
  <si>
    <t>0558108381-32</t>
  </si>
  <si>
    <t>0558116388-2</t>
  </si>
  <si>
    <t>0558116495-4</t>
  </si>
  <si>
    <t>0558116495-2</t>
  </si>
  <si>
    <t>0558116388-1</t>
  </si>
  <si>
    <t>0558116388-4</t>
  </si>
  <si>
    <t>0558116389-4</t>
  </si>
  <si>
    <t>0558116389-2</t>
  </si>
  <si>
    <t>0558116495-3</t>
  </si>
  <si>
    <t>0558115001-5</t>
  </si>
  <si>
    <t>0558116389-1</t>
  </si>
  <si>
    <t>0558116388-3</t>
  </si>
  <si>
    <t>0558116203-1</t>
  </si>
  <si>
    <t>0558116389-3</t>
  </si>
  <si>
    <t>0558116203-2</t>
  </si>
  <si>
    <t>0558115484-3</t>
  </si>
  <si>
    <t>0558116389-5</t>
  </si>
  <si>
    <t>0558116387-8</t>
  </si>
  <si>
    <t>0558116390-1</t>
  </si>
  <si>
    <t>0558116390-2</t>
  </si>
  <si>
    <t>0558116204-1</t>
  </si>
  <si>
    <t>0558116390-5</t>
  </si>
  <si>
    <t>0558116307-6</t>
  </si>
  <si>
    <t>HRAP</t>
  </si>
  <si>
    <t>1210_FG_HPC</t>
  </si>
  <si>
    <t>0558116307-5</t>
  </si>
  <si>
    <t>0558116308-4</t>
  </si>
  <si>
    <t>0558116243-3</t>
  </si>
  <si>
    <t>0558116002-1</t>
  </si>
  <si>
    <t>0558116243-1</t>
  </si>
  <si>
    <t>0558116274-1</t>
  </si>
  <si>
    <t>0558116002-2</t>
  </si>
  <si>
    <t>0558116243-2</t>
  </si>
  <si>
    <t>0558116275-1</t>
  </si>
  <si>
    <t>0558116307-14</t>
  </si>
  <si>
    <t>0558116244-2</t>
  </si>
  <si>
    <t>0558116245-2</t>
  </si>
  <si>
    <t>0558116308-17</t>
  </si>
  <si>
    <t>0558116308-18</t>
  </si>
  <si>
    <t>0558116244-3</t>
  </si>
  <si>
    <t>0558116276-1</t>
  </si>
  <si>
    <t>0558116304-8</t>
  </si>
  <si>
    <t>0558116308-16</t>
  </si>
  <si>
    <t>0558116308-19</t>
  </si>
  <si>
    <t>0569023019-7</t>
  </si>
  <si>
    <t>0569023018-4</t>
  </si>
  <si>
    <t>0558116308-14</t>
  </si>
  <si>
    <t>0558116308-13</t>
  </si>
  <si>
    <t>0558116308-2</t>
  </si>
  <si>
    <t>0558116308-20</t>
  </si>
  <si>
    <t>0558116308-6</t>
  </si>
  <si>
    <t>0558116308-7</t>
  </si>
  <si>
    <t>0558116308-3</t>
  </si>
  <si>
    <t>0558116308-8</t>
  </si>
  <si>
    <t>0558116308-5</t>
  </si>
  <si>
    <t>0569023075-5</t>
  </si>
  <si>
    <t>0569022587-3</t>
  </si>
  <si>
    <t>0558113491-12</t>
  </si>
  <si>
    <t>0558116236-3</t>
  </si>
  <si>
    <t>0558109289-11</t>
  </si>
  <si>
    <t>0558113491-10</t>
  </si>
  <si>
    <t>0558113491-11</t>
  </si>
  <si>
    <t>0558116275-4</t>
  </si>
  <si>
    <t>0569022381-4</t>
  </si>
  <si>
    <t>0569022381-5</t>
  </si>
  <si>
    <t>0558113131-4</t>
  </si>
  <si>
    <t>0558116236-4</t>
  </si>
  <si>
    <t>0558111472-1</t>
  </si>
  <si>
    <t>0569023177-5</t>
  </si>
  <si>
    <t>0569023177-2</t>
  </si>
  <si>
    <t>0569023177-3</t>
  </si>
  <si>
    <t>0558116308-9</t>
  </si>
  <si>
    <t>0558116308-1</t>
  </si>
  <si>
    <t>0558116308-10</t>
  </si>
  <si>
    <t>0558116308-11</t>
  </si>
  <si>
    <t>0558116309-13</t>
  </si>
  <si>
    <t>0558116309-11</t>
  </si>
  <si>
    <t>0558113413-23</t>
  </si>
  <si>
    <t>0558116309-16</t>
  </si>
  <si>
    <t>0558116309-1</t>
  </si>
  <si>
    <t>0558116309-10</t>
  </si>
  <si>
    <t>0558116309-15</t>
  </si>
  <si>
    <t>0558116309-18</t>
  </si>
  <si>
    <t>0558116309-12</t>
  </si>
  <si>
    <t>0569023106-2</t>
  </si>
  <si>
    <t>0558116309-14</t>
  </si>
  <si>
    <t>0558116309-19</t>
  </si>
  <si>
    <t>0558116309-5</t>
  </si>
  <si>
    <t>0558116309-6</t>
  </si>
  <si>
    <t>0558116309-3</t>
  </si>
  <si>
    <t>0558116309-7</t>
  </si>
  <si>
    <t>0558116309-9</t>
  </si>
  <si>
    <t>0558116309-20</t>
  </si>
  <si>
    <t>0558116309-4</t>
  </si>
  <si>
    <t>0558116308-12</t>
  </si>
  <si>
    <t>0569023106-1</t>
  </si>
  <si>
    <t>0558116309-8</t>
  </si>
  <si>
    <t>0558116310-1</t>
  </si>
  <si>
    <t>0558116310-12</t>
  </si>
  <si>
    <t>0558116310-13</t>
  </si>
  <si>
    <t>0558116310-5</t>
  </si>
  <si>
    <t>0558113491-27</t>
  </si>
  <si>
    <t>0558113413-22</t>
  </si>
  <si>
    <t>0569023073-2</t>
  </si>
  <si>
    <t>0569023073-1</t>
  </si>
  <si>
    <t>0558116310-17</t>
  </si>
  <si>
    <t>0558116310-14</t>
  </si>
  <si>
    <t>0558116310-19</t>
  </si>
  <si>
    <t>0558116310-18</t>
  </si>
  <si>
    <t>0558116310-11</t>
  </si>
  <si>
    <t>0558116310-2</t>
  </si>
  <si>
    <t>0558113491-28</t>
  </si>
  <si>
    <t>0558116310-6</t>
  </si>
  <si>
    <t>0569023021-1</t>
  </si>
  <si>
    <t>0569022970-4</t>
  </si>
  <si>
    <t>0569022970-1</t>
  </si>
  <si>
    <t>0569022969-7</t>
  </si>
  <si>
    <t>0569022968-1</t>
  </si>
  <si>
    <t>0569023075-3</t>
  </si>
  <si>
    <t>0569022948-1</t>
  </si>
  <si>
    <t>0569022946-5</t>
  </si>
  <si>
    <t>0569022945-3</t>
  </si>
  <si>
    <t>0558116275-5</t>
  </si>
  <si>
    <t>0558116276-5</t>
  </si>
  <si>
    <t>0558116254-2</t>
  </si>
  <si>
    <t>0558116254-3</t>
  </si>
  <si>
    <t>0558116254-1</t>
  </si>
  <si>
    <t>0558116253-1</t>
  </si>
  <si>
    <t>0558116253-2</t>
  </si>
  <si>
    <t>0558116253-4</t>
  </si>
  <si>
    <t>0558116274-5</t>
  </si>
  <si>
    <t>0558116288-10</t>
  </si>
  <si>
    <t>0558109073-1</t>
  </si>
  <si>
    <t>0558116288-11</t>
  </si>
  <si>
    <t>0558116289-13</t>
  </si>
  <si>
    <t>0558116289-11</t>
  </si>
  <si>
    <t>0558116289-10</t>
  </si>
  <si>
    <t>0558113405-4</t>
  </si>
  <si>
    <t>0558116290-14</t>
  </si>
  <si>
    <t>0558116290-10</t>
  </si>
  <si>
    <t>0558116290-11</t>
  </si>
  <si>
    <t>0558116291-13</t>
  </si>
  <si>
    <t>0558116292-4</t>
  </si>
  <si>
    <t>0558116310-8</t>
  </si>
  <si>
    <t>0558116310-3</t>
  </si>
  <si>
    <t>0558116310-4</t>
  </si>
  <si>
    <t>0558116310-7</t>
  </si>
  <si>
    <t>0558116310-20</t>
  </si>
  <si>
    <t>0558113853-1</t>
  </si>
  <si>
    <t>0558116295-8</t>
  </si>
  <si>
    <t>0558116235-4</t>
  </si>
  <si>
    <t>0558116297-10</t>
  </si>
  <si>
    <t>0558116297-11</t>
  </si>
  <si>
    <t>0558114526-3</t>
  </si>
  <si>
    <t>0569023019-1</t>
  </si>
  <si>
    <t>0558116310-9</t>
  </si>
  <si>
    <t>0569023019-4</t>
  </si>
  <si>
    <t>0558116298-11</t>
  </si>
  <si>
    <t>0558116311-1</t>
  </si>
  <si>
    <t>0558116003-1</t>
  </si>
  <si>
    <t>0558116003-2</t>
  </si>
  <si>
    <t>0558116311-13</t>
  </si>
  <si>
    <t>0558116311-10</t>
  </si>
  <si>
    <t>0558116298-10</t>
  </si>
  <si>
    <t>0558116299-11</t>
  </si>
  <si>
    <t>0569023180-5</t>
  </si>
  <si>
    <t>0558116299-10</t>
  </si>
  <si>
    <t>0558116235-3</t>
  </si>
  <si>
    <t>0569023123-4</t>
  </si>
  <si>
    <t>0569023177-4</t>
  </si>
  <si>
    <t>0569023075-2</t>
  </si>
  <si>
    <t>0558116311-15</t>
  </si>
  <si>
    <t>0558116311-11</t>
  </si>
  <si>
    <t>0558116311-14</t>
  </si>
  <si>
    <t>0558114769-1</t>
  </si>
  <si>
    <t>0558114769-2</t>
  </si>
  <si>
    <t>0569023072-3</t>
  </si>
  <si>
    <t>0569022633-2</t>
  </si>
  <si>
    <t>0569023072-4</t>
  </si>
  <si>
    <t>0569023022-1</t>
  </si>
  <si>
    <t>0558116301-11</t>
  </si>
  <si>
    <t>0569023180-1</t>
  </si>
  <si>
    <t>0569023022-4</t>
  </si>
  <si>
    <t>0569023176-2</t>
  </si>
  <si>
    <t>0558114769-9</t>
  </si>
  <si>
    <t>0558116276-4</t>
  </si>
  <si>
    <t>0558116301-10</t>
  </si>
  <si>
    <t>0569023075-1</t>
  </si>
  <si>
    <t>0569023022-3</t>
  </si>
  <si>
    <t>0558116311-12</t>
  </si>
  <si>
    <t>0569022350-3</t>
  </si>
  <si>
    <t>0558116001-2</t>
  </si>
  <si>
    <t>0558116311-19</t>
  </si>
  <si>
    <t>0558116001-1</t>
  </si>
  <si>
    <t>0558116311-20</t>
  </si>
  <si>
    <t>0569023021-3</t>
  </si>
  <si>
    <t>0558116280-2</t>
  </si>
  <si>
    <t>0569023177-6</t>
  </si>
  <si>
    <t>0558114526-1</t>
  </si>
  <si>
    <t>0558116303-17</t>
  </si>
  <si>
    <t>0569023021-2</t>
  </si>
  <si>
    <t>0558114629-1</t>
  </si>
  <si>
    <t>0558113592-1</t>
  </si>
  <si>
    <t>0569023177-1</t>
  </si>
  <si>
    <t>0569023019-3</t>
  </si>
  <si>
    <t>0569023073-3</t>
  </si>
  <si>
    <t>0558116303-10</t>
  </si>
  <si>
    <t>0558112734-2</t>
  </si>
  <si>
    <t>0569022843-3</t>
  </si>
  <si>
    <t>0569022845-1</t>
  </si>
  <si>
    <t>0569022946-6</t>
  </si>
  <si>
    <t>0558116274-4</t>
  </si>
  <si>
    <t>0569023177-7</t>
  </si>
  <si>
    <t>0558116291-10</t>
  </si>
  <si>
    <t>0558106530-4</t>
  </si>
  <si>
    <t>0558116303-1</t>
  </si>
  <si>
    <t>0558113259-8</t>
  </si>
  <si>
    <t>1110_FG_HPC</t>
  </si>
  <si>
    <t>0558114140-6</t>
  </si>
  <si>
    <t>0569023073-4</t>
  </si>
  <si>
    <t>0558113259-9</t>
  </si>
  <si>
    <t>0558116303-5</t>
  </si>
  <si>
    <t>0558116303-14</t>
  </si>
  <si>
    <t>0558116303-6</t>
  </si>
  <si>
    <t>0558116311-16</t>
  </si>
  <si>
    <t>0558116303-2</t>
  </si>
  <si>
    <t>0558116303-15</t>
  </si>
  <si>
    <t>0558116303-9</t>
  </si>
  <si>
    <t>0558116308-15</t>
  </si>
  <si>
    <t>0569023022-2</t>
  </si>
  <si>
    <t>0558113991-3</t>
  </si>
  <si>
    <t>0558116291-11</t>
  </si>
  <si>
    <t>0558114629-2</t>
  </si>
  <si>
    <t>0558116303-19</t>
  </si>
  <si>
    <t>0558116303-12</t>
  </si>
  <si>
    <t>0558116303-13</t>
  </si>
  <si>
    <t>0558116236-1</t>
  </si>
  <si>
    <t>0558116303-16</t>
  </si>
  <si>
    <t>0558116303-4</t>
  </si>
  <si>
    <t>0558116236-2</t>
  </si>
  <si>
    <t>0558116303-3</t>
  </si>
  <si>
    <t>0558114769-8</t>
  </si>
  <si>
    <t>0569023019-6</t>
  </si>
  <si>
    <t>0558116234-2</t>
  </si>
  <si>
    <t>0558116235-1</t>
  </si>
  <si>
    <t>0558116234-1</t>
  </si>
  <si>
    <t>0569022503-3</t>
  </si>
  <si>
    <t>0558116303-7</t>
  </si>
  <si>
    <t>0558116303-8</t>
  </si>
  <si>
    <t>0558116303-20</t>
  </si>
  <si>
    <t>0569023072-2</t>
  </si>
  <si>
    <t>0558116281-2</t>
  </si>
  <si>
    <t>0558116235-2</t>
  </si>
  <si>
    <t>0558116304-9</t>
  </si>
  <si>
    <t>0558116233-2</t>
  </si>
  <si>
    <t>0569022968-2</t>
  </si>
  <si>
    <t>0558116233-1</t>
  </si>
  <si>
    <t>0558116288-13</t>
  </si>
  <si>
    <t>0558114272-2</t>
  </si>
  <si>
    <t>0569023075-4</t>
  </si>
  <si>
    <t>0569023180-3</t>
  </si>
  <si>
    <t>0558116288-14</t>
  </si>
  <si>
    <t>0558116002-5</t>
  </si>
  <si>
    <t>0569023180-2</t>
  </si>
  <si>
    <t>0569023180-4</t>
  </si>
  <si>
    <t>0558116304-13</t>
  </si>
  <si>
    <t>0558116002-7</t>
  </si>
  <si>
    <t>0558112735-1</t>
  </si>
  <si>
    <t>0558116002-8</t>
  </si>
  <si>
    <t>0558116002-6</t>
  </si>
  <si>
    <t>0558114769-7</t>
  </si>
  <si>
    <t>0558114769-5</t>
  </si>
  <si>
    <t>0558116304-11</t>
  </si>
  <si>
    <t>0558112727-1</t>
  </si>
  <si>
    <t>0558114769-4</t>
  </si>
  <si>
    <t>0558116304-1</t>
  </si>
  <si>
    <t>0558116276-3</t>
  </si>
  <si>
    <t>0558116276-2</t>
  </si>
  <si>
    <t>0558116003-5</t>
  </si>
  <si>
    <t>0558116003-3</t>
  </si>
  <si>
    <t>0558116277-2</t>
  </si>
  <si>
    <t>0558116636-1</t>
  </si>
  <si>
    <t>0558114206-2</t>
  </si>
  <si>
    <t>0558116003-6</t>
  </si>
  <si>
    <t>0558116003-4</t>
  </si>
  <si>
    <t>0558116304-10</t>
  </si>
  <si>
    <t>0558116304-12</t>
  </si>
  <si>
    <t>0558116716-1</t>
  </si>
  <si>
    <t>0558116669-1</t>
  </si>
  <si>
    <t>0558116305-1</t>
  </si>
  <si>
    <t>0558116578-1</t>
  </si>
  <si>
    <t>0558113188-3</t>
  </si>
  <si>
    <t>0558116003-7</t>
  </si>
  <si>
    <t>0558116613-1</t>
  </si>
  <si>
    <t>0558116305-19</t>
  </si>
  <si>
    <t>0558116280-1</t>
  </si>
  <si>
    <t>0558104096-1</t>
  </si>
  <si>
    <t>0558116281-1</t>
  </si>
  <si>
    <t>0558116306-19</t>
  </si>
  <si>
    <t>0558114769-3</t>
  </si>
  <si>
    <t>0558116306-4</t>
  </si>
  <si>
    <t>0569023076-1</t>
  </si>
  <si>
    <t>0558116306-18</t>
  </si>
  <si>
    <t>0558116306-20</t>
  </si>
  <si>
    <t>0558113183-1</t>
  </si>
  <si>
    <t>0558116306-17</t>
  </si>
  <si>
    <t>0558116307-20</t>
  </si>
  <si>
    <t>0569023125-1</t>
  </si>
  <si>
    <t>0569023076-2</t>
  </si>
  <si>
    <t>0569023179-3</t>
  </si>
  <si>
    <t>0558116307-11</t>
  </si>
  <si>
    <t>0558116307-12</t>
  </si>
  <si>
    <t>0569022545-3</t>
  </si>
  <si>
    <t>0558113259-4</t>
  </si>
  <si>
    <t>0558113666-1</t>
  </si>
  <si>
    <t>0558116307-1</t>
  </si>
  <si>
    <t>0558116307-13</t>
  </si>
  <si>
    <t>0558116307-8</t>
  </si>
  <si>
    <t>0558116307-3</t>
  </si>
  <si>
    <t>0569023179-4</t>
  </si>
  <si>
    <t>0558116307-9</t>
  </si>
  <si>
    <t>0558116307-16</t>
  </si>
  <si>
    <t>0558116307-7</t>
  </si>
  <si>
    <t>0558116307-18</t>
  </si>
  <si>
    <t>0558116692-1</t>
  </si>
  <si>
    <t>0558116307-15</t>
  </si>
  <si>
    <t>0558114769-11</t>
  </si>
  <si>
    <t>0569022587-4</t>
  </si>
  <si>
    <t>0558114769-6</t>
  </si>
  <si>
    <t>0558113716-1</t>
  </si>
  <si>
    <t>0558116576-1</t>
  </si>
  <si>
    <t>0558116003-9</t>
  </si>
  <si>
    <t>0558113405-5</t>
  </si>
  <si>
    <t>0558116307-17</t>
  </si>
  <si>
    <t>0569022969-6</t>
  </si>
  <si>
    <t>0558116003-10</t>
  </si>
  <si>
    <t>0558116274-2</t>
  </si>
  <si>
    <t>0569023179-2</t>
  </si>
  <si>
    <t>0569023022-5</t>
  </si>
  <si>
    <t>0558113716-2</t>
  </si>
  <si>
    <t>0558116274-3</t>
  </si>
  <si>
    <t>0558116307-19</t>
  </si>
  <si>
    <t>0558116003-8</t>
  </si>
  <si>
    <t>0569023179-1</t>
  </si>
  <si>
    <t>0569023176-4</t>
  </si>
  <si>
    <t>0569023176-1</t>
  </si>
  <si>
    <t>0569023176-3</t>
  </si>
  <si>
    <t>0558113980-1</t>
  </si>
  <si>
    <t>0558116303-11</t>
  </si>
  <si>
    <t>0558113405-3</t>
  </si>
  <si>
    <t>0569023123-3</t>
  </si>
  <si>
    <t>0558116307-10</t>
  </si>
  <si>
    <t>0558114507-1</t>
  </si>
  <si>
    <t>0569023123-2</t>
  </si>
  <si>
    <t>0569023123-1</t>
  </si>
  <si>
    <t>0569022946-3</t>
  </si>
  <si>
    <t>0558113405-2</t>
  </si>
  <si>
    <t>0558116303-18</t>
  </si>
  <si>
    <t>0569022969-5</t>
  </si>
  <si>
    <t>0558113405-7</t>
  </si>
  <si>
    <t>0569023019-5</t>
  </si>
  <si>
    <t>0558113405-8</t>
  </si>
  <si>
    <t>0558116310-10</t>
  </si>
  <si>
    <t>0558113405-6</t>
  </si>
  <si>
    <t>0558114140-7</t>
  </si>
  <si>
    <t>0558116310-15</t>
  </si>
  <si>
    <t>0558116311-7</t>
  </si>
  <si>
    <t>0558116310-16</t>
  </si>
  <si>
    <t>0558116309-2</t>
  </si>
  <si>
    <t>0558116311-8</t>
  </si>
  <si>
    <t>0558116311-9</t>
  </si>
  <si>
    <t>0558116311-3</t>
  </si>
  <si>
    <t>0558116311-4</t>
  </si>
  <si>
    <t>0569022969-3</t>
  </si>
  <si>
    <t>0558116311-18</t>
  </si>
  <si>
    <t>0558116311-2</t>
  </si>
  <si>
    <t>0558116311-17</t>
  </si>
  <si>
    <t>0558116311-6</t>
  </si>
  <si>
    <t>0558116311-5</t>
  </si>
  <si>
    <t>0569022843-1</t>
  </si>
  <si>
    <t>0558116307-2</t>
  </si>
  <si>
    <t>0558111172-1</t>
  </si>
  <si>
    <t>0558116245-1</t>
  </si>
  <si>
    <t>0558116245-3</t>
  </si>
  <si>
    <t>0558116235-5</t>
  </si>
  <si>
    <t>0558116235-8</t>
  </si>
  <si>
    <t>0558116277-1</t>
  </si>
  <si>
    <t>0558116244-1</t>
  </si>
  <si>
    <t>0558116718-1</t>
  </si>
  <si>
    <t>PLATES</t>
  </si>
  <si>
    <t>0558111460-2</t>
  </si>
  <si>
    <t>0558111218-1</t>
  </si>
  <si>
    <t>0558116718-2</t>
  </si>
  <si>
    <t>0558114385-1</t>
  </si>
  <si>
    <t>0569023272-5</t>
  </si>
  <si>
    <t>0558110677-1</t>
  </si>
  <si>
    <t>0558114166-1</t>
  </si>
  <si>
    <t>0569023275-5</t>
  </si>
  <si>
    <t>0558113124-5</t>
  </si>
  <si>
    <t>0558112967-1</t>
  </si>
  <si>
    <t>0558114162-2</t>
  </si>
  <si>
    <t>0558114162-1</t>
  </si>
  <si>
    <t>0558113968-1</t>
  </si>
  <si>
    <t>0558114162-3</t>
  </si>
  <si>
    <t>0558113630-1</t>
  </si>
  <si>
    <t>0558113518-5</t>
  </si>
  <si>
    <t>0558110911-11</t>
  </si>
  <si>
    <t>0558115962-2</t>
  </si>
  <si>
    <t>0558108803-1</t>
  </si>
  <si>
    <t>0558108397-1</t>
  </si>
  <si>
    <t>0558116250-1</t>
  </si>
  <si>
    <t>0569023018-2</t>
  </si>
  <si>
    <t>0569022789-1</t>
  </si>
  <si>
    <t>0569022592-5</t>
  </si>
  <si>
    <t>0569022789-2</t>
  </si>
  <si>
    <t>0569022794-6</t>
  </si>
  <si>
    <t>0569022794-2</t>
  </si>
  <si>
    <t>0569022794-8</t>
  </si>
  <si>
    <t>0569022794-3</t>
  </si>
  <si>
    <t>0569022794-5</t>
  </si>
  <si>
    <t>0569022794-7</t>
  </si>
  <si>
    <t>0569022949-5</t>
  </si>
  <si>
    <t>0558116668-1</t>
  </si>
  <si>
    <t>0558116249-1</t>
  </si>
  <si>
    <t>0558116248-1</t>
  </si>
  <si>
    <t>0569022841-18</t>
  </si>
  <si>
    <t>0569022841-4</t>
  </si>
  <si>
    <t>0569022841-11</t>
  </si>
  <si>
    <t>0569022841-2</t>
  </si>
  <si>
    <t>0569022841-5</t>
  </si>
  <si>
    <t>0569022841-1</t>
  </si>
  <si>
    <t>0569022841-19</t>
  </si>
  <si>
    <t>0569022842-2</t>
  </si>
  <si>
    <t>0569022842-1</t>
  </si>
  <si>
    <t>0569022842-3</t>
  </si>
  <si>
    <t>0569022847-5</t>
  </si>
  <si>
    <t>0569022847-4</t>
  </si>
  <si>
    <t>0569022847-2</t>
  </si>
  <si>
    <t>0558116247-1</t>
  </si>
  <si>
    <t>0569022507-6</t>
  </si>
  <si>
    <t>0558113725-1</t>
  </si>
  <si>
    <t>0569022847-3</t>
  </si>
  <si>
    <t>0558110223-1</t>
  </si>
  <si>
    <t>0569022847-6</t>
  </si>
  <si>
    <t>0569023275-1</t>
  </si>
  <si>
    <t>0569022503-1</t>
  </si>
  <si>
    <t>0558116691-1</t>
  </si>
  <si>
    <t>0569022847-7</t>
  </si>
  <si>
    <t>0558114922-1</t>
  </si>
  <si>
    <t>0569022847-9</t>
  </si>
  <si>
    <t>0569022847-8</t>
  </si>
  <si>
    <t>0558116729-1</t>
  </si>
  <si>
    <t>0569023077-1</t>
  </si>
  <si>
    <t>0569022507-7</t>
  </si>
  <si>
    <t>0569022200-3</t>
  </si>
  <si>
    <t>0558114570-9</t>
  </si>
  <si>
    <t>0569022326-2</t>
  </si>
  <si>
    <t>0569022507-2</t>
  </si>
  <si>
    <t>0569023243-1</t>
  </si>
  <si>
    <t>0569022507-3</t>
  </si>
  <si>
    <t>0569022507-4</t>
  </si>
  <si>
    <t>0558116765-2</t>
  </si>
  <si>
    <t>0558116540-5</t>
  </si>
  <si>
    <t>0569023247-1</t>
  </si>
  <si>
    <t>0558116765-5</t>
  </si>
  <si>
    <t>0558116540-3</t>
  </si>
  <si>
    <t>0558116540-2</t>
  </si>
  <si>
    <t>0558116540-4</t>
  </si>
  <si>
    <t>0569023271-5</t>
  </si>
  <si>
    <t>0569023274-5</t>
  </si>
  <si>
    <t>0569023243-5</t>
  </si>
  <si>
    <t>0569023250-6</t>
  </si>
  <si>
    <t>0569022944-11</t>
  </si>
  <si>
    <t>0569023259-6</t>
  </si>
  <si>
    <t>0558116556-3</t>
  </si>
  <si>
    <t>0569022841-13</t>
  </si>
  <si>
    <t>0569023271-4</t>
  </si>
  <si>
    <t>0569023269-3</t>
  </si>
  <si>
    <t>0569023266-3</t>
  </si>
  <si>
    <t>0569023175-4</t>
  </si>
  <si>
    <t>0569023261-1</t>
  </si>
  <si>
    <t>0569023274-4</t>
  </si>
  <si>
    <t>0569023273-5</t>
  </si>
  <si>
    <t>0569023273-4</t>
  </si>
  <si>
    <t>0569023275-4</t>
  </si>
  <si>
    <t>0558116765-4</t>
  </si>
  <si>
    <t>0558115766-1</t>
  </si>
  <si>
    <t>0569023175-9</t>
  </si>
  <si>
    <t>0569023272-4</t>
  </si>
  <si>
    <t>0569023175-8</t>
  </si>
  <si>
    <t>0569023259-1</t>
  </si>
  <si>
    <t>0569023016-1</t>
  </si>
  <si>
    <t>0558116556-5</t>
  </si>
  <si>
    <t>0569023251-2</t>
  </si>
  <si>
    <t>0569023248-6</t>
  </si>
  <si>
    <t>0558116556-4</t>
  </si>
  <si>
    <t>0569023252-1</t>
  </si>
  <si>
    <t>0569023248-7</t>
  </si>
  <si>
    <t>0569023250-1</t>
  </si>
  <si>
    <t>0569023258-6</t>
  </si>
  <si>
    <t>0569023243-4</t>
  </si>
  <si>
    <t>0569023258-7</t>
  </si>
  <si>
    <t>0569022683-1</t>
  </si>
  <si>
    <t>0569022545-2</t>
  </si>
  <si>
    <t>0558116649-1</t>
  </si>
  <si>
    <t>0569023242-1</t>
  </si>
  <si>
    <t>0558116695-1</t>
  </si>
  <si>
    <t>0569022545-6</t>
  </si>
  <si>
    <t>0569022545-1</t>
  </si>
  <si>
    <t>0569022550-1</t>
  </si>
  <si>
    <t>0569022550-2</t>
  </si>
  <si>
    <t>0569022633-4</t>
  </si>
  <si>
    <t>0569022550-4</t>
  </si>
  <si>
    <t>0569022683-2</t>
  </si>
  <si>
    <t>0569022587-7</t>
  </si>
  <si>
    <t>0558113716-4</t>
  </si>
  <si>
    <t>0558113718-7</t>
  </si>
  <si>
    <t>0558113716-5</t>
  </si>
  <si>
    <t>0558113718-3</t>
  </si>
  <si>
    <t>0558113716-3</t>
  </si>
  <si>
    <t>0558113718-2</t>
  </si>
  <si>
    <t>0558113718-8</t>
  </si>
  <si>
    <t>0558113718-4</t>
  </si>
  <si>
    <t>0558113718-1</t>
  </si>
  <si>
    <t>0569022587-1</t>
  </si>
  <si>
    <t>0558113718-6</t>
  </si>
  <si>
    <t>0558113718-5</t>
  </si>
  <si>
    <t>0569022592-1</t>
  </si>
  <si>
    <t>0558108340-1</t>
  </si>
  <si>
    <t>0568012586-2</t>
  </si>
  <si>
    <t>0568012586-3</t>
  </si>
  <si>
    <t>0569022592-8</t>
  </si>
  <si>
    <t>0569023253-1</t>
  </si>
  <si>
    <t>0569022592-3</t>
  </si>
  <si>
    <t>0569022592-2</t>
  </si>
  <si>
    <t>0569022592-7</t>
  </si>
  <si>
    <t>0569022507-5</t>
  </si>
  <si>
    <t>0569022592-9</t>
  </si>
  <si>
    <t>0569022592-4</t>
  </si>
  <si>
    <t>0569023241-1</t>
  </si>
  <si>
    <t>0569022633-1</t>
  </si>
  <si>
    <t>0569022638-3</t>
  </si>
  <si>
    <t>0569022638-7</t>
  </si>
  <si>
    <t>0569022638-5</t>
  </si>
  <si>
    <t>0569022794-1</t>
  </si>
  <si>
    <t>0569022944-1</t>
  </si>
  <si>
    <t>0569023077-7</t>
  </si>
  <si>
    <t>0569023247-4</t>
  </si>
  <si>
    <t>0569022949-8</t>
  </si>
  <si>
    <t>0558111093-4</t>
  </si>
  <si>
    <t>0558111387-12</t>
  </si>
  <si>
    <t>0558116713-1</t>
  </si>
  <si>
    <t>0558113419-15</t>
  </si>
  <si>
    <t>0558110146-12</t>
  </si>
  <si>
    <t>0558113419-6</t>
  </si>
  <si>
    <t>0558115805-11</t>
  </si>
  <si>
    <t>0558110308-5</t>
  </si>
  <si>
    <t>0558115805-7</t>
  </si>
  <si>
    <t>0558116426-1</t>
  </si>
  <si>
    <t>0558116737-1</t>
  </si>
  <si>
    <t>0558113408-1</t>
  </si>
  <si>
    <t>0558113408-3</t>
  </si>
  <si>
    <t>0558115810-12</t>
  </si>
  <si>
    <t>0558115805-1</t>
  </si>
  <si>
    <t>0558115810-11</t>
  </si>
  <si>
    <t>0558115805-5</t>
  </si>
  <si>
    <t>0558115810-13</t>
  </si>
  <si>
    <t>0558115805-2</t>
  </si>
  <si>
    <t>0558113408-2</t>
  </si>
  <si>
    <t>0558113419-11</t>
  </si>
  <si>
    <t>0558113419-2</t>
  </si>
  <si>
    <t>0558116657-1</t>
  </si>
  <si>
    <t>0558108802-3</t>
  </si>
  <si>
    <t>0558108802-4</t>
  </si>
  <si>
    <t>0558113419-1</t>
  </si>
  <si>
    <t>0558108789-3</t>
  </si>
  <si>
    <t>0558115805-6</t>
  </si>
  <si>
    <t>0558108789-2</t>
  </si>
  <si>
    <t>0558108789-4</t>
  </si>
  <si>
    <t>0558111389-3</t>
  </si>
  <si>
    <t>0558115805-15</t>
  </si>
  <si>
    <t>0558116634-1</t>
  </si>
  <si>
    <t>0558095677-18</t>
  </si>
  <si>
    <t>0558115805-4</t>
  </si>
  <si>
    <t>0558105244-1</t>
  </si>
  <si>
    <t>0558110305-2</t>
  </si>
  <si>
    <t>0558113408-4</t>
  </si>
  <si>
    <t>0558111387-13</t>
  </si>
  <si>
    <t>0558116690-1</t>
  </si>
  <si>
    <t>0558115810-16</t>
  </si>
  <si>
    <t>0558111385-2</t>
  </si>
  <si>
    <t>0558111385-4</t>
  </si>
  <si>
    <t>0558111387-16</t>
  </si>
  <si>
    <t>0558110223-2</t>
  </si>
  <si>
    <t>0569022683-4</t>
  </si>
  <si>
    <t>0569022267-2</t>
  </si>
  <si>
    <t>0569022949-7</t>
  </si>
  <si>
    <t>0569022136-1</t>
  </si>
  <si>
    <t>0569022200-4</t>
  </si>
  <si>
    <t>0569022200-2</t>
  </si>
  <si>
    <t>0569022267-4</t>
  </si>
  <si>
    <t>0569022267-3</t>
  </si>
  <si>
    <t>0569022326-1</t>
  </si>
  <si>
    <t>0569022326-3</t>
  </si>
  <si>
    <t>0569022326-4</t>
  </si>
  <si>
    <t>0569022683-5</t>
  </si>
  <si>
    <t>0569022683-3</t>
  </si>
  <si>
    <t>0569022350-1</t>
  </si>
  <si>
    <t>0569022749-4</t>
  </si>
  <si>
    <t>0569022350-5</t>
  </si>
  <si>
    <t>0569022381-1</t>
  </si>
  <si>
    <t>0569022381-2</t>
  </si>
  <si>
    <t>0569022381-3</t>
  </si>
  <si>
    <t>0569022381-8</t>
  </si>
  <si>
    <t>0569023071-12</t>
  </si>
  <si>
    <t>0569023272-1</t>
  </si>
  <si>
    <t>0569022748-6</t>
  </si>
  <si>
    <t>0569022968-4</t>
  </si>
  <si>
    <t>0569023271-1</t>
  </si>
  <si>
    <t>0558116458-2</t>
  </si>
  <si>
    <t>0558115769-1</t>
  </si>
  <si>
    <t>0569023257-1</t>
  </si>
  <si>
    <t>0569023250-8</t>
  </si>
  <si>
    <t>0569022749-2</t>
  </si>
  <si>
    <t>0558116458-3</t>
  </si>
  <si>
    <t>0569023270-1</t>
  </si>
  <si>
    <t>0558116458-1</t>
  </si>
  <si>
    <t>0569022749-1</t>
  </si>
  <si>
    <t>0558114897-2</t>
  </si>
  <si>
    <t>0558116155-1</t>
  </si>
  <si>
    <t>0569023269-4</t>
  </si>
  <si>
    <t>0569022749-3</t>
  </si>
  <si>
    <t>0558113702-1</t>
  </si>
  <si>
    <t>0558114774-4</t>
  </si>
  <si>
    <t>0569023175-6</t>
  </si>
  <si>
    <t>0558115769-3</t>
  </si>
  <si>
    <t>0558110709-1</t>
  </si>
  <si>
    <t>0569023269-2</t>
  </si>
  <si>
    <t>0569023175-7</t>
  </si>
  <si>
    <t>0558116640-1</t>
  </si>
  <si>
    <t>0558116639-1</t>
  </si>
  <si>
    <t>0558116637-1</t>
  </si>
  <si>
    <t>0558116635-1</t>
  </si>
  <si>
    <t>0569023250-7</t>
  </si>
  <si>
    <t>0569023266-2</t>
  </si>
  <si>
    <t>0569023266-4</t>
  </si>
  <si>
    <t>0558114774-5</t>
  </si>
  <si>
    <t>0558116626-1</t>
  </si>
  <si>
    <t>0569022550-5</t>
  </si>
  <si>
    <t>0558114774-6</t>
  </si>
  <si>
    <t>0569022754-2</t>
  </si>
  <si>
    <t>0558115796-13</t>
  </si>
  <si>
    <t>0558114774-3</t>
  </si>
  <si>
    <t>0569023261-3</t>
  </si>
  <si>
    <t>0558114206-4</t>
  </si>
  <si>
    <t>0558113783-3</t>
  </si>
  <si>
    <t>0569023261-4</t>
  </si>
  <si>
    <t>0558116617-1</t>
  </si>
  <si>
    <t>0558113631-1</t>
  </si>
  <si>
    <t>0558116672-1</t>
  </si>
  <si>
    <t>0569022967-2</t>
  </si>
  <si>
    <t>0558116616-1</t>
  </si>
  <si>
    <t>0569022789-4</t>
  </si>
  <si>
    <t>0569023259-8</t>
  </si>
  <si>
    <t>0569023252-3</t>
  </si>
  <si>
    <t>0558116614-1</t>
  </si>
  <si>
    <t>0569023259-7</t>
  </si>
  <si>
    <t>0558116612-1</t>
  </si>
  <si>
    <t>0558112959-1</t>
  </si>
  <si>
    <t>0569023259-3</t>
  </si>
  <si>
    <t>0569023259-4</t>
  </si>
  <si>
    <t>0558114418-2</t>
  </si>
  <si>
    <t>0558113631-2</t>
  </si>
  <si>
    <t>0558114418-3</t>
  </si>
  <si>
    <t>0569023259-2</t>
  </si>
  <si>
    <t>0569022638-1</t>
  </si>
  <si>
    <t>0558114539-1</t>
  </si>
  <si>
    <t>0558114575-2</t>
  </si>
  <si>
    <t>0558116556-1</t>
  </si>
  <si>
    <t>0558114638-4</t>
  </si>
  <si>
    <t>0569023258-5</t>
  </si>
  <si>
    <t>0569022949-6</t>
  </si>
  <si>
    <t>0558114648-1</t>
  </si>
  <si>
    <t>0558113349-3</t>
  </si>
  <si>
    <t>0569023258-3</t>
  </si>
  <si>
    <t>0569023258-1</t>
  </si>
  <si>
    <t>0558116540-1</t>
  </si>
  <si>
    <t>0569023257-2</t>
  </si>
  <si>
    <t>0558116696-1</t>
  </si>
  <si>
    <t>0558090273-6</t>
  </si>
  <si>
    <t>0558116705-1</t>
  </si>
  <si>
    <t>0558116715-1</t>
  </si>
  <si>
    <t>0558116717-1</t>
  </si>
  <si>
    <t>0558116719-1</t>
  </si>
  <si>
    <t>0558116720-1</t>
  </si>
  <si>
    <t>0569022789-3</t>
  </si>
  <si>
    <t>0569023243-6</t>
  </si>
  <si>
    <t>0558116765-1</t>
  </si>
  <si>
    <t>0569023257-4</t>
  </si>
  <si>
    <t>0569022326-5</t>
  </si>
  <si>
    <t>0569023256-1</t>
  </si>
  <si>
    <t>0569023255-7</t>
  </si>
  <si>
    <t>0558111358-11</t>
  </si>
  <si>
    <t>0569022638-2</t>
  </si>
  <si>
    <t>0569023255-6</t>
  </si>
  <si>
    <t>0569023273-1</t>
  </si>
  <si>
    <t>0569023274-1</t>
  </si>
  <si>
    <t>0569023023-2</t>
  </si>
  <si>
    <t>0558116670-1</t>
  </si>
  <si>
    <t>0558116673-1</t>
  </si>
  <si>
    <t>0558116682-1</t>
  </si>
  <si>
    <t>0569023255-1</t>
  </si>
  <si>
    <t>0569023255-2</t>
  </si>
  <si>
    <t>0569023071-2</t>
  </si>
  <si>
    <t>0558116693-1</t>
  </si>
  <si>
    <t>0569022550-3</t>
  </si>
  <si>
    <t>0569023077-4</t>
  </si>
  <si>
    <t>0569022945-1</t>
  </si>
  <si>
    <t>0569022971-4</t>
  </si>
  <si>
    <t>0558113288-1</t>
  </si>
  <si>
    <t>0569023023-4</t>
  </si>
  <si>
    <t>0569023243-2</t>
  </si>
  <si>
    <t>0569022944-10</t>
  </si>
  <si>
    <t>0569022944-15</t>
  </si>
  <si>
    <t>0569022944-7</t>
  </si>
  <si>
    <t>0569022944-5</t>
  </si>
  <si>
    <t>0569022944-3</t>
  </si>
  <si>
    <t>0569022945-2</t>
  </si>
  <si>
    <t>0569022949-1</t>
  </si>
  <si>
    <t>0569022949-4</t>
  </si>
  <si>
    <t>0569022949-3</t>
  </si>
  <si>
    <t>0569022949-2</t>
  </si>
  <si>
    <t>0569022944-4</t>
  </si>
  <si>
    <t>0569022967-6</t>
  </si>
  <si>
    <t>0569022971-1</t>
  </si>
  <si>
    <t>0569022971-3</t>
  </si>
  <si>
    <t>0569022971-2</t>
  </si>
  <si>
    <t>0569022592-6</t>
  </si>
  <si>
    <t>0569023254-3</t>
  </si>
  <si>
    <t>0569023017-5</t>
  </si>
  <si>
    <t>0569023018-1</t>
  </si>
  <si>
    <t>0569023018-3</t>
  </si>
  <si>
    <t>0569022944-17</t>
  </si>
  <si>
    <t>0569023018-6</t>
  </si>
  <si>
    <t>0569023023-3</t>
  </si>
  <si>
    <t>0569023023-5</t>
  </si>
  <si>
    <t>0569023023-1</t>
  </si>
  <si>
    <t>0569023077-2</t>
  </si>
  <si>
    <t>0569023071-10</t>
  </si>
  <si>
    <t>0569023071-3</t>
  </si>
  <si>
    <t>0569023072-1</t>
  </si>
  <si>
    <t>0569023077-3</t>
  </si>
  <si>
    <t>0569023077-5</t>
  </si>
  <si>
    <t>0569023077-6</t>
  </si>
  <si>
    <t>0569023077-8</t>
  </si>
  <si>
    <t>0569023077-9</t>
  </si>
  <si>
    <t>0569023122-1</t>
  </si>
  <si>
    <t>0569023122-2</t>
  </si>
  <si>
    <t>0569023126-1</t>
  </si>
  <si>
    <t>0569022683-6</t>
  </si>
  <si>
    <t>0569023175-13</t>
  </si>
  <si>
    <t>0569022200-6</t>
  </si>
  <si>
    <t>0569023175-11</t>
  </si>
  <si>
    <t>0569023175-14</t>
  </si>
  <si>
    <t>0569023175-2</t>
  </si>
  <si>
    <t>0569023175-12</t>
  </si>
  <si>
    <t>0569022638-6</t>
  </si>
  <si>
    <t>0569023175-3</t>
  </si>
  <si>
    <t>0569023181-1</t>
  </si>
  <si>
    <t>0569023181-4</t>
  </si>
  <si>
    <t>0569023181-3</t>
  </si>
  <si>
    <t>0569023181-2</t>
  </si>
  <si>
    <t>0558113119-5</t>
  </si>
  <si>
    <t>0558113124-2</t>
  </si>
  <si>
    <t>0558113124-1</t>
  </si>
  <si>
    <t>0558115470-3</t>
  </si>
  <si>
    <t>0558113093-2</t>
  </si>
  <si>
    <t>0558113319-3</t>
  </si>
  <si>
    <t>0569023242-3</t>
  </si>
  <si>
    <t>0569023250-3</t>
  </si>
  <si>
    <t>0558114206-3</t>
  </si>
  <si>
    <t>0558114206-5</t>
  </si>
  <si>
    <t>0569023254-1</t>
  </si>
  <si>
    <t>0558114570-8</t>
  </si>
  <si>
    <t>0558115332-2</t>
  </si>
  <si>
    <t>0569022754-1</t>
  </si>
  <si>
    <t>0558113783-1</t>
  </si>
  <si>
    <t>0569023255-4</t>
  </si>
  <si>
    <t>0569022847-1</t>
  </si>
  <si>
    <t>0569023255-5</t>
  </si>
  <si>
    <t>0569023242-2</t>
  </si>
  <si>
    <t>0569023243-7</t>
  </si>
  <si>
    <t>0569023246-1</t>
  </si>
  <si>
    <t>0569023247-2</t>
  </si>
  <si>
    <t>0569023248-5</t>
  </si>
  <si>
    <t>0558114087-2</t>
  </si>
  <si>
    <t>0569023248-3</t>
  </si>
  <si>
    <t>0569022587-2</t>
  </si>
  <si>
    <t>0569023248-1</t>
  </si>
  <si>
    <t>0569023250-2</t>
  </si>
  <si>
    <t>0569023252-4</t>
  </si>
  <si>
    <t>0569023254-2</t>
  </si>
  <si>
    <t>0569022794-4</t>
  </si>
  <si>
    <t>0569022503-2</t>
  </si>
  <si>
    <t>0569023072-6</t>
  </si>
  <si>
    <t>0558113740-1</t>
  </si>
  <si>
    <t>0569022638-4</t>
  </si>
  <si>
    <t>0558116556-2</t>
  </si>
  <si>
    <t>0558090273-3</t>
  </si>
  <si>
    <t>0558106063-1</t>
  </si>
  <si>
    <t>0558090273-1</t>
  </si>
  <si>
    <t>0558090273-8</t>
  </si>
  <si>
    <t>0558113604-2</t>
  </si>
  <si>
    <t>0558090273-5</t>
  </si>
  <si>
    <t>0558090273-7</t>
  </si>
  <si>
    <t>0558090273-4</t>
  </si>
  <si>
    <t>0558090273-9</t>
  </si>
  <si>
    <t>0558090273-10</t>
  </si>
  <si>
    <t>0558112279-1</t>
  </si>
  <si>
    <t>0558114630-1</t>
  </si>
  <si>
    <t>0558112279-3</t>
  </si>
  <si>
    <t>0558112279-2</t>
  </si>
  <si>
    <t>0558114630-2</t>
  </si>
  <si>
    <t>0558113970-1</t>
  </si>
  <si>
    <t>0558116261-1</t>
  </si>
  <si>
    <t>0558116539-1</t>
  </si>
  <si>
    <t>0558114414-1</t>
  </si>
  <si>
    <t>0558105505-1</t>
  </si>
  <si>
    <t>0558115334-1</t>
  </si>
  <si>
    <t>0558116758-1</t>
  </si>
  <si>
    <t>0558114923-2</t>
  </si>
  <si>
    <t>0569022994-1</t>
  </si>
  <si>
    <t>0558113971-1</t>
  </si>
  <si>
    <t>0558113131-3</t>
  </si>
  <si>
    <t>0558113131-2</t>
  </si>
  <si>
    <t>0558113549-1</t>
  </si>
  <si>
    <t>0569022674-1</t>
  </si>
  <si>
    <t>0569022423-4</t>
  </si>
  <si>
    <t>0569022423-5</t>
  </si>
  <si>
    <t>0558116671-2</t>
  </si>
  <si>
    <t>0558116638-1</t>
  </si>
  <si>
    <t>0558116638-2</t>
  </si>
  <si>
    <t>0558114477-1</t>
  </si>
  <si>
    <t>0558116615-1</t>
  </si>
  <si>
    <t>0558115764-1</t>
  </si>
  <si>
    <t>0558110621-2</t>
  </si>
  <si>
    <t>0558116273-1</t>
  </si>
  <si>
    <t>0558111153-1</t>
  </si>
  <si>
    <t>0558116615-2</t>
  </si>
  <si>
    <t>0558110621-1</t>
  </si>
  <si>
    <t>0558110621-4</t>
  </si>
  <si>
    <t>0558110621-3</t>
  </si>
  <si>
    <t>0558111172-2</t>
  </si>
  <si>
    <t>0558111289-1</t>
  </si>
  <si>
    <t>0558112282-1</t>
  </si>
  <si>
    <t>0558110895-1</t>
  </si>
  <si>
    <t>0558110895-2</t>
  </si>
  <si>
    <t>0558112846-1</t>
  </si>
  <si>
    <t>0558114338-2</t>
  </si>
  <si>
    <t>0558115175-1</t>
  </si>
  <si>
    <t>0558111353-1</t>
  </si>
  <si>
    <t>0558114338-1</t>
  </si>
  <si>
    <t>0558112536-1</t>
  </si>
  <si>
    <t>0558114458-5</t>
  </si>
  <si>
    <t>0558108803-2</t>
  </si>
  <si>
    <t>0558116671-1</t>
  </si>
  <si>
    <t>0558113109-4</t>
  </si>
  <si>
    <t>0558116694-1</t>
  </si>
  <si>
    <t>0558108226-12</t>
  </si>
  <si>
    <t>0558108226-11</t>
  </si>
  <si>
    <t>0558116694-2</t>
  </si>
  <si>
    <t>0558116767-6</t>
  </si>
  <si>
    <t>BLACK</t>
  </si>
  <si>
    <t>1110_FG_HRC</t>
  </si>
  <si>
    <t>0558116567-3</t>
  </si>
  <si>
    <t>0558116767-5</t>
  </si>
  <si>
    <t>0558116767-2</t>
  </si>
  <si>
    <t>0558116767-7</t>
  </si>
  <si>
    <t>0558116567-2</t>
  </si>
  <si>
    <t>0558116767-3</t>
  </si>
  <si>
    <t>0558116767-4</t>
  </si>
  <si>
    <t>0558116767-1</t>
  </si>
  <si>
    <t>0568012913-1</t>
  </si>
  <si>
    <t>JBS</t>
  </si>
  <si>
    <t>1210_FG_JBS</t>
  </si>
  <si>
    <t>0558114956-1</t>
  </si>
  <si>
    <t>0558116214-1</t>
  </si>
  <si>
    <t>0558116206-1</t>
  </si>
  <si>
    <t>0558116559-1</t>
  </si>
  <si>
    <t>0558116749-1</t>
  </si>
  <si>
    <t>0558116750-1</t>
  </si>
  <si>
    <t>0558107626-1</t>
  </si>
  <si>
    <t>0558115359-1</t>
  </si>
  <si>
    <t>0558116312-1</t>
  </si>
  <si>
    <t>0558116221-1</t>
  </si>
  <si>
    <t>0558116313-1</t>
  </si>
  <si>
    <t>0568011535-1</t>
  </si>
  <si>
    <t>0558107623-1</t>
  </si>
  <si>
    <t>0568012857-2</t>
  </si>
  <si>
    <t>0558110164-1</t>
  </si>
  <si>
    <t>0558104044-1</t>
  </si>
  <si>
    <t>0558114967-1</t>
  </si>
  <si>
    <t>0558116314-1</t>
  </si>
  <si>
    <t>0558110181-2</t>
  </si>
  <si>
    <t>0568012187-2</t>
  </si>
  <si>
    <t>0558116560-1</t>
  </si>
  <si>
    <t>0558116804-2</t>
  </si>
  <si>
    <t>0558110181-4</t>
  </si>
  <si>
    <t>0558116317-1</t>
  </si>
  <si>
    <t>0558116223-1</t>
  </si>
  <si>
    <t>0558114797-1</t>
  </si>
  <si>
    <t>0558114965-1</t>
  </si>
  <si>
    <t>0558116222-1</t>
  </si>
  <si>
    <t>0568012841-1</t>
  </si>
  <si>
    <t>0558108056-1</t>
  </si>
  <si>
    <t>0558113324-2</t>
  </si>
  <si>
    <t>0558114932-1</t>
  </si>
  <si>
    <t>0558114798-1</t>
  </si>
  <si>
    <t>0568012857-1</t>
  </si>
  <si>
    <t>0558116768-1</t>
  </si>
  <si>
    <t>0558108396-1</t>
  </si>
  <si>
    <t>0558114632-1</t>
  </si>
  <si>
    <t>0558110599-3</t>
  </si>
  <si>
    <t>0558110727-4</t>
  </si>
  <si>
    <t>0558116218-1</t>
  </si>
  <si>
    <t>0558114987-1</t>
  </si>
  <si>
    <t>0558110599-1</t>
  </si>
  <si>
    <t>0558116215-1</t>
  </si>
  <si>
    <t>0558114937-1</t>
  </si>
  <si>
    <t>0568012838-1</t>
  </si>
  <si>
    <t>0558113603-1</t>
  </si>
  <si>
    <t>0568012277-1</t>
  </si>
  <si>
    <t>0558116568-1</t>
  </si>
  <si>
    <t>0558115015-1</t>
  </si>
  <si>
    <t>0558116533-1</t>
  </si>
  <si>
    <t>0558116532-1</t>
  </si>
  <si>
    <t>0568011493-1</t>
  </si>
  <si>
    <t>0558114771-1</t>
  </si>
  <si>
    <t>0558115359-2</t>
  </si>
  <si>
    <t>0568012842-1</t>
  </si>
  <si>
    <t>0568012677-1</t>
  </si>
  <si>
    <t>0558116216-1</t>
  </si>
  <si>
    <t>0558116804-1</t>
  </si>
  <si>
    <t>0558107622-1</t>
  </si>
  <si>
    <t>0558114443-1</t>
  </si>
  <si>
    <t>0558114966-1</t>
  </si>
  <si>
    <t>0568012854-1</t>
  </si>
  <si>
    <t>0558116220-1</t>
  </si>
  <si>
    <t>0558107622-2</t>
  </si>
  <si>
    <t>0558116217-1</t>
  </si>
  <si>
    <t>0568012838-2</t>
  </si>
  <si>
    <t>0568012858-1</t>
  </si>
  <si>
    <t>0568012859-1</t>
  </si>
  <si>
    <t>0558116551-1</t>
  </si>
  <si>
    <t>0568012661-1</t>
  </si>
  <si>
    <t>0558116531-1</t>
  </si>
  <si>
    <t>0568012661-2</t>
  </si>
  <si>
    <t>0558116751-1</t>
  </si>
  <si>
    <t>0568012095-1</t>
  </si>
  <si>
    <t>0558116530-1</t>
  </si>
  <si>
    <t>0558116558-1</t>
  </si>
  <si>
    <t>0558116752-1</t>
  </si>
  <si>
    <t>0558116544-3</t>
  </si>
  <si>
    <t>NFA</t>
  </si>
  <si>
    <t>1110_FG_NFA</t>
  </si>
  <si>
    <t>0558116544-1</t>
  </si>
  <si>
    <t>0558116544-2</t>
  </si>
  <si>
    <t>0558116563-3</t>
  </si>
  <si>
    <t>0558116563-1</t>
  </si>
  <si>
    <t>0558116764-2</t>
  </si>
  <si>
    <t>0558116764-1</t>
  </si>
  <si>
    <t>0558116563-2</t>
  </si>
  <si>
    <t>0558116764-3</t>
  </si>
  <si>
    <t>0558116784-1</t>
  </si>
  <si>
    <t>0558113514-1</t>
  </si>
  <si>
    <t>0558116784-3</t>
  </si>
  <si>
    <t>0558116803-3</t>
  </si>
  <si>
    <t>0558113514-3</t>
  </si>
  <si>
    <t>0558116513-1</t>
  </si>
  <si>
    <t>0558113765-4</t>
  </si>
  <si>
    <t>0558113700-5</t>
  </si>
  <si>
    <t>0558113765-2</t>
  </si>
  <si>
    <t>0558114260-1</t>
  </si>
  <si>
    <t>0558116514-3</t>
  </si>
  <si>
    <t>0558113765-3</t>
  </si>
  <si>
    <t>0558114260-4</t>
  </si>
  <si>
    <t>0558116514-4</t>
  </si>
  <si>
    <t>0558116514-2</t>
  </si>
  <si>
    <t>0558114260-7</t>
  </si>
  <si>
    <t>0558114260-2</t>
  </si>
  <si>
    <t>0558116514-1</t>
  </si>
  <si>
    <t>0558116514-5</t>
  </si>
  <si>
    <t>0558114005-1</t>
  </si>
  <si>
    <t>PSS</t>
  </si>
  <si>
    <t>1210_FG_PSS</t>
  </si>
  <si>
    <t>0558113641-1</t>
  </si>
  <si>
    <t>0558114751-1</t>
  </si>
  <si>
    <t>0558116208-5</t>
  </si>
  <si>
    <t>0558116210-4</t>
  </si>
  <si>
    <t>0568012530-2</t>
  </si>
  <si>
    <t>0568012530-7</t>
  </si>
  <si>
    <t>0568012530-4</t>
  </si>
  <si>
    <t>0568012739-1</t>
  </si>
  <si>
    <t>0568012530-3</t>
  </si>
  <si>
    <t>0558114496-5</t>
  </si>
  <si>
    <t>0558113510-1</t>
  </si>
  <si>
    <t>0558113510-2</t>
  </si>
  <si>
    <t>0558113510-4</t>
  </si>
  <si>
    <t>0558114496-4</t>
  </si>
  <si>
    <t>0558116209-5</t>
  </si>
  <si>
    <t>0558107995-1</t>
  </si>
  <si>
    <t>0558115768-15</t>
  </si>
  <si>
    <t>0558113979-1</t>
  </si>
  <si>
    <t>0568012530-5</t>
  </si>
  <si>
    <t>0558115768-13</t>
  </si>
  <si>
    <t>0558113979-4</t>
  </si>
  <si>
    <t>0558116211-4</t>
  </si>
  <si>
    <t>0558113979-6</t>
  </si>
  <si>
    <t>0558114496-6</t>
  </si>
  <si>
    <t>0568012530-10</t>
  </si>
  <si>
    <t>0558114496-3</t>
  </si>
  <si>
    <t>0558115771-1</t>
  </si>
  <si>
    <t>0558115772-1</t>
  </si>
  <si>
    <t>0568012911-1</t>
  </si>
  <si>
    <t>0558113979-8</t>
  </si>
  <si>
    <t>0568012910-1</t>
  </si>
  <si>
    <t>0568012530-8</t>
  </si>
  <si>
    <t>0568012909-2</t>
  </si>
  <si>
    <t>0558115768-14</t>
  </si>
  <si>
    <t>0558116208-4</t>
  </si>
  <si>
    <t>0568012912-1</t>
  </si>
  <si>
    <t>0568012739-12</t>
  </si>
  <si>
    <t>0558116212-4</t>
  </si>
  <si>
    <t>0568012739-9</t>
  </si>
  <si>
    <t>0568012739-8</t>
  </si>
  <si>
    <t>0568012530-11</t>
  </si>
  <si>
    <t>0568012530-9</t>
  </si>
  <si>
    <t>0568012739-11</t>
  </si>
  <si>
    <t>0558113979-9</t>
  </si>
  <si>
    <t>0558113979-3</t>
  </si>
  <si>
    <t>0568012530-1</t>
  </si>
  <si>
    <t>0558112728-1</t>
  </si>
  <si>
    <t>0558113979-7</t>
  </si>
  <si>
    <t>0558113979-5</t>
  </si>
  <si>
    <t>0558116209-4</t>
  </si>
  <si>
    <t>0558116212-5</t>
  </si>
  <si>
    <t>0558113979-10</t>
  </si>
  <si>
    <t>0558116211-5</t>
  </si>
  <si>
    <t>0558107995-2</t>
  </si>
  <si>
    <t>0568012739-5</t>
  </si>
  <si>
    <t>0568012739-10</t>
  </si>
  <si>
    <t>0558114496-1</t>
  </si>
  <si>
    <t>0568012739-6</t>
  </si>
  <si>
    <t>0568012739-7</t>
  </si>
  <si>
    <t>0558113979-2</t>
  </si>
  <si>
    <t>0568012739-4</t>
  </si>
  <si>
    <t>0558116213-1</t>
  </si>
  <si>
    <t>0568012530-6</t>
  </si>
  <si>
    <t>0568012739-3</t>
  </si>
  <si>
    <t>0568012739-2</t>
  </si>
  <si>
    <t>0569022950-1</t>
  </si>
  <si>
    <t>0568012872-2</t>
  </si>
  <si>
    <t>0558116561-1</t>
  </si>
  <si>
    <t>0558113919-1</t>
  </si>
  <si>
    <t>0568012872-14</t>
  </si>
  <si>
    <t>0568012592-1</t>
  </si>
  <si>
    <t>0568012873-1</t>
  </si>
  <si>
    <t>0568012873-2</t>
  </si>
  <si>
    <t>0568012861-2</t>
  </si>
  <si>
    <t>0558116550-1</t>
  </si>
  <si>
    <t>0558116550-2</t>
  </si>
  <si>
    <t>0568012861-1</t>
  </si>
  <si>
    <t>0568012662-5</t>
  </si>
  <si>
    <t>0568012662-2</t>
  </si>
  <si>
    <t>0568012662-4</t>
  </si>
  <si>
    <t>0568012819-1</t>
  </si>
  <si>
    <t>0568012819-2</t>
  </si>
  <si>
    <t>0568012822-1</t>
  </si>
  <si>
    <t>0568012817-2</t>
  </si>
  <si>
    <t>0568012817-1</t>
  </si>
  <si>
    <t>0558072317-1</t>
  </si>
  <si>
    <t>0568012872-10</t>
  </si>
  <si>
    <t>0568012727-1</t>
  </si>
  <si>
    <t>0568012729-1</t>
  </si>
  <si>
    <t>0568012736-1</t>
  </si>
  <si>
    <t>0558115331-2</t>
  </si>
  <si>
    <t>0558113981-3</t>
  </si>
  <si>
    <t>0558110749-2</t>
  </si>
  <si>
    <t>0558113967-2</t>
  </si>
  <si>
    <t>0558113967-1</t>
  </si>
  <si>
    <t>0558110749-1</t>
  </si>
  <si>
    <t>0558113981-1</t>
  </si>
  <si>
    <t>0568012737-1</t>
  </si>
  <si>
    <t>0558113981-2</t>
  </si>
  <si>
    <t>0568012737-5</t>
  </si>
  <si>
    <t>0568012737-7</t>
  </si>
  <si>
    <t>0568012737-10</t>
  </si>
  <si>
    <t>0568012737-3</t>
  </si>
  <si>
    <t>0568012738-1</t>
  </si>
  <si>
    <t>0568012906-3</t>
  </si>
  <si>
    <t>0558114400-1</t>
  </si>
  <si>
    <t>0558113340-1</t>
  </si>
  <si>
    <t>0558114398-1</t>
  </si>
  <si>
    <t>0568012737-6</t>
  </si>
  <si>
    <t>0568012872-5</t>
  </si>
  <si>
    <t>0558111199-1</t>
  </si>
  <si>
    <t>0568011221-2</t>
  </si>
  <si>
    <t>0568011221-1</t>
  </si>
  <si>
    <t>0568011221-3</t>
  </si>
  <si>
    <t>0569023265-4</t>
  </si>
  <si>
    <t>0569023268-4</t>
  </si>
  <si>
    <t>0568012748-1</t>
  </si>
  <si>
    <t>0558110243-10</t>
  </si>
  <si>
    <t>0569023278-4</t>
  </si>
  <si>
    <t>0558111017-1</t>
  </si>
  <si>
    <t>0558116772-4</t>
  </si>
  <si>
    <t>1210_IUP_FG</t>
  </si>
  <si>
    <t>0558111136-3</t>
  </si>
  <si>
    <t>0558111136-1</t>
  </si>
  <si>
    <t>0558111136-2</t>
  </si>
  <si>
    <t>0558116772-1</t>
  </si>
  <si>
    <t>0558116772-3</t>
  </si>
  <si>
    <t>0558116772-2</t>
  </si>
  <si>
    <t>0558111136-4</t>
  </si>
  <si>
    <t>0558116747-2</t>
  </si>
  <si>
    <t>0558116747-1</t>
  </si>
  <si>
    <t>0568012867-5</t>
  </si>
  <si>
    <t>0568012867-4</t>
  </si>
  <si>
    <t>0568012867-3</t>
  </si>
  <si>
    <t>0568012867-1</t>
  </si>
  <si>
    <t>0569022908-3</t>
  </si>
  <si>
    <t>0569022908-14</t>
  </si>
  <si>
    <t>0569022908-11</t>
  </si>
  <si>
    <t>0569022908-12</t>
  </si>
  <si>
    <t>0569022908-1</t>
  </si>
  <si>
    <t>0569022908-9</t>
  </si>
  <si>
    <t>0569022908-15</t>
  </si>
  <si>
    <t>0569022908-2</t>
  </si>
  <si>
    <t>0569022908-16</t>
  </si>
  <si>
    <t>0569022908-8</t>
  </si>
  <si>
    <t>0569023165-2</t>
  </si>
  <si>
    <t>0568012801-1</t>
  </si>
  <si>
    <t>0568012804-1</t>
  </si>
  <si>
    <t>0508000584-6</t>
  </si>
  <si>
    <t>0569023165-3</t>
  </si>
  <si>
    <t>0568012815-1</t>
  </si>
  <si>
    <t>0508000584-7</t>
  </si>
  <si>
    <t>0508000584-5</t>
  </si>
  <si>
    <t>0508000584-8</t>
  </si>
  <si>
    <t>0568012801-2</t>
  </si>
  <si>
    <t>0568012818-1</t>
  </si>
  <si>
    <t>0508000551-4</t>
  </si>
  <si>
    <t>0568012725-1</t>
  </si>
  <si>
    <t>0568012725-2</t>
  </si>
  <si>
    <t>0568012804-2</t>
  </si>
  <si>
    <t>0558116748-1</t>
  </si>
  <si>
    <t>0568012737-4</t>
  </si>
  <si>
    <t>0558116529-1</t>
  </si>
  <si>
    <t>0558116528-2</t>
  </si>
  <si>
    <t>0558116528-1</t>
  </si>
  <si>
    <t>0568012737-2</t>
  </si>
  <si>
    <t>0568012872-13</t>
  </si>
  <si>
    <t>0568012872-1</t>
  </si>
  <si>
    <t>0568012872-4</t>
  </si>
  <si>
    <t>0568012872-9</t>
  </si>
  <si>
    <t>0568012872-17</t>
  </si>
  <si>
    <t>0558115308-1</t>
  </si>
  <si>
    <t>0568012872-3</t>
  </si>
  <si>
    <t>0558113385-1</t>
  </si>
  <si>
    <t>0569022908-13</t>
  </si>
  <si>
    <t>0569022908-7</t>
  </si>
  <si>
    <t>0568012758-1</t>
  </si>
  <si>
    <t>0568012755-1</t>
  </si>
  <si>
    <t>0568012872-18</t>
  </si>
  <si>
    <t>0568012757-1</t>
  </si>
  <si>
    <t>0508000621-2</t>
  </si>
  <si>
    <t>0569022907-2</t>
  </si>
  <si>
    <t>0508000616-1</t>
  </si>
  <si>
    <t>0569022907-3</t>
  </si>
  <si>
    <t>0568012759-1</t>
  </si>
  <si>
    <t>0508000572-1</t>
  </si>
  <si>
    <t>0508000619-3</t>
  </si>
  <si>
    <t>0569022906-4</t>
  </si>
  <si>
    <t>0568012733-7</t>
  </si>
  <si>
    <t>0508000619-1</t>
  </si>
  <si>
    <t>0508000619-4</t>
  </si>
  <si>
    <t>0508000619-2</t>
  </si>
  <si>
    <t>0569022906-3</t>
  </si>
  <si>
    <t>0569022906-1</t>
  </si>
  <si>
    <t>0568012733-8</t>
  </si>
  <si>
    <t>0568012872-11</t>
  </si>
  <si>
    <t>0568012733-5</t>
  </si>
  <si>
    <t>0568012733-9</t>
  </si>
  <si>
    <t>0508000618-2</t>
  </si>
  <si>
    <t>0508000618-3</t>
  </si>
  <si>
    <t>0508000618-1</t>
  </si>
  <si>
    <t>0568012749-3</t>
  </si>
  <si>
    <t>0558115331-1</t>
  </si>
  <si>
    <t>0568012749-2</t>
  </si>
  <si>
    <t>0508000617-1</t>
  </si>
  <si>
    <t>0568012604-1</t>
  </si>
  <si>
    <t>0568012797-5</t>
  </si>
  <si>
    <t>0558113936-2</t>
  </si>
  <si>
    <t>0568012872-8</t>
  </si>
  <si>
    <t>0558113936-1</t>
  </si>
  <si>
    <t>0569022907-4</t>
  </si>
  <si>
    <t>0568012780-1</t>
  </si>
  <si>
    <t>0568012756-1</t>
  </si>
  <si>
    <t>0568012797-6</t>
  </si>
  <si>
    <t>0508000614-1</t>
  </si>
  <si>
    <t>0568012761-1</t>
  </si>
  <si>
    <t>0569022907-1</t>
  </si>
  <si>
    <t>0568012872-6</t>
  </si>
  <si>
    <t>0568012782-1</t>
  </si>
  <si>
    <t>0558116627-1</t>
  </si>
  <si>
    <t>0558116735-1</t>
  </si>
  <si>
    <t>0558116208-3</t>
  </si>
  <si>
    <t>0558116709-1</t>
  </si>
  <si>
    <t>0558116686-1</t>
  </si>
  <si>
    <t>0558113644-2</t>
  </si>
  <si>
    <t>0558111200-6</t>
  </si>
  <si>
    <t>0558107397-1</t>
  </si>
  <si>
    <t>0558114948-3</t>
  </si>
  <si>
    <t>0558116210-2</t>
  </si>
  <si>
    <t>0558115768-9</t>
  </si>
  <si>
    <t>0558113644-1</t>
  </si>
  <si>
    <t>0558116211-2</t>
  </si>
  <si>
    <t>0558116208-1</t>
  </si>
  <si>
    <t>0558116707-1</t>
  </si>
  <si>
    <t>0558116209-1</t>
  </si>
  <si>
    <t>0558116212-2</t>
  </si>
  <si>
    <t>0558114949-1</t>
  </si>
  <si>
    <t>0558116212-1</t>
  </si>
  <si>
    <t>0558116209-3</t>
  </si>
  <si>
    <t>0558116653-1</t>
  </si>
  <si>
    <t>0558116211-3</t>
  </si>
  <si>
    <t>0558113600-2</t>
  </si>
  <si>
    <t>0558113600-1</t>
  </si>
  <si>
    <t>0558116210-1</t>
  </si>
  <si>
    <t>0558116212-3</t>
  </si>
  <si>
    <t>0558111401-3</t>
  </si>
  <si>
    <t>0558114931-2</t>
  </si>
  <si>
    <t>0558108246-2</t>
  </si>
  <si>
    <t>0558110767-8</t>
  </si>
  <si>
    <t>0558114948-1</t>
  </si>
  <si>
    <t>0558110767-7</t>
  </si>
  <si>
    <t>0558114931-1</t>
  </si>
  <si>
    <t>0558116731-1</t>
  </si>
  <si>
    <t>0558114256-1</t>
  </si>
  <si>
    <t>0558116706-1</t>
  </si>
  <si>
    <t>0508000624-1</t>
  </si>
  <si>
    <t>0558116733-1</t>
  </si>
  <si>
    <t>0558116655-1</t>
  </si>
  <si>
    <t>0558116654-1</t>
  </si>
  <si>
    <t>0558114397-1</t>
  </si>
  <si>
    <t>0558116211-1</t>
  </si>
  <si>
    <t>0558116652-1</t>
  </si>
  <si>
    <t>0558116224-1</t>
  </si>
  <si>
    <t>0558116685-1</t>
  </si>
  <si>
    <t>0558116688-1</t>
  </si>
  <si>
    <t>0558116209-2</t>
  </si>
  <si>
    <t>0558114392-1</t>
  </si>
  <si>
    <t>0558116650-1</t>
  </si>
  <si>
    <t>0558116730-1</t>
  </si>
  <si>
    <t>0558116687-1</t>
  </si>
  <si>
    <t>0558115768-4</t>
  </si>
  <si>
    <t>0558113965-1</t>
  </si>
  <si>
    <t>0558114395-1</t>
  </si>
  <si>
    <t>0558116683-1</t>
  </si>
  <si>
    <t>0558116632-1</t>
  </si>
  <si>
    <t>0558116631-1</t>
  </si>
  <si>
    <t>0558116734-1</t>
  </si>
  <si>
    <t>0558114393-1</t>
  </si>
  <si>
    <t>0558116708-1</t>
  </si>
  <si>
    <t>0558116732-1</t>
  </si>
  <si>
    <t>0558114396-1</t>
  </si>
  <si>
    <t>0558116710-1</t>
  </si>
  <si>
    <t>0558116651-1</t>
  </si>
  <si>
    <t>0508000599-1</t>
  </si>
  <si>
    <t>0508000598-1</t>
  </si>
  <si>
    <t>0508000597-1</t>
  </si>
  <si>
    <t>0508000596-1</t>
  </si>
  <si>
    <t>0508000595-1</t>
  </si>
  <si>
    <t>0558115768-11</t>
  </si>
  <si>
    <t>0508000594-1</t>
  </si>
  <si>
    <t>0558115768-2</t>
  </si>
  <si>
    <t>0568012797-2</t>
  </si>
  <si>
    <t>0568012797-1</t>
  </si>
  <si>
    <t>0558116711-1</t>
  </si>
  <si>
    <t>0558115768-6</t>
  </si>
  <si>
    <t>0558115768-10</t>
  </si>
  <si>
    <t>0508000601-1</t>
  </si>
  <si>
    <t>0558116630-1</t>
  </si>
  <si>
    <t>0568012732-2</t>
  </si>
  <si>
    <t>0558114948-2</t>
  </si>
  <si>
    <t>0558110767-6</t>
  </si>
  <si>
    <t>0558110767-2</t>
  </si>
  <si>
    <t>0568012732-3</t>
  </si>
  <si>
    <t>0558110767-4</t>
  </si>
  <si>
    <t>0568012732-1</t>
  </si>
  <si>
    <t>0558110767-3</t>
  </si>
  <si>
    <t>0558110767-1</t>
  </si>
  <si>
    <t>0558116207-1</t>
  </si>
  <si>
    <t>0558116684-1</t>
  </si>
  <si>
    <t>0558113962-1</t>
  </si>
  <si>
    <t>0558116628-1</t>
  </si>
  <si>
    <t>0558115768-7</t>
  </si>
  <si>
    <t>0558116629-1</t>
  </si>
  <si>
    <t>0558115768-5</t>
  </si>
  <si>
    <t>0568012808-1</t>
  </si>
  <si>
    <t>0558114394-1</t>
  </si>
  <si>
    <t>0558116208-2</t>
  </si>
  <si>
    <t>0558116210-3</t>
  </si>
  <si>
    <t>0568012712-1</t>
  </si>
  <si>
    <t>0568012809-1</t>
  </si>
  <si>
    <t>0568012810-1</t>
  </si>
  <si>
    <t>0508000622-1</t>
  </si>
  <si>
    <t>0568012868-1</t>
  </si>
  <si>
    <t>0568012816-1</t>
  </si>
  <si>
    <t>0568012866-1</t>
  </si>
  <si>
    <t>0568012869-1</t>
  </si>
  <si>
    <t>0568012870-1</t>
  </si>
  <si>
    <t>0568012721-2</t>
  </si>
  <si>
    <t>0508000613-3</t>
  </si>
  <si>
    <t>0508000613-1</t>
  </si>
  <si>
    <t>0508000613-7</t>
  </si>
  <si>
    <t>0508000613-5</t>
  </si>
  <si>
    <t>0508000613-6</t>
  </si>
  <si>
    <t>0508000612-1</t>
  </si>
  <si>
    <t>0508000600-1</t>
  </si>
  <si>
    <t>0568012781-3</t>
  </si>
  <si>
    <t>0568012639-1</t>
  </si>
  <si>
    <t>0558111083-1</t>
  </si>
  <si>
    <t>0568012898-1</t>
  </si>
  <si>
    <t>0568012831-1</t>
  </si>
  <si>
    <t>0508000615-1</t>
  </si>
  <si>
    <t>0568012879-5</t>
  </si>
  <si>
    <t>0508000592-2</t>
  </si>
  <si>
    <t>0568012879-3</t>
  </si>
  <si>
    <t>0568012646-1</t>
  </si>
  <si>
    <t>0568012879-2</t>
  </si>
  <si>
    <t>0568012879-1</t>
  </si>
  <si>
    <t>0568012879-4</t>
  </si>
  <si>
    <t>0558114643-1</t>
  </si>
  <si>
    <t>0568012781-4</t>
  </si>
  <si>
    <t>0568012803-3</t>
  </si>
  <si>
    <t>0508000621-1</t>
  </si>
  <si>
    <t>0568012812-1</t>
  </si>
  <si>
    <t>0558115812-1</t>
  </si>
  <si>
    <t>0568012635-1</t>
  </si>
  <si>
    <t>0568012803-2</t>
  </si>
  <si>
    <t>0568012802-3</t>
  </si>
  <si>
    <t>0568012905-1</t>
  </si>
  <si>
    <t>0568012803-1</t>
  </si>
  <si>
    <t>0568012781-5</t>
  </si>
  <si>
    <t>0568012803-5</t>
  </si>
  <si>
    <t>0568012781-1</t>
  </si>
  <si>
    <t>0568012803-4</t>
  </si>
  <si>
    <t>0568012781-2</t>
  </si>
  <si>
    <t>0568012781-6</t>
  </si>
  <si>
    <t>0568012811-1</t>
  </si>
  <si>
    <t>0568012510-1</t>
  </si>
  <si>
    <t>0568012564-1</t>
  </si>
  <si>
    <t>0568012643-1</t>
  </si>
  <si>
    <t>0568012721-1</t>
  </si>
  <si>
    <t>0568012856-1</t>
  </si>
  <si>
    <t>0568012642-1</t>
  </si>
  <si>
    <t>0568012855-1</t>
  </si>
  <si>
    <t>0568012719-1</t>
  </si>
  <si>
    <t>0568012718-1</t>
  </si>
  <si>
    <t>0568012647-1</t>
  </si>
  <si>
    <t>0568012715-1</t>
  </si>
  <si>
    <t>0568012750-1</t>
  </si>
  <si>
    <t>0568012802-2</t>
  </si>
  <si>
    <t>0568012802-5</t>
  </si>
  <si>
    <t>0568012802-4</t>
  </si>
  <si>
    <t>0568012714-1</t>
  </si>
  <si>
    <t>0568012720-1</t>
  </si>
  <si>
    <t>0568012802-1</t>
  </si>
  <si>
    <t>0568012713-1</t>
  </si>
  <si>
    <t>0508000613-4</t>
  </si>
  <si>
    <t>0558116548-2</t>
  </si>
  <si>
    <t>REBAR</t>
  </si>
  <si>
    <t>0558116548-1</t>
  </si>
  <si>
    <t>0558116566-1</t>
  </si>
  <si>
    <t>0558116761-1</t>
  </si>
  <si>
    <t>0558116566-2</t>
  </si>
  <si>
    <t>0558116547-1</t>
  </si>
  <si>
    <t>CRC</t>
  </si>
  <si>
    <t>HPC</t>
  </si>
  <si>
    <t>HRC</t>
  </si>
  <si>
    <t>CBL</t>
  </si>
  <si>
    <t>0558112001-1</t>
  </si>
  <si>
    <t>0558112001-8</t>
  </si>
  <si>
    <t>0558112001-20</t>
  </si>
  <si>
    <t>0558112001-17</t>
  </si>
  <si>
    <t>0558112001-19</t>
  </si>
  <si>
    <t>Std. resource_cleansed</t>
  </si>
  <si>
    <t>Supply order_cleansed</t>
  </si>
  <si>
    <t>Grand Total</t>
  </si>
  <si>
    <t>X</t>
  </si>
  <si>
    <t>R</t>
  </si>
  <si>
    <t>Data Sampling</t>
  </si>
  <si>
    <t>PROCESS STABILITY STUDY USING XR CHART</t>
  </si>
  <si>
    <t>Machine 1</t>
  </si>
  <si>
    <t>Machine 2</t>
  </si>
  <si>
    <t>Machine 3</t>
  </si>
  <si>
    <t>PostProcessingTime</t>
  </si>
  <si>
    <t>Physical resources</t>
  </si>
  <si>
    <t>Machine1 X</t>
  </si>
  <si>
    <t>Machine2 X</t>
  </si>
  <si>
    <t>Machine3 X</t>
  </si>
  <si>
    <t>Machine1 R</t>
  </si>
  <si>
    <t>Machine2 R</t>
  </si>
  <si>
    <t>Machine3 R</t>
  </si>
  <si>
    <t>X_p</t>
  </si>
  <si>
    <t>Historical Mean</t>
  </si>
  <si>
    <t>Historical Range</t>
  </si>
  <si>
    <t>R_p</t>
  </si>
  <si>
    <t>OTIF score</t>
  </si>
  <si>
    <t>Overall OTIF score</t>
  </si>
  <si>
    <t>Average of OTIF score</t>
  </si>
  <si>
    <t>Delivery period_week</t>
  </si>
  <si>
    <t>Delivery period_Week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</si>
</sst>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3" fillId="4" borderId="0" xfId="0" applyFont="1" applyFill="1" applyAlignment="1">
      <alignment horizontal="center" vertical="center" textRotation="90"/>
    </xf>
    <xf numFmtId="0" fontId="2" fillId="5" borderId="0" xfId="0" applyFont="1" applyFill="1"/>
    <xf numFmtId="0" fontId="0" fillId="0" borderId="0" xfId="0" applyFont="1"/>
    <xf numFmtId="0" fontId="4" fillId="6" borderId="0" xfId="0" applyFont="1" applyFill="1" applyAlignment="1">
      <alignment horizontal="center" vertical="center"/>
    </xf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 applyFill="1" applyAlignment="1">
      <alignment horizontal="center" vertical="center" textRotation="90"/>
    </xf>
    <xf numFmtId="0" fontId="5" fillId="0" borderId="0" xfId="0" applyFont="1" applyFill="1"/>
    <xf numFmtId="0" fontId="3" fillId="0" borderId="0" xfId="0" applyFont="1" applyFill="1" applyAlignment="1">
      <alignment vertical="justify" textRotation="90"/>
    </xf>
    <xf numFmtId="0" fontId="0" fillId="0" borderId="0" xfId="0" applyFill="1" applyAlignment="1">
      <alignment vertical="justify"/>
    </xf>
    <xf numFmtId="0" fontId="6" fillId="0" borderId="0" xfId="0" applyFont="1"/>
    <xf numFmtId="0" fontId="5" fillId="0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30849A7-C492-4A5E-A887-AFE6EDB5AFE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'Standard resources'!$Q$1</c:f>
              <c:strCache>
                <c:ptCount val="1"/>
                <c:pt idx="0">
                  <c:v>X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none"/>
            </c:marker>
            <c:bubble3D val="0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132-45B7-ADCA-E9734FC76945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32-45B7-ADCA-E9734FC76945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132-45B7-ADCA-E9734FC76945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132-45B7-ADCA-E9734FC76945}"/>
              </c:ext>
            </c:extLst>
          </c:dPt>
          <c:val>
            <c:numRef>
              <c:f>'Standard resources'!$Q$2:$Q$51</c:f>
              <c:numCache>
                <c:formatCode>General</c:formatCode>
                <c:ptCount val="50"/>
                <c:pt idx="0">
                  <c:v>3.3333333333333335</c:v>
                </c:pt>
                <c:pt idx="1">
                  <c:v>3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3</c:v>
                </c:pt>
                <c:pt idx="5">
                  <c:v>4.333333333333333</c:v>
                </c:pt>
                <c:pt idx="6">
                  <c:v>4</c:v>
                </c:pt>
                <c:pt idx="7">
                  <c:v>3</c:v>
                </c:pt>
                <c:pt idx="8">
                  <c:v>2.6666666666666665</c:v>
                </c:pt>
                <c:pt idx="9">
                  <c:v>2</c:v>
                </c:pt>
                <c:pt idx="10">
                  <c:v>1.3333333333333333</c:v>
                </c:pt>
                <c:pt idx="11">
                  <c:v>2.3333333333333335</c:v>
                </c:pt>
                <c:pt idx="12">
                  <c:v>1.3333333333333333</c:v>
                </c:pt>
                <c:pt idx="13">
                  <c:v>3.6666666666666665</c:v>
                </c:pt>
                <c:pt idx="14">
                  <c:v>1</c:v>
                </c:pt>
                <c:pt idx="15">
                  <c:v>3</c:v>
                </c:pt>
                <c:pt idx="16">
                  <c:v>2.3333333333333335</c:v>
                </c:pt>
                <c:pt idx="17">
                  <c:v>3.6666666666666665</c:v>
                </c:pt>
                <c:pt idx="18">
                  <c:v>1.3333333333333333</c:v>
                </c:pt>
                <c:pt idx="19">
                  <c:v>2.6666666666666665</c:v>
                </c:pt>
                <c:pt idx="20">
                  <c:v>1.6666666666666667</c:v>
                </c:pt>
                <c:pt idx="21">
                  <c:v>3</c:v>
                </c:pt>
                <c:pt idx="22">
                  <c:v>2.3333333333333335</c:v>
                </c:pt>
                <c:pt idx="23">
                  <c:v>1.6666666666666667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4.666666666666667</c:v>
                </c:pt>
                <c:pt idx="28">
                  <c:v>5</c:v>
                </c:pt>
                <c:pt idx="29">
                  <c:v>2.6666666666666665</c:v>
                </c:pt>
                <c:pt idx="30">
                  <c:v>1.6666666666666667</c:v>
                </c:pt>
                <c:pt idx="31">
                  <c:v>3</c:v>
                </c:pt>
                <c:pt idx="32">
                  <c:v>2</c:v>
                </c:pt>
                <c:pt idx="33">
                  <c:v>2.3333333333333335</c:v>
                </c:pt>
                <c:pt idx="34">
                  <c:v>2.3333333333333335</c:v>
                </c:pt>
                <c:pt idx="35">
                  <c:v>1.6666666666666667</c:v>
                </c:pt>
                <c:pt idx="36">
                  <c:v>3</c:v>
                </c:pt>
                <c:pt idx="37">
                  <c:v>1.6666666666666667</c:v>
                </c:pt>
                <c:pt idx="38">
                  <c:v>2</c:v>
                </c:pt>
                <c:pt idx="39">
                  <c:v>2</c:v>
                </c:pt>
                <c:pt idx="40">
                  <c:v>2.3333333333333335</c:v>
                </c:pt>
                <c:pt idx="41">
                  <c:v>2</c:v>
                </c:pt>
                <c:pt idx="42">
                  <c:v>2.3333333333333335</c:v>
                </c:pt>
                <c:pt idx="43">
                  <c:v>2.6666666666666665</c:v>
                </c:pt>
                <c:pt idx="44">
                  <c:v>2</c:v>
                </c:pt>
                <c:pt idx="45">
                  <c:v>2.3333333333333335</c:v>
                </c:pt>
                <c:pt idx="46">
                  <c:v>1.6666666666666667</c:v>
                </c:pt>
                <c:pt idx="47">
                  <c:v>2.3333333333333335</c:v>
                </c:pt>
                <c:pt idx="48">
                  <c:v>2</c:v>
                </c:pt>
                <c:pt idx="49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2-45B7-ADCA-E9734FC76945}"/>
            </c:ext>
          </c:extLst>
        </c:ser>
        <c:ser>
          <c:idx val="1"/>
          <c:order val="1"/>
          <c:tx>
            <c:strRef>
              <c:f>'Standard resources'!$R$1</c:f>
              <c:strCache>
                <c:ptCount val="1"/>
                <c:pt idx="0">
                  <c:v>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none"/>
            </c:marker>
            <c:bubble3D val="0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32-45B7-ADCA-E9734FC76945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132-45B7-ADCA-E9734FC76945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32-45B7-ADCA-E9734FC76945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32-45B7-ADCA-E9734FC76945}"/>
              </c:ext>
            </c:extLst>
          </c:dPt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32-45B7-ADCA-E9734FC76945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32-45B7-ADCA-E9734FC769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'Standard resources'!$R$2:$R$51</c:f>
              <c:numCache>
                <c:formatCode>General</c:formatCode>
                <c:ptCount val="50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11</c:v>
                </c:pt>
                <c:pt idx="6">
                  <c:v>7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7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4</c:v>
                </c:pt>
                <c:pt idx="26">
                  <c:v>3</c:v>
                </c:pt>
                <c:pt idx="27">
                  <c:v>9</c:v>
                </c:pt>
                <c:pt idx="28">
                  <c:v>12</c:v>
                </c:pt>
                <c:pt idx="29">
                  <c:v>4</c:v>
                </c:pt>
                <c:pt idx="30">
                  <c:v>3</c:v>
                </c:pt>
                <c:pt idx="31">
                  <c:v>5</c:v>
                </c:pt>
                <c:pt idx="32">
                  <c:v>2</c:v>
                </c:pt>
                <c:pt idx="33">
                  <c:v>5</c:v>
                </c:pt>
                <c:pt idx="34">
                  <c:v>2</c:v>
                </c:pt>
                <c:pt idx="35">
                  <c:v>3</c:v>
                </c:pt>
                <c:pt idx="36">
                  <c:v>6</c:v>
                </c:pt>
                <c:pt idx="37">
                  <c:v>3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6</c:v>
                </c:pt>
                <c:pt idx="44">
                  <c:v>2</c:v>
                </c:pt>
                <c:pt idx="45">
                  <c:v>5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32-45B7-ADCA-E9734FC76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242640"/>
        <c:axId val="1417243600"/>
      </c:lineChart>
      <c:catAx>
        <c:axId val="141724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243600"/>
        <c:crosses val="autoZero"/>
        <c:auto val="1"/>
        <c:lblAlgn val="ctr"/>
        <c:lblOffset val="100"/>
        <c:noMultiLvlLbl val="0"/>
      </c:catAx>
      <c:valAx>
        <c:axId val="141724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2426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[Manufacturing_sample dataset.xlsm]COLDs!PivotTable4</c:name>
    <c:fmtId val="0"/>
  </c:pivotSource>
  <c:chart>
    <c:autoTitleDeleted val="1"/>
    <c:pivotFmts>
      <c:pivotFmt>
        <c:idx val="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COLDs!$W$7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cat>
            <c:strRef>
              <c:f>COLDs!$V$8:$V$33</c:f>
              <c:strCach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</c:strCache>
            </c:strRef>
          </c:cat>
          <c:val>
            <c:numRef>
              <c:f>COLDs!$W$8:$W$33</c:f>
              <c:numCache>
                <c:formatCode>General</c:formatCode>
                <c:ptCount val="25"/>
                <c:pt idx="0">
                  <c:v>0.5</c:v>
                </c:pt>
                <c:pt idx="1">
                  <c:v>0.83333333333333337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0.92156862745098034</c:v>
                </c:pt>
                <c:pt idx="5">
                  <c:v>1</c:v>
                </c:pt>
                <c:pt idx="6">
                  <c:v>1</c:v>
                </c:pt>
                <c:pt idx="7">
                  <c:v>0.8571428571428571</c:v>
                </c:pt>
                <c:pt idx="8">
                  <c:v>0.88888888888888884</c:v>
                </c:pt>
                <c:pt idx="9">
                  <c:v>0.852112676056338</c:v>
                </c:pt>
                <c:pt idx="10">
                  <c:v>0.83495145631067957</c:v>
                </c:pt>
                <c:pt idx="11">
                  <c:v>0.86031746031746037</c:v>
                </c:pt>
                <c:pt idx="12">
                  <c:v>0.85365853658536583</c:v>
                </c:pt>
                <c:pt idx="13">
                  <c:v>0.86046511627906974</c:v>
                </c:pt>
                <c:pt idx="14">
                  <c:v>0.88269794721407624</c:v>
                </c:pt>
                <c:pt idx="15">
                  <c:v>0.69255663430420711</c:v>
                </c:pt>
                <c:pt idx="16">
                  <c:v>0.72222222222222221</c:v>
                </c:pt>
                <c:pt idx="17">
                  <c:v>0.8</c:v>
                </c:pt>
                <c:pt idx="18">
                  <c:v>0.81481481481481477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0.5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C-4DA9-97E1-AF71F5523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353816064"/>
        <c:axId val="1353819424"/>
      </c:lineChart>
      <c:catAx>
        <c:axId val="135381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19424"/>
        <c:crosses val="autoZero"/>
        <c:auto val="1"/>
        <c:lblAlgn val="ctr"/>
        <c:lblOffset val="100"/>
        <c:noMultiLvlLbl val="0"/>
      </c:catAx>
      <c:valAx>
        <c:axId val="1353819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81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590549</xdr:colOff>
      <xdr:row>4</xdr:row>
      <xdr:rowOff>180974</xdr:rowOff>
    </xdr:from>
    <xdr:to>
      <xdr:col>39</xdr:col>
      <xdr:colOff>57150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3315CA-4E4F-5B1C-6F0C-4F2670D7C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352425</xdr:colOff>
      <xdr:row>9</xdr:row>
      <xdr:rowOff>47625</xdr:rowOff>
    </xdr:from>
    <xdr:to>
      <xdr:col>36</xdr:col>
      <xdr:colOff>333375</xdr:colOff>
      <xdr:row>24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C5AAB1-A062-4740-6A8A-F1ED2F2F9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SIKIRAN, SASI" refreshedDate="45805.419120486113" createdVersion="8" refreshedVersion="8" minRefreshableVersion="3" recordCount="2889" xr:uid="{6BEE7A26-6773-4A6C-9AE0-DCF8A2810001}">
  <cacheSource type="worksheet">
    <worksheetSource ref="A1:T2890" sheet="COLDs"/>
  </cacheSource>
  <cacheFields count="20">
    <cacheField name="OrderLineId" numFmtId="0">
      <sharedItems/>
    </cacheField>
    <cacheField name="Product Class" numFmtId="0">
      <sharedItems/>
    </cacheField>
    <cacheField name="Thickness" numFmtId="0">
      <sharedItems containsSemiMixedTypes="0" containsString="0" containsNumber="1" minValue="0.05" maxValue="130"/>
    </cacheField>
    <cacheField name="Width" numFmtId="0">
      <sharedItems containsSemiMixedTypes="0" containsString="0" containsNumber="1" minValue="4.53" maxValue="1270"/>
    </cacheField>
    <cacheField name="Length" numFmtId="0">
      <sharedItems containsSemiMixedTypes="0" containsString="0" containsNumber="1" minValue="0" maxValue="12000"/>
    </cacheField>
    <cacheField name="OrdQty" numFmtId="0">
      <sharedItems containsSemiMixedTypes="0" containsString="0" containsNumber="1" minValue="0.3" maxValue="5000"/>
    </cacheField>
    <cacheField name="Qty" numFmtId="0">
      <sharedItems containsSemiMixedTypes="0" containsString="0" containsNumber="1" minValue="0.28399999999999997" maxValue="4990.1040000000003"/>
    </cacheField>
    <cacheField name="ProductSegmentId" numFmtId="0">
      <sharedItems/>
    </cacheField>
    <cacheField name="EffectiveSoDate" numFmtId="15">
      <sharedItems containsSemiMixedTypes="0" containsNonDate="0" containsDate="1" containsString="0" minDate="2001-02-07T00:00:00" maxDate="2021-07-14T00:00:00"/>
    </cacheField>
    <cacheField name="Requested" numFmtId="15">
      <sharedItems containsSemiMixedTypes="0" containsNonDate="0" containsDate="1" containsString="0" minDate="2001-03-27T00:00:00" maxDate="2002-05-23T00:00:00"/>
    </cacheField>
    <cacheField name="Planned" numFmtId="0">
      <sharedItems containsDate="1" containsMixedTypes="1" minDate="2002-02-13T00:00:00" maxDate="2002-05-23T00:00:00"/>
    </cacheField>
    <cacheField name="ProposedConfirmationDate" numFmtId="0">
      <sharedItems containsDate="1" containsMixedTypes="1" minDate="2002-02-22T00:00:00" maxDate="2002-05-23T00:00:00"/>
    </cacheField>
    <cacheField name="ConfirmedDelivery" numFmtId="0">
      <sharedItems containsDate="1" containsMixedTypes="1" minDate="2001-11-01T00:00:00" maxDate="2002-05-17T00:00:00"/>
    </cacheField>
    <cacheField name="FOLDate" numFmtId="15">
      <sharedItems containsSemiMixedTypes="0" containsNonDate="0" containsDate="1" containsString="0" minDate="2001-11-01T00:00:00" maxDate="2002-05-17T00:00:00"/>
    </cacheField>
    <cacheField name="OTIF Planned Orders" numFmtId="0">
      <sharedItems/>
    </cacheField>
    <cacheField name="SO Item No." numFmtId="0">
      <sharedItems containsSemiMixedTypes="0" containsString="0" containsNumber="1" containsInteger="1" minValue="1" maxValue="37"/>
    </cacheField>
    <cacheField name="StockingPointId" numFmtId="0">
      <sharedItems/>
    </cacheField>
    <cacheField name="Delivery period_week" numFmtId="0">
      <sharedItems containsSemiMixedTypes="0" containsString="0" containsNumber="1" containsInteger="1" minValue="1" maxValue="50" count="25">
        <n v="12"/>
        <n v="10"/>
        <n v="17"/>
        <n v="11"/>
        <n v="20"/>
        <n v="9"/>
        <n v="14"/>
        <n v="15"/>
        <n v="4"/>
        <n v="13"/>
        <n v="5"/>
        <n v="44"/>
        <n v="47"/>
        <n v="3"/>
        <n v="1"/>
        <n v="16"/>
        <n v="18"/>
        <n v="2"/>
        <n v="48"/>
        <n v="19"/>
        <n v="6"/>
        <n v="50"/>
        <n v="45"/>
        <n v="46"/>
        <n v="8"/>
      </sharedItems>
    </cacheField>
    <cacheField name="OTIF score" numFmtId="0">
      <sharedItems containsSemiMixedTypes="0" containsString="0" containsNumber="1" containsInteger="1" minValue="0" maxValue="1"/>
    </cacheField>
    <cacheField name="Overall OTIF score" numFmtId="0">
      <sharedItems containsString="0" containsBlank="1" containsNumber="1" minValue="0.83523710626514369" maxValue="0.835237106265143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s v="0558116373-4"/>
    <s v="CRC"/>
    <n v="5.5"/>
    <n v="5.5"/>
    <n v="0"/>
    <n v="50"/>
    <n v="50"/>
    <s v="WIRE ROD"/>
    <d v="2001-11-30T00:00:00"/>
    <d v="2002-02-28T00:00:00"/>
    <d v="2002-02-28T00:00:00"/>
    <d v="2002-02-28T00:00:00"/>
    <d v="2002-03-02T00:00:00"/>
    <d v="2002-03-21T00:00:00"/>
    <s v="OTIF PASS"/>
    <n v="4"/>
    <s v="1110_FG_LNG"/>
    <x v="0"/>
    <n v="1"/>
    <n v="0.83523710626514369"/>
  </r>
  <r>
    <s v="0558116371-1"/>
    <s v="NFA"/>
    <n v="5.5"/>
    <n v="5.5"/>
    <n v="0"/>
    <n v="25"/>
    <n v="25"/>
    <s v="WIRE ROD"/>
    <d v="2001-11-30T00:00:00"/>
    <d v="2002-03-05T00:00:00"/>
    <d v="2002-03-10T00:00:00"/>
    <d v="2002-03-10T00:00:00"/>
    <d v="2002-03-12T00:00:00"/>
    <d v="2002-03-19T00:00:00"/>
    <s v="OTIF FAIL"/>
    <n v="1"/>
    <s v="1110_FG_LNG"/>
    <x v="0"/>
    <n v="1"/>
    <m/>
  </r>
  <r>
    <s v="0558116373-9"/>
    <s v="HPC"/>
    <n v="5.5"/>
    <n v="5.5"/>
    <n v="0"/>
    <n v="50"/>
    <n v="50"/>
    <s v="WIRE ROD"/>
    <d v="2001-11-30T00:00:00"/>
    <d v="2002-03-08T00:00:00"/>
    <d v="2002-03-14T00:00:00"/>
    <d v="2002-03-14T00:00:00"/>
    <d v="2002-03-14T00:00:00"/>
    <d v="2002-03-21T00:00:00"/>
    <s v="OTIF FAIL"/>
    <n v="9"/>
    <s v="1110_FG_LNG"/>
    <x v="0"/>
    <n v="1"/>
    <m/>
  </r>
  <r>
    <s v="0558116375-2"/>
    <s v="CST"/>
    <n v="5.5"/>
    <n v="5.5"/>
    <n v="0"/>
    <n v="10"/>
    <n v="10"/>
    <s v="WIRE ROD"/>
    <d v="2001-11-30T00:00:00"/>
    <d v="2002-03-13T00:00:00"/>
    <d v="2002-03-17T00:00:00"/>
    <d v="2002-03-17T00:00:00"/>
    <d v="2002-03-18T00:00:00"/>
    <d v="2002-03-18T00:00:00"/>
    <s v="OTIF FAIL"/>
    <n v="2"/>
    <s v="1110_FG_LNG"/>
    <x v="0"/>
    <n v="1"/>
    <m/>
  </r>
  <r>
    <s v="0558116366-2"/>
    <s v="HRC"/>
    <n v="8"/>
    <n v="8"/>
    <n v="0"/>
    <n v="6.9"/>
    <n v="6.9"/>
    <s v="WIRE ROD"/>
    <d v="2001-11-30T00:00:00"/>
    <d v="2002-02-28T00:00:00"/>
    <d v="2002-03-05T00:00:00"/>
    <d v="2002-03-05T00:00:00"/>
    <d v="2002-03-06T00:00:00"/>
    <d v="2002-03-06T00:00:00"/>
    <s v="OTIF FAIL"/>
    <n v="2"/>
    <s v="1110_FG_LNG"/>
    <x v="1"/>
    <n v="1"/>
    <m/>
  </r>
  <r>
    <s v="0558116373-11"/>
    <s v="CST"/>
    <n v="5.5"/>
    <n v="5.5"/>
    <n v="0"/>
    <n v="50"/>
    <n v="50"/>
    <s v="WIRE ROD"/>
    <d v="2001-11-30T00:00:00"/>
    <d v="2002-03-07T00:00:00"/>
    <d v="2002-03-08T00:00:00"/>
    <d v="2002-03-08T00:00:00"/>
    <d v="2002-03-09T00:00:00"/>
    <d v="2002-03-21T00:00:00"/>
    <s v="OTIF FAIL"/>
    <n v="11"/>
    <s v="1110_FG_LNG"/>
    <x v="0"/>
    <n v="1"/>
    <m/>
  </r>
  <r>
    <s v="0558116374-1"/>
    <s v="CST"/>
    <n v="5.5"/>
    <n v="5.5"/>
    <n v="0"/>
    <n v="95"/>
    <n v="86"/>
    <s v="WIRE ROD"/>
    <d v="2001-11-30T00:00:00"/>
    <d v="2002-03-02T00:00:00"/>
    <d v="2002-03-03T00:00:00"/>
    <d v="2002-03-03T00:00:00"/>
    <d v="2002-03-05T00:00:00"/>
    <d v="2002-03-20T00:00:00"/>
    <s v="OTIF FAIL"/>
    <n v="1"/>
    <s v="1110_FG_LNG"/>
    <x v="0"/>
    <n v="0"/>
    <m/>
  </r>
  <r>
    <s v="0558116704-1"/>
    <s v="JBS"/>
    <n v="5.5"/>
    <n v="5.5"/>
    <n v="0"/>
    <n v="10"/>
    <n v="10"/>
    <s v="WIRE ROD"/>
    <d v="2002-03-28T00:00:00"/>
    <d v="2002-05-11T00:00:00"/>
    <s v="-"/>
    <s v="-"/>
    <s v="-"/>
    <d v="2002-04-21T00:00:00"/>
    <s v="OTIF FAIL"/>
    <n v="1"/>
    <s v="1110_FG_LNG"/>
    <x v="2"/>
    <n v="0"/>
    <m/>
  </r>
  <r>
    <s v="0558116373-3"/>
    <s v="CST"/>
    <n v="5.5"/>
    <n v="5.5"/>
    <n v="0"/>
    <n v="50"/>
    <n v="48.5"/>
    <s v="WIRE ROD"/>
    <d v="2001-11-30T00:00:00"/>
    <d v="2002-03-06T00:00:00"/>
    <d v="2002-03-11T00:00:00"/>
    <d v="2002-03-11T00:00:00"/>
    <d v="2002-03-12T00:00:00"/>
    <d v="2002-03-21T00:00:00"/>
    <s v="OTIF FAIL"/>
    <n v="3"/>
    <s v="1110_FG_LNG"/>
    <x v="0"/>
    <n v="0"/>
    <m/>
  </r>
  <r>
    <s v="0558116370-1"/>
    <s v="CST"/>
    <n v="6.5"/>
    <n v="6.5"/>
    <n v="0"/>
    <n v="5.0999999999999996"/>
    <n v="5.0999999999999996"/>
    <s v="WIRE ROD"/>
    <d v="2001-11-30T00:00:00"/>
    <d v="2002-03-14T00:00:00"/>
    <d v="2002-03-16T00:00:00"/>
    <d v="2002-03-16T00:00:00"/>
    <d v="2002-03-17T00:00:00"/>
    <d v="2002-03-17T00:00:00"/>
    <s v="OTIF FAIL"/>
    <n v="1"/>
    <s v="1110_FG_LNG"/>
    <x v="0"/>
    <n v="1"/>
    <m/>
  </r>
  <r>
    <s v="0558116370-2"/>
    <s v="HPC"/>
    <n v="7.5"/>
    <n v="7.5"/>
    <n v="0"/>
    <n v="6"/>
    <n v="6"/>
    <s v="WIRE ROD"/>
    <d v="2001-11-30T00:00:00"/>
    <d v="2002-03-09T00:00:00"/>
    <d v="2002-03-12T00:00:00"/>
    <d v="2002-03-12T00:00:00"/>
    <d v="2002-03-14T00:00:00"/>
    <d v="2002-03-14T00:00:00"/>
    <s v="OTIF FAIL"/>
    <n v="2"/>
    <s v="1110_FG_LNG"/>
    <x v="3"/>
    <n v="1"/>
    <m/>
  </r>
  <r>
    <s v="0558116383-1"/>
    <s v="CST"/>
    <n v="5.5"/>
    <n v="5.5"/>
    <n v="0"/>
    <n v="400"/>
    <n v="400"/>
    <s v="WIRE ROD"/>
    <d v="2001-11-30T00:00:00"/>
    <d v="2002-03-03T00:00:00"/>
    <d v="2002-03-06T00:00:00"/>
    <d v="2002-03-06T00:00:00"/>
    <d v="2002-03-06T00:00:00"/>
    <d v="2002-03-20T00:00:00"/>
    <s v="OTIF FAIL"/>
    <n v="1"/>
    <s v="1110_FG_LNG"/>
    <x v="0"/>
    <n v="1"/>
    <m/>
  </r>
  <r>
    <s v="0558116374-2"/>
    <s v="CST"/>
    <n v="7"/>
    <n v="7"/>
    <n v="0"/>
    <n v="60"/>
    <n v="60"/>
    <s v="WIRE ROD"/>
    <d v="2001-11-30T00:00:00"/>
    <d v="2002-03-18T00:00:00"/>
    <d v="2002-03-22T00:00:00"/>
    <d v="2002-03-22T00:00:00"/>
    <d v="2002-03-22T00:00:00"/>
    <d v="2002-03-22T00:00:00"/>
    <s v="OTIF FAIL"/>
    <n v="2"/>
    <s v="1110_FG_LNG"/>
    <x v="0"/>
    <n v="1"/>
    <m/>
  </r>
  <r>
    <s v="0558116373-12"/>
    <s v="HRC"/>
    <n v="5.5"/>
    <n v="5.5"/>
    <n v="0"/>
    <n v="50"/>
    <n v="50"/>
    <s v="WIRE ROD"/>
    <d v="2001-11-30T00:00:00"/>
    <d v="2002-03-01T00:00:00"/>
    <d v="2002-03-11T00:00:00"/>
    <d v="2002-03-11T00:00:00"/>
    <d v="2002-03-12T00:00:00"/>
    <d v="2002-03-21T00:00:00"/>
    <s v="OTIF FAIL"/>
    <n v="12"/>
    <s v="1110_FG_LNG"/>
    <x v="0"/>
    <n v="1"/>
    <m/>
  </r>
  <r>
    <s v="0558116366-4"/>
    <s v="CST"/>
    <n v="7"/>
    <n v="7"/>
    <n v="0"/>
    <n v="2.8"/>
    <n v="2.8"/>
    <s v="WIRE ROD"/>
    <d v="2001-11-30T00:00:00"/>
    <d v="2002-03-10T00:00:00"/>
    <d v="2002-03-14T00:00:00"/>
    <d v="2002-03-14T00:00:00"/>
    <d v="2002-03-14T00:00:00"/>
    <d v="2002-03-14T00:00:00"/>
    <s v="OTIF FAIL"/>
    <n v="4"/>
    <s v="1110_FG_LNG"/>
    <x v="3"/>
    <n v="1"/>
    <m/>
  </r>
  <r>
    <s v="0558116373-8"/>
    <s v="CRC"/>
    <n v="5.5"/>
    <n v="5.5"/>
    <n v="0"/>
    <n v="50"/>
    <n v="50"/>
    <s v="WIRE ROD"/>
    <d v="2001-11-30T00:00:00"/>
    <d v="2002-03-06T00:00:00"/>
    <d v="2002-03-11T00:00:00"/>
    <d v="2002-03-11T00:00:00"/>
    <d v="2002-03-12T00:00:00"/>
    <d v="2002-03-21T00:00:00"/>
    <s v="OTIF FAIL"/>
    <n v="8"/>
    <s v="1110_FG_LNG"/>
    <x v="0"/>
    <n v="1"/>
    <m/>
  </r>
  <r>
    <s v="0558116378-2"/>
    <s v="CST"/>
    <n v="5.5"/>
    <n v="5.5"/>
    <n v="0"/>
    <n v="19"/>
    <n v="19"/>
    <s v="WIRE ROD"/>
    <d v="2001-11-30T00:00:00"/>
    <d v="2002-03-15T00:00:00"/>
    <d v="2002-03-18T00:00:00"/>
    <d v="2002-03-18T00:00:00"/>
    <d v="2002-03-19T00:00:00"/>
    <d v="2002-03-19T00:00:00"/>
    <s v="OTIF FAIL"/>
    <n v="2"/>
    <s v="1110_FG_LNG"/>
    <x v="0"/>
    <n v="1"/>
    <m/>
  </r>
  <r>
    <s v="0558116384-1"/>
    <s v="CST"/>
    <n v="5.5"/>
    <n v="5.5"/>
    <n v="0"/>
    <n v="300"/>
    <n v="300"/>
    <s v="WIRE ROD"/>
    <d v="2001-11-30T00:00:00"/>
    <d v="2002-03-15T00:00:00"/>
    <d v="2002-03-19T00:00:00"/>
    <d v="2002-03-19T00:00:00"/>
    <d v="2002-03-20T00:00:00"/>
    <d v="2002-03-20T00:00:00"/>
    <s v="OTIF FAIL"/>
    <n v="1"/>
    <s v="1110_FG_LNG"/>
    <x v="0"/>
    <n v="1"/>
    <m/>
  </r>
  <r>
    <s v="0558116364-1"/>
    <s v="CST"/>
    <n v="6"/>
    <n v="6"/>
    <n v="0"/>
    <n v="5"/>
    <n v="5"/>
    <s v="WIRE ROD"/>
    <d v="2001-11-30T00:00:00"/>
    <d v="2002-03-19T00:00:00"/>
    <d v="2002-03-22T00:00:00"/>
    <d v="2002-03-22T00:00:00"/>
    <d v="2002-03-22T00:00:00"/>
    <d v="2002-03-22T00:00:00"/>
    <s v="OTIF FAIL"/>
    <n v="1"/>
    <s v="1110_FG_LNG"/>
    <x v="0"/>
    <n v="1"/>
    <m/>
  </r>
  <r>
    <s v="0558116373-2"/>
    <s v="CRC"/>
    <n v="5.5"/>
    <n v="5.5"/>
    <n v="0"/>
    <n v="50"/>
    <n v="50"/>
    <s v="WIRE ROD"/>
    <d v="2001-11-30T00:00:00"/>
    <d v="2002-03-19T00:00:00"/>
    <d v="2002-03-21T00:00:00"/>
    <d v="2002-03-21T00:00:00"/>
    <d v="2002-03-21T00:00:00"/>
    <d v="2002-03-21T00:00:00"/>
    <s v="OTIF FAIL"/>
    <n v="2"/>
    <s v="1110_FG_LNG"/>
    <x v="0"/>
    <n v="1"/>
    <m/>
  </r>
  <r>
    <s v="0558116648-3"/>
    <s v="CST"/>
    <n v="11"/>
    <n v="11"/>
    <n v="0"/>
    <n v="5"/>
    <n v="5"/>
    <s v="WIRE ROD"/>
    <d v="2002-03-20T00:00:00"/>
    <d v="2002-04-21T00:00:00"/>
    <d v="2002-04-21T00:00:00"/>
    <d v="2002-04-21T00:00:00"/>
    <d v="2002-04-21T00:00:00"/>
    <d v="2002-04-21T00:00:00"/>
    <s v="OTIF PASS"/>
    <n v="3"/>
    <s v="1110_FG_LNG"/>
    <x v="2"/>
    <n v="1"/>
    <m/>
  </r>
  <r>
    <s v="0558116648-2"/>
    <s v="HRC"/>
    <n v="10"/>
    <n v="10"/>
    <n v="0"/>
    <n v="4"/>
    <n v="4"/>
    <s v="WIRE ROD"/>
    <d v="2002-03-20T00:00:00"/>
    <d v="2002-04-21T00:00:00"/>
    <d v="2002-04-21T00:00:00"/>
    <d v="2002-04-21T00:00:00"/>
    <d v="2002-04-21T00:00:00"/>
    <d v="2002-04-21T00:00:00"/>
    <s v="OTIF PASS"/>
    <n v="2"/>
    <s v="1110_FG_LNG"/>
    <x v="2"/>
    <n v="1"/>
    <m/>
  </r>
  <r>
    <s v="0558116704-2"/>
    <s v="CST"/>
    <n v="10"/>
    <n v="10"/>
    <n v="0"/>
    <n v="4"/>
    <n v="4"/>
    <s v="WIRE ROD"/>
    <d v="2002-03-28T00:00:00"/>
    <d v="2002-05-11T00:00:00"/>
    <s v="-"/>
    <s v="-"/>
    <s v="-"/>
    <d v="2002-04-21T00:00:00"/>
    <s v="OTIF FAIL"/>
    <n v="2"/>
    <s v="1110_FG_LNG"/>
    <x v="2"/>
    <n v="0"/>
    <m/>
  </r>
  <r>
    <s v="0558116378-1"/>
    <s v="CST"/>
    <n v="6"/>
    <n v="6"/>
    <n v="0"/>
    <n v="6"/>
    <n v="6"/>
    <s v="WIRE ROD"/>
    <d v="2001-11-30T00:00:00"/>
    <d v="2002-03-14T00:00:00"/>
    <d v="2002-03-15T00:00:00"/>
    <d v="2002-03-15T00:00:00"/>
    <d v="2002-03-17T00:00:00"/>
    <d v="2002-03-22T00:00:00"/>
    <s v="OTIF FAIL"/>
    <n v="1"/>
    <s v="1110_FG_LNG"/>
    <x v="0"/>
    <n v="1"/>
    <m/>
  </r>
  <r>
    <s v="0558116373-10"/>
    <s v="CST"/>
    <n v="5.5"/>
    <n v="5.5"/>
    <n v="0"/>
    <n v="50"/>
    <n v="50"/>
    <s v="WIRE ROD"/>
    <d v="2001-11-30T00:00:00"/>
    <d v="2002-03-12T00:00:00"/>
    <d v="2002-03-16T00:00:00"/>
    <d v="2002-03-16T00:00:00"/>
    <d v="2002-03-17T00:00:00"/>
    <d v="2002-03-21T00:00:00"/>
    <s v="OTIF FAIL"/>
    <n v="10"/>
    <s v="1110_FG_LNG"/>
    <x v="0"/>
    <n v="1"/>
    <m/>
  </r>
  <r>
    <s v="0558116565-2"/>
    <s v="CST"/>
    <n v="5.5"/>
    <n v="5.5"/>
    <n v="0"/>
    <n v="150"/>
    <n v="150"/>
    <s v="WIRE ROD"/>
    <d v="2002-02-17T00:00:00"/>
    <d v="2002-02-21T00:00:00"/>
    <d v="2002-03-05T00:00:00"/>
    <d v="2002-03-05T00:00:00"/>
    <d v="2002-03-05T00:00:00"/>
    <d v="2002-03-05T00:00:00"/>
    <s v="OTIF FAIL"/>
    <n v="2"/>
    <s v="1110_FG_LNG"/>
    <x v="1"/>
    <n v="1"/>
    <m/>
  </r>
  <r>
    <s v="0558116728-3"/>
    <s v="HPC"/>
    <n v="11"/>
    <n v="11"/>
    <n v="0"/>
    <n v="5"/>
    <n v="5"/>
    <s v="WIRE ROD"/>
    <d v="2002-03-28T00:00:00"/>
    <d v="2002-05-07T00:00:00"/>
    <d v="2002-05-07T00:00:00"/>
    <d v="2002-05-07T00:00:00"/>
    <s v="-"/>
    <d v="2002-04-21T00:00:00"/>
    <s v="OTIF PASS"/>
    <n v="3"/>
    <s v="1110_FG_LNG"/>
    <x v="2"/>
    <n v="0"/>
    <m/>
  </r>
  <r>
    <s v="0558116376-1"/>
    <s v="CRC"/>
    <n v="5.5"/>
    <n v="5.5"/>
    <n v="0"/>
    <n v="30"/>
    <n v="30"/>
    <s v="WIRE ROD"/>
    <d v="2001-11-30T00:00:00"/>
    <d v="2002-02-28T00:00:00"/>
    <d v="2002-03-01T00:00:00"/>
    <d v="2002-03-01T00:00:00"/>
    <d v="2002-03-02T00:00:00"/>
    <d v="2002-03-19T00:00:00"/>
    <s v="OTIF FAIL"/>
    <n v="1"/>
    <s v="1110_FG_LNG"/>
    <x v="0"/>
    <n v="1"/>
    <m/>
  </r>
  <r>
    <s v="0558116373-1"/>
    <s v="CST"/>
    <n v="5.5"/>
    <n v="5.5"/>
    <n v="0"/>
    <n v="40"/>
    <n v="1"/>
    <s v="WIRE ROD"/>
    <d v="2001-11-30T00:00:00"/>
    <d v="2002-03-02T00:00:00"/>
    <d v="2002-03-11T00:00:00"/>
    <d v="2002-03-11T00:00:00"/>
    <d v="2002-03-12T00:00:00"/>
    <d v="2002-03-21T00:00:00"/>
    <s v="OTIF FAIL"/>
    <n v="1"/>
    <s v="1110_FG_LNG"/>
    <x v="0"/>
    <n v="0"/>
    <m/>
  </r>
  <r>
    <s v="0558116766-2"/>
    <s v="HRC"/>
    <n v="5.5"/>
    <n v="5.5"/>
    <n v="0"/>
    <n v="150"/>
    <n v="150"/>
    <s v="WIRE ROD"/>
    <d v="2002-04-06T00:00:00"/>
    <d v="2002-05-16T00:00:00"/>
    <s v="-"/>
    <s v="-"/>
    <d v="2002-05-16T00:00:00"/>
    <d v="2002-05-16T00:00:00"/>
    <s v="OTIF FAIL"/>
    <n v="2"/>
    <s v="1110_FG_LNG"/>
    <x v="4"/>
    <n v="1"/>
    <m/>
  </r>
  <r>
    <s v="0558116368-4"/>
    <s v="PSS"/>
    <n v="7"/>
    <n v="7"/>
    <n v="0"/>
    <n v="10"/>
    <n v="10"/>
    <s v="WIRE ROD"/>
    <d v="2001-11-30T00:00:00"/>
    <d v="2002-02-28T00:00:00"/>
    <d v="2002-03-05T00:00:00"/>
    <d v="2002-03-05T00:00:00"/>
    <d v="2002-03-06T00:00:00"/>
    <d v="2002-03-06T00:00:00"/>
    <s v="OTIF FAIL"/>
    <n v="4"/>
    <s v="1110_FG_LNG"/>
    <x v="1"/>
    <n v="1"/>
    <m/>
  </r>
  <r>
    <s v="0558116375-1"/>
    <s v="CST"/>
    <n v="6"/>
    <n v="6"/>
    <n v="0"/>
    <n v="5.76"/>
    <n v="5.76"/>
    <s v="WIRE ROD"/>
    <d v="2001-11-30T00:00:00"/>
    <d v="2002-03-04T00:00:00"/>
    <d v="2002-03-06T00:00:00"/>
    <d v="2002-03-06T00:00:00"/>
    <d v="2002-03-07T00:00:00"/>
    <d v="2002-03-07T00:00:00"/>
    <s v="OTIF FAIL"/>
    <n v="1"/>
    <s v="1110_FG_LNG"/>
    <x v="1"/>
    <n v="1"/>
    <m/>
  </r>
  <r>
    <s v="0558116542-1"/>
    <s v="CST"/>
    <n v="5.5"/>
    <n v="5.5"/>
    <n v="0"/>
    <n v="250"/>
    <n v="250"/>
    <s v="WIRE ROD"/>
    <d v="2002-02-12T00:00:00"/>
    <d v="2002-02-21T00:00:00"/>
    <d v="2002-03-08T00:00:00"/>
    <d v="2002-03-08T00:00:00"/>
    <d v="2002-03-09T00:00:00"/>
    <d v="2002-03-09T00:00:00"/>
    <s v="OTIF FAIL"/>
    <n v="1"/>
    <s v="1110_FG_LNG"/>
    <x v="1"/>
    <n v="1"/>
    <m/>
  </r>
  <r>
    <s v="0558116372-1"/>
    <s v="CST"/>
    <n v="15"/>
    <n v="15"/>
    <n v="0"/>
    <n v="1"/>
    <n v="1"/>
    <s v="WIRE ROD"/>
    <d v="2001-11-30T00:00:00"/>
    <d v="2002-02-28T00:00:00"/>
    <d v="2002-03-05T00:00:00"/>
    <d v="2002-03-05T00:00:00"/>
    <d v="2002-03-06T00:00:00"/>
    <d v="2002-03-08T00:00:00"/>
    <s v="OTIF FAIL"/>
    <n v="1"/>
    <s v="1110_FG_LNG"/>
    <x v="1"/>
    <n v="1"/>
    <m/>
  </r>
  <r>
    <s v="0558116366-3"/>
    <s v="CRC"/>
    <n v="9"/>
    <n v="9"/>
    <n v="0"/>
    <n v="15"/>
    <n v="15"/>
    <s v="WIRE ROD"/>
    <d v="2001-11-30T00:00:00"/>
    <d v="2002-03-11T00:00:00"/>
    <d v="2002-03-15T00:00:00"/>
    <d v="2002-03-15T00:00:00"/>
    <d v="2002-03-17T00:00:00"/>
    <d v="2002-03-17T00:00:00"/>
    <s v="OTIF FAIL"/>
    <n v="3"/>
    <s v="1110_FG_LNG"/>
    <x v="0"/>
    <n v="1"/>
    <m/>
  </r>
  <r>
    <s v="0558116372-4"/>
    <s v="HPC"/>
    <n v="5.5"/>
    <n v="5.5"/>
    <n v="0"/>
    <n v="6"/>
    <n v="6"/>
    <s v="WIRE ROD"/>
    <d v="2001-11-30T00:00:00"/>
    <d v="2002-03-09T00:00:00"/>
    <d v="2002-03-14T00:00:00"/>
    <d v="2002-03-14T00:00:00"/>
    <d v="2002-03-14T00:00:00"/>
    <d v="2002-03-21T00:00:00"/>
    <s v="OTIF FAIL"/>
    <n v="4"/>
    <s v="1110_FG_LNG"/>
    <x v="0"/>
    <n v="1"/>
    <m/>
  </r>
  <r>
    <s v="0558116681-2"/>
    <s v="HPC"/>
    <n v="10"/>
    <n v="10"/>
    <n v="0"/>
    <n v="4"/>
    <n v="4"/>
    <s v="WIRE ROD"/>
    <d v="2002-03-28T00:00:00"/>
    <d v="2002-05-05T00:00:00"/>
    <s v="-"/>
    <s v="-"/>
    <s v="-"/>
    <d v="2002-04-21T00:00:00"/>
    <s v="OTIF FAIL"/>
    <n v="2"/>
    <s v="1110_FG_LNG"/>
    <x v="2"/>
    <n v="0"/>
    <m/>
  </r>
  <r>
    <s v="0558116365-1"/>
    <s v="CRC"/>
    <n v="15"/>
    <n v="15"/>
    <n v="0"/>
    <n v="3"/>
    <n v="3"/>
    <s v="WIRE ROD"/>
    <d v="2001-11-30T00:00:00"/>
    <d v="2002-03-06T00:00:00"/>
    <d v="2002-03-06T00:00:00"/>
    <d v="2002-03-06T00:00:00"/>
    <d v="2002-03-08T00:00:00"/>
    <d v="2002-03-08T00:00:00"/>
    <s v="OTIF PASS"/>
    <n v="1"/>
    <s v="1110_FG_LNG"/>
    <x v="1"/>
    <n v="1"/>
    <m/>
  </r>
  <r>
    <s v="0558116681-3"/>
    <s v="HPC"/>
    <n v="11"/>
    <n v="11"/>
    <n v="0"/>
    <n v="5"/>
    <n v="5"/>
    <s v="WIRE ROD"/>
    <d v="2002-03-28T00:00:00"/>
    <d v="2002-05-05T00:00:00"/>
    <s v="-"/>
    <s v="-"/>
    <s v="-"/>
    <d v="2002-04-21T00:00:00"/>
    <s v="OTIF FAIL"/>
    <n v="3"/>
    <s v="1110_FG_LNG"/>
    <x v="2"/>
    <n v="0"/>
    <m/>
  </r>
  <r>
    <s v="0558116369-1"/>
    <s v="NFA"/>
    <n v="10"/>
    <n v="10"/>
    <n v="0"/>
    <n v="2.4"/>
    <n v="2.4"/>
    <s v="WIRE ROD"/>
    <d v="2001-11-30T00:00:00"/>
    <d v="2002-03-12T00:00:00"/>
    <d v="2002-03-17T00:00:00"/>
    <d v="2002-03-17T00:00:00"/>
    <d v="2002-03-18T00:00:00"/>
    <d v="2002-03-18T00:00:00"/>
    <s v="OTIF FAIL"/>
    <n v="1"/>
    <s v="1110_FG_LNG"/>
    <x v="0"/>
    <n v="1"/>
    <m/>
  </r>
  <r>
    <s v="0558116373-7"/>
    <s v="CST"/>
    <n v="5.5"/>
    <n v="5.5"/>
    <n v="0"/>
    <n v="50"/>
    <n v="50"/>
    <s v="WIRE ROD"/>
    <d v="2001-11-30T00:00:00"/>
    <d v="2002-02-28T00:00:00"/>
    <d v="2002-02-28T00:00:00"/>
    <d v="2002-02-28T00:00:00"/>
    <d v="2002-02-28T00:00:00"/>
    <d v="2002-03-21T00:00:00"/>
    <s v="OTIF PASS"/>
    <n v="7"/>
    <s v="1110_FG_LNG"/>
    <x v="0"/>
    <n v="1"/>
    <m/>
  </r>
  <r>
    <s v="0558116368-1"/>
    <s v="HPC"/>
    <n v="11"/>
    <n v="11"/>
    <n v="0"/>
    <n v="10"/>
    <n v="10"/>
    <s v="WIRE ROD"/>
    <d v="2001-11-30T00:00:00"/>
    <d v="2002-02-28T00:00:00"/>
    <d v="2002-03-05T00:00:00"/>
    <d v="2002-03-05T00:00:00"/>
    <d v="2002-03-06T00:00:00"/>
    <d v="2002-03-06T00:00:00"/>
    <s v="OTIF FAIL"/>
    <n v="1"/>
    <s v="1110_FG_LNG"/>
    <x v="1"/>
    <n v="1"/>
    <m/>
  </r>
  <r>
    <s v="0558116367-2"/>
    <s v="HRC"/>
    <n v="9"/>
    <n v="9"/>
    <n v="0"/>
    <n v="83"/>
    <n v="83"/>
    <s v="WIRE ROD"/>
    <d v="2001-11-30T00:00:00"/>
    <d v="2002-03-11T00:00:00"/>
    <d v="2002-03-16T00:00:00"/>
    <d v="2002-03-16T00:00:00"/>
    <d v="2002-03-17T00:00:00"/>
    <d v="2002-03-17T00:00:00"/>
    <s v="OTIF FAIL"/>
    <n v="2"/>
    <s v="1110_FG_LNG"/>
    <x v="0"/>
    <n v="1"/>
    <m/>
  </r>
  <r>
    <s v="0558116625-3"/>
    <s v="HRC"/>
    <n v="11"/>
    <n v="11"/>
    <n v="0"/>
    <n v="5"/>
    <n v="5"/>
    <s v="WIRE ROD"/>
    <d v="2002-03-20T00:00:00"/>
    <d v="2002-04-21T00:00:00"/>
    <d v="2002-04-21T00:00:00"/>
    <d v="2002-04-21T00:00:00"/>
    <d v="2002-04-21T00:00:00"/>
    <d v="2002-04-21T00:00:00"/>
    <s v="OTIF PASS"/>
    <n v="3"/>
    <s v="1110_FG_LNG"/>
    <x v="2"/>
    <n v="1"/>
    <m/>
  </r>
  <r>
    <s v="0558116372-3"/>
    <s v="HRC"/>
    <n v="13"/>
    <n v="13"/>
    <n v="0"/>
    <n v="6"/>
    <n v="6"/>
    <s v="WIRE ROD"/>
    <d v="2001-11-30T00:00:00"/>
    <d v="2002-03-01T00:00:00"/>
    <d v="2002-03-10T00:00:00"/>
    <d v="2002-03-10T00:00:00"/>
    <d v="2002-03-12T00:00:00"/>
    <d v="2002-03-12T00:00:00"/>
    <s v="OTIF FAIL"/>
    <n v="3"/>
    <s v="1110_FG_LNG"/>
    <x v="3"/>
    <n v="1"/>
    <m/>
  </r>
  <r>
    <s v="0558116380-1"/>
    <s v="CRC"/>
    <n v="5.5"/>
    <n v="5.5"/>
    <n v="0"/>
    <n v="25"/>
    <n v="25"/>
    <s v="WIRE ROD"/>
    <d v="2001-11-30T00:00:00"/>
    <d v="2002-03-12T00:00:00"/>
    <d v="2002-03-15T00:00:00"/>
    <d v="2002-03-15T00:00:00"/>
    <d v="2002-03-16T00:00:00"/>
    <d v="2002-03-19T00:00:00"/>
    <s v="OTIF FAIL"/>
    <n v="1"/>
    <s v="1110_FG_LNG"/>
    <x v="0"/>
    <n v="1"/>
    <m/>
  </r>
  <r>
    <s v="0558116565-1"/>
    <s v="CST"/>
    <n v="5.5"/>
    <n v="5.5"/>
    <n v="0"/>
    <n v="250"/>
    <n v="250"/>
    <s v="WIRE ROD"/>
    <d v="2002-02-17T00:00:00"/>
    <d v="2002-02-21T00:00:00"/>
    <d v="2002-03-02T00:00:00"/>
    <d v="2002-03-02T00:00:00"/>
    <d v="2002-03-04T00:00:00"/>
    <d v="2002-03-09T00:00:00"/>
    <s v="OTIF FAIL"/>
    <n v="1"/>
    <s v="1110_FG_LNG"/>
    <x v="1"/>
    <n v="1"/>
    <m/>
  </r>
  <r>
    <s v="0558116542-2"/>
    <s v="HPC"/>
    <n v="5.5"/>
    <n v="5.5"/>
    <n v="0"/>
    <n v="150"/>
    <n v="150"/>
    <s v="WIRE ROD"/>
    <d v="2002-02-12T00:00:00"/>
    <d v="2002-02-21T00:00:00"/>
    <d v="2002-03-05T00:00:00"/>
    <d v="2002-03-05T00:00:00"/>
    <d v="2002-03-05T00:00:00"/>
    <d v="2002-03-05T00:00:00"/>
    <s v="OTIF FAIL"/>
    <n v="2"/>
    <s v="1110_FG_LNG"/>
    <x v="1"/>
    <n v="1"/>
    <m/>
  </r>
  <r>
    <s v="0558116766-1"/>
    <s v="HRC"/>
    <n v="5.5"/>
    <n v="5.5"/>
    <n v="0"/>
    <n v="250"/>
    <n v="250"/>
    <s v="WIRE ROD"/>
    <d v="2002-04-06T00:00:00"/>
    <d v="2002-05-16T00:00:00"/>
    <s v="-"/>
    <s v="-"/>
    <d v="2002-05-16T00:00:00"/>
    <d v="2002-05-16T00:00:00"/>
    <s v="OTIF FAIL"/>
    <n v="1"/>
    <s v="1110_FG_LNG"/>
    <x v="4"/>
    <n v="1"/>
    <m/>
  </r>
  <r>
    <s v="0558116384-2"/>
    <s v="CST"/>
    <n v="5.5"/>
    <n v="5.5"/>
    <n v="0"/>
    <n v="200"/>
    <n v="200"/>
    <s v="WIRE ROD"/>
    <d v="2001-11-30T00:00:00"/>
    <d v="2002-03-11T00:00:00"/>
    <d v="2002-03-16T00:00:00"/>
    <d v="2002-03-16T00:00:00"/>
    <d v="2002-03-17T00:00:00"/>
    <d v="2002-03-21T00:00:00"/>
    <s v="OTIF FAIL"/>
    <n v="2"/>
    <s v="1110_FG_LNG"/>
    <x v="0"/>
    <n v="1"/>
    <m/>
  </r>
  <r>
    <s v="0558116379-1"/>
    <s v="HRC"/>
    <n v="5.5"/>
    <n v="5.5"/>
    <n v="0"/>
    <n v="25"/>
    <n v="25"/>
    <s v="WIRE ROD"/>
    <d v="2001-11-30T00:00:00"/>
    <d v="2002-03-07T00:00:00"/>
    <d v="2002-03-09T00:00:00"/>
    <d v="2002-03-09T00:00:00"/>
    <d v="2002-03-10T00:00:00"/>
    <d v="2002-03-19T00:00:00"/>
    <s v="OTIF FAIL"/>
    <n v="1"/>
    <s v="1110_FG_LNG"/>
    <x v="0"/>
    <n v="1"/>
    <m/>
  </r>
  <r>
    <s v="0558116367-1"/>
    <s v="HRC"/>
    <n v="10"/>
    <n v="10"/>
    <n v="0"/>
    <n v="83"/>
    <n v="83"/>
    <s v="WIRE ROD"/>
    <d v="2001-11-30T00:00:00"/>
    <d v="2002-03-13T00:00:00"/>
    <d v="2002-03-15T00:00:00"/>
    <d v="2002-03-15T00:00:00"/>
    <d v="2002-03-16T00:00:00"/>
    <d v="2002-03-16T00:00:00"/>
    <s v="OTIF FAIL"/>
    <n v="1"/>
    <s v="1110_FG_LNG"/>
    <x v="3"/>
    <n v="1"/>
    <m/>
  </r>
  <r>
    <s v="0558116374-3"/>
    <s v="CST"/>
    <n v="8"/>
    <n v="8"/>
    <n v="0"/>
    <n v="5"/>
    <n v="5"/>
    <s v="WIRE ROD"/>
    <d v="2001-11-30T00:00:00"/>
    <d v="2002-03-18T00:00:00"/>
    <d v="2002-03-21T00:00:00"/>
    <d v="2002-03-21T00:00:00"/>
    <d v="2002-03-21T00:00:00"/>
    <d v="2002-03-21T00:00:00"/>
    <s v="OTIF FAIL"/>
    <n v="3"/>
    <s v="1110_FG_LNG"/>
    <x v="0"/>
    <n v="1"/>
    <m/>
  </r>
  <r>
    <s v="0558116365-2"/>
    <s v="JBS"/>
    <n v="8"/>
    <n v="8"/>
    <n v="0"/>
    <n v="12"/>
    <n v="12"/>
    <s v="WIRE ROD"/>
    <d v="2001-11-30T00:00:00"/>
    <d v="2002-03-03T00:00:00"/>
    <d v="2002-03-10T00:00:00"/>
    <d v="2002-03-10T00:00:00"/>
    <d v="2002-03-12T00:00:00"/>
    <d v="2002-03-12T00:00:00"/>
    <s v="OTIF FAIL"/>
    <n v="2"/>
    <s v="1110_FG_LNG"/>
    <x v="3"/>
    <n v="1"/>
    <m/>
  </r>
  <r>
    <s v="0558116648-1"/>
    <s v="CST"/>
    <n v="5.5"/>
    <n v="5.5"/>
    <n v="0"/>
    <n v="10"/>
    <n v="10"/>
    <s v="WIRE ROD"/>
    <d v="2002-03-20T00:00:00"/>
    <d v="2002-04-21T00:00:00"/>
    <d v="2002-04-21T00:00:00"/>
    <d v="2002-04-21T00:00:00"/>
    <d v="2002-04-21T00:00:00"/>
    <d v="2002-04-21T00:00:00"/>
    <s v="OTIF PASS"/>
    <n v="1"/>
    <s v="1110_FG_LNG"/>
    <x v="2"/>
    <n v="1"/>
    <m/>
  </r>
  <r>
    <s v="0558116728-2"/>
    <s v="CRC"/>
    <n v="10"/>
    <n v="10"/>
    <n v="0"/>
    <n v="4"/>
    <n v="4"/>
    <s v="WIRE ROD"/>
    <d v="2002-03-28T00:00:00"/>
    <d v="2002-05-07T00:00:00"/>
    <d v="2002-05-07T00:00:00"/>
    <d v="2002-05-07T00:00:00"/>
    <s v="-"/>
    <d v="2002-04-21T00:00:00"/>
    <s v="OTIF PASS"/>
    <n v="2"/>
    <s v="1110_FG_LNG"/>
    <x v="2"/>
    <n v="0"/>
    <m/>
  </r>
  <r>
    <s v="0558116625-1"/>
    <s v="CST"/>
    <n v="5.5"/>
    <n v="5.5"/>
    <n v="0"/>
    <n v="10"/>
    <n v="10"/>
    <s v="WIRE ROD"/>
    <d v="2002-03-20T00:00:00"/>
    <d v="2002-04-21T00:00:00"/>
    <d v="2002-04-21T00:00:00"/>
    <d v="2002-04-21T00:00:00"/>
    <d v="2002-04-21T00:00:00"/>
    <d v="2002-04-21T00:00:00"/>
    <s v="OTIF PASS"/>
    <n v="1"/>
    <s v="1110_FG_LNG"/>
    <x v="2"/>
    <n v="1"/>
    <m/>
  </r>
  <r>
    <s v="0558116368-2"/>
    <s v="HRC"/>
    <n v="12"/>
    <n v="12"/>
    <n v="0"/>
    <n v="20"/>
    <n v="20"/>
    <s v="WIRE ROD"/>
    <d v="2001-11-30T00:00:00"/>
    <d v="2002-03-14T00:00:00"/>
    <d v="2002-03-15T00:00:00"/>
    <d v="2002-03-15T00:00:00"/>
    <d v="2002-03-17T00:00:00"/>
    <d v="2002-03-17T00:00:00"/>
    <s v="OTIF FAIL"/>
    <n v="2"/>
    <s v="1110_FG_LNG"/>
    <x v="0"/>
    <n v="1"/>
    <m/>
  </r>
  <r>
    <s v="0558116385-1"/>
    <s v="HRC"/>
    <n v="5.5"/>
    <n v="5.5"/>
    <n v="0"/>
    <n v="25"/>
    <n v="25"/>
    <s v="WIRE ROD"/>
    <d v="2001-11-30T00:00:00"/>
    <d v="2002-02-28T00:00:00"/>
    <d v="2002-02-28T00:00:00"/>
    <d v="2002-02-28T00:00:00"/>
    <d v="2002-03-01T00:00:00"/>
    <d v="2002-03-01T00:00:00"/>
    <s v="OTIF PASS"/>
    <n v="1"/>
    <s v="1110_FG_LNG"/>
    <x v="5"/>
    <n v="1"/>
    <m/>
  </r>
  <r>
    <s v="0558116681-1"/>
    <s v="HRC"/>
    <n v="5.5"/>
    <n v="5.5"/>
    <n v="0"/>
    <n v="10"/>
    <n v="10"/>
    <s v="WIRE ROD"/>
    <d v="2002-03-28T00:00:00"/>
    <d v="2002-05-05T00:00:00"/>
    <s v="-"/>
    <s v="-"/>
    <s v="-"/>
    <d v="2002-04-21T00:00:00"/>
    <s v="OTIF FAIL"/>
    <n v="1"/>
    <s v="1110_FG_LNG"/>
    <x v="2"/>
    <n v="0"/>
    <m/>
  </r>
  <r>
    <s v="0558116373-6"/>
    <s v="CST"/>
    <n v="5.5"/>
    <n v="5.5"/>
    <n v="0"/>
    <n v="50"/>
    <n v="50"/>
    <s v="WIRE ROD"/>
    <d v="2001-11-30T00:00:00"/>
    <d v="2002-03-05T00:00:00"/>
    <d v="2002-03-06T00:00:00"/>
    <d v="2002-03-06T00:00:00"/>
    <d v="2002-03-07T00:00:00"/>
    <d v="2002-03-21T00:00:00"/>
    <s v="OTIF FAIL"/>
    <n v="6"/>
    <s v="1110_FG_LNG"/>
    <x v="0"/>
    <n v="1"/>
    <m/>
  </r>
  <r>
    <s v="0558116382-1"/>
    <s v="CST"/>
    <n v="5.5"/>
    <n v="5.5"/>
    <n v="0"/>
    <n v="75"/>
    <n v="75"/>
    <s v="WIRE ROD"/>
    <d v="2001-11-30T00:00:00"/>
    <d v="2002-02-28T00:00:00"/>
    <d v="2002-03-02T00:00:00"/>
    <d v="2002-03-02T00:00:00"/>
    <d v="2002-03-03T00:00:00"/>
    <d v="2002-03-03T00:00:00"/>
    <s v="OTIF FAIL"/>
    <n v="1"/>
    <s v="1110_FG_LNG"/>
    <x v="1"/>
    <n v="1"/>
    <m/>
  </r>
  <r>
    <s v="0558116372-2"/>
    <s v="CST"/>
    <n v="6"/>
    <n v="6"/>
    <n v="0"/>
    <n v="6"/>
    <n v="6"/>
    <s v="WIRE ROD"/>
    <d v="2001-11-30T00:00:00"/>
    <d v="2002-03-17T00:00:00"/>
    <d v="2002-03-21T00:00:00"/>
    <d v="2002-03-21T00:00:00"/>
    <d v="2002-03-21T00:00:00"/>
    <d v="2002-03-21T00:00:00"/>
    <s v="OTIF FAIL"/>
    <n v="2"/>
    <s v="1110_FG_LNG"/>
    <x v="0"/>
    <n v="1"/>
    <m/>
  </r>
  <r>
    <s v="0558116381-1"/>
    <s v="CST"/>
    <n v="5.5"/>
    <n v="5.5"/>
    <n v="0"/>
    <n v="100"/>
    <n v="100"/>
    <s v="WIRE ROD"/>
    <d v="2001-11-30T00:00:00"/>
    <d v="2002-03-16T00:00:00"/>
    <d v="2002-03-21T00:00:00"/>
    <d v="2002-03-21T00:00:00"/>
    <d v="2002-03-21T00:00:00"/>
    <d v="2002-03-21T00:00:00"/>
    <s v="OTIF FAIL"/>
    <n v="1"/>
    <s v="1110_FG_LNG"/>
    <x v="0"/>
    <n v="1"/>
    <m/>
  </r>
  <r>
    <s v="0558116704-3"/>
    <s v="HRC"/>
    <n v="11"/>
    <n v="11"/>
    <n v="0"/>
    <n v="5"/>
    <n v="5"/>
    <s v="WIRE ROD"/>
    <d v="2002-03-28T00:00:00"/>
    <d v="2002-05-11T00:00:00"/>
    <s v="-"/>
    <s v="-"/>
    <s v="-"/>
    <d v="2002-04-21T00:00:00"/>
    <s v="OTIF FAIL"/>
    <n v="3"/>
    <s v="1110_FG_LNG"/>
    <x v="2"/>
    <n v="0"/>
    <m/>
  </r>
  <r>
    <s v="0558116367-3"/>
    <s v="JBS"/>
    <n v="11"/>
    <n v="11"/>
    <n v="0"/>
    <n v="83"/>
    <n v="83"/>
    <s v="WIRE ROD"/>
    <d v="2001-11-30T00:00:00"/>
    <d v="2002-03-07T00:00:00"/>
    <d v="2002-03-08T00:00:00"/>
    <d v="2002-03-08T00:00:00"/>
    <d v="2002-03-09T00:00:00"/>
    <d v="2002-03-09T00:00:00"/>
    <s v="OTIF FAIL"/>
    <n v="3"/>
    <s v="1110_FG_LNG"/>
    <x v="1"/>
    <n v="1"/>
    <m/>
  </r>
  <r>
    <s v="0558116366-1"/>
    <s v="CST"/>
    <n v="6.5"/>
    <n v="6.5"/>
    <n v="0"/>
    <n v="5.7"/>
    <n v="5.7"/>
    <s v="WIRE ROD"/>
    <d v="2001-11-30T00:00:00"/>
    <d v="2002-02-28T00:00:00"/>
    <d v="2002-03-05T00:00:00"/>
    <d v="2002-03-05T00:00:00"/>
    <d v="2002-03-06T00:00:00"/>
    <d v="2002-03-06T00:00:00"/>
    <s v="OTIF FAIL"/>
    <n v="1"/>
    <s v="1110_FG_LNG"/>
    <x v="1"/>
    <n v="1"/>
    <m/>
  </r>
  <r>
    <s v="0558116373-5"/>
    <s v="HRC"/>
    <n v="5.5"/>
    <n v="5.5"/>
    <n v="0"/>
    <n v="50"/>
    <n v="50"/>
    <s v="WIRE ROD"/>
    <d v="2001-11-30T00:00:00"/>
    <d v="2002-03-19T00:00:00"/>
    <d v="2002-03-19T00:00:00"/>
    <d v="2002-03-19T00:00:00"/>
    <d v="2002-03-19T00:00:00"/>
    <d v="2002-03-21T00:00:00"/>
    <s v="OTIF PASS"/>
    <n v="5"/>
    <s v="1110_FG_LNG"/>
    <x v="0"/>
    <n v="1"/>
    <m/>
  </r>
  <r>
    <s v="0558116728-1"/>
    <s v="CST"/>
    <n v="5.5"/>
    <n v="5.5"/>
    <n v="0"/>
    <n v="10"/>
    <n v="10"/>
    <s v="WIRE ROD"/>
    <d v="2002-03-28T00:00:00"/>
    <d v="2002-05-07T00:00:00"/>
    <d v="2002-05-07T00:00:00"/>
    <d v="2002-05-07T00:00:00"/>
    <s v="-"/>
    <d v="2002-04-21T00:00:00"/>
    <s v="OTIF PASS"/>
    <n v="1"/>
    <s v="1110_FG_LNG"/>
    <x v="2"/>
    <n v="0"/>
    <m/>
  </r>
  <r>
    <s v="0558116377-1"/>
    <s v="HRC"/>
    <n v="5.5"/>
    <n v="5.5"/>
    <n v="0"/>
    <n v="30"/>
    <n v="30"/>
    <s v="WIRE ROD"/>
    <d v="2001-11-30T00:00:00"/>
    <d v="2002-02-28T00:00:00"/>
    <d v="2002-03-01T00:00:00"/>
    <d v="2002-03-01T00:00:00"/>
    <d v="2002-03-03T00:00:00"/>
    <d v="2002-03-19T00:00:00"/>
    <s v="OTIF FAIL"/>
    <n v="1"/>
    <s v="1110_FG_LNG"/>
    <x v="0"/>
    <n v="1"/>
    <m/>
  </r>
  <r>
    <s v="0558116372-5"/>
    <s v="CST"/>
    <n v="8"/>
    <n v="8"/>
    <n v="0"/>
    <n v="6"/>
    <n v="6"/>
    <s v="WIRE ROD"/>
    <d v="2001-11-30T00:00:00"/>
    <d v="2002-02-28T00:00:00"/>
    <d v="2002-03-05T00:00:00"/>
    <d v="2002-03-05T00:00:00"/>
    <d v="2002-03-06T00:00:00"/>
    <d v="2002-03-12T00:00:00"/>
    <s v="OTIF FAIL"/>
    <n v="5"/>
    <s v="1110_FG_LNG"/>
    <x v="3"/>
    <n v="1"/>
    <m/>
  </r>
  <r>
    <s v="0558116766-3"/>
    <s v="HRC"/>
    <n v="5.5"/>
    <n v="5.5"/>
    <n v="0"/>
    <n v="100"/>
    <n v="92.65"/>
    <s v="WIRE ROD"/>
    <d v="2002-04-06T00:00:00"/>
    <d v="2002-05-16T00:00:00"/>
    <s v="-"/>
    <s v="-"/>
    <d v="2002-05-16T00:00:00"/>
    <d v="2002-05-16T00:00:00"/>
    <s v="OTIF FAIL"/>
    <n v="3"/>
    <s v="1110_FG_LNG"/>
    <x v="4"/>
    <n v="0"/>
    <m/>
  </r>
  <r>
    <s v="0558116542-3"/>
    <s v="CST"/>
    <n v="5.5"/>
    <n v="5.5"/>
    <n v="0"/>
    <n v="100"/>
    <n v="100"/>
    <s v="WIRE ROD"/>
    <d v="2002-02-12T00:00:00"/>
    <d v="2002-02-21T00:00:00"/>
    <d v="2002-03-09T00:00:00"/>
    <d v="2002-03-09T00:00:00"/>
    <d v="2002-03-10T00:00:00"/>
    <d v="2002-03-10T00:00:00"/>
    <s v="OTIF FAIL"/>
    <n v="3"/>
    <s v="1110_FG_LNG"/>
    <x v="3"/>
    <n v="1"/>
    <m/>
  </r>
  <r>
    <s v="0558116565-3"/>
    <s v="CRC"/>
    <n v="5.5"/>
    <n v="5.5"/>
    <n v="0"/>
    <n v="100"/>
    <n v="100"/>
    <s v="WIRE ROD"/>
    <d v="2002-02-17T00:00:00"/>
    <d v="2002-02-21T00:00:00"/>
    <d v="2002-03-04T00:00:00"/>
    <d v="2002-03-04T00:00:00"/>
    <d v="2002-03-05T00:00:00"/>
    <d v="2002-03-10T00:00:00"/>
    <s v="OTIF FAIL"/>
    <n v="3"/>
    <s v="1110_FG_LNG"/>
    <x v="3"/>
    <n v="1"/>
    <m/>
  </r>
  <r>
    <s v="0558116382-3"/>
    <s v="CST"/>
    <n v="5.5"/>
    <n v="5.5"/>
    <n v="0"/>
    <n v="10"/>
    <n v="10"/>
    <s v="WIRE ROD"/>
    <d v="2001-11-30T00:00:00"/>
    <d v="2002-03-16T00:00:00"/>
    <d v="2002-03-19T00:00:00"/>
    <d v="2002-03-19T00:00:00"/>
    <d v="2002-03-20T00:00:00"/>
    <d v="2002-03-20T00:00:00"/>
    <s v="OTIF FAIL"/>
    <n v="3"/>
    <s v="1110_FG_LNG"/>
    <x v="0"/>
    <n v="1"/>
    <m/>
  </r>
  <r>
    <s v="0558116368-3"/>
    <s v="HRC"/>
    <n v="13"/>
    <n v="13"/>
    <n v="0"/>
    <n v="5"/>
    <n v="5"/>
    <s v="WIRE ROD"/>
    <d v="2001-11-30T00:00:00"/>
    <d v="2002-02-28T00:00:00"/>
    <d v="2002-03-05T00:00:00"/>
    <d v="2002-03-05T00:00:00"/>
    <d v="2002-03-06T00:00:00"/>
    <d v="2002-03-12T00:00:00"/>
    <s v="OTIF FAIL"/>
    <n v="3"/>
    <s v="1110_FG_LNG"/>
    <x v="3"/>
    <n v="1"/>
    <m/>
  </r>
  <r>
    <s v="0558116373-13"/>
    <s v="CST"/>
    <n v="5.5"/>
    <n v="5.5"/>
    <n v="0"/>
    <n v="50"/>
    <n v="50"/>
    <s v="WIRE ROD"/>
    <d v="2001-11-30T00:00:00"/>
    <d v="2002-02-28T00:00:00"/>
    <d v="2002-02-28T00:00:00"/>
    <d v="2002-02-28T00:00:00"/>
    <d v="2002-03-01T00:00:00"/>
    <d v="2002-03-21T00:00:00"/>
    <s v="OTIF PASS"/>
    <n v="13"/>
    <s v="1110_FG_LNG"/>
    <x v="0"/>
    <n v="1"/>
    <m/>
  </r>
  <r>
    <s v="0558116625-2"/>
    <s v="CRC"/>
    <n v="10"/>
    <n v="10"/>
    <n v="0"/>
    <n v="4"/>
    <n v="4"/>
    <s v="WIRE ROD"/>
    <d v="2002-03-20T00:00:00"/>
    <d v="2002-04-21T00:00:00"/>
    <d v="2002-04-21T00:00:00"/>
    <d v="2002-04-21T00:00:00"/>
    <d v="2002-04-21T00:00:00"/>
    <d v="2002-04-21T00:00:00"/>
    <s v="OTIF PASS"/>
    <n v="2"/>
    <s v="1110_FG_LNG"/>
    <x v="2"/>
    <n v="1"/>
    <m/>
  </r>
  <r>
    <s v="0558116386-3"/>
    <s v="CST"/>
    <n v="130"/>
    <n v="130"/>
    <n v="6100"/>
    <n v="200"/>
    <n v="200"/>
    <s v="BLOOM"/>
    <d v="2001-11-30T00:00:00"/>
    <d v="2002-03-08T00:00:00"/>
    <d v="2002-03-08T00:00:00"/>
    <d v="2002-03-08T00:00:00"/>
    <d v="2002-03-08T00:00:00"/>
    <d v="2002-03-08T00:00:00"/>
    <s v="OTIF PASS"/>
    <n v="3"/>
    <s v="1110_FG_CST"/>
    <x v="1"/>
    <n v="1"/>
    <m/>
  </r>
  <r>
    <s v="0558116763-1"/>
    <s v="CST"/>
    <n v="130"/>
    <n v="130"/>
    <n v="6100"/>
    <n v="200"/>
    <n v="200"/>
    <s v="BLOOM"/>
    <d v="2002-04-06T00:00:00"/>
    <d v="2002-05-16T00:00:00"/>
    <s v="-"/>
    <s v="-"/>
    <d v="2002-05-16T00:00:00"/>
    <d v="2002-05-16T00:00:00"/>
    <s v="OTIF FAIL"/>
    <n v="1"/>
    <s v="1110_FG_CST"/>
    <x v="4"/>
    <n v="1"/>
    <m/>
  </r>
  <r>
    <s v="0558116543-1"/>
    <s v="HRC"/>
    <n v="130"/>
    <n v="130"/>
    <n v="6100"/>
    <n v="200"/>
    <n v="200"/>
    <s v="BLOOM"/>
    <d v="2002-02-12T00:00:00"/>
    <d v="2002-02-21T00:00:00"/>
    <d v="2002-03-01T00:00:00"/>
    <d v="2002-03-01T00:00:00"/>
    <d v="2002-03-01T00:00:00"/>
    <d v="2002-05-16T00:00:00"/>
    <s v="OTIF FAIL"/>
    <n v="1"/>
    <s v="1110_FG_CST"/>
    <x v="4"/>
    <n v="1"/>
    <m/>
  </r>
  <r>
    <s v="0558116386-1"/>
    <s v="CST"/>
    <n v="130"/>
    <n v="130"/>
    <n v="6100"/>
    <n v="250"/>
    <n v="250"/>
    <s v="BLOOM"/>
    <d v="2001-11-30T00:00:00"/>
    <d v="2002-02-28T00:00:00"/>
    <d v="2002-03-01T00:00:00"/>
    <d v="2002-03-01T00:00:00"/>
    <d v="2002-03-01T00:00:00"/>
    <d v="2002-05-16T00:00:00"/>
    <s v="OTIF FAIL"/>
    <n v="1"/>
    <s v="1110_FG_CST"/>
    <x v="4"/>
    <n v="1"/>
    <m/>
  </r>
  <r>
    <s v="0558116564-1"/>
    <s v="CST"/>
    <n v="130"/>
    <n v="130"/>
    <n v="6100"/>
    <n v="200"/>
    <n v="158.99600000000001"/>
    <s v="BLOOM"/>
    <d v="2002-02-17T00:00:00"/>
    <d v="2002-02-21T00:00:00"/>
    <d v="2002-03-01T00:00:00"/>
    <d v="2002-04-01T00:00:00"/>
    <d v="2002-04-01T00:00:00"/>
    <d v="2002-05-16T00:00:00"/>
    <s v="OTIF FAIL"/>
    <n v="1"/>
    <s v="1110_FG_CST"/>
    <x v="4"/>
    <n v="0"/>
    <m/>
  </r>
  <r>
    <s v="0558116386-2"/>
    <s v="CST"/>
    <n v="130"/>
    <n v="130"/>
    <n v="6100"/>
    <n v="250"/>
    <n v="250"/>
    <s v="BLOOM"/>
    <d v="2001-11-30T00:00:00"/>
    <d v="2002-03-15T00:00:00"/>
    <d v="2002-03-15T00:00:00"/>
    <d v="2002-03-15T00:00:00"/>
    <d v="2002-03-15T00:00:00"/>
    <d v="2002-03-15T00:00:00"/>
    <s v="OTIF PASS"/>
    <n v="2"/>
    <s v="1110_FG_CST"/>
    <x v="3"/>
    <n v="1"/>
    <m/>
  </r>
  <r>
    <s v="3100152211-1"/>
    <s v="HPC"/>
    <n v="1.82"/>
    <n v="26.58"/>
    <n v="0"/>
    <n v="50"/>
    <n v="50"/>
    <s v="BNK"/>
    <d v="2002-04-01T00:00:00"/>
    <d v="2002-04-01T00:00:00"/>
    <s v="-"/>
    <s v="-"/>
    <s v="-"/>
    <d v="2002-04-05T00:00:00"/>
    <s v="OTIF FAIL"/>
    <n v="1"/>
    <s v="8900_FG_CBL"/>
    <x v="6"/>
    <n v="0"/>
    <m/>
  </r>
  <r>
    <s v="3100128703-2"/>
    <s v="CRC"/>
    <n v="2.08"/>
    <n v="26"/>
    <n v="0"/>
    <n v="100"/>
    <n v="100"/>
    <s v="BNK"/>
    <d v="2021-07-13T00:00:00"/>
    <d v="2002-03-15T00:00:00"/>
    <s v="-"/>
    <s v="-"/>
    <d v="2002-04-10T00:00:00"/>
    <d v="2002-04-10T00:00:00"/>
    <s v="OTIF FAIL"/>
    <n v="2"/>
    <s v="8900_FG_CBL"/>
    <x v="7"/>
    <n v="1"/>
    <m/>
  </r>
  <r>
    <s v="0568011013-4"/>
    <s v="CST"/>
    <n v="1.69"/>
    <n v="25.2"/>
    <n v="0"/>
    <n v="1378.2"/>
    <n v="639.6"/>
    <s v="BNK"/>
    <d v="2001-09-25T00:00:00"/>
    <d v="2002-03-10T00:00:00"/>
    <d v="2002-04-09T00:00:00"/>
    <d v="2002-04-09T00:00:00"/>
    <d v="2002-01-25T00:00:00"/>
    <d v="2002-01-25T00:00:00"/>
    <s v="OTIF FAIL"/>
    <n v="4"/>
    <s v="1210_FG_CBL"/>
    <x v="8"/>
    <n v="0"/>
    <m/>
  </r>
  <r>
    <s v="0558116565-6"/>
    <s v="CRC"/>
    <n v="12"/>
    <n v="12"/>
    <n v="0"/>
    <n v="100"/>
    <n v="100"/>
    <s v="WIRE ROD"/>
    <d v="2002-03-05T00:00:00"/>
    <d v="2002-03-15T00:00:00"/>
    <d v="2002-03-15T00:00:00"/>
    <d v="2002-03-15T00:00:00"/>
    <d v="2002-03-15T00:00:00"/>
    <d v="2002-03-15T00:00:00"/>
    <s v="OTIF PASS"/>
    <n v="6"/>
    <s v="1110_FG_LNG"/>
    <x v="3"/>
    <n v="1"/>
    <m/>
  </r>
  <r>
    <s v="0558116565-7"/>
    <s v="CBL"/>
    <n v="12"/>
    <n v="12"/>
    <n v="0"/>
    <n v="100"/>
    <n v="100"/>
    <s v="WIRE ROD"/>
    <d v="2002-03-05T00:00:00"/>
    <d v="2002-03-15T00:00:00"/>
    <d v="2002-03-15T00:00:00"/>
    <d v="2002-03-15T00:00:00"/>
    <d v="2002-03-15T00:00:00"/>
    <d v="2002-03-15T00:00:00"/>
    <s v="OTIF PASS"/>
    <n v="7"/>
    <s v="1110_FG_LNG"/>
    <x v="3"/>
    <n v="1"/>
    <m/>
  </r>
  <r>
    <s v="0558112074-1"/>
    <s v="HPC"/>
    <n v="0.7"/>
    <n v="1250"/>
    <n v="0"/>
    <n v="10"/>
    <n v="10"/>
    <s v="CRAP"/>
    <d v="2001-09-25T00:00:00"/>
    <d v="2002-03-04T00:00:00"/>
    <d v="2002-04-22T00:00:00"/>
    <d v="2002-04-22T00:00:00"/>
    <d v="2002-01-10T00:00:00"/>
    <d v="2002-03-23T00:00:00"/>
    <s v="OTIF FAIL"/>
    <n v="1"/>
    <s v="1210_FG_CRC"/>
    <x v="0"/>
    <n v="1"/>
    <m/>
  </r>
  <r>
    <s v="0558112074-2"/>
    <s v="CST"/>
    <n v="0.9"/>
    <n v="1250"/>
    <n v="0"/>
    <n v="13"/>
    <n v="13"/>
    <s v="CRAP"/>
    <d v="2001-09-25T00:00:00"/>
    <d v="2002-03-04T00:00:00"/>
    <d v="2002-03-23T00:00:00"/>
    <d v="2002-03-23T00:00:00"/>
    <d v="2002-03-23T00:00:00"/>
    <d v="2002-03-23T00:00:00"/>
    <s v="OTIF FAIL"/>
    <n v="2"/>
    <s v="1210_FG_CRC"/>
    <x v="0"/>
    <n v="1"/>
    <m/>
  </r>
  <r>
    <s v="0558113229-1"/>
    <s v="JBS"/>
    <n v="0.7"/>
    <n v="1250"/>
    <n v="0"/>
    <n v="10"/>
    <n v="10"/>
    <s v="CRAP"/>
    <d v="2001-08-02T00:00:00"/>
    <d v="2002-03-05T00:00:00"/>
    <d v="2002-04-22T00:00:00"/>
    <d v="2002-04-22T00:00:00"/>
    <d v="2002-01-16T00:00:00"/>
    <d v="2002-03-23T00:00:00"/>
    <s v="OTIF FAIL"/>
    <n v="1"/>
    <s v="1210_FG_CRC"/>
    <x v="0"/>
    <n v="1"/>
    <m/>
  </r>
  <r>
    <s v="0569023218-6"/>
    <s v="CST"/>
    <n v="1.1499999999999999"/>
    <n v="1250"/>
    <n v="0"/>
    <n v="50"/>
    <n v="50"/>
    <s v="CRAP"/>
    <d v="2001-09-28T00:00:00"/>
    <d v="2002-02-27T00:00:00"/>
    <d v="2002-03-01T00:00:00"/>
    <d v="2002-03-01T00:00:00"/>
    <d v="2002-03-07T00:00:00"/>
    <d v="2002-03-07T00:00:00"/>
    <s v="OTIF FAIL"/>
    <n v="6"/>
    <s v="1210_FG_CRC"/>
    <x v="1"/>
    <n v="1"/>
    <m/>
  </r>
  <r>
    <s v="0558110655-2"/>
    <s v="HRC"/>
    <n v="0.7"/>
    <n v="1250"/>
    <n v="0"/>
    <n v="20"/>
    <n v="20"/>
    <s v="CRAP"/>
    <d v="2001-09-25T00:00:00"/>
    <d v="2002-03-04T00:00:00"/>
    <d v="2002-03-23T00:00:00"/>
    <d v="2002-03-23T00:00:00"/>
    <d v="2002-03-23T00:00:00"/>
    <d v="2002-03-23T00:00:00"/>
    <s v="OTIF FAIL"/>
    <n v="2"/>
    <s v="1210_FG_CRC"/>
    <x v="0"/>
    <n v="1"/>
    <m/>
  </r>
  <r>
    <s v="0558108139-1"/>
    <s v="CST"/>
    <n v="2.5"/>
    <n v="1250"/>
    <n v="0"/>
    <n v="18"/>
    <n v="18"/>
    <s v="CRAP"/>
    <d v="2001-09-25T00:00:00"/>
    <d v="2002-02-28T00:00:00"/>
    <d v="2002-03-09T00:00:00"/>
    <d v="2002-03-09T00:00:00"/>
    <d v="2002-03-11T00:00:00"/>
    <d v="2002-03-11T00:00:00"/>
    <s v="OTIF FAIL"/>
    <n v="1"/>
    <s v="1210_FG_CRC"/>
    <x v="3"/>
    <n v="1"/>
    <m/>
  </r>
  <r>
    <s v="0558111208-2"/>
    <s v="CST"/>
    <n v="0.95"/>
    <n v="1225"/>
    <n v="0"/>
    <n v="60"/>
    <n v="60"/>
    <s v="CRAP"/>
    <d v="2001-09-25T00:00:00"/>
    <d v="2002-02-28T00:00:00"/>
    <d v="2002-03-15T00:00:00"/>
    <d v="2002-03-15T00:00:00"/>
    <d v="2002-03-15T00:00:00"/>
    <d v="2002-03-16T00:00:00"/>
    <s v="OTIF FAIL"/>
    <n v="2"/>
    <s v="1210_FG_CRC"/>
    <x v="3"/>
    <n v="1"/>
    <m/>
  </r>
  <r>
    <s v="0558116769-2"/>
    <s v="CST"/>
    <n v="1.41"/>
    <n v="1225"/>
    <n v="0"/>
    <n v="22.34"/>
    <n v="22.34"/>
    <s v="CRAP"/>
    <d v="2002-04-07T00:00:00"/>
    <d v="2002-05-13T00:00:00"/>
    <s v="-"/>
    <s v="-"/>
    <s v="-"/>
    <d v="2002-03-14T00:00:00"/>
    <s v="OTIF FAIL"/>
    <n v="2"/>
    <s v="1210_FG_CRC"/>
    <x v="3"/>
    <n v="0"/>
    <m/>
  </r>
  <r>
    <s v="0558116769-6"/>
    <s v="HRC"/>
    <n v="1.41"/>
    <n v="1225"/>
    <n v="0"/>
    <n v="40"/>
    <n v="40"/>
    <s v="CRAP"/>
    <d v="2002-04-07T00:00:00"/>
    <d v="2002-05-13T00:00:00"/>
    <s v="-"/>
    <s v="-"/>
    <s v="-"/>
    <d v="2002-03-14T00:00:00"/>
    <s v="OTIF FAIL"/>
    <n v="6"/>
    <s v="1210_FG_CRC"/>
    <x v="3"/>
    <n v="0"/>
    <m/>
  </r>
  <r>
    <s v="0558116769-5"/>
    <s v="HPC"/>
    <n v="1.41"/>
    <n v="1225"/>
    <n v="0"/>
    <n v="40"/>
    <n v="40"/>
    <s v="CRAP"/>
    <d v="2002-04-07T00:00:00"/>
    <d v="2002-05-13T00:00:00"/>
    <s v="-"/>
    <s v="-"/>
    <s v="-"/>
    <d v="2002-03-14T00:00:00"/>
    <s v="OTIF FAIL"/>
    <n v="5"/>
    <s v="1210_FG_CRC"/>
    <x v="3"/>
    <n v="0"/>
    <m/>
  </r>
  <r>
    <s v="0558111359-5"/>
    <s v="HRC"/>
    <n v="1.41"/>
    <n v="1225"/>
    <n v="0"/>
    <n v="40"/>
    <n v="24.37"/>
    <s v="CRAP"/>
    <d v="2001-09-25T00:00:00"/>
    <d v="2002-02-28T00:00:00"/>
    <d v="2002-03-12T00:00:00"/>
    <d v="2002-03-12T00:00:00"/>
    <d v="2002-03-14T00:00:00"/>
    <d v="2002-03-14T00:00:00"/>
    <s v="OTIF FAIL"/>
    <n v="5"/>
    <s v="1210_FG_CRC"/>
    <x v="3"/>
    <n v="0"/>
    <m/>
  </r>
  <r>
    <s v="0558111359-1"/>
    <s v="CST"/>
    <n v="0.95"/>
    <n v="1225"/>
    <n v="0"/>
    <n v="40"/>
    <n v="40"/>
    <s v="CRAP"/>
    <d v="2001-09-25T00:00:00"/>
    <d v="2002-02-28T00:00:00"/>
    <d v="2002-03-16T00:00:00"/>
    <d v="2002-03-16T00:00:00"/>
    <d v="2002-03-16T00:00:00"/>
    <d v="2002-03-16T00:00:00"/>
    <s v="OTIF FAIL"/>
    <n v="1"/>
    <s v="1210_FG_CRC"/>
    <x v="3"/>
    <n v="1"/>
    <m/>
  </r>
  <r>
    <s v="0558111359-4"/>
    <s v="NFA"/>
    <n v="1.41"/>
    <n v="1225"/>
    <n v="0"/>
    <n v="40"/>
    <n v="40"/>
    <s v="CRAP"/>
    <d v="2001-09-25T00:00:00"/>
    <d v="2002-02-28T00:00:00"/>
    <d v="2002-03-12T00:00:00"/>
    <d v="2002-03-12T00:00:00"/>
    <d v="2002-03-14T00:00:00"/>
    <d v="2002-03-14T00:00:00"/>
    <s v="OTIF FAIL"/>
    <n v="4"/>
    <s v="1210_FG_CRC"/>
    <x v="3"/>
    <n v="1"/>
    <m/>
  </r>
  <r>
    <s v="0558116769-3"/>
    <s v="CST"/>
    <n v="0.95"/>
    <n v="1225"/>
    <n v="0"/>
    <n v="40"/>
    <n v="40"/>
    <s v="CRAP"/>
    <d v="2002-04-07T00:00:00"/>
    <d v="2002-05-13T00:00:00"/>
    <s v="-"/>
    <s v="-"/>
    <s v="-"/>
    <d v="2002-03-16T00:00:00"/>
    <s v="OTIF FAIL"/>
    <n v="3"/>
    <s v="1210_FG_CRC"/>
    <x v="3"/>
    <n v="0"/>
    <m/>
  </r>
  <r>
    <s v="0558116769-4"/>
    <s v="HRC"/>
    <n v="1.41"/>
    <n v="1225"/>
    <n v="0"/>
    <n v="40"/>
    <n v="40"/>
    <s v="CRAP"/>
    <d v="2002-04-07T00:00:00"/>
    <d v="2002-05-13T00:00:00"/>
    <s v="-"/>
    <s v="-"/>
    <s v="-"/>
    <d v="2002-03-14T00:00:00"/>
    <s v="OTIF FAIL"/>
    <n v="4"/>
    <s v="1210_FG_CRC"/>
    <x v="3"/>
    <n v="0"/>
    <m/>
  </r>
  <r>
    <s v="0558114066-2"/>
    <s v="CST"/>
    <n v="1"/>
    <n v="1250"/>
    <n v="0"/>
    <n v="18"/>
    <n v="18"/>
    <s v="CRAP"/>
    <d v="2001-08-16T00:00:00"/>
    <d v="2002-02-28T00:00:00"/>
    <d v="2002-03-09T00:00:00"/>
    <d v="2002-03-09T00:00:00"/>
    <d v="2002-03-10T00:00:00"/>
    <d v="2002-03-10T00:00:00"/>
    <s v="OTIF FAIL"/>
    <n v="2"/>
    <s v="1210_FG_CRC"/>
    <x v="3"/>
    <n v="1"/>
    <m/>
  </r>
  <r>
    <s v="0558116769-1"/>
    <s v="CST"/>
    <n v="0.95"/>
    <n v="1225"/>
    <n v="0"/>
    <n v="40"/>
    <n v="40"/>
    <s v="CRAP"/>
    <d v="2002-04-07T00:00:00"/>
    <d v="2002-05-13T00:00:00"/>
    <s v="-"/>
    <s v="-"/>
    <s v="-"/>
    <d v="2002-03-16T00:00:00"/>
    <s v="OTIF FAIL"/>
    <n v="1"/>
    <s v="1210_FG_CRC"/>
    <x v="3"/>
    <n v="0"/>
    <m/>
  </r>
  <r>
    <s v="0558114066-1"/>
    <s v="CST"/>
    <n v="1.5"/>
    <n v="1100"/>
    <n v="0"/>
    <n v="18"/>
    <n v="18"/>
    <s v="CRAP"/>
    <d v="2001-08-16T00:00:00"/>
    <d v="2002-02-28T00:00:00"/>
    <d v="2002-03-09T00:00:00"/>
    <d v="2002-03-09T00:00:00"/>
    <d v="2002-03-10T00:00:00"/>
    <d v="2002-03-10T00:00:00"/>
    <s v="OTIF FAIL"/>
    <n v="1"/>
    <s v="1210_FG_CRC"/>
    <x v="3"/>
    <n v="1"/>
    <m/>
  </r>
  <r>
    <s v="0558111359-2"/>
    <s v="CST"/>
    <n v="1.41"/>
    <n v="1225"/>
    <n v="0"/>
    <n v="22.34"/>
    <n v="22.34"/>
    <s v="CRAP"/>
    <d v="2001-09-25T00:00:00"/>
    <d v="2002-02-28T00:00:00"/>
    <d v="2002-03-12T00:00:00"/>
    <d v="2002-03-12T00:00:00"/>
    <d v="2002-03-14T00:00:00"/>
    <d v="2002-03-14T00:00:00"/>
    <s v="OTIF FAIL"/>
    <n v="2"/>
    <s v="1210_FG_CRC"/>
    <x v="3"/>
    <n v="1"/>
    <m/>
  </r>
  <r>
    <s v="0569023217-6"/>
    <s v="HRC"/>
    <n v="1.1499999999999999"/>
    <n v="1250"/>
    <n v="0"/>
    <n v="50"/>
    <n v="50"/>
    <s v="CRAP"/>
    <d v="2001-09-28T00:00:00"/>
    <d v="2002-02-27T00:00:00"/>
    <d v="2002-03-01T00:00:00"/>
    <d v="2002-03-01T00:00:00"/>
    <d v="2002-03-07T00:00:00"/>
    <d v="2002-03-07T00:00:00"/>
    <s v="OTIF FAIL"/>
    <n v="6"/>
    <s v="1210_FG_CRC"/>
    <x v="1"/>
    <n v="1"/>
    <m/>
  </r>
  <r>
    <s v="0558111208-1"/>
    <s v="HRC"/>
    <n v="0.95"/>
    <n v="1225"/>
    <n v="0"/>
    <n v="60"/>
    <n v="60"/>
    <s v="CRAP"/>
    <d v="2001-09-25T00:00:00"/>
    <d v="2002-02-28T00:00:00"/>
    <d v="2002-03-16T00:00:00"/>
    <d v="2002-03-16T00:00:00"/>
    <d v="2002-03-16T00:00:00"/>
    <d v="2002-03-16T00:00:00"/>
    <s v="OTIF FAIL"/>
    <n v="1"/>
    <s v="1210_FG_CRC"/>
    <x v="3"/>
    <n v="1"/>
    <m/>
  </r>
  <r>
    <s v="0568012768-6"/>
    <s v="CST"/>
    <n v="0.7"/>
    <n v="1250"/>
    <n v="0"/>
    <n v="20"/>
    <n v="20"/>
    <s v="CRAP"/>
    <d v="2001-08-15T00:00:00"/>
    <d v="2002-02-27T00:00:00"/>
    <d v="2002-03-10T00:00:00"/>
    <d v="2002-03-10T00:00:00"/>
    <d v="2002-03-15T00:00:00"/>
    <d v="2002-03-15T00:00:00"/>
    <s v="OTIF FAIL"/>
    <n v="6"/>
    <s v="1210_FG_CRC"/>
    <x v="3"/>
    <n v="1"/>
    <m/>
  </r>
  <r>
    <s v="0568012226-2"/>
    <s v="CST"/>
    <n v="0.61"/>
    <n v="1000.125"/>
    <n v="0"/>
    <n v="18.14"/>
    <n v="18.14"/>
    <s v="CRAP"/>
    <d v="2001-09-25T00:00:00"/>
    <d v="2002-03-10T00:00:00"/>
    <d v="2002-04-09T00:00:00"/>
    <d v="2002-04-09T00:00:00"/>
    <d v="2002-03-16T00:00:00"/>
    <d v="2002-03-16T00:00:00"/>
    <s v="OTIF FAIL"/>
    <n v="2"/>
    <s v="1210_FG_CRC"/>
    <x v="3"/>
    <n v="1"/>
    <m/>
  </r>
  <r>
    <s v="0568012768-4"/>
    <s v="HRC"/>
    <n v="0.5"/>
    <n v="1250"/>
    <n v="0"/>
    <n v="20"/>
    <n v="20"/>
    <s v="CRAP"/>
    <d v="2001-08-15T00:00:00"/>
    <d v="2002-02-27T00:00:00"/>
    <d v="2002-03-02T00:00:00"/>
    <d v="2002-03-02T00:00:00"/>
    <d v="2002-03-08T00:00:00"/>
    <d v="2002-03-08T00:00:00"/>
    <s v="OTIF FAIL"/>
    <n v="4"/>
    <s v="1210_FG_CRC"/>
    <x v="1"/>
    <n v="1"/>
    <m/>
  </r>
  <r>
    <s v="0568012768-5"/>
    <s v="HRC"/>
    <n v="0.6"/>
    <n v="1250"/>
    <n v="0"/>
    <n v="20"/>
    <n v="20"/>
    <s v="CRAP"/>
    <d v="2001-08-15T00:00:00"/>
    <d v="2002-02-27T00:00:00"/>
    <d v="2002-03-05T00:00:00"/>
    <d v="2002-03-05T00:00:00"/>
    <d v="2002-03-10T00:00:00"/>
    <d v="2002-03-10T00:00:00"/>
    <s v="OTIF FAIL"/>
    <n v="5"/>
    <s v="1210_FG_CRC"/>
    <x v="3"/>
    <n v="1"/>
    <m/>
  </r>
  <r>
    <s v="0558116284-1"/>
    <s v="HRC"/>
    <n v="0.8"/>
    <n v="485"/>
    <n v="0"/>
    <n v="16.231999999999999"/>
    <n v="16.231999999999999"/>
    <s v="CRAP"/>
    <d v="2001-10-25T00:00:00"/>
    <d v="2002-03-16T00:00:00"/>
    <d v="2002-04-21T00:00:00"/>
    <d v="2002-04-21T00:00:00"/>
    <d v="2002-03-30T00:00:00"/>
    <d v="2002-03-30T00:00:00"/>
    <s v="OTIF FAIL"/>
    <n v="1"/>
    <s v="1210_FG_CRC"/>
    <x v="9"/>
    <n v="1"/>
    <m/>
  </r>
  <r>
    <s v="0558104238-3"/>
    <s v="HRC"/>
    <n v="0.5"/>
    <n v="1250"/>
    <n v="0"/>
    <n v="3"/>
    <n v="3"/>
    <s v="CRAP"/>
    <d v="2001-08-19T00:00:00"/>
    <d v="2002-02-25T00:00:00"/>
    <d v="2002-04-05T00:00:00"/>
    <d v="2002-04-05T00:00:00"/>
    <d v="2002-04-05T00:00:00"/>
    <d v="2002-04-05T00:00:00"/>
    <s v="OTIF FAIL"/>
    <n v="3"/>
    <s v="1210_FG_CRC"/>
    <x v="6"/>
    <n v="1"/>
    <m/>
  </r>
  <r>
    <s v="0558110657-2"/>
    <s v="CST"/>
    <n v="0.5"/>
    <n v="350"/>
    <n v="0"/>
    <n v="20"/>
    <n v="8.5489999999999995"/>
    <s v="CRAP"/>
    <d v="2001-07-13T00:00:00"/>
    <d v="2002-03-10T00:00:00"/>
    <d v="2002-02-27T00:00:00"/>
    <d v="2002-03-10T00:00:00"/>
    <d v="2001-12-30T00:00:00"/>
    <d v="2002-01-30T00:00:00"/>
    <s v="OTIF PASS"/>
    <n v="2"/>
    <s v="1210_FG_CRC"/>
    <x v="10"/>
    <n v="0"/>
    <m/>
  </r>
  <r>
    <s v="0568012688-2"/>
    <s v="CST"/>
    <n v="0.6"/>
    <n v="1219"/>
    <n v="0"/>
    <n v="20"/>
    <n v="20"/>
    <s v="CRAP"/>
    <d v="2001-08-09T00:00:00"/>
    <d v="2002-02-27T00:00:00"/>
    <d v="2002-03-23T00:00:00"/>
    <d v="2002-03-23T00:00:00"/>
    <d v="2002-03-22T00:00:00"/>
    <d v="2002-03-22T00:00:00"/>
    <s v="OTIF FAIL"/>
    <n v="2"/>
    <s v="1210_FG_CRC"/>
    <x v="0"/>
    <n v="1"/>
    <m/>
  </r>
  <r>
    <s v="0558116016-1"/>
    <s v="CST"/>
    <n v="0.6"/>
    <n v="1250"/>
    <n v="0"/>
    <n v="3"/>
    <n v="3"/>
    <s v="CRAP"/>
    <d v="2001-08-31T00:00:00"/>
    <d v="2002-03-08T00:00:00"/>
    <d v="2002-04-29T00:00:00"/>
    <d v="2002-04-29T00:00:00"/>
    <d v="2002-04-22T00:00:00"/>
    <d v="2002-04-22T00:00:00"/>
    <s v="OTIF FAIL"/>
    <n v="1"/>
    <s v="1210_FG_CRC"/>
    <x v="2"/>
    <n v="1"/>
    <m/>
  </r>
  <r>
    <s v="0558114328-1"/>
    <s v="CRC"/>
    <n v="1.5"/>
    <n v="1000"/>
    <n v="0"/>
    <n v="3"/>
    <n v="3"/>
    <s v="CRAP"/>
    <d v="2001-08-17T00:00:00"/>
    <d v="2002-03-07T00:00:00"/>
    <d v="2002-04-08T00:00:00"/>
    <d v="2002-04-08T00:00:00"/>
    <d v="2002-04-08T00:00:00"/>
    <d v="2002-04-08T00:00:00"/>
    <s v="OTIF FAIL"/>
    <n v="1"/>
    <s v="1210_FG_CRC"/>
    <x v="7"/>
    <n v="1"/>
    <m/>
  </r>
  <r>
    <s v="0558108365-1"/>
    <s v="CST"/>
    <n v="0.7"/>
    <n v="1250"/>
    <n v="0"/>
    <n v="10"/>
    <n v="10"/>
    <s v="CRAP"/>
    <d v="2001-09-25T00:00:00"/>
    <d v="2002-02-27T00:00:00"/>
    <s v="-"/>
    <s v="-"/>
    <d v="2002-03-29T00:00:00"/>
    <d v="2002-03-29T00:00:00"/>
    <s v="OTIF FAIL"/>
    <n v="1"/>
    <s v="1210_FG_CRC"/>
    <x v="9"/>
    <n v="1"/>
    <m/>
  </r>
  <r>
    <s v="0558113511-1"/>
    <s v="CST"/>
    <n v="0.5"/>
    <n v="311.5"/>
    <n v="0"/>
    <n v="35"/>
    <n v="35"/>
    <s v="CRAP"/>
    <d v="2001-08-07T00:00:00"/>
    <d v="2002-03-01T00:00:00"/>
    <d v="2002-03-26T00:00:00"/>
    <d v="2002-03-26T00:00:00"/>
    <d v="2002-01-30T00:00:00"/>
    <d v="2002-01-30T00:00:00"/>
    <s v="OTIF FAIL"/>
    <n v="1"/>
    <s v="1210_FG_CRC"/>
    <x v="10"/>
    <n v="1"/>
    <m/>
  </r>
  <r>
    <s v="0558114325-2"/>
    <s v="CST"/>
    <n v="0.7"/>
    <n v="1250"/>
    <n v="0"/>
    <n v="6"/>
    <n v="6"/>
    <s v="CRAP"/>
    <d v="2001-08-21T00:00:00"/>
    <d v="2002-03-07T00:00:00"/>
    <d v="2002-04-29T00:00:00"/>
    <d v="2002-04-29T00:00:00"/>
    <d v="2002-04-22T00:00:00"/>
    <d v="2002-04-22T00:00:00"/>
    <s v="OTIF FAIL"/>
    <n v="2"/>
    <s v="1210_FG_CRC"/>
    <x v="2"/>
    <n v="1"/>
    <m/>
  </r>
  <r>
    <s v="0558108619-2"/>
    <s v="HRC"/>
    <n v="3"/>
    <n v="1250"/>
    <n v="0"/>
    <n v="6"/>
    <n v="6"/>
    <s v="CRAP"/>
    <d v="2001-09-25T00:00:00"/>
    <d v="2002-02-25T00:00:00"/>
    <d v="2002-02-21T00:00:00"/>
    <d v="2002-02-25T00:00:00"/>
    <d v="2002-01-08T00:00:00"/>
    <d v="2002-01-28T00:00:00"/>
    <s v="OTIF PASS"/>
    <n v="2"/>
    <s v="1210_FG_CRC"/>
    <x v="10"/>
    <n v="1"/>
    <m/>
  </r>
  <r>
    <s v="0558108707-2"/>
    <s v="HRC"/>
    <n v="3"/>
    <n v="1250"/>
    <n v="0"/>
    <n v="6"/>
    <n v="6"/>
    <s v="CRAP"/>
    <d v="2001-08-19T00:00:00"/>
    <d v="2002-02-25T00:00:00"/>
    <s v="-"/>
    <s v="-"/>
    <d v="2002-01-20T00:00:00"/>
    <d v="2002-01-28T00:00:00"/>
    <s v="OTIF FAIL"/>
    <n v="2"/>
    <s v="1210_FG_CRC"/>
    <x v="10"/>
    <n v="1"/>
    <m/>
  </r>
  <r>
    <s v="0558108717-2"/>
    <s v="HRC"/>
    <n v="3"/>
    <n v="1250"/>
    <n v="0"/>
    <n v="3"/>
    <n v="3"/>
    <s v="CRAP"/>
    <d v="2001-08-19T00:00:00"/>
    <d v="2002-02-25T00:00:00"/>
    <s v="-"/>
    <s v="-"/>
    <d v="2002-01-20T00:00:00"/>
    <d v="2002-01-28T00:00:00"/>
    <s v="OTIF FAIL"/>
    <n v="2"/>
    <s v="1210_FG_CRC"/>
    <x v="10"/>
    <n v="1"/>
    <m/>
  </r>
  <r>
    <s v="0569022901-7"/>
    <s v="CRC"/>
    <n v="0.5"/>
    <n v="585"/>
    <n v="0"/>
    <n v="10"/>
    <n v="10"/>
    <s v="CRAP"/>
    <d v="2001-08-07T00:00:00"/>
    <d v="2002-03-03T00:00:00"/>
    <d v="2002-03-26T00:00:00"/>
    <d v="2002-03-26T00:00:00"/>
    <d v="2001-11-03T00:00:00"/>
    <d v="2001-11-03T00:00:00"/>
    <s v="OTIF FAIL"/>
    <n v="7"/>
    <s v="1210_FG_CRC"/>
    <x v="11"/>
    <n v="1"/>
    <m/>
  </r>
  <r>
    <s v="0558113560-2"/>
    <s v="CRC"/>
    <n v="0.6"/>
    <n v="1250"/>
    <n v="0"/>
    <n v="20"/>
    <n v="20"/>
    <s v="CRAP"/>
    <d v="2001-08-07T00:00:00"/>
    <d v="2002-02-27T00:00:00"/>
    <d v="2002-03-19T00:00:00"/>
    <d v="2002-03-19T00:00:00"/>
    <d v="2002-03-19T00:00:00"/>
    <d v="2002-03-19T00:00:00"/>
    <s v="OTIF FAIL"/>
    <n v="2"/>
    <s v="1210_FG_CRC"/>
    <x v="0"/>
    <n v="1"/>
    <m/>
  </r>
  <r>
    <s v="0558114377-1"/>
    <s v="CST"/>
    <n v="1.2"/>
    <n v="1250"/>
    <n v="0"/>
    <n v="18"/>
    <n v="18"/>
    <s v="CRAP"/>
    <d v="2001-08-21T00:00:00"/>
    <d v="2002-02-20T00:00:00"/>
    <d v="2002-02-28T00:00:00"/>
    <d v="2002-02-28T00:00:00"/>
    <d v="2002-03-05T00:00:00"/>
    <d v="2002-03-05T00:00:00"/>
    <s v="OTIF FAIL"/>
    <n v="1"/>
    <s v="1210_FG_CRC"/>
    <x v="1"/>
    <n v="1"/>
    <m/>
  </r>
  <r>
    <s v="0558114563-6"/>
    <s v="CST"/>
    <n v="0.5"/>
    <n v="1250"/>
    <n v="0"/>
    <n v="3"/>
    <n v="3"/>
    <s v="CRAP"/>
    <d v="2001-09-25T00:00:00"/>
    <d v="2002-03-07T00:00:00"/>
    <d v="2002-04-05T00:00:00"/>
    <d v="2002-04-05T00:00:00"/>
    <d v="2002-04-05T00:00:00"/>
    <d v="2002-04-05T00:00:00"/>
    <s v="OTIF FAIL"/>
    <n v="6"/>
    <s v="1210_FG_CRC"/>
    <x v="6"/>
    <n v="1"/>
    <m/>
  </r>
  <r>
    <s v="0558107436-1"/>
    <s v="CRC"/>
    <n v="3"/>
    <n v="1250"/>
    <n v="0"/>
    <n v="3"/>
    <n v="3"/>
    <s v="CRAP"/>
    <d v="2001-09-25T00:00:00"/>
    <d v="2002-02-25T00:00:00"/>
    <d v="2002-02-21T00:00:00"/>
    <d v="2002-02-25T00:00:00"/>
    <d v="2002-01-17T00:00:00"/>
    <d v="2002-01-28T00:00:00"/>
    <s v="OTIF PASS"/>
    <n v="1"/>
    <s v="1210_FG_CRC"/>
    <x v="10"/>
    <n v="1"/>
    <m/>
  </r>
  <r>
    <s v="0569023158-2"/>
    <s v="HRC"/>
    <n v="0.4"/>
    <n v="640"/>
    <n v="0"/>
    <n v="50"/>
    <n v="50"/>
    <s v="CRAP"/>
    <d v="2001-08-29T00:00:00"/>
    <d v="2002-02-23T00:00:00"/>
    <d v="2002-02-24T00:00:00"/>
    <d v="2002-02-24T00:00:00"/>
    <d v="2001-11-22T00:00:00"/>
    <d v="2001-11-22T00:00:00"/>
    <s v="OTIF FAIL"/>
    <n v="2"/>
    <s v="1210_FG_CRC"/>
    <x v="12"/>
    <n v="1"/>
    <m/>
  </r>
  <r>
    <s v="0558114303-2"/>
    <s v="CST"/>
    <n v="1.2"/>
    <n v="1000"/>
    <n v="0"/>
    <n v="3"/>
    <n v="3"/>
    <s v="CRAP"/>
    <d v="2001-08-17T00:00:00"/>
    <d v="2002-03-07T00:00:00"/>
    <d v="2002-03-30T00:00:00"/>
    <d v="2002-03-30T00:00:00"/>
    <d v="2002-03-30T00:00:00"/>
    <d v="2002-04-06T00:00:00"/>
    <s v="OTIF FAIL"/>
    <n v="2"/>
    <s v="1210_FG_CRC"/>
    <x v="6"/>
    <n v="1"/>
    <m/>
  </r>
  <r>
    <s v="0558114303-1"/>
    <s v="CST"/>
    <n v="1"/>
    <n v="1000"/>
    <n v="0"/>
    <n v="3"/>
    <n v="3"/>
    <s v="CRAP"/>
    <d v="2001-08-17T00:00:00"/>
    <d v="2002-03-07T00:00:00"/>
    <d v="2002-04-01T00:00:00"/>
    <d v="2002-04-01T00:00:00"/>
    <d v="2002-03-30T00:00:00"/>
    <d v="2002-03-30T00:00:00"/>
    <s v="OTIF FAIL"/>
    <n v="1"/>
    <s v="1210_FG_CRC"/>
    <x v="9"/>
    <n v="1"/>
    <m/>
  </r>
  <r>
    <s v="0569023262-2"/>
    <s v="JBS"/>
    <n v="0.5"/>
    <n v="1250"/>
    <n v="0"/>
    <n v="50"/>
    <n v="45.134"/>
    <s v="CRAP"/>
    <d v="2002-01-14T00:00:00"/>
    <d v="2002-02-27T00:00:00"/>
    <d v="2002-04-01T00:00:00"/>
    <d v="2002-04-01T00:00:00"/>
    <d v="2002-04-01T00:00:00"/>
    <d v="2002-04-05T00:00:00"/>
    <s v="OTIF FAIL"/>
    <n v="2"/>
    <s v="1210_FG_CRC"/>
    <x v="6"/>
    <n v="0"/>
    <m/>
  </r>
  <r>
    <s v="0558114287-1"/>
    <s v="HRC"/>
    <n v="0.5"/>
    <n v="1250"/>
    <n v="0"/>
    <n v="6"/>
    <n v="6"/>
    <s v="CRAP"/>
    <d v="2001-08-17T00:00:00"/>
    <d v="2002-03-07T00:00:00"/>
    <d v="2002-04-07T00:00:00"/>
    <d v="2002-04-07T00:00:00"/>
    <d v="2002-03-12T00:00:00"/>
    <d v="2002-03-12T00:00:00"/>
    <s v="OTIF FAIL"/>
    <n v="1"/>
    <s v="1210_FG_CRC"/>
    <x v="3"/>
    <n v="1"/>
    <m/>
  </r>
  <r>
    <s v="0558115880-2"/>
    <s v="CST"/>
    <n v="1"/>
    <n v="1250"/>
    <n v="0"/>
    <n v="24"/>
    <n v="24"/>
    <s v="CRAP"/>
    <d v="2001-09-25T00:00:00"/>
    <d v="2002-02-27T00:00:00"/>
    <d v="2002-03-12T00:00:00"/>
    <d v="2002-03-12T00:00:00"/>
    <d v="2002-03-19T00:00:00"/>
    <d v="2002-03-19T00:00:00"/>
    <s v="OTIF FAIL"/>
    <n v="2"/>
    <s v="1210_FG_CRC"/>
    <x v="0"/>
    <n v="1"/>
    <m/>
  </r>
  <r>
    <s v="0558115970-2"/>
    <s v="CST"/>
    <n v="2"/>
    <n v="1250"/>
    <n v="0"/>
    <n v="3"/>
    <n v="3"/>
    <s v="CRAP"/>
    <d v="2001-09-25T00:00:00"/>
    <d v="2002-03-08T00:00:00"/>
    <d v="2002-04-13T00:00:00"/>
    <d v="2002-04-13T00:00:00"/>
    <d v="2002-04-13T00:00:00"/>
    <d v="2002-04-13T00:00:00"/>
    <s v="OTIF FAIL"/>
    <n v="2"/>
    <s v="1210_FG_CRC"/>
    <x v="7"/>
    <n v="1"/>
    <m/>
  </r>
  <r>
    <s v="0568012693-1"/>
    <s v="HRC"/>
    <n v="0.63500000000000001"/>
    <n v="198.12"/>
    <n v="0"/>
    <n v="54.43"/>
    <n v="48.33"/>
    <s v="CRAP"/>
    <d v="2001-08-03T00:00:00"/>
    <d v="2002-02-27T00:00:00"/>
    <d v="2002-03-15T00:00:00"/>
    <d v="2002-03-15T00:00:00"/>
    <d v="2002-03-15T00:00:00"/>
    <d v="2002-03-15T00:00:00"/>
    <s v="OTIF FAIL"/>
    <n v="1"/>
    <s v="1210_FG_CRC"/>
    <x v="3"/>
    <n v="0"/>
    <m/>
  </r>
  <r>
    <s v="0558114849-12"/>
    <s v="HRC"/>
    <n v="1"/>
    <n v="1250"/>
    <n v="0"/>
    <n v="10"/>
    <n v="10"/>
    <s v="CRAP"/>
    <d v="2001-08-25T00:00:00"/>
    <d v="2002-02-28T00:00:00"/>
    <d v="2002-02-27T00:00:00"/>
    <d v="2002-02-28T00:00:00"/>
    <d v="2002-01-10T00:00:00"/>
    <d v="2002-03-11T00:00:00"/>
    <s v="OTIF PASS"/>
    <n v="12"/>
    <s v="1210_FG_CRC"/>
    <x v="3"/>
    <n v="1"/>
    <m/>
  </r>
  <r>
    <s v="0558114270-1"/>
    <s v="HRC"/>
    <n v="1.5"/>
    <n v="1000"/>
    <n v="0"/>
    <n v="3"/>
    <n v="3"/>
    <s v="CRAP"/>
    <d v="2001-08-17T00:00:00"/>
    <d v="2002-03-07T00:00:00"/>
    <d v="2002-04-08T00:00:00"/>
    <d v="2002-04-08T00:00:00"/>
    <d v="2002-04-08T00:00:00"/>
    <d v="2002-04-08T00:00:00"/>
    <s v="OTIF FAIL"/>
    <n v="1"/>
    <s v="1210_FG_CRC"/>
    <x v="7"/>
    <n v="1"/>
    <m/>
  </r>
  <r>
    <s v="0569022713-1"/>
    <s v="CST"/>
    <n v="0.5"/>
    <n v="1120"/>
    <n v="0"/>
    <n v="18"/>
    <n v="9.2799999999999994"/>
    <s v="CRAP"/>
    <d v="2001-09-25T00:00:00"/>
    <d v="2002-02-26T00:00:00"/>
    <d v="2002-03-18T00:00:00"/>
    <d v="2002-03-18T00:00:00"/>
    <d v="2002-03-18T00:00:00"/>
    <d v="2002-03-18T00:00:00"/>
    <s v="OTIF FAIL"/>
    <n v="1"/>
    <s v="1210_FG_CRC"/>
    <x v="0"/>
    <n v="0"/>
    <m/>
  </r>
  <r>
    <s v="0569023206-2"/>
    <s v="CST"/>
    <n v="1.2"/>
    <n v="1250"/>
    <n v="0"/>
    <n v="30"/>
    <n v="30"/>
    <s v="CRAP"/>
    <d v="2001-09-25T00:00:00"/>
    <d v="2002-02-25T00:00:00"/>
    <d v="2002-03-01T00:00:00"/>
    <d v="2002-03-01T00:00:00"/>
    <d v="2002-03-08T00:00:00"/>
    <d v="2002-03-23T00:00:00"/>
    <s v="OTIF FAIL"/>
    <n v="2"/>
    <s v="1210_FG_CRC"/>
    <x v="0"/>
    <n v="1"/>
    <m/>
  </r>
  <r>
    <s v="0569023206-1"/>
    <s v="CST"/>
    <n v="1"/>
    <n v="1250"/>
    <n v="0"/>
    <n v="30"/>
    <n v="30"/>
    <s v="CRAP"/>
    <d v="2001-09-25T00:00:00"/>
    <d v="2002-02-25T00:00:00"/>
    <d v="2002-03-02T00:00:00"/>
    <d v="2002-03-02T00:00:00"/>
    <d v="2002-03-08T00:00:00"/>
    <d v="2002-03-16T00:00:00"/>
    <s v="OTIF FAIL"/>
    <n v="1"/>
    <s v="1210_FG_CRC"/>
    <x v="3"/>
    <n v="1"/>
    <m/>
  </r>
  <r>
    <s v="0558114857-1"/>
    <s v="JBS"/>
    <n v="0.7"/>
    <n v="1250"/>
    <n v="0"/>
    <n v="6"/>
    <n v="6"/>
    <s v="CRAP"/>
    <d v="2001-08-25T00:00:00"/>
    <d v="2002-03-07T00:00:00"/>
    <d v="2002-04-29T00:00:00"/>
    <d v="2002-04-29T00:00:00"/>
    <d v="2002-04-22T00:00:00"/>
    <d v="2002-04-22T00:00:00"/>
    <s v="OTIF FAIL"/>
    <n v="1"/>
    <s v="1210_FG_CRC"/>
    <x v="2"/>
    <n v="1"/>
    <m/>
  </r>
  <r>
    <s v="0558116552-5"/>
    <s v="CST"/>
    <n v="0.6"/>
    <n v="76"/>
    <n v="0"/>
    <n v="6"/>
    <n v="6"/>
    <s v="CRAP"/>
    <d v="2002-02-17T00:00:00"/>
    <d v="2002-02-27T00:00:00"/>
    <s v="-"/>
    <s v="-"/>
    <d v="2002-03-22T00:00:00"/>
    <d v="2002-05-15T00:00:00"/>
    <s v="OTIF FAIL"/>
    <n v="5"/>
    <s v="1210_FG_CRC"/>
    <x v="4"/>
    <n v="1"/>
    <m/>
  </r>
  <r>
    <s v="0569023119-4"/>
    <s v="CBL"/>
    <n v="0.9"/>
    <n v="1250"/>
    <n v="0"/>
    <n v="20"/>
    <n v="20"/>
    <s v="CRAP"/>
    <d v="2001-08-29T00:00:00"/>
    <d v="2002-02-25T00:00:00"/>
    <d v="2002-02-25T00:00:00"/>
    <d v="2002-02-25T00:00:00"/>
    <d v="2002-03-04T00:00:00"/>
    <d v="2002-03-23T00:00:00"/>
    <s v="OTIF PASS"/>
    <n v="4"/>
    <s v="1210_FG_CRC"/>
    <x v="0"/>
    <n v="1"/>
    <m/>
  </r>
  <r>
    <s v="0569022833-2"/>
    <s v="CRC"/>
    <n v="0.8"/>
    <n v="1250"/>
    <n v="0"/>
    <n v="9"/>
    <n v="9"/>
    <s v="CRAP"/>
    <d v="2001-08-05T00:00:00"/>
    <d v="2002-02-26T00:00:00"/>
    <d v="2002-02-27T00:00:00"/>
    <d v="2002-02-27T00:00:00"/>
    <d v="2002-01-02T00:00:00"/>
    <d v="2002-03-14T00:00:00"/>
    <s v="OTIF FAIL"/>
    <n v="2"/>
    <s v="1210_FG_CRC"/>
    <x v="3"/>
    <n v="1"/>
    <m/>
  </r>
  <r>
    <s v="0558111333-3"/>
    <s v="CST"/>
    <n v="0.6"/>
    <n v="1250"/>
    <n v="0"/>
    <n v="40"/>
    <n v="40"/>
    <s v="CRAP"/>
    <d v="2001-09-25T00:00:00"/>
    <d v="2002-03-01T00:00:00"/>
    <d v="2002-02-26T00:00:00"/>
    <d v="2002-03-01T00:00:00"/>
    <d v="2002-01-20T00:00:00"/>
    <d v="2002-01-20T00:00:00"/>
    <s v="OTIF PASS"/>
    <n v="3"/>
    <s v="1210_FG_CRC"/>
    <x v="8"/>
    <n v="1"/>
    <m/>
  </r>
  <r>
    <s v="0558115613-2"/>
    <s v="CRC"/>
    <n v="2"/>
    <n v="1250"/>
    <n v="0"/>
    <n v="9"/>
    <n v="9"/>
    <s v="CRAP"/>
    <d v="2001-09-25T00:00:00"/>
    <d v="2002-02-26T00:00:00"/>
    <d v="2002-04-06T00:00:00"/>
    <d v="2002-04-06T00:00:00"/>
    <d v="2002-04-06T00:00:00"/>
    <d v="2002-04-06T00:00:00"/>
    <s v="OTIF FAIL"/>
    <n v="2"/>
    <s v="1210_FG_CRC"/>
    <x v="6"/>
    <n v="1"/>
    <m/>
  </r>
  <r>
    <s v="0569022008-1"/>
    <s v="CST"/>
    <n v="0.5"/>
    <n v="1250"/>
    <n v="0"/>
    <n v="20"/>
    <n v="20"/>
    <s v="CRAP"/>
    <d v="2001-09-25T00:00:00"/>
    <d v="2002-02-28T00:00:00"/>
    <d v="2002-03-20T00:00:00"/>
    <d v="2002-03-20T00:00:00"/>
    <d v="2002-03-19T00:00:00"/>
    <d v="2002-03-19T00:00:00"/>
    <s v="OTIF FAIL"/>
    <n v="1"/>
    <s v="1210_FG_CRC"/>
    <x v="0"/>
    <n v="1"/>
    <m/>
  </r>
  <r>
    <s v="0558115610-1"/>
    <s v="CST"/>
    <n v="1"/>
    <n v="1250"/>
    <n v="0"/>
    <n v="15"/>
    <n v="15"/>
    <s v="CRAP"/>
    <d v="2001-09-25T00:00:00"/>
    <d v="2002-02-26T00:00:00"/>
    <d v="2002-03-05T00:00:00"/>
    <d v="2002-03-05T00:00:00"/>
    <d v="2002-03-08T00:00:00"/>
    <d v="2002-03-16T00:00:00"/>
    <s v="OTIF FAIL"/>
    <n v="1"/>
    <s v="1210_FG_CRC"/>
    <x v="3"/>
    <n v="1"/>
    <m/>
  </r>
  <r>
    <s v="0569022583-1"/>
    <s v="CST"/>
    <n v="0.6"/>
    <n v="1250"/>
    <n v="0"/>
    <n v="15"/>
    <n v="12.827999999999999"/>
    <s v="CRAP"/>
    <d v="2001-09-25T00:00:00"/>
    <d v="2002-02-26T00:00:00"/>
    <d v="2002-03-25T00:00:00"/>
    <d v="2002-04-01T00:00:00"/>
    <d v="2002-04-01T00:00:00"/>
    <d v="2002-04-01T00:00:00"/>
    <s v="OTIF FAIL"/>
    <n v="1"/>
    <s v="1210_FG_CRC"/>
    <x v="6"/>
    <n v="0"/>
    <m/>
  </r>
  <r>
    <s v="0569023119-1"/>
    <s v="CRC"/>
    <n v="0.6"/>
    <n v="1250"/>
    <n v="0"/>
    <n v="40"/>
    <n v="40"/>
    <s v="CRAP"/>
    <d v="2001-08-29T00:00:00"/>
    <d v="2002-02-25T00:00:00"/>
    <d v="2002-03-17T00:00:00"/>
    <d v="2002-03-17T00:00:00"/>
    <d v="2002-03-17T00:00:00"/>
    <d v="2002-04-01T00:00:00"/>
    <s v="OTIF FAIL"/>
    <n v="1"/>
    <s v="1210_FG_CRC"/>
    <x v="6"/>
    <n v="1"/>
    <m/>
  </r>
  <r>
    <s v="0558114850-7"/>
    <s v="HRC"/>
    <n v="1"/>
    <n v="1250"/>
    <n v="0"/>
    <n v="10"/>
    <n v="10"/>
    <s v="CRAP"/>
    <d v="2001-09-25T00:00:00"/>
    <d v="2002-02-28T00:00:00"/>
    <d v="2002-02-27T00:00:00"/>
    <d v="2002-02-28T00:00:00"/>
    <d v="2001-11-25T00:00:00"/>
    <d v="2002-03-11T00:00:00"/>
    <s v="OTIF PASS"/>
    <n v="7"/>
    <s v="1210_FG_CRC"/>
    <x v="3"/>
    <n v="1"/>
    <m/>
  </r>
  <r>
    <s v="0558115610-2"/>
    <s v="CST"/>
    <n v="1.2"/>
    <n v="1250"/>
    <n v="0"/>
    <n v="15"/>
    <n v="15"/>
    <s v="CRAP"/>
    <d v="2001-09-25T00:00:00"/>
    <d v="2002-02-26T00:00:00"/>
    <d v="2002-03-16T00:00:00"/>
    <d v="2002-03-16T00:00:00"/>
    <d v="2002-03-23T00:00:00"/>
    <d v="2002-03-23T00:00:00"/>
    <s v="OTIF FAIL"/>
    <n v="2"/>
    <s v="1210_FG_CRC"/>
    <x v="0"/>
    <n v="1"/>
    <m/>
  </r>
  <r>
    <s v="0558114849-10"/>
    <s v="HRC"/>
    <n v="0.5"/>
    <n v="1130"/>
    <n v="0"/>
    <n v="33"/>
    <n v="33"/>
    <s v="CRAP"/>
    <d v="2001-08-25T00:00:00"/>
    <d v="2002-02-28T00:00:00"/>
    <d v="2002-03-23T00:00:00"/>
    <d v="2002-03-23T00:00:00"/>
    <d v="2002-03-23T00:00:00"/>
    <d v="2002-03-23T00:00:00"/>
    <s v="OTIF FAIL"/>
    <n v="10"/>
    <s v="1210_FG_CRC"/>
    <x v="0"/>
    <n v="1"/>
    <m/>
  </r>
  <r>
    <s v="0558110131-1"/>
    <s v="CRC"/>
    <n v="0.6"/>
    <n v="1250"/>
    <n v="0"/>
    <n v="18"/>
    <n v="4.6779999999999999"/>
    <s v="CRAP"/>
    <d v="2001-09-25T00:00:00"/>
    <d v="2002-02-26T00:00:00"/>
    <d v="2002-03-29T00:00:00"/>
    <d v="2002-03-29T00:00:00"/>
    <d v="2002-03-29T00:00:00"/>
    <d v="2002-03-29T00:00:00"/>
    <s v="OTIF FAIL"/>
    <n v="1"/>
    <s v="1210_FG_CRC"/>
    <x v="9"/>
    <n v="0"/>
    <m/>
  </r>
  <r>
    <s v="0558114303-3"/>
    <s v="CST"/>
    <n v="1.5"/>
    <n v="1000"/>
    <n v="0"/>
    <n v="3"/>
    <n v="3"/>
    <s v="CRAP"/>
    <d v="2001-08-17T00:00:00"/>
    <d v="2002-03-07T00:00:00"/>
    <d v="2002-04-08T00:00:00"/>
    <d v="2002-04-08T00:00:00"/>
    <d v="2002-04-08T00:00:00"/>
    <d v="2002-04-08T00:00:00"/>
    <s v="OTIF FAIL"/>
    <n v="3"/>
    <s v="1210_FG_CRC"/>
    <x v="7"/>
    <n v="1"/>
    <m/>
  </r>
  <r>
    <s v="0569022380-1"/>
    <s v="HRC"/>
    <n v="0.5"/>
    <n v="1250"/>
    <n v="0"/>
    <n v="118"/>
    <n v="100.40600000000001"/>
    <s v="CRAP"/>
    <d v="2001-09-25T00:00:00"/>
    <d v="2002-03-10T00:00:00"/>
    <s v="-"/>
    <s v="-"/>
    <d v="2002-03-28T00:00:00"/>
    <d v="2002-04-22T00:00:00"/>
    <s v="OTIF FAIL"/>
    <n v="1"/>
    <s v="1210_FG_CRC"/>
    <x v="2"/>
    <n v="0"/>
    <m/>
  </r>
  <r>
    <s v="0558114850-5"/>
    <s v="HRC"/>
    <n v="0.5"/>
    <n v="1130"/>
    <n v="0"/>
    <n v="33"/>
    <n v="33"/>
    <s v="CRAP"/>
    <d v="2001-09-25T00:00:00"/>
    <d v="2002-02-28T00:00:00"/>
    <d v="2002-03-23T00:00:00"/>
    <d v="2002-03-23T00:00:00"/>
    <d v="2002-03-23T00:00:00"/>
    <d v="2002-03-23T00:00:00"/>
    <s v="OTIF FAIL"/>
    <n v="5"/>
    <s v="1210_FG_CRC"/>
    <x v="0"/>
    <n v="1"/>
    <m/>
  </r>
  <r>
    <s v="0558116150-4"/>
    <s v="HRC"/>
    <n v="0.6"/>
    <n v="1250"/>
    <n v="0"/>
    <n v="6"/>
    <n v="6"/>
    <s v="CRAP"/>
    <d v="2001-09-25T00:00:00"/>
    <d v="2002-03-08T00:00:00"/>
    <s v="-"/>
    <s v="-"/>
    <d v="2002-01-17T00:00:00"/>
    <d v="2002-01-28T00:00:00"/>
    <s v="OTIF FAIL"/>
    <n v="4"/>
    <s v="1210_FG_CRC"/>
    <x v="10"/>
    <n v="1"/>
    <m/>
  </r>
  <r>
    <s v="0558113737-1"/>
    <s v="HRC"/>
    <n v="0.5"/>
    <n v="1250"/>
    <n v="0"/>
    <n v="22"/>
    <n v="22"/>
    <s v="CRAP"/>
    <d v="2001-08-11T00:00:00"/>
    <d v="2002-03-02T00:00:00"/>
    <d v="2002-03-16T00:00:00"/>
    <d v="2002-03-16T00:00:00"/>
    <d v="2002-03-23T00:00:00"/>
    <d v="2002-03-23T00:00:00"/>
    <s v="OTIF FAIL"/>
    <n v="1"/>
    <s v="1210_FG_CRC"/>
    <x v="0"/>
    <n v="1"/>
    <m/>
  </r>
  <r>
    <s v="0569023213-1"/>
    <s v="CST"/>
    <n v="0.8"/>
    <n v="1000"/>
    <n v="0"/>
    <n v="18"/>
    <n v="18"/>
    <s v="CRAP"/>
    <d v="2001-08-31T00:00:00"/>
    <d v="2002-02-25T00:00:00"/>
    <d v="2002-03-12T00:00:00"/>
    <d v="2002-03-12T00:00:00"/>
    <d v="2002-03-17T00:00:00"/>
    <d v="2002-03-22T00:00:00"/>
    <s v="OTIF FAIL"/>
    <n v="1"/>
    <s v="1210_FG_CRC"/>
    <x v="0"/>
    <n v="1"/>
    <m/>
  </r>
  <r>
    <s v="0558115777-3"/>
    <s v="CRC"/>
    <n v="1"/>
    <n v="1050"/>
    <n v="0"/>
    <n v="40"/>
    <n v="40"/>
    <s v="CRAP"/>
    <d v="2001-08-30T00:00:00"/>
    <d v="2002-02-26T00:00:00"/>
    <d v="2002-02-27T00:00:00"/>
    <d v="2002-02-27T00:00:00"/>
    <d v="2002-03-05T00:00:00"/>
    <d v="2002-03-05T00:00:00"/>
    <s v="OTIF FAIL"/>
    <n v="3"/>
    <s v="1210_FG_CRC"/>
    <x v="1"/>
    <n v="1"/>
    <m/>
  </r>
  <r>
    <s v="0558116139-5"/>
    <s v="CRC"/>
    <n v="1"/>
    <n v="1250"/>
    <n v="0"/>
    <n v="6"/>
    <n v="6"/>
    <s v="CRAP"/>
    <d v="2001-09-25T00:00:00"/>
    <d v="2002-03-08T00:00:00"/>
    <s v="-"/>
    <s v="-"/>
    <d v="2002-03-29T00:00:00"/>
    <d v="2002-03-29T00:00:00"/>
    <s v="OTIF FAIL"/>
    <n v="5"/>
    <s v="1210_FG_CRC"/>
    <x v="9"/>
    <n v="1"/>
    <m/>
  </r>
  <r>
    <s v="0569023010-1"/>
    <s v="CST"/>
    <n v="1"/>
    <n v="1250"/>
    <n v="0"/>
    <n v="15"/>
    <n v="15"/>
    <s v="CRAP"/>
    <d v="2001-08-20T00:00:00"/>
    <d v="2002-02-25T00:00:00"/>
    <d v="2002-03-16T00:00:00"/>
    <d v="2002-03-16T00:00:00"/>
    <d v="2002-03-16T00:00:00"/>
    <d v="2002-03-16T00:00:00"/>
    <s v="OTIF FAIL"/>
    <n v="1"/>
    <s v="1210_FG_CRC"/>
    <x v="3"/>
    <n v="1"/>
    <m/>
  </r>
  <r>
    <s v="0558116139-4"/>
    <s v="CST"/>
    <n v="0.5"/>
    <n v="1250"/>
    <n v="0"/>
    <n v="6"/>
    <n v="6"/>
    <s v="CRAP"/>
    <d v="2001-09-25T00:00:00"/>
    <d v="2002-03-08T00:00:00"/>
    <d v="2002-04-05T00:00:00"/>
    <d v="2002-04-05T00:00:00"/>
    <d v="2002-04-05T00:00:00"/>
    <d v="2002-04-05T00:00:00"/>
    <s v="OTIF FAIL"/>
    <n v="4"/>
    <s v="1210_FG_CRC"/>
    <x v="6"/>
    <n v="1"/>
    <m/>
  </r>
  <r>
    <s v="0558110446-9"/>
    <s v="HRC"/>
    <n v="1.2"/>
    <n v="1130"/>
    <n v="0"/>
    <n v="17"/>
    <n v="17"/>
    <s v="CRAP"/>
    <d v="2001-09-25T00:00:00"/>
    <d v="2002-02-28T00:00:00"/>
    <d v="2002-03-14T00:00:00"/>
    <d v="2002-03-14T00:00:00"/>
    <d v="2002-03-14T00:00:00"/>
    <d v="2002-03-14T00:00:00"/>
    <s v="OTIF FAIL"/>
    <n v="9"/>
    <s v="1210_FG_CRC"/>
    <x v="3"/>
    <n v="1"/>
    <m/>
  </r>
  <r>
    <s v="0569023062-1"/>
    <s v="CST"/>
    <n v="1"/>
    <n v="1250"/>
    <n v="0"/>
    <n v="6"/>
    <n v="6"/>
    <s v="CRAP"/>
    <d v="2001-08-23T00:00:00"/>
    <d v="2002-02-25T00:00:00"/>
    <d v="2002-03-16T00:00:00"/>
    <d v="2002-03-16T00:00:00"/>
    <d v="2002-03-16T00:00:00"/>
    <d v="2002-03-16T00:00:00"/>
    <s v="OTIF FAIL"/>
    <n v="1"/>
    <s v="1210_FG_CRC"/>
    <x v="3"/>
    <n v="1"/>
    <m/>
  </r>
  <r>
    <s v="0558114850-6"/>
    <s v="CST"/>
    <n v="1.2"/>
    <n v="1130"/>
    <n v="0"/>
    <n v="17"/>
    <n v="17"/>
    <s v="CRAP"/>
    <d v="2001-09-25T00:00:00"/>
    <d v="2002-02-28T00:00:00"/>
    <d v="2002-03-14T00:00:00"/>
    <d v="2002-03-14T00:00:00"/>
    <d v="2002-03-14T00:00:00"/>
    <d v="2002-03-14T00:00:00"/>
    <s v="OTIF FAIL"/>
    <n v="6"/>
    <s v="1210_FG_CRC"/>
    <x v="3"/>
    <n v="1"/>
    <m/>
  </r>
  <r>
    <s v="0558111005-1"/>
    <s v="CST"/>
    <n v="0.7"/>
    <n v="1000"/>
    <n v="0"/>
    <n v="21"/>
    <n v="10.382"/>
    <s v="CRAP"/>
    <d v="2001-09-25T00:00:00"/>
    <d v="2002-02-26T00:00:00"/>
    <d v="2002-03-12T00:00:00"/>
    <d v="2002-03-12T00:00:00"/>
    <d v="2002-03-17T00:00:00"/>
    <d v="2002-03-17T00:00:00"/>
    <s v="OTIF FAIL"/>
    <n v="1"/>
    <s v="1210_FG_CRC"/>
    <x v="0"/>
    <n v="0"/>
    <m/>
  </r>
  <r>
    <s v="0569023157-1"/>
    <s v="CRC"/>
    <n v="1.2"/>
    <n v="1250"/>
    <n v="0"/>
    <n v="20"/>
    <n v="20"/>
    <s v="CRAP"/>
    <d v="2001-08-29T00:00:00"/>
    <d v="2002-02-27T00:00:00"/>
    <d v="2002-03-09T00:00:00"/>
    <d v="2002-03-09T00:00:00"/>
    <d v="2002-03-10T00:00:00"/>
    <d v="2002-03-10T00:00:00"/>
    <s v="OTIF FAIL"/>
    <n v="1"/>
    <s v="1210_FG_CRC"/>
    <x v="3"/>
    <n v="1"/>
    <m/>
  </r>
  <r>
    <s v="0558115777-1"/>
    <s v="HRC"/>
    <n v="1.2"/>
    <n v="1050"/>
    <n v="0"/>
    <n v="100"/>
    <n v="51.3"/>
    <s v="CRAP"/>
    <d v="2001-08-30T00:00:00"/>
    <d v="2002-02-26T00:00:00"/>
    <d v="2002-03-08T00:00:00"/>
    <d v="2002-03-08T00:00:00"/>
    <d v="2002-03-08T00:00:00"/>
    <d v="2002-03-11T00:00:00"/>
    <s v="OTIF FAIL"/>
    <n v="1"/>
    <s v="1210_FG_CRC"/>
    <x v="3"/>
    <n v="0"/>
    <m/>
  </r>
  <r>
    <s v="0558108292-7"/>
    <s v="CRC"/>
    <n v="3"/>
    <n v="1250"/>
    <n v="0"/>
    <n v="3"/>
    <n v="3"/>
    <s v="CRAP"/>
    <d v="2001-09-25T00:00:00"/>
    <d v="2002-02-25T00:00:00"/>
    <d v="2002-02-21T00:00:00"/>
    <d v="2002-02-25T00:00:00"/>
    <d v="2002-01-03T00:00:00"/>
    <d v="2002-01-28T00:00:00"/>
    <s v="OTIF PASS"/>
    <n v="7"/>
    <s v="1210_FG_CRC"/>
    <x v="10"/>
    <n v="1"/>
    <m/>
  </r>
  <r>
    <s v="0558110353-1"/>
    <s v="CST"/>
    <n v="0.8"/>
    <n v="1000"/>
    <n v="0"/>
    <n v="25"/>
    <n v="15.262"/>
    <s v="CRAP"/>
    <d v="2001-08-19T00:00:00"/>
    <d v="2002-03-04T00:00:00"/>
    <d v="2002-03-19T00:00:00"/>
    <d v="2002-03-19T00:00:00"/>
    <d v="2002-03-19T00:00:00"/>
    <d v="2002-03-19T00:00:00"/>
    <s v="OTIF FAIL"/>
    <n v="1"/>
    <s v="1210_FG_CRC"/>
    <x v="0"/>
    <n v="0"/>
    <m/>
  </r>
  <r>
    <s v="0569022914-2"/>
    <s v="HRC"/>
    <n v="0.6"/>
    <n v="1000"/>
    <n v="0"/>
    <n v="9"/>
    <n v="9"/>
    <s v="CRAP"/>
    <d v="2001-08-11T00:00:00"/>
    <d v="2002-02-26T00:00:00"/>
    <d v="2002-03-29T00:00:00"/>
    <d v="2002-03-29T00:00:00"/>
    <d v="2002-03-29T00:00:00"/>
    <d v="2002-03-29T00:00:00"/>
    <s v="OTIF FAIL"/>
    <n v="2"/>
    <s v="1210_FG_CRC"/>
    <x v="9"/>
    <n v="1"/>
    <m/>
  </r>
  <r>
    <s v="0569022901-6"/>
    <s v="HRC"/>
    <n v="0.5"/>
    <n v="560"/>
    <n v="0"/>
    <n v="75"/>
    <n v="75"/>
    <s v="CRAP"/>
    <d v="2001-08-07T00:00:00"/>
    <d v="2002-03-03T00:00:00"/>
    <d v="2002-03-19T00:00:00"/>
    <d v="2002-03-19T00:00:00"/>
    <d v="2001-11-01T00:00:00"/>
    <d v="2002-01-14T00:00:00"/>
    <s v="OTIF FAIL"/>
    <n v="6"/>
    <s v="1210_FG_CRC"/>
    <x v="13"/>
    <n v="1"/>
    <m/>
  </r>
  <r>
    <s v="0569022833-3"/>
    <s v="CST"/>
    <n v="1"/>
    <n v="1250"/>
    <n v="0"/>
    <n v="48"/>
    <n v="12.353999999999999"/>
    <s v="CRAP"/>
    <d v="2001-08-03T00:00:00"/>
    <d v="2002-02-26T00:00:00"/>
    <d v="2002-03-16T00:00:00"/>
    <d v="2002-03-16T00:00:00"/>
    <d v="2002-03-16T00:00:00"/>
    <d v="2002-03-16T00:00:00"/>
    <s v="OTIF FAIL"/>
    <n v="3"/>
    <s v="1210_FG_CRC"/>
    <x v="3"/>
    <n v="0"/>
    <m/>
  </r>
  <r>
    <s v="0568012787-2"/>
    <s v="CST"/>
    <n v="0.8"/>
    <n v="1219"/>
    <n v="0"/>
    <n v="19"/>
    <n v="19"/>
    <s v="CRAP"/>
    <d v="2001-08-14T00:00:00"/>
    <d v="2002-02-27T00:00:00"/>
    <d v="2002-03-14T00:00:00"/>
    <d v="2002-03-14T00:00:00"/>
    <d v="2002-03-14T00:00:00"/>
    <d v="2002-03-14T00:00:00"/>
    <s v="OTIF FAIL"/>
    <n v="2"/>
    <s v="1210_FG_CRC"/>
    <x v="3"/>
    <n v="1"/>
    <m/>
  </r>
  <r>
    <s v="0569022529-5"/>
    <s v="CST"/>
    <n v="0.4"/>
    <n v="630"/>
    <n v="0"/>
    <n v="40"/>
    <n v="25.94"/>
    <s v="CRAP"/>
    <d v="2001-09-25T00:00:00"/>
    <d v="2002-03-03T00:00:00"/>
    <d v="2002-02-23T00:00:00"/>
    <d v="2002-03-03T00:00:00"/>
    <d v="2002-01-14T00:00:00"/>
    <d v="2002-01-14T00:00:00"/>
    <s v="OTIF PASS"/>
    <n v="5"/>
    <s v="1210_FG_CRC"/>
    <x v="13"/>
    <n v="0"/>
    <m/>
  </r>
  <r>
    <s v="0558114367-1"/>
    <s v="CRC"/>
    <n v="0.5"/>
    <n v="1250"/>
    <n v="0"/>
    <n v="15"/>
    <n v="5.5679999999999996"/>
    <s v="CRAP"/>
    <d v="2001-08-20T00:00:00"/>
    <d v="2002-02-26T00:00:00"/>
    <d v="2002-02-18T00:00:00"/>
    <d v="2002-02-26T00:00:00"/>
    <d v="2002-01-03T00:00:00"/>
    <d v="2002-01-03T00:00:00"/>
    <s v="OTIF PASS"/>
    <n v="1"/>
    <s v="1210_FG_CRC"/>
    <x v="14"/>
    <n v="0"/>
    <m/>
  </r>
  <r>
    <s v="0568012787-1"/>
    <s v="HRC"/>
    <n v="0.7"/>
    <n v="1219"/>
    <n v="0"/>
    <n v="19"/>
    <n v="19"/>
    <s v="CRAP"/>
    <d v="2001-08-14T00:00:00"/>
    <d v="2002-02-27T00:00:00"/>
    <d v="2002-03-13T00:00:00"/>
    <d v="2002-03-13T00:00:00"/>
    <d v="2002-03-14T00:00:00"/>
    <d v="2002-03-14T00:00:00"/>
    <s v="OTIF FAIL"/>
    <n v="1"/>
    <s v="1210_FG_CRC"/>
    <x v="3"/>
    <n v="1"/>
    <m/>
  </r>
  <r>
    <s v="0558114358-1"/>
    <s v="HPC"/>
    <n v="0.8"/>
    <n v="1000"/>
    <n v="0"/>
    <n v="12"/>
    <n v="9.0220000000000002"/>
    <s v="CRAP"/>
    <d v="2001-08-19T00:00:00"/>
    <d v="2002-02-26T00:00:00"/>
    <s v="-"/>
    <s v="-"/>
    <d v="2002-03-22T00:00:00"/>
    <d v="2002-03-22T00:00:00"/>
    <s v="OTIF FAIL"/>
    <n v="1"/>
    <s v="1210_FG_CRC"/>
    <x v="0"/>
    <n v="0"/>
    <m/>
  </r>
  <r>
    <s v="0558116552-4"/>
    <s v="CST"/>
    <n v="0.5"/>
    <n v="63"/>
    <n v="0"/>
    <n v="3"/>
    <n v="3"/>
    <s v="CRAP"/>
    <d v="2002-02-17T00:00:00"/>
    <d v="2002-02-27T00:00:00"/>
    <s v="-"/>
    <s v="-"/>
    <d v="2002-03-22T00:00:00"/>
    <d v="2002-05-13T00:00:00"/>
    <s v="OTIF FAIL"/>
    <n v="4"/>
    <s v="1210_FG_CRC"/>
    <x v="4"/>
    <n v="1"/>
    <m/>
  </r>
  <r>
    <s v="0558110446-7"/>
    <s v="HRC"/>
    <n v="0.5"/>
    <n v="1130"/>
    <n v="0"/>
    <n v="33"/>
    <n v="33"/>
    <s v="CRAP"/>
    <d v="2001-09-25T00:00:00"/>
    <d v="2002-02-28T00:00:00"/>
    <d v="2002-03-23T00:00:00"/>
    <d v="2002-03-23T00:00:00"/>
    <d v="2002-03-23T00:00:00"/>
    <d v="2002-03-23T00:00:00"/>
    <s v="OTIF FAIL"/>
    <n v="7"/>
    <s v="1210_FG_CRC"/>
    <x v="0"/>
    <n v="1"/>
    <m/>
  </r>
  <r>
    <s v="0558113148-3"/>
    <s v="CST"/>
    <n v="1"/>
    <n v="1250"/>
    <n v="0"/>
    <n v="3"/>
    <n v="3"/>
    <s v="CRAP"/>
    <d v="2001-08-05T00:00:00"/>
    <d v="2002-03-05T00:00:00"/>
    <d v="2002-03-13T00:00:00"/>
    <d v="2002-03-13T00:00:00"/>
    <d v="2002-03-12T00:00:00"/>
    <d v="2002-03-12T00:00:00"/>
    <s v="OTIF FAIL"/>
    <n v="3"/>
    <s v="1210_FG_CRC"/>
    <x v="3"/>
    <n v="1"/>
    <m/>
  </r>
  <r>
    <s v="0558115636-1"/>
    <s v="CRC"/>
    <n v="0.6"/>
    <n v="1000"/>
    <n v="0"/>
    <n v="3"/>
    <n v="3"/>
    <s v="CRAP"/>
    <d v="2001-09-25T00:00:00"/>
    <d v="2002-03-08T00:00:00"/>
    <d v="2002-04-26T00:00:00"/>
    <d v="2002-04-26T00:00:00"/>
    <d v="2002-04-19T00:00:00"/>
    <d v="2002-04-19T00:00:00"/>
    <s v="OTIF FAIL"/>
    <n v="1"/>
    <s v="1210_FG_CRC"/>
    <x v="15"/>
    <n v="1"/>
    <m/>
  </r>
  <r>
    <s v="0558113148-2"/>
    <s v="HRC"/>
    <n v="1.2"/>
    <n v="1250"/>
    <n v="0"/>
    <n v="3"/>
    <n v="3"/>
    <s v="CRAP"/>
    <d v="2001-08-05T00:00:00"/>
    <d v="2002-03-05T00:00:00"/>
    <d v="2002-03-13T00:00:00"/>
    <d v="2002-03-13T00:00:00"/>
    <d v="2002-03-12T00:00:00"/>
    <d v="2002-03-12T00:00:00"/>
    <s v="OTIF FAIL"/>
    <n v="2"/>
    <s v="1210_FG_CRC"/>
    <x v="3"/>
    <n v="1"/>
    <m/>
  </r>
  <r>
    <s v="0569022998-4"/>
    <s v="CST"/>
    <n v="1.2"/>
    <n v="1250"/>
    <n v="0"/>
    <n v="35"/>
    <n v="35"/>
    <s v="CRAP"/>
    <d v="2001-08-17T00:00:00"/>
    <d v="2002-02-26T00:00:00"/>
    <d v="2002-03-16T00:00:00"/>
    <d v="2002-03-16T00:00:00"/>
    <d v="2002-03-23T00:00:00"/>
    <d v="2002-03-23T00:00:00"/>
    <s v="OTIF FAIL"/>
    <n v="4"/>
    <s v="1210_FG_CRC"/>
    <x v="0"/>
    <n v="1"/>
    <m/>
  </r>
  <r>
    <s v="0569023119-5"/>
    <s v="CST"/>
    <n v="1"/>
    <n v="1250"/>
    <n v="0"/>
    <n v="60"/>
    <n v="60"/>
    <s v="CRAP"/>
    <d v="2001-08-29T00:00:00"/>
    <d v="2002-02-25T00:00:00"/>
    <d v="2002-03-01T00:00:00"/>
    <d v="2002-03-01T00:00:00"/>
    <d v="2002-03-05T00:00:00"/>
    <d v="2002-03-16T00:00:00"/>
    <s v="OTIF FAIL"/>
    <n v="5"/>
    <s v="1210_FG_CRC"/>
    <x v="3"/>
    <n v="1"/>
    <m/>
  </r>
  <r>
    <s v="0569023119-6"/>
    <s v="JBS"/>
    <n v="1.2"/>
    <n v="1250"/>
    <n v="0"/>
    <n v="50"/>
    <n v="50"/>
    <s v="CRAP"/>
    <d v="2001-08-29T00:00:00"/>
    <d v="2002-02-25T00:00:00"/>
    <d v="2002-03-02T00:00:00"/>
    <d v="2002-03-02T00:00:00"/>
    <d v="2002-03-06T00:00:00"/>
    <d v="2002-03-23T00:00:00"/>
    <s v="OTIF FAIL"/>
    <n v="6"/>
    <s v="1210_FG_CRC"/>
    <x v="0"/>
    <n v="1"/>
    <m/>
  </r>
  <r>
    <s v="0558110939-3"/>
    <s v="CST"/>
    <n v="1"/>
    <n v="1250"/>
    <n v="0"/>
    <n v="3"/>
    <n v="3"/>
    <s v="CRAP"/>
    <d v="2001-09-25T00:00:00"/>
    <d v="2002-03-04T00:00:00"/>
    <d v="2002-03-13T00:00:00"/>
    <d v="2002-03-13T00:00:00"/>
    <d v="2002-03-12T00:00:00"/>
    <d v="2002-03-12T00:00:00"/>
    <s v="OTIF FAIL"/>
    <n v="3"/>
    <s v="1210_FG_CRC"/>
    <x v="3"/>
    <n v="1"/>
    <m/>
  </r>
  <r>
    <s v="0569022901-5"/>
    <s v="HPC"/>
    <n v="0.4"/>
    <n v="630"/>
    <n v="0"/>
    <n v="75"/>
    <n v="75"/>
    <s v="CRAP"/>
    <d v="2001-08-07T00:00:00"/>
    <d v="2002-03-03T00:00:00"/>
    <d v="2002-02-24T00:00:00"/>
    <d v="2002-03-03T00:00:00"/>
    <d v="2001-11-07T00:00:00"/>
    <d v="2002-01-14T00:00:00"/>
    <s v="OTIF PASS"/>
    <n v="5"/>
    <s v="1210_FG_CRC"/>
    <x v="13"/>
    <n v="1"/>
    <m/>
  </r>
  <r>
    <s v="0569022901-4"/>
    <s v="CST"/>
    <n v="0.4"/>
    <n v="542"/>
    <n v="0"/>
    <n v="15"/>
    <n v="15"/>
    <s v="CRAP"/>
    <d v="2001-08-07T00:00:00"/>
    <d v="2002-03-03T00:00:00"/>
    <d v="2002-02-25T00:00:00"/>
    <d v="2002-03-03T00:00:00"/>
    <d v="2001-11-01T00:00:00"/>
    <d v="2001-11-01T00:00:00"/>
    <s v="OTIF PASS"/>
    <n v="4"/>
    <s v="1210_FG_CRC"/>
    <x v="11"/>
    <n v="1"/>
    <m/>
  </r>
  <r>
    <s v="0569023119-3"/>
    <s v="HRC"/>
    <n v="0.8"/>
    <n v="1250"/>
    <n v="0"/>
    <n v="50"/>
    <n v="50"/>
    <s v="CRAP"/>
    <d v="2001-08-29T00:00:00"/>
    <d v="2002-02-25T00:00:00"/>
    <d v="2002-03-13T00:00:00"/>
    <d v="2002-03-13T00:00:00"/>
    <d v="2002-03-14T00:00:00"/>
    <d v="2002-03-14T00:00:00"/>
    <s v="OTIF FAIL"/>
    <n v="3"/>
    <s v="1210_FG_CRC"/>
    <x v="3"/>
    <n v="1"/>
    <m/>
  </r>
  <r>
    <s v="0569022998-2"/>
    <s v="NFA"/>
    <n v="0.9"/>
    <n v="1250"/>
    <n v="0"/>
    <n v="20"/>
    <n v="20"/>
    <s v="CRAP"/>
    <d v="2001-08-17T00:00:00"/>
    <d v="2002-02-26T00:00:00"/>
    <d v="2002-03-23T00:00:00"/>
    <d v="2002-03-23T00:00:00"/>
    <d v="2002-03-23T00:00:00"/>
    <d v="2002-03-23T00:00:00"/>
    <s v="OTIF FAIL"/>
    <n v="2"/>
    <s v="1210_FG_CRC"/>
    <x v="0"/>
    <n v="1"/>
    <m/>
  </r>
  <r>
    <s v="0558103165-4"/>
    <s v="CRC"/>
    <n v="3"/>
    <n v="1250"/>
    <n v="0"/>
    <n v="12"/>
    <n v="3.8460000000000001"/>
    <s v="CRAP"/>
    <d v="2001-09-25T00:00:00"/>
    <d v="2002-03-10T00:00:00"/>
    <d v="2002-03-29T00:00:00"/>
    <d v="2002-03-29T00:00:00"/>
    <d v="2002-03-29T00:00:00"/>
    <d v="2002-03-29T00:00:00"/>
    <s v="OTIF FAIL"/>
    <n v="4"/>
    <s v="1210_FG_CRC"/>
    <x v="9"/>
    <n v="0"/>
    <m/>
  </r>
  <r>
    <s v="0558115250-1"/>
    <s v="HPC"/>
    <n v="0.7"/>
    <n v="1250"/>
    <n v="0"/>
    <n v="3"/>
    <n v="3"/>
    <s v="CRAP"/>
    <d v="2001-08-27T00:00:00"/>
    <d v="2002-03-08T00:00:00"/>
    <d v="2002-04-29T00:00:00"/>
    <d v="2002-04-29T00:00:00"/>
    <d v="2002-04-22T00:00:00"/>
    <d v="2002-04-22T00:00:00"/>
    <s v="OTIF FAIL"/>
    <n v="1"/>
    <s v="1210_FG_CRC"/>
    <x v="2"/>
    <n v="1"/>
    <m/>
  </r>
  <r>
    <s v="0558115777-2"/>
    <s v="CST"/>
    <n v="1.2"/>
    <n v="1050"/>
    <n v="0"/>
    <n v="20"/>
    <n v="20"/>
    <s v="CRAP"/>
    <d v="2001-08-30T00:00:00"/>
    <d v="2002-02-26T00:00:00"/>
    <d v="2002-03-08T00:00:00"/>
    <d v="2002-03-08T00:00:00"/>
    <d v="2002-03-11T00:00:00"/>
    <d v="2002-03-11T00:00:00"/>
    <s v="OTIF FAIL"/>
    <n v="2"/>
    <s v="1210_FG_CRC"/>
    <x v="3"/>
    <n v="1"/>
    <m/>
  </r>
  <r>
    <s v="0558110131-2"/>
    <s v="CST"/>
    <n v="1"/>
    <n v="1250"/>
    <n v="0"/>
    <n v="80"/>
    <n v="42.006999999999998"/>
    <s v="CRAP"/>
    <d v="2001-09-25T00:00:00"/>
    <d v="2002-02-26T00:00:00"/>
    <s v="-"/>
    <s v="-"/>
    <d v="2002-03-21T00:00:00"/>
    <d v="2002-03-21T00:00:00"/>
    <s v="OTIF FAIL"/>
    <n v="2"/>
    <s v="1210_FG_CRC"/>
    <x v="0"/>
    <n v="0"/>
    <m/>
  </r>
  <r>
    <s v="0558115613-1"/>
    <s v="CST"/>
    <n v="3"/>
    <n v="1250"/>
    <n v="0"/>
    <n v="18"/>
    <n v="18"/>
    <s v="CRAP"/>
    <d v="2001-09-25T00:00:00"/>
    <d v="2002-02-26T00:00:00"/>
    <d v="2002-03-23T00:00:00"/>
    <d v="2002-03-23T00:00:00"/>
    <d v="2002-03-23T00:00:00"/>
    <d v="2002-03-29T00:00:00"/>
    <s v="OTIF FAIL"/>
    <n v="1"/>
    <s v="1210_FG_CRC"/>
    <x v="9"/>
    <n v="1"/>
    <m/>
  </r>
  <r>
    <s v="0558113933-3"/>
    <s v="HRC"/>
    <n v="0.5"/>
    <n v="70"/>
    <n v="0"/>
    <n v="12"/>
    <n v="12"/>
    <s v="CRAP"/>
    <d v="2001-08-11T00:00:00"/>
    <d v="2002-02-27T00:00:00"/>
    <d v="2002-03-31T00:00:00"/>
    <d v="2002-03-31T00:00:00"/>
    <d v="2002-03-29T00:00:00"/>
    <d v="2002-05-15T00:00:00"/>
    <s v="OTIF FAIL"/>
    <n v="3"/>
    <s v="1210_FG_CRC"/>
    <x v="4"/>
    <n v="1"/>
    <m/>
  </r>
  <r>
    <s v="0569022833-1"/>
    <s v="HPC"/>
    <n v="0.7"/>
    <n v="1250"/>
    <n v="0"/>
    <n v="6"/>
    <n v="6"/>
    <s v="CRAP"/>
    <d v="2001-08-05T00:00:00"/>
    <d v="2002-02-26T00:00:00"/>
    <d v="2002-03-17T00:00:00"/>
    <d v="2002-03-17T00:00:00"/>
    <d v="2002-03-17T00:00:00"/>
    <d v="2002-03-17T00:00:00"/>
    <s v="OTIF FAIL"/>
    <n v="1"/>
    <s v="1210_FG_CRC"/>
    <x v="0"/>
    <n v="1"/>
    <m/>
  </r>
  <r>
    <s v="0569022998-1"/>
    <s v="HPC"/>
    <n v="0.6"/>
    <n v="1250"/>
    <n v="0"/>
    <n v="25"/>
    <n v="25"/>
    <s v="CRAP"/>
    <d v="2001-08-17T00:00:00"/>
    <d v="2002-02-26T00:00:00"/>
    <d v="2002-03-13T00:00:00"/>
    <d v="2002-03-13T00:00:00"/>
    <d v="2002-03-18T00:00:00"/>
    <d v="2002-04-01T00:00:00"/>
    <s v="OTIF FAIL"/>
    <n v="1"/>
    <s v="1210_FG_CRC"/>
    <x v="6"/>
    <n v="1"/>
    <m/>
  </r>
  <r>
    <s v="0558116535-4"/>
    <s v="HPC"/>
    <n v="0.5"/>
    <n v="63"/>
    <n v="0"/>
    <n v="3"/>
    <n v="3"/>
    <s v="CRAP"/>
    <d v="2002-02-12T00:00:00"/>
    <d v="2002-02-21T00:00:00"/>
    <d v="2002-04-24T00:00:00"/>
    <d v="2002-04-24T00:00:00"/>
    <d v="2002-03-29T00:00:00"/>
    <d v="2002-05-13T00:00:00"/>
    <s v="OTIF FAIL"/>
    <n v="4"/>
    <s v="1210_FG_CRC"/>
    <x v="4"/>
    <n v="1"/>
    <m/>
  </r>
  <r>
    <s v="0558113518-3"/>
    <s v="HRC"/>
    <n v="2"/>
    <n v="375"/>
    <n v="0"/>
    <n v="6"/>
    <n v="6"/>
    <s v="CRAP"/>
    <d v="2001-09-25T00:00:00"/>
    <d v="2002-02-27T00:00:00"/>
    <d v="2002-03-13T00:00:00"/>
    <d v="2002-03-13T00:00:00"/>
    <d v="2002-03-12T00:00:00"/>
    <d v="2002-03-12T00:00:00"/>
    <s v="OTIF FAIL"/>
    <n v="3"/>
    <s v="1210_FG_CRC"/>
    <x v="3"/>
    <n v="1"/>
    <m/>
  </r>
  <r>
    <s v="0558113518-4"/>
    <s v="CST"/>
    <n v="3"/>
    <n v="495"/>
    <n v="0"/>
    <n v="10"/>
    <n v="10"/>
    <s v="CRAP"/>
    <d v="2001-09-25T00:00:00"/>
    <d v="2002-02-27T00:00:00"/>
    <d v="2002-03-19T00:00:00"/>
    <d v="2002-03-19T00:00:00"/>
    <d v="2002-03-19T00:00:00"/>
    <d v="2002-03-19T00:00:00"/>
    <s v="OTIF FAIL"/>
    <n v="4"/>
    <s v="1210_FG_CRC"/>
    <x v="0"/>
    <n v="1"/>
    <m/>
  </r>
  <r>
    <s v="0558116674-1"/>
    <s v="CST"/>
    <n v="0.8"/>
    <n v="340"/>
    <n v="0"/>
    <n v="22.571999999999999"/>
    <n v="22.571999999999999"/>
    <s v="CRAP"/>
    <d v="2002-03-28T00:00:00"/>
    <d v="2002-05-05T00:00:00"/>
    <s v="-"/>
    <s v="-"/>
    <s v="-"/>
    <d v="2002-04-29T00:00:00"/>
    <s v="OTIF FAIL"/>
    <n v="1"/>
    <s v="1210_FG_CRC"/>
    <x v="16"/>
    <n v="0"/>
    <m/>
  </r>
  <r>
    <s v="0558116535-2"/>
    <s v="CST"/>
    <n v="0.5"/>
    <n v="90"/>
    <n v="0"/>
    <n v="5"/>
    <n v="5"/>
    <s v="CRAP"/>
    <d v="2002-02-12T00:00:00"/>
    <d v="2002-02-21T00:00:00"/>
    <s v="-"/>
    <s v="-"/>
    <d v="2002-03-22T00:00:00"/>
    <d v="2002-05-13T00:00:00"/>
    <s v="OTIF FAIL"/>
    <n v="2"/>
    <s v="1210_FG_CRC"/>
    <x v="4"/>
    <n v="1"/>
    <m/>
  </r>
  <r>
    <s v="0558106954-1"/>
    <s v="CST"/>
    <n v="0.5"/>
    <n v="70"/>
    <n v="0"/>
    <n v="15"/>
    <n v="4.1459999999999999"/>
    <s v="CRAP"/>
    <d v="2001-09-25T00:00:00"/>
    <d v="2002-03-10T00:00:00"/>
    <d v="2002-04-24T00:00:00"/>
    <d v="2002-04-24T00:00:00"/>
    <d v="2002-03-29T00:00:00"/>
    <d v="2002-05-15T00:00:00"/>
    <s v="OTIF FAIL"/>
    <n v="1"/>
    <s v="1210_FG_CRC"/>
    <x v="4"/>
    <n v="0"/>
    <m/>
  </r>
  <r>
    <s v="0569022434-3"/>
    <s v="HRC"/>
    <n v="2"/>
    <n v="1250"/>
    <n v="0"/>
    <n v="9"/>
    <n v="3.55"/>
    <s v="CRAP"/>
    <d v="2001-09-25T00:00:00"/>
    <d v="2002-02-26T00:00:00"/>
    <d v="2002-04-06T00:00:00"/>
    <d v="2002-04-06T00:00:00"/>
    <d v="2002-04-06T00:00:00"/>
    <d v="2002-04-06T00:00:00"/>
    <s v="OTIF FAIL"/>
    <n v="3"/>
    <s v="1210_FG_CRC"/>
    <x v="6"/>
    <n v="0"/>
    <m/>
  </r>
  <r>
    <s v="0569022914-1"/>
    <s v="HPC"/>
    <n v="0.5"/>
    <n v="1000"/>
    <n v="0"/>
    <n v="100"/>
    <n v="61.485999999999997"/>
    <s v="CRAP"/>
    <d v="2001-08-11T00:00:00"/>
    <d v="2002-02-26T00:00:00"/>
    <d v="2002-03-12T00:00:00"/>
    <d v="2002-03-12T00:00:00"/>
    <d v="2002-03-16T00:00:00"/>
    <d v="2002-03-16T00:00:00"/>
    <s v="OTIF FAIL"/>
    <n v="1"/>
    <s v="1210_FG_CRC"/>
    <x v="3"/>
    <n v="0"/>
    <m/>
  </r>
  <r>
    <s v="0558110446-11"/>
    <s v="HRC"/>
    <n v="1.2"/>
    <n v="1250"/>
    <n v="0"/>
    <n v="18"/>
    <n v="8.5519999999999996"/>
    <s v="CRAP"/>
    <d v="2001-09-25T00:00:00"/>
    <d v="2002-02-28T00:00:00"/>
    <d v="2002-02-24T00:00:00"/>
    <d v="2002-02-28T00:00:00"/>
    <d v="2002-01-24T00:00:00"/>
    <d v="2002-01-24T00:00:00"/>
    <s v="OTIF PASS"/>
    <n v="11"/>
    <s v="1210_FG_CRC"/>
    <x v="8"/>
    <n v="0"/>
    <m/>
  </r>
  <r>
    <s v="0558116535-5"/>
    <s v="HRC"/>
    <n v="0.6"/>
    <n v="76"/>
    <n v="0"/>
    <n v="6"/>
    <n v="6"/>
    <s v="CRAP"/>
    <d v="2002-02-12T00:00:00"/>
    <d v="2002-02-21T00:00:00"/>
    <d v="2002-04-02T00:00:00"/>
    <d v="2002-04-02T00:00:00"/>
    <d v="2002-03-29T00:00:00"/>
    <d v="2002-05-15T00:00:00"/>
    <s v="OTIF FAIL"/>
    <n v="5"/>
    <s v="1210_FG_CRC"/>
    <x v="4"/>
    <n v="1"/>
    <m/>
  </r>
  <r>
    <s v="0558116535-3"/>
    <s v="HPC"/>
    <n v="0.5"/>
    <n v="70"/>
    <n v="0"/>
    <n v="12"/>
    <n v="12"/>
    <s v="CRAP"/>
    <d v="2002-02-12T00:00:00"/>
    <d v="2002-02-21T00:00:00"/>
    <d v="2002-04-24T00:00:00"/>
    <d v="2002-04-24T00:00:00"/>
    <d v="2002-03-29T00:00:00"/>
    <d v="2002-05-15T00:00:00"/>
    <s v="OTIF FAIL"/>
    <n v="3"/>
    <s v="1210_FG_CRC"/>
    <x v="4"/>
    <n v="1"/>
    <m/>
  </r>
  <r>
    <s v="0558113836-1"/>
    <s v="PSS"/>
    <n v="1.5"/>
    <n v="1250"/>
    <n v="0"/>
    <n v="6"/>
    <n v="6"/>
    <s v="CRAP"/>
    <d v="2001-08-11T00:00:00"/>
    <d v="2002-03-06T00:00:00"/>
    <s v="-"/>
    <s v="-"/>
    <d v="2002-03-23T00:00:00"/>
    <d v="2002-03-30T00:00:00"/>
    <s v="OTIF FAIL"/>
    <n v="1"/>
    <s v="1210_FG_CRC"/>
    <x v="9"/>
    <n v="1"/>
    <m/>
  </r>
  <r>
    <s v="0558114598-3"/>
    <s v="CRC"/>
    <n v="0.6"/>
    <n v="1250"/>
    <n v="0"/>
    <n v="3"/>
    <n v="3"/>
    <s v="CRAP"/>
    <d v="2001-08-23T00:00:00"/>
    <d v="2002-03-07T00:00:00"/>
    <d v="2002-03-07T00:00:00"/>
    <d v="2002-03-07T00:00:00"/>
    <d v="2002-01-07T00:00:00"/>
    <d v="2002-01-07T00:00:00"/>
    <s v="OTIF FAIL"/>
    <n v="3"/>
    <s v="1210_FG_CRC"/>
    <x v="17"/>
    <n v="1"/>
    <m/>
  </r>
  <r>
    <s v="0558113256-1"/>
    <s v="CRC"/>
    <n v="1"/>
    <n v="1000"/>
    <n v="0"/>
    <n v="3"/>
    <n v="3"/>
    <s v="CRAP"/>
    <d v="2001-08-23T00:00:00"/>
    <d v="2002-02-24T00:00:00"/>
    <d v="2002-04-01T00:00:00"/>
    <d v="2002-04-01T00:00:00"/>
    <d v="2002-03-30T00:00:00"/>
    <d v="2002-03-30T00:00:00"/>
    <s v="OTIF FAIL"/>
    <n v="1"/>
    <s v="1210_FG_CRC"/>
    <x v="9"/>
    <n v="1"/>
    <m/>
  </r>
  <r>
    <s v="0558116535-6"/>
    <s v="CST"/>
    <n v="0.6"/>
    <n v="63"/>
    <n v="0"/>
    <n v="4"/>
    <n v="4"/>
    <s v="CRAP"/>
    <d v="2002-02-12T00:00:00"/>
    <d v="2002-02-21T00:00:00"/>
    <d v="2002-04-02T00:00:00"/>
    <d v="2002-04-02T00:00:00"/>
    <d v="2002-03-29T00:00:00"/>
    <d v="2002-05-13T00:00:00"/>
    <s v="OTIF FAIL"/>
    <n v="6"/>
    <s v="1210_FG_CRC"/>
    <x v="4"/>
    <n v="1"/>
    <m/>
  </r>
  <r>
    <s v="0558116754-5"/>
    <s v="CST"/>
    <n v="0.6"/>
    <n v="76"/>
    <n v="0"/>
    <n v="6"/>
    <n v="6"/>
    <s v="CRAP"/>
    <d v="2002-04-06T00:00:00"/>
    <d v="2002-05-15T00:00:00"/>
    <s v="-"/>
    <s v="-"/>
    <d v="2002-05-15T00:00:00"/>
    <d v="2002-05-15T00:00:00"/>
    <s v="OTIF FAIL"/>
    <n v="5"/>
    <s v="1210_FG_CRC"/>
    <x v="4"/>
    <n v="1"/>
    <m/>
  </r>
  <r>
    <s v="0558115316-3"/>
    <s v="CBL"/>
    <n v="1.2"/>
    <n v="1000"/>
    <n v="0"/>
    <n v="3"/>
    <n v="3"/>
    <s v="CRAP"/>
    <d v="2001-08-29T00:00:00"/>
    <d v="2002-03-08T00:00:00"/>
    <d v="2002-03-30T00:00:00"/>
    <d v="2002-03-30T00:00:00"/>
    <d v="2002-03-30T00:00:00"/>
    <d v="2002-04-06T00:00:00"/>
    <s v="OTIF FAIL"/>
    <n v="3"/>
    <s v="1210_FG_CRC"/>
    <x v="6"/>
    <n v="1"/>
    <m/>
  </r>
  <r>
    <s v="0558116754-4"/>
    <s v="HRC"/>
    <n v="0.5"/>
    <n v="63"/>
    <n v="0"/>
    <n v="3"/>
    <n v="3"/>
    <s v="CRAP"/>
    <d v="2002-04-06T00:00:00"/>
    <d v="2002-05-13T00:00:00"/>
    <s v="-"/>
    <s v="-"/>
    <d v="2002-05-13T00:00:00"/>
    <d v="2002-05-13T00:00:00"/>
    <s v="OTIF FAIL"/>
    <n v="4"/>
    <s v="1210_FG_CRC"/>
    <x v="4"/>
    <n v="1"/>
    <m/>
  </r>
  <r>
    <s v="0558113428-1"/>
    <s v="CST"/>
    <n v="0.7"/>
    <n v="1250"/>
    <n v="0"/>
    <n v="10"/>
    <n v="10"/>
    <s v="CRAP"/>
    <d v="2001-08-05T00:00:00"/>
    <d v="2002-02-27T00:00:00"/>
    <d v="2002-04-26T00:00:00"/>
    <d v="2002-04-26T00:00:00"/>
    <d v="2002-01-21T00:00:00"/>
    <d v="2002-01-25T00:00:00"/>
    <s v="OTIF FAIL"/>
    <n v="1"/>
    <s v="1210_FG_CRC"/>
    <x v="8"/>
    <n v="1"/>
    <m/>
  </r>
  <r>
    <s v="0558116754-3"/>
    <s v="HRC"/>
    <n v="0.5"/>
    <n v="70"/>
    <n v="0"/>
    <n v="12"/>
    <n v="12"/>
    <s v="CRAP"/>
    <d v="2002-04-06T00:00:00"/>
    <d v="2002-05-15T00:00:00"/>
    <s v="-"/>
    <s v="-"/>
    <d v="2002-05-15T00:00:00"/>
    <d v="2002-05-15T00:00:00"/>
    <s v="OTIF FAIL"/>
    <n v="3"/>
    <s v="1210_FG_CRC"/>
    <x v="4"/>
    <n v="1"/>
    <m/>
  </r>
  <r>
    <s v="0558113657-2"/>
    <s v="CST"/>
    <n v="1.2"/>
    <n v="1250"/>
    <n v="0"/>
    <n v="9"/>
    <n v="9"/>
    <s v="CRAP"/>
    <d v="2001-08-07T00:00:00"/>
    <d v="2002-02-28T00:00:00"/>
    <d v="2002-02-24T00:00:00"/>
    <d v="2002-02-28T00:00:00"/>
    <d v="2002-01-10T00:00:00"/>
    <d v="2002-01-24T00:00:00"/>
    <s v="OTIF PASS"/>
    <n v="2"/>
    <s v="1210_FG_CRC"/>
    <x v="8"/>
    <n v="1"/>
    <m/>
  </r>
  <r>
    <s v="0558113018-1"/>
    <s v="CST"/>
    <n v="2"/>
    <n v="208"/>
    <n v="0"/>
    <n v="30"/>
    <n v="30"/>
    <s v="CRAP"/>
    <d v="2001-08-05T00:00:00"/>
    <d v="2002-02-25T00:00:00"/>
    <d v="2002-03-08T00:00:00"/>
    <d v="2002-03-08T00:00:00"/>
    <d v="2002-03-04T00:00:00"/>
    <d v="2002-03-04T00:00:00"/>
    <s v="OTIF FAIL"/>
    <n v="1"/>
    <s v="1210_FG_CRC"/>
    <x v="1"/>
    <n v="1"/>
    <m/>
  </r>
  <r>
    <s v="0558110597-2"/>
    <s v="CST"/>
    <n v="0.6"/>
    <n v="1250"/>
    <n v="0"/>
    <n v="21"/>
    <n v="21"/>
    <s v="CRAP"/>
    <d v="2001-09-25T00:00:00"/>
    <d v="2002-02-26T00:00:00"/>
    <s v="-"/>
    <s v="-"/>
    <d v="2002-01-25T00:00:00"/>
    <d v="2002-03-14T00:00:00"/>
    <s v="OTIF FAIL"/>
    <n v="2"/>
    <s v="1210_FG_CRC"/>
    <x v="3"/>
    <n v="1"/>
    <m/>
  </r>
  <r>
    <s v="0558110127-1"/>
    <s v="HRC"/>
    <n v="0.8"/>
    <n v="1250"/>
    <n v="0"/>
    <n v="10"/>
    <n v="10"/>
    <s v="CRAP"/>
    <d v="2001-08-19T00:00:00"/>
    <d v="2002-02-27T00:00:00"/>
    <d v="2002-04-05T00:00:00"/>
    <d v="2002-04-05T00:00:00"/>
    <d v="2002-04-05T00:00:00"/>
    <d v="2002-04-05T00:00:00"/>
    <s v="OTIF FAIL"/>
    <n v="1"/>
    <s v="1210_FG_CRC"/>
    <x v="6"/>
    <n v="1"/>
    <m/>
  </r>
  <r>
    <s v="0558114683-3"/>
    <s v="CST"/>
    <n v="2.5"/>
    <n v="250"/>
    <n v="0"/>
    <n v="30"/>
    <n v="30"/>
    <s v="CRAP"/>
    <d v="2001-08-23T00:00:00"/>
    <d v="2002-02-23T00:00:00"/>
    <d v="2002-03-21T00:00:00"/>
    <d v="2002-03-21T00:00:00"/>
    <d v="2002-03-21T00:00:00"/>
    <d v="2002-03-21T00:00:00"/>
    <s v="OTIF FAIL"/>
    <n v="3"/>
    <s v="1210_FG_CRC"/>
    <x v="0"/>
    <n v="1"/>
    <m/>
  </r>
  <r>
    <s v="0558114057-1"/>
    <s v="CST"/>
    <n v="0.7"/>
    <n v="600"/>
    <n v="0"/>
    <n v="9"/>
    <n v="9"/>
    <s v="CRAP"/>
    <d v="2001-08-16T00:00:00"/>
    <d v="2002-03-30T00:00:00"/>
    <s v="-"/>
    <s v="-"/>
    <d v="2002-04-06T00:00:00"/>
    <d v="2002-04-06T00:00:00"/>
    <s v="OTIF FAIL"/>
    <n v="1"/>
    <s v="1210_FG_CRC"/>
    <x v="6"/>
    <n v="1"/>
    <m/>
  </r>
  <r>
    <s v="0558114057-2"/>
    <s v="HRC"/>
    <n v="0.7"/>
    <n v="650"/>
    <n v="0"/>
    <n v="11"/>
    <n v="11"/>
    <s v="CRAP"/>
    <d v="2001-08-16T00:00:00"/>
    <d v="2002-03-30T00:00:00"/>
    <s v="-"/>
    <s v="-"/>
    <d v="2002-04-06T00:00:00"/>
    <d v="2002-04-06T00:00:00"/>
    <s v="OTIF FAIL"/>
    <n v="2"/>
    <s v="1210_FG_CRC"/>
    <x v="6"/>
    <n v="1"/>
    <m/>
  </r>
  <r>
    <s v="0558114683-1"/>
    <s v="HRC"/>
    <n v="1.7"/>
    <n v="250"/>
    <n v="0"/>
    <n v="20"/>
    <n v="20"/>
    <s v="CRAP"/>
    <d v="2001-08-23T00:00:00"/>
    <d v="2002-02-22T00:00:00"/>
    <d v="2002-03-11T00:00:00"/>
    <d v="2002-03-11T00:00:00"/>
    <d v="2002-03-08T00:00:00"/>
    <d v="2002-03-08T00:00:00"/>
    <s v="OTIF FAIL"/>
    <n v="1"/>
    <s v="1210_FG_CRC"/>
    <x v="1"/>
    <n v="1"/>
    <m/>
  </r>
  <r>
    <s v="0558116553-1"/>
    <s v="CRC"/>
    <n v="0.5"/>
    <n v="1250"/>
    <n v="0"/>
    <n v="80"/>
    <n v="80"/>
    <s v="CRAP"/>
    <d v="2002-02-17T00:00:00"/>
    <d v="2002-02-27T00:00:00"/>
    <s v="-"/>
    <s v="-"/>
    <d v="2002-03-30T00:00:00"/>
    <d v="2002-05-15T00:00:00"/>
    <s v="OTIF FAIL"/>
    <n v="1"/>
    <s v="1210_FG_CRC"/>
    <x v="4"/>
    <n v="1"/>
    <m/>
  </r>
  <r>
    <s v="0558114064-2"/>
    <s v="HPC"/>
    <n v="0.45"/>
    <n v="1250"/>
    <n v="0"/>
    <n v="20"/>
    <n v="20"/>
    <s v="CRAP"/>
    <d v="2001-08-16T00:00:00"/>
    <d v="2002-02-27T00:00:00"/>
    <d v="2002-02-25T00:00:00"/>
    <d v="2002-02-27T00:00:00"/>
    <d v="2001-11-27T00:00:00"/>
    <d v="2001-11-27T00:00:00"/>
    <s v="OTIF PASS"/>
    <n v="2"/>
    <s v="1210_FG_CRC"/>
    <x v="18"/>
    <n v="1"/>
    <m/>
  </r>
  <r>
    <s v="0569022532-1"/>
    <s v="HRC"/>
    <n v="0.5"/>
    <n v="1250"/>
    <n v="0"/>
    <n v="10"/>
    <n v="10"/>
    <s v="CRAP"/>
    <d v="2001-09-25T00:00:00"/>
    <d v="2002-02-27T00:00:00"/>
    <d v="2002-04-05T00:00:00"/>
    <d v="2002-04-05T00:00:00"/>
    <d v="2002-04-05T00:00:00"/>
    <d v="2002-04-05T00:00:00"/>
    <s v="OTIF FAIL"/>
    <n v="1"/>
    <s v="1210_FG_CRC"/>
    <x v="6"/>
    <n v="1"/>
    <m/>
  </r>
  <r>
    <s v="0558116537-2"/>
    <s v="HRC"/>
    <n v="0.5"/>
    <n v="1250"/>
    <n v="0"/>
    <n v="80"/>
    <n v="80"/>
    <s v="CRAP"/>
    <d v="2002-02-12T00:00:00"/>
    <d v="2002-02-21T00:00:00"/>
    <d v="2002-03-14T00:00:00"/>
    <d v="2002-03-14T00:00:00"/>
    <d v="2002-03-13T00:00:00"/>
    <d v="2002-05-15T00:00:00"/>
    <s v="OTIF FAIL"/>
    <n v="2"/>
    <s v="1210_FG_CRC"/>
    <x v="4"/>
    <n v="1"/>
    <m/>
  </r>
  <r>
    <s v="0558114922-4"/>
    <s v="PSS"/>
    <n v="0.8"/>
    <n v="1250"/>
    <n v="0"/>
    <n v="3"/>
    <n v="3"/>
    <s v="CRAP"/>
    <d v="2001-09-25T00:00:00"/>
    <d v="2002-03-08T00:00:00"/>
    <s v="-"/>
    <s v="-"/>
    <d v="2002-01-11T00:00:00"/>
    <d v="2002-01-11T00:00:00"/>
    <s v="OTIF FAIL"/>
    <n v="4"/>
    <s v="1210_FG_CRC"/>
    <x v="17"/>
    <n v="1"/>
    <m/>
  </r>
  <r>
    <s v="0558116755-1"/>
    <s v="CST"/>
    <n v="0.5"/>
    <n v="1250"/>
    <n v="0"/>
    <n v="80"/>
    <n v="80"/>
    <s v="CRAP"/>
    <d v="2002-04-06T00:00:00"/>
    <d v="2002-05-15T00:00:00"/>
    <s v="-"/>
    <s v="-"/>
    <d v="2002-05-15T00:00:00"/>
    <d v="2002-05-15T00:00:00"/>
    <s v="OTIF FAIL"/>
    <n v="1"/>
    <s v="1210_FG_CRC"/>
    <x v="4"/>
    <n v="1"/>
    <m/>
  </r>
  <r>
    <s v="0558109794-1"/>
    <s v="HPC"/>
    <n v="1"/>
    <n v="58.7"/>
    <n v="0"/>
    <n v="20"/>
    <n v="20"/>
    <s v="CRAP"/>
    <d v="2001-09-25T00:00:00"/>
    <d v="2002-03-29T00:00:00"/>
    <d v="2002-04-05T00:00:00"/>
    <d v="2002-04-05T00:00:00"/>
    <d v="2002-04-05T00:00:00"/>
    <d v="2002-04-05T00:00:00"/>
    <s v="OTIF FAIL"/>
    <n v="1"/>
    <s v="1210_FG_CRC"/>
    <x v="6"/>
    <n v="1"/>
    <m/>
  </r>
  <r>
    <s v="0558116286-1"/>
    <s v="CRC"/>
    <n v="0.8"/>
    <n v="525"/>
    <n v="0"/>
    <n v="10.125"/>
    <n v="10.125"/>
    <s v="CRAP"/>
    <d v="2001-10-25T00:00:00"/>
    <d v="2002-03-16T00:00:00"/>
    <d v="2002-03-23T00:00:00"/>
    <d v="2002-03-23T00:00:00"/>
    <d v="2002-03-23T00:00:00"/>
    <d v="2002-03-23T00:00:00"/>
    <s v="OTIF FAIL"/>
    <n v="1"/>
    <s v="1210_FG_CRC"/>
    <x v="0"/>
    <n v="1"/>
    <m/>
  </r>
  <r>
    <s v="0568012672-1"/>
    <s v="HRC"/>
    <n v="2.5"/>
    <n v="1000"/>
    <n v="0"/>
    <n v="60"/>
    <n v="60"/>
    <s v="CRAP"/>
    <d v="2001-08-07T00:00:00"/>
    <d v="2002-02-27T00:00:00"/>
    <d v="2002-03-05T00:00:00"/>
    <d v="2002-03-05T00:00:00"/>
    <d v="2002-03-07T00:00:00"/>
    <d v="2002-03-07T00:00:00"/>
    <s v="OTIF FAIL"/>
    <n v="1"/>
    <s v="1210_FG_CRC"/>
    <x v="1"/>
    <n v="1"/>
    <m/>
  </r>
  <r>
    <s v="0568012862-2"/>
    <s v="CST"/>
    <n v="0.91400000000000003"/>
    <n v="1250"/>
    <n v="0"/>
    <n v="36.286999999999999"/>
    <n v="36.286999999999999"/>
    <s v="CRAP"/>
    <d v="2001-08-31T00:00:00"/>
    <d v="2002-02-27T00:00:00"/>
    <d v="2002-03-10T00:00:00"/>
    <d v="2002-03-10T00:00:00"/>
    <d v="2002-03-11T00:00:00"/>
    <d v="2002-03-11T00:00:00"/>
    <s v="OTIF FAIL"/>
    <n v="2"/>
    <s v="1210_FG_CRC"/>
    <x v="3"/>
    <n v="1"/>
    <m/>
  </r>
  <r>
    <s v="0558114163-1"/>
    <s v="CST"/>
    <n v="1.5"/>
    <n v="1250"/>
    <n v="0"/>
    <n v="6"/>
    <n v="6"/>
    <s v="CRAP"/>
    <d v="2001-08-16T00:00:00"/>
    <d v="2002-03-07T00:00:00"/>
    <d v="2002-03-30T00:00:00"/>
    <d v="2002-03-30T00:00:00"/>
    <d v="2002-03-30T00:00:00"/>
    <d v="2002-03-30T00:00:00"/>
    <s v="OTIF FAIL"/>
    <n v="1"/>
    <s v="1210_FG_CRC"/>
    <x v="9"/>
    <n v="1"/>
    <m/>
  </r>
  <r>
    <s v="0558111255-1"/>
    <s v="CRC"/>
    <n v="1.2"/>
    <n v="1250"/>
    <n v="0"/>
    <n v="44"/>
    <n v="44"/>
    <s v="CRAP"/>
    <d v="2001-09-25T00:00:00"/>
    <d v="2002-02-27T00:00:00"/>
    <d v="2002-03-01T00:00:00"/>
    <d v="2002-03-01T00:00:00"/>
    <d v="2002-03-08T00:00:00"/>
    <d v="2002-03-08T00:00:00"/>
    <s v="OTIF FAIL"/>
    <n v="1"/>
    <s v="1210_FG_CRC"/>
    <x v="1"/>
    <n v="1"/>
    <m/>
  </r>
  <r>
    <s v="0558116285-1"/>
    <s v="CST"/>
    <n v="0.8"/>
    <n v="316"/>
    <n v="0"/>
    <n v="20.308"/>
    <n v="20.308"/>
    <s v="CRAP"/>
    <d v="2001-10-25T00:00:00"/>
    <d v="2002-03-16T00:00:00"/>
    <d v="2002-03-23T00:00:00"/>
    <d v="2002-03-23T00:00:00"/>
    <d v="2002-03-23T00:00:00"/>
    <d v="2002-03-23T00:00:00"/>
    <s v="OTIF FAIL"/>
    <n v="1"/>
    <s v="1210_FG_CRC"/>
    <x v="0"/>
    <n v="1"/>
    <m/>
  </r>
  <r>
    <s v="0558114243-1"/>
    <s v="CRC"/>
    <n v="1.5"/>
    <n v="1250"/>
    <n v="0"/>
    <n v="6"/>
    <n v="6"/>
    <s v="CRAP"/>
    <d v="2001-08-17T00:00:00"/>
    <d v="2002-03-07T00:00:00"/>
    <d v="2002-03-30T00:00:00"/>
    <d v="2002-03-30T00:00:00"/>
    <d v="2002-03-30T00:00:00"/>
    <d v="2002-03-30T00:00:00"/>
    <s v="OTIF FAIL"/>
    <n v="1"/>
    <s v="1210_FG_CRC"/>
    <x v="9"/>
    <n v="1"/>
    <m/>
  </r>
  <r>
    <s v="0558110425-1"/>
    <s v="CST"/>
    <n v="3"/>
    <n v="1250"/>
    <n v="0"/>
    <n v="3"/>
    <n v="3"/>
    <s v="CRAP"/>
    <d v="2001-09-25T00:00:00"/>
    <d v="2002-03-04T00:00:00"/>
    <d v="2002-02-21T00:00:00"/>
    <d v="2002-03-04T00:00:00"/>
    <d v="2002-01-24T00:00:00"/>
    <d v="2002-01-28T00:00:00"/>
    <s v="OTIF PASS"/>
    <n v="1"/>
    <s v="1210_FG_CRC"/>
    <x v="10"/>
    <n v="1"/>
    <m/>
  </r>
  <r>
    <s v="0558107654-2"/>
    <s v="CRC"/>
    <n v="2.5"/>
    <n v="1250"/>
    <n v="0"/>
    <n v="9"/>
    <n v="0.92600000000000005"/>
    <s v="CRAP"/>
    <d v="2001-09-25T00:00:00"/>
    <d v="2002-03-10T00:00:00"/>
    <d v="2002-04-15T00:00:00"/>
    <d v="2002-04-15T00:00:00"/>
    <d v="2002-03-24T00:00:00"/>
    <d v="2002-03-24T00:00:00"/>
    <s v="OTIF FAIL"/>
    <n v="2"/>
    <s v="1210_FG_CRC"/>
    <x v="9"/>
    <n v="0"/>
    <m/>
  </r>
  <r>
    <s v="0558108346-1"/>
    <s v="CST"/>
    <n v="1.7"/>
    <n v="1100"/>
    <n v="0"/>
    <n v="50"/>
    <n v="5.1440000000000001"/>
    <s v="CRAP"/>
    <d v="2001-09-25T00:00:00"/>
    <d v="2002-03-21T00:00:00"/>
    <d v="2002-02-21T00:00:00"/>
    <d v="2002-03-21T00:00:00"/>
    <d v="2002-01-30T00:00:00"/>
    <d v="2002-01-30T00:00:00"/>
    <s v="OTIF PASS"/>
    <n v="1"/>
    <s v="1210_FG_CRC"/>
    <x v="10"/>
    <n v="0"/>
    <m/>
  </r>
  <r>
    <s v="0558113637-6"/>
    <s v="HPC"/>
    <n v="3"/>
    <n v="1250"/>
    <n v="0"/>
    <n v="12"/>
    <n v="12"/>
    <s v="CRAP"/>
    <d v="2001-08-07T00:00:00"/>
    <d v="2002-03-22T00:00:00"/>
    <d v="2002-03-30T00:00:00"/>
    <d v="2002-03-30T00:00:00"/>
    <d v="2002-03-30T00:00:00"/>
    <d v="2002-03-30T00:00:00"/>
    <s v="OTIF FAIL"/>
    <n v="6"/>
    <s v="1210_FG_CRC"/>
    <x v="9"/>
    <n v="1"/>
    <m/>
  </r>
  <r>
    <s v="0558108366-1"/>
    <s v="CST"/>
    <n v="1.25"/>
    <n v="1250"/>
    <n v="0"/>
    <n v="28.571999999999999"/>
    <n v="28.571999999999999"/>
    <s v="CRAP"/>
    <d v="2001-09-25T00:00:00"/>
    <d v="2002-03-21T00:00:00"/>
    <d v="2002-03-17T00:00:00"/>
    <d v="2002-03-21T00:00:00"/>
    <d v="2002-03-24T00:00:00"/>
    <d v="2002-03-24T00:00:00"/>
    <s v="OTIF PASS"/>
    <n v="1"/>
    <s v="1210_FG_CRC"/>
    <x v="9"/>
    <n v="1"/>
    <m/>
  </r>
  <r>
    <s v="0558114809-1"/>
    <s v="CST"/>
    <n v="2"/>
    <n v="1250"/>
    <n v="0"/>
    <n v="12"/>
    <n v="12"/>
    <s v="CRAP"/>
    <d v="2001-08-29T00:00:00"/>
    <d v="2002-03-07T00:00:00"/>
    <d v="2002-03-19T00:00:00"/>
    <d v="2002-03-19T00:00:00"/>
    <d v="2002-03-19T00:00:00"/>
    <d v="2002-03-19T00:00:00"/>
    <s v="OTIF FAIL"/>
    <n v="1"/>
    <s v="1210_FG_CRC"/>
    <x v="0"/>
    <n v="1"/>
    <m/>
  </r>
  <r>
    <s v="0558114085-1"/>
    <s v="CST"/>
    <n v="0.5"/>
    <n v="1250"/>
    <n v="0"/>
    <n v="9"/>
    <n v="9"/>
    <s v="CRAP"/>
    <d v="2001-08-16T00:00:00"/>
    <d v="2002-02-26T00:00:00"/>
    <d v="2002-04-10T00:00:00"/>
    <d v="2002-04-10T00:00:00"/>
    <d v="2002-01-30T00:00:00"/>
    <d v="2002-01-30T00:00:00"/>
    <s v="OTIF FAIL"/>
    <n v="1"/>
    <s v="1210_FG_CRC"/>
    <x v="10"/>
    <n v="1"/>
    <m/>
  </r>
  <r>
    <s v="0558109765-1"/>
    <s v="CST"/>
    <n v="0.48"/>
    <n v="1250"/>
    <n v="0"/>
    <n v="120"/>
    <n v="120"/>
    <s v="CRAP"/>
    <d v="2001-09-25T00:00:00"/>
    <d v="2002-02-27T00:00:00"/>
    <d v="2002-03-27T00:00:00"/>
    <d v="2002-03-27T00:00:00"/>
    <d v="2002-03-27T00:00:00"/>
    <d v="2002-03-27T00:00:00"/>
    <s v="OTIF FAIL"/>
    <n v="1"/>
    <s v="1210_FG_CRC"/>
    <x v="9"/>
    <n v="1"/>
    <m/>
  </r>
  <r>
    <s v="0558113655-2"/>
    <s v="HRC"/>
    <n v="1.2"/>
    <n v="1250"/>
    <n v="0"/>
    <n v="9"/>
    <n v="9"/>
    <s v="CRAP"/>
    <d v="2001-08-07T00:00:00"/>
    <d v="2002-02-28T00:00:00"/>
    <d v="2002-02-24T00:00:00"/>
    <d v="2002-02-28T00:00:00"/>
    <d v="2002-01-10T00:00:00"/>
    <d v="2002-01-24T00:00:00"/>
    <s v="OTIF PASS"/>
    <n v="2"/>
    <s v="1210_FG_CRC"/>
    <x v="8"/>
    <n v="1"/>
    <m/>
  </r>
  <r>
    <s v="0558113972-1"/>
    <s v="HRC"/>
    <n v="0.8"/>
    <n v="1250"/>
    <n v="0"/>
    <n v="20"/>
    <n v="20"/>
    <s v="CRAP"/>
    <d v="2001-08-16T00:00:00"/>
    <d v="2002-02-28T00:00:00"/>
    <d v="2002-03-19T00:00:00"/>
    <d v="2002-03-19T00:00:00"/>
    <d v="2002-03-19T00:00:00"/>
    <d v="2002-03-19T00:00:00"/>
    <s v="OTIF FAIL"/>
    <n v="1"/>
    <s v="1210_FG_CRC"/>
    <x v="0"/>
    <n v="1"/>
    <m/>
  </r>
  <r>
    <s v="0558115834-1"/>
    <s v="HRC"/>
    <n v="2.5"/>
    <n v="1250"/>
    <n v="0"/>
    <n v="100"/>
    <n v="100"/>
    <s v="CRAP"/>
    <d v="2001-08-30T00:00:00"/>
    <d v="2002-03-22T00:00:00"/>
    <d v="2002-04-07T00:00:00"/>
    <d v="2002-04-07T00:00:00"/>
    <d v="2002-04-07T00:00:00"/>
    <d v="2002-04-07T00:00:00"/>
    <s v="OTIF FAIL"/>
    <n v="1"/>
    <s v="1210_FG_CRC"/>
    <x v="7"/>
    <n v="1"/>
    <m/>
  </r>
  <r>
    <s v="0558113973-1"/>
    <s v="CST"/>
    <n v="0.8"/>
    <n v="1250"/>
    <n v="0"/>
    <n v="20"/>
    <n v="20"/>
    <s v="CRAP"/>
    <d v="2001-08-16T00:00:00"/>
    <d v="2002-02-28T00:00:00"/>
    <d v="2002-03-18T00:00:00"/>
    <d v="2002-03-18T00:00:00"/>
    <d v="2002-03-18T00:00:00"/>
    <d v="2002-03-19T00:00:00"/>
    <s v="OTIF FAIL"/>
    <n v="1"/>
    <s v="1210_FG_CRC"/>
    <x v="0"/>
    <n v="1"/>
    <m/>
  </r>
  <r>
    <s v="0569021825-1"/>
    <s v="CBL"/>
    <n v="2"/>
    <n v="1250"/>
    <n v="0"/>
    <n v="40"/>
    <n v="8.6340000000000003"/>
    <s v="CRAP"/>
    <d v="2001-09-25T00:00:00"/>
    <d v="2002-02-28T00:00:00"/>
    <d v="2002-03-13T00:00:00"/>
    <d v="2002-03-13T00:00:00"/>
    <d v="2002-03-12T00:00:00"/>
    <d v="2002-03-12T00:00:00"/>
    <s v="OTIF FAIL"/>
    <n v="1"/>
    <s v="1210_FG_CRC"/>
    <x v="3"/>
    <n v="0"/>
    <m/>
  </r>
  <r>
    <s v="0569022069-2"/>
    <s v="CST"/>
    <n v="2"/>
    <n v="1250"/>
    <n v="0"/>
    <n v="40"/>
    <n v="6.01"/>
    <s v="CRAP"/>
    <d v="2001-09-25T00:00:00"/>
    <d v="2002-02-28T00:00:00"/>
    <d v="2002-02-21T00:00:00"/>
    <d v="2002-02-28T00:00:00"/>
    <d v="2002-01-06T00:00:00"/>
    <d v="2002-01-06T00:00:00"/>
    <s v="OTIF PASS"/>
    <n v="2"/>
    <s v="1210_FG_CRC"/>
    <x v="17"/>
    <n v="0"/>
    <m/>
  </r>
  <r>
    <s v="0558114849-9"/>
    <s v="CST"/>
    <n v="0.5"/>
    <n v="1250"/>
    <n v="0"/>
    <n v="30"/>
    <n v="30"/>
    <s v="CRAP"/>
    <d v="2001-08-25T00:00:00"/>
    <d v="2002-02-28T00:00:00"/>
    <d v="2002-03-17T00:00:00"/>
    <d v="2002-03-17T00:00:00"/>
    <d v="2002-03-17T00:00:00"/>
    <d v="2002-03-19T00:00:00"/>
    <s v="OTIF FAIL"/>
    <n v="9"/>
    <s v="1210_FG_CRC"/>
    <x v="0"/>
    <n v="1"/>
    <m/>
  </r>
  <r>
    <s v="0558115829-1"/>
    <s v="HPC"/>
    <n v="2"/>
    <n v="1250"/>
    <n v="0"/>
    <n v="40"/>
    <n v="40"/>
    <s v="CRAP"/>
    <d v="2001-08-30T00:00:00"/>
    <d v="2002-03-22T00:00:00"/>
    <s v="-"/>
    <s v="-"/>
    <d v="2002-03-24T00:00:00"/>
    <d v="2002-03-24T00:00:00"/>
    <s v="OTIF FAIL"/>
    <n v="1"/>
    <s v="1210_FG_CRC"/>
    <x v="9"/>
    <n v="1"/>
    <m/>
  </r>
  <r>
    <s v="0569022838-3"/>
    <s v="CST"/>
    <n v="0.7"/>
    <n v="1250"/>
    <n v="0"/>
    <n v="96"/>
    <n v="96"/>
    <s v="CRAP"/>
    <d v="2001-08-01T00:00:00"/>
    <d v="2002-03-10T00:00:00"/>
    <d v="2002-04-14T00:00:00"/>
    <d v="2002-04-14T00:00:00"/>
    <d v="2002-04-13T00:00:00"/>
    <d v="2002-04-22T00:00:00"/>
    <s v="OTIF FAIL"/>
    <n v="3"/>
    <s v="1210_FG_CRC"/>
    <x v="2"/>
    <n v="1"/>
    <m/>
  </r>
  <r>
    <s v="0558114850-3"/>
    <s v="HRC"/>
    <n v="1"/>
    <n v="1250"/>
    <n v="0"/>
    <n v="18"/>
    <n v="18"/>
    <s v="CRAP"/>
    <d v="2001-09-25T00:00:00"/>
    <d v="2002-02-28T00:00:00"/>
    <d v="2002-03-08T00:00:00"/>
    <d v="2002-03-08T00:00:00"/>
    <d v="2002-03-09T00:00:00"/>
    <d v="2002-03-10T00:00:00"/>
    <s v="OTIF FAIL"/>
    <n v="3"/>
    <s v="1210_FG_CRC"/>
    <x v="3"/>
    <n v="1"/>
    <m/>
  </r>
  <r>
    <s v="0558114850-4"/>
    <s v="HPC"/>
    <n v="0.5"/>
    <n v="1250"/>
    <n v="0"/>
    <n v="30"/>
    <n v="30"/>
    <s v="CRAP"/>
    <d v="2001-09-25T00:00:00"/>
    <d v="2002-02-28T00:00:00"/>
    <d v="2002-03-18T00:00:00"/>
    <d v="2002-03-18T00:00:00"/>
    <d v="2002-03-18T00:00:00"/>
    <d v="2002-03-19T00:00:00"/>
    <s v="OTIF FAIL"/>
    <n v="4"/>
    <s v="1210_FG_CRC"/>
    <x v="0"/>
    <n v="1"/>
    <m/>
  </r>
  <r>
    <s v="0558110540-2"/>
    <s v="CRC"/>
    <n v="1.5"/>
    <n v="1250"/>
    <n v="0"/>
    <n v="15"/>
    <n v="15"/>
    <s v="CRAP"/>
    <d v="2001-09-25T00:00:00"/>
    <d v="2002-02-28T00:00:00"/>
    <d v="2002-03-08T00:00:00"/>
    <d v="2002-03-08T00:00:00"/>
    <d v="2002-03-09T00:00:00"/>
    <d v="2002-03-09T00:00:00"/>
    <s v="OTIF FAIL"/>
    <n v="2"/>
    <s v="1210_FG_CRC"/>
    <x v="1"/>
    <n v="1"/>
    <m/>
  </r>
  <r>
    <s v="0558110540-3"/>
    <s v="HPC"/>
    <n v="1.5"/>
    <n v="1250"/>
    <n v="0"/>
    <n v="15"/>
    <n v="15"/>
    <s v="CRAP"/>
    <d v="2001-09-25T00:00:00"/>
    <d v="2002-02-28T00:00:00"/>
    <d v="2002-03-09T00:00:00"/>
    <d v="2002-03-09T00:00:00"/>
    <d v="2002-03-09T00:00:00"/>
    <d v="2002-03-09T00:00:00"/>
    <s v="OTIF FAIL"/>
    <n v="3"/>
    <s v="1210_FG_CRC"/>
    <x v="1"/>
    <n v="1"/>
    <m/>
  </r>
  <r>
    <s v="0558110446-2"/>
    <s v="CST"/>
    <n v="1"/>
    <n v="1219"/>
    <n v="0"/>
    <n v="165"/>
    <n v="109.29600000000001"/>
    <s v="CRAP"/>
    <d v="2001-09-25T00:00:00"/>
    <d v="2002-02-28T00:00:00"/>
    <d v="2002-03-04T00:00:00"/>
    <d v="2002-03-04T00:00:00"/>
    <d v="2002-03-07T00:00:00"/>
    <d v="2002-03-07T00:00:00"/>
    <s v="OTIF FAIL"/>
    <n v="2"/>
    <s v="1210_FG_CRC"/>
    <x v="1"/>
    <n v="0"/>
    <m/>
  </r>
  <r>
    <s v="0558112283-1"/>
    <s v="CST"/>
    <n v="0.63"/>
    <n v="1250"/>
    <n v="0"/>
    <n v="20"/>
    <n v="20"/>
    <s v="CRAP"/>
    <d v="2001-09-25T00:00:00"/>
    <d v="2002-03-05T00:00:00"/>
    <d v="2002-03-14T00:00:00"/>
    <d v="2002-03-14T00:00:00"/>
    <d v="2002-03-20T00:00:00"/>
    <d v="2002-03-20T00:00:00"/>
    <s v="OTIF FAIL"/>
    <n v="1"/>
    <s v="1210_FG_CRC"/>
    <x v="0"/>
    <n v="1"/>
    <m/>
  </r>
  <r>
    <s v="0558115789-7"/>
    <s v="CST"/>
    <n v="2"/>
    <n v="1150"/>
    <n v="0"/>
    <n v="7"/>
    <n v="7"/>
    <s v="CRAP"/>
    <d v="2001-09-25T00:00:00"/>
    <d v="2002-02-28T00:00:00"/>
    <d v="2002-03-13T00:00:00"/>
    <d v="2002-03-13T00:00:00"/>
    <d v="2002-03-12T00:00:00"/>
    <d v="2002-03-12T00:00:00"/>
    <s v="OTIF FAIL"/>
    <n v="7"/>
    <s v="1210_FG_CRC"/>
    <x v="3"/>
    <n v="1"/>
    <m/>
  </r>
  <r>
    <s v="0558115654-4"/>
    <s v="CRC"/>
    <n v="1.2"/>
    <n v="331"/>
    <n v="0"/>
    <n v="2"/>
    <n v="2"/>
    <s v="CRAP"/>
    <d v="2001-09-25T00:00:00"/>
    <d v="2002-02-28T00:00:00"/>
    <d v="2002-03-13T00:00:00"/>
    <d v="2002-03-13T00:00:00"/>
    <d v="2002-03-12T00:00:00"/>
    <d v="2002-03-12T00:00:00"/>
    <s v="OTIF FAIL"/>
    <n v="4"/>
    <s v="1210_FG_CRC"/>
    <x v="3"/>
    <n v="1"/>
    <m/>
  </r>
  <r>
    <s v="0558113657-1"/>
    <s v="CST"/>
    <n v="1.2"/>
    <n v="1250"/>
    <n v="0"/>
    <n v="75"/>
    <n v="75"/>
    <s v="CRAP"/>
    <d v="2001-08-07T00:00:00"/>
    <d v="2002-02-28T00:00:00"/>
    <d v="2002-03-10T00:00:00"/>
    <d v="2002-03-10T00:00:00"/>
    <d v="2002-03-15T00:00:00"/>
    <d v="2002-03-21T00:00:00"/>
    <s v="OTIF FAIL"/>
    <n v="1"/>
    <s v="1210_FG_CRC"/>
    <x v="0"/>
    <n v="1"/>
    <m/>
  </r>
  <r>
    <s v="0558115789-3"/>
    <s v="CST"/>
    <n v="2"/>
    <n v="1250"/>
    <n v="0"/>
    <n v="10"/>
    <n v="10"/>
    <s v="CRAP"/>
    <d v="2001-09-25T00:00:00"/>
    <d v="2002-02-28T00:00:00"/>
    <d v="2002-03-16T00:00:00"/>
    <d v="2002-03-16T00:00:00"/>
    <d v="2002-03-16T00:00:00"/>
    <d v="2002-03-16T00:00:00"/>
    <s v="OTIF FAIL"/>
    <n v="3"/>
    <s v="1210_FG_CRC"/>
    <x v="3"/>
    <n v="1"/>
    <m/>
  </r>
  <r>
    <s v="0558115789-1"/>
    <s v="CST"/>
    <n v="0.8"/>
    <n v="1250"/>
    <n v="0"/>
    <n v="8"/>
    <n v="7.7279999999999998"/>
    <s v="CRAP"/>
    <d v="2001-09-25T00:00:00"/>
    <d v="2002-02-28T00:00:00"/>
    <d v="2002-04-01T00:00:00"/>
    <d v="2002-04-01T00:00:00"/>
    <d v="2002-04-01T00:00:00"/>
    <d v="2002-04-01T00:00:00"/>
    <s v="OTIF FAIL"/>
    <n v="1"/>
    <s v="1210_FG_CRC"/>
    <x v="6"/>
    <n v="0"/>
    <m/>
  </r>
  <r>
    <s v="0558110446-1"/>
    <s v="CST"/>
    <n v="2"/>
    <n v="1219"/>
    <n v="0"/>
    <n v="60"/>
    <n v="60"/>
    <s v="CRAP"/>
    <d v="2001-09-25T00:00:00"/>
    <d v="2002-02-28T00:00:00"/>
    <d v="2002-03-07T00:00:00"/>
    <d v="2002-03-07T00:00:00"/>
    <d v="2002-03-08T00:00:00"/>
    <d v="2002-03-08T00:00:00"/>
    <s v="OTIF FAIL"/>
    <n v="1"/>
    <s v="1210_FG_CRC"/>
    <x v="1"/>
    <n v="1"/>
    <m/>
  </r>
  <r>
    <s v="0558114849-8"/>
    <s v="CST"/>
    <n v="1"/>
    <n v="1250"/>
    <n v="0"/>
    <n v="18"/>
    <n v="18"/>
    <s v="CRAP"/>
    <d v="2001-08-25T00:00:00"/>
    <d v="2002-02-28T00:00:00"/>
    <d v="2002-03-08T00:00:00"/>
    <d v="2002-03-08T00:00:00"/>
    <d v="2002-03-09T00:00:00"/>
    <d v="2002-03-10T00:00:00"/>
    <s v="OTIF FAIL"/>
    <n v="8"/>
    <s v="1210_FG_CRC"/>
    <x v="3"/>
    <n v="1"/>
    <m/>
  </r>
  <r>
    <s v="0558114849-3"/>
    <s v="HRC"/>
    <n v="1"/>
    <n v="1219"/>
    <n v="0"/>
    <n v="165"/>
    <n v="165"/>
    <s v="CRAP"/>
    <d v="2001-08-25T00:00:00"/>
    <d v="2002-02-27T00:00:00"/>
    <d v="2002-03-08T00:00:00"/>
    <d v="2002-03-08T00:00:00"/>
    <d v="2002-03-06T00:00:00"/>
    <d v="2002-03-07T00:00:00"/>
    <s v="OTIF FAIL"/>
    <n v="3"/>
    <s v="1210_FG_CRC"/>
    <x v="1"/>
    <n v="1"/>
    <m/>
  </r>
  <r>
    <s v="0558115789-6"/>
    <s v="HRC"/>
    <n v="1.2"/>
    <n v="1150"/>
    <n v="0"/>
    <n v="9"/>
    <n v="9"/>
    <s v="CRAP"/>
    <d v="2001-09-25T00:00:00"/>
    <d v="2002-02-28T00:00:00"/>
    <d v="2002-03-13T00:00:00"/>
    <d v="2002-03-13T00:00:00"/>
    <d v="2002-03-12T00:00:00"/>
    <d v="2002-03-12T00:00:00"/>
    <s v="OTIF FAIL"/>
    <n v="6"/>
    <s v="1210_FG_CRC"/>
    <x v="3"/>
    <n v="1"/>
    <m/>
  </r>
  <r>
    <s v="0558114850-2"/>
    <s v="HRC"/>
    <n v="0.5"/>
    <n v="1150"/>
    <n v="0"/>
    <n v="34"/>
    <n v="34"/>
    <s v="CRAP"/>
    <d v="2001-09-25T00:00:00"/>
    <d v="2002-02-28T00:00:00"/>
    <d v="2002-03-15T00:00:00"/>
    <d v="2002-03-15T00:00:00"/>
    <d v="2002-03-22T00:00:00"/>
    <d v="2002-03-22T00:00:00"/>
    <s v="OTIF FAIL"/>
    <n v="2"/>
    <s v="1210_FG_CRC"/>
    <x v="0"/>
    <n v="1"/>
    <m/>
  </r>
  <r>
    <s v="0558114849-5"/>
    <s v="CST"/>
    <n v="2.5"/>
    <n v="1219"/>
    <n v="0"/>
    <n v="18"/>
    <n v="18"/>
    <s v="CRAP"/>
    <d v="2001-08-25T00:00:00"/>
    <d v="2002-02-28T00:00:00"/>
    <d v="2002-03-05T00:00:00"/>
    <d v="2002-03-05T00:00:00"/>
    <d v="2002-03-07T00:00:00"/>
    <d v="2002-03-07T00:00:00"/>
    <s v="OTIF FAIL"/>
    <n v="5"/>
    <s v="1210_FG_CRC"/>
    <x v="1"/>
    <n v="1"/>
    <m/>
  </r>
  <r>
    <s v="0558113973-3"/>
    <s v="CST"/>
    <n v="1"/>
    <n v="1250"/>
    <n v="0"/>
    <n v="20"/>
    <n v="10.374000000000001"/>
    <s v="CRAP"/>
    <d v="2001-08-16T00:00:00"/>
    <d v="2002-02-28T00:00:00"/>
    <d v="2002-04-06T00:00:00"/>
    <d v="2002-04-06T00:00:00"/>
    <d v="2002-04-06T00:00:00"/>
    <d v="2002-04-06T00:00:00"/>
    <s v="OTIF FAIL"/>
    <n v="3"/>
    <s v="1210_FG_CRC"/>
    <x v="6"/>
    <n v="0"/>
    <m/>
  </r>
  <r>
    <s v="0558101516-1"/>
    <s v="HPC"/>
    <n v="0.5"/>
    <n v="1250"/>
    <n v="0"/>
    <n v="44"/>
    <n v="13.576000000000001"/>
    <s v="CRAP"/>
    <d v="2001-09-25T00:00:00"/>
    <d v="2002-02-28T00:00:00"/>
    <d v="2002-03-20T00:00:00"/>
    <d v="2002-03-20T00:00:00"/>
    <d v="2002-03-20T00:00:00"/>
    <d v="2002-03-20T00:00:00"/>
    <s v="OTIF FAIL"/>
    <n v="1"/>
    <s v="1210_FG_CRC"/>
    <x v="0"/>
    <n v="0"/>
    <m/>
  </r>
  <r>
    <s v="0558108823-3"/>
    <s v="CST"/>
    <n v="1.2"/>
    <n v="1250"/>
    <n v="0"/>
    <n v="100"/>
    <n v="5.19"/>
    <s v="CRAP"/>
    <d v="2001-09-25T00:00:00"/>
    <d v="2002-02-28T00:00:00"/>
    <d v="2002-03-21T00:00:00"/>
    <d v="2002-03-21T00:00:00"/>
    <d v="2002-03-21T00:00:00"/>
    <d v="2002-03-21T00:00:00"/>
    <s v="OTIF FAIL"/>
    <n v="3"/>
    <s v="1210_FG_CRC"/>
    <x v="0"/>
    <n v="0"/>
    <m/>
  </r>
  <r>
    <s v="0558114849-6"/>
    <s v="CST"/>
    <n v="1.2"/>
    <n v="1150"/>
    <n v="0"/>
    <n v="17"/>
    <n v="17"/>
    <s v="CRAP"/>
    <d v="2001-08-25T00:00:00"/>
    <d v="2002-02-28T00:00:00"/>
    <d v="2002-03-12T00:00:00"/>
    <d v="2002-03-12T00:00:00"/>
    <d v="2002-03-18T00:00:00"/>
    <d v="2002-03-18T00:00:00"/>
    <s v="OTIF FAIL"/>
    <n v="6"/>
    <s v="1210_FG_CRC"/>
    <x v="0"/>
    <n v="1"/>
    <m/>
  </r>
  <r>
    <s v="0558113655-1"/>
    <s v="CST"/>
    <n v="1.2"/>
    <n v="1250"/>
    <n v="0"/>
    <n v="75"/>
    <n v="75"/>
    <s v="CRAP"/>
    <d v="2001-08-07T00:00:00"/>
    <d v="2002-02-28T00:00:00"/>
    <d v="2002-03-21T00:00:00"/>
    <d v="2002-03-21T00:00:00"/>
    <d v="2002-03-21T00:00:00"/>
    <d v="2002-03-21T00:00:00"/>
    <s v="OTIF FAIL"/>
    <n v="1"/>
    <s v="1210_FG_CRC"/>
    <x v="0"/>
    <n v="1"/>
    <m/>
  </r>
  <r>
    <s v="0558115789-2"/>
    <s v="HRC"/>
    <n v="1"/>
    <n v="1250"/>
    <n v="0"/>
    <n v="8"/>
    <n v="8"/>
    <s v="CRAP"/>
    <d v="2001-09-25T00:00:00"/>
    <d v="2002-02-28T00:00:00"/>
    <d v="2002-04-06T00:00:00"/>
    <d v="2002-04-06T00:00:00"/>
    <d v="2002-04-06T00:00:00"/>
    <d v="2002-04-06T00:00:00"/>
    <s v="OTIF FAIL"/>
    <n v="2"/>
    <s v="1210_FG_CRC"/>
    <x v="6"/>
    <n v="1"/>
    <m/>
  </r>
  <r>
    <s v="0558115654-1"/>
    <s v="CRC"/>
    <n v="1.2"/>
    <n v="438"/>
    <n v="0"/>
    <n v="6"/>
    <n v="6"/>
    <s v="CRAP"/>
    <d v="2001-09-25T00:00:00"/>
    <d v="2002-02-28T00:00:00"/>
    <d v="2002-03-13T00:00:00"/>
    <d v="2002-03-13T00:00:00"/>
    <d v="2002-03-12T00:00:00"/>
    <d v="2002-03-12T00:00:00"/>
    <s v="OTIF FAIL"/>
    <n v="1"/>
    <s v="1210_FG_CRC"/>
    <x v="3"/>
    <n v="1"/>
    <m/>
  </r>
  <r>
    <s v="0558115654-2"/>
    <s v="HRC"/>
    <n v="1.2"/>
    <n v="406"/>
    <n v="0"/>
    <n v="2"/>
    <n v="2"/>
    <s v="CRAP"/>
    <d v="2001-09-25T00:00:00"/>
    <d v="2002-02-28T00:00:00"/>
    <d v="2002-03-13T00:00:00"/>
    <d v="2002-03-13T00:00:00"/>
    <d v="2002-03-12T00:00:00"/>
    <d v="2002-03-12T00:00:00"/>
    <s v="OTIF FAIL"/>
    <n v="2"/>
    <s v="1210_FG_CRC"/>
    <x v="3"/>
    <n v="1"/>
    <m/>
  </r>
  <r>
    <s v="0558115654-3"/>
    <s v="CST"/>
    <n v="1.2"/>
    <n v="354"/>
    <n v="0"/>
    <n v="2"/>
    <n v="2"/>
    <s v="CRAP"/>
    <d v="2001-09-25T00:00:00"/>
    <d v="2002-02-28T00:00:00"/>
    <d v="2002-03-13T00:00:00"/>
    <d v="2002-03-13T00:00:00"/>
    <d v="2002-03-12T00:00:00"/>
    <d v="2002-03-12T00:00:00"/>
    <s v="OTIF FAIL"/>
    <n v="3"/>
    <s v="1210_FG_CRC"/>
    <x v="3"/>
    <n v="1"/>
    <m/>
  </r>
  <r>
    <s v="0558114847-2"/>
    <s v="CST"/>
    <n v="0.5"/>
    <n v="1250"/>
    <n v="0"/>
    <n v="40"/>
    <n v="40"/>
    <s v="CRAP"/>
    <d v="2001-08-25T00:00:00"/>
    <d v="2002-02-28T00:00:00"/>
    <d v="2002-03-19T00:00:00"/>
    <d v="2002-03-19T00:00:00"/>
    <d v="2002-03-19T00:00:00"/>
    <d v="2002-03-19T00:00:00"/>
    <s v="OTIF FAIL"/>
    <n v="2"/>
    <s v="1210_FG_CRC"/>
    <x v="0"/>
    <n v="1"/>
    <m/>
  </r>
  <r>
    <s v="0558111299-5"/>
    <s v="CST"/>
    <n v="1"/>
    <n v="1250"/>
    <n v="0"/>
    <n v="20"/>
    <n v="20"/>
    <s v="CRAP"/>
    <d v="2001-09-25T00:00:00"/>
    <d v="2002-02-26T00:00:00"/>
    <d v="2002-03-16T00:00:00"/>
    <d v="2002-03-16T00:00:00"/>
    <d v="2002-03-23T00:00:00"/>
    <d v="2002-03-29T00:00:00"/>
    <s v="OTIF FAIL"/>
    <n v="5"/>
    <s v="1210_FG_CRC"/>
    <x v="9"/>
    <n v="1"/>
    <m/>
  </r>
  <r>
    <s v="0558115789-5"/>
    <s v="HRC"/>
    <n v="1"/>
    <n v="1150"/>
    <n v="0"/>
    <n v="6"/>
    <n v="6"/>
    <s v="CRAP"/>
    <d v="2001-09-25T00:00:00"/>
    <d v="2002-02-28T00:00:00"/>
    <d v="2002-03-11T00:00:00"/>
    <d v="2002-03-11T00:00:00"/>
    <d v="2002-03-09T00:00:00"/>
    <d v="2002-03-09T00:00:00"/>
    <s v="OTIF FAIL"/>
    <n v="5"/>
    <s v="1210_FG_CRC"/>
    <x v="1"/>
    <n v="1"/>
    <m/>
  </r>
  <r>
    <s v="0558104343-3"/>
    <s v="HPC"/>
    <n v="1.2"/>
    <n v="1150.0999999999999"/>
    <n v="0"/>
    <n v="50"/>
    <n v="6.14"/>
    <s v="CRAP"/>
    <d v="2001-09-25T00:00:00"/>
    <d v="2002-02-28T00:00:00"/>
    <d v="2002-03-13T00:00:00"/>
    <d v="2002-03-13T00:00:00"/>
    <d v="2002-03-12T00:00:00"/>
    <d v="2002-03-12T00:00:00"/>
    <s v="OTIF FAIL"/>
    <n v="3"/>
    <s v="1210_FG_CRC"/>
    <x v="3"/>
    <n v="0"/>
    <m/>
  </r>
  <r>
    <s v="0558115789-4"/>
    <s v="CRC"/>
    <n v="0.5"/>
    <n v="1150"/>
    <n v="0"/>
    <n v="32"/>
    <n v="32"/>
    <s v="CRAP"/>
    <d v="2001-09-25T00:00:00"/>
    <d v="2002-02-28T00:00:00"/>
    <d v="2002-03-20T00:00:00"/>
    <d v="2002-03-20T00:00:00"/>
    <d v="2002-03-20T00:00:00"/>
    <d v="2002-03-20T00:00:00"/>
    <s v="OTIF FAIL"/>
    <n v="4"/>
    <s v="1210_FG_CRC"/>
    <x v="0"/>
    <n v="1"/>
    <m/>
  </r>
  <r>
    <s v="0558113651-2"/>
    <s v="PSS"/>
    <n v="1.2"/>
    <n v="1250"/>
    <n v="0"/>
    <n v="100"/>
    <n v="100"/>
    <s v="CRAP"/>
    <d v="2001-08-07T00:00:00"/>
    <d v="2002-02-28T00:00:00"/>
    <d v="2002-03-12T00:00:00"/>
    <d v="2002-03-12T00:00:00"/>
    <d v="2002-03-15T00:00:00"/>
    <d v="2002-03-21T00:00:00"/>
    <s v="OTIF FAIL"/>
    <n v="2"/>
    <s v="1210_FG_CRC"/>
    <x v="0"/>
    <n v="1"/>
    <m/>
  </r>
  <r>
    <s v="0558110446-6"/>
    <s v="CRC"/>
    <n v="0.5"/>
    <n v="1150.0999999999999"/>
    <n v="0"/>
    <n v="35"/>
    <n v="35"/>
    <s v="CRAP"/>
    <d v="2001-09-25T00:00:00"/>
    <d v="2002-02-28T00:00:00"/>
    <d v="2002-03-16T00:00:00"/>
    <d v="2002-03-16T00:00:00"/>
    <d v="2002-03-16T00:00:00"/>
    <d v="2002-03-16T00:00:00"/>
    <s v="OTIF FAIL"/>
    <n v="6"/>
    <s v="1210_FG_CRC"/>
    <x v="3"/>
    <n v="1"/>
    <m/>
  </r>
  <r>
    <s v="0558114847-1"/>
    <s v="CRC"/>
    <n v="1"/>
    <n v="1250"/>
    <n v="0"/>
    <n v="18"/>
    <n v="18"/>
    <s v="CRAP"/>
    <d v="2001-08-25T00:00:00"/>
    <d v="2002-02-28T00:00:00"/>
    <d v="2002-03-09T00:00:00"/>
    <d v="2002-03-09T00:00:00"/>
    <d v="2002-03-10T00:00:00"/>
    <d v="2002-03-10T00:00:00"/>
    <s v="OTIF FAIL"/>
    <n v="1"/>
    <s v="1210_FG_CRC"/>
    <x v="3"/>
    <n v="1"/>
    <m/>
  </r>
  <r>
    <s v="0558113649-6"/>
    <s v="HPC"/>
    <n v="2"/>
    <n v="1250"/>
    <n v="0"/>
    <n v="18"/>
    <n v="9.3379999999999992"/>
    <s v="CRAP"/>
    <d v="2001-08-07T00:00:00"/>
    <d v="2002-02-28T00:00:00"/>
    <d v="2002-03-16T00:00:00"/>
    <d v="2002-03-16T00:00:00"/>
    <d v="2002-03-16T00:00:00"/>
    <d v="2002-03-16T00:00:00"/>
    <s v="OTIF FAIL"/>
    <n v="6"/>
    <s v="1210_FG_CRC"/>
    <x v="3"/>
    <n v="0"/>
    <m/>
  </r>
  <r>
    <s v="0558114849-7"/>
    <s v="CST"/>
    <n v="0.5"/>
    <n v="1150"/>
    <n v="0"/>
    <n v="34"/>
    <n v="34"/>
    <s v="CRAP"/>
    <d v="2001-08-25T00:00:00"/>
    <d v="2002-02-28T00:00:00"/>
    <d v="2002-03-20T00:00:00"/>
    <d v="2002-03-20T00:00:00"/>
    <d v="2002-03-20T00:00:00"/>
    <d v="2002-03-22T00:00:00"/>
    <s v="OTIF FAIL"/>
    <n v="7"/>
    <s v="1210_FG_CRC"/>
    <x v="0"/>
    <n v="1"/>
    <m/>
  </r>
  <r>
    <s v="0558114850-1"/>
    <s v="CST"/>
    <n v="1.2"/>
    <n v="1150"/>
    <n v="0"/>
    <n v="17"/>
    <n v="17"/>
    <s v="CRAP"/>
    <d v="2001-09-25T00:00:00"/>
    <d v="2002-02-28T00:00:00"/>
    <d v="2002-03-11T00:00:00"/>
    <d v="2002-03-11T00:00:00"/>
    <d v="2002-03-18T00:00:00"/>
    <d v="2002-03-18T00:00:00"/>
    <s v="OTIF FAIL"/>
    <n v="1"/>
    <s v="1210_FG_CRC"/>
    <x v="0"/>
    <n v="1"/>
    <m/>
  </r>
  <r>
    <s v="0558108341-1"/>
    <s v="CST"/>
    <n v="0.4"/>
    <n v="1250"/>
    <n v="0"/>
    <n v="20"/>
    <n v="20"/>
    <s v="CRAP"/>
    <d v="2001-09-25T00:00:00"/>
    <d v="2002-02-28T00:00:00"/>
    <d v="2002-03-17T00:00:00"/>
    <d v="2002-03-17T00:00:00"/>
    <d v="2002-03-17T00:00:00"/>
    <d v="2002-03-17T00:00:00"/>
    <s v="OTIF FAIL"/>
    <n v="1"/>
    <s v="1210_FG_CRC"/>
    <x v="0"/>
    <n v="1"/>
    <m/>
  </r>
  <r>
    <s v="0558108095-3"/>
    <s v="CST"/>
    <n v="0.5"/>
    <n v="1250"/>
    <n v="0"/>
    <n v="40"/>
    <n v="21.256"/>
    <s v="CRAP"/>
    <d v="2001-09-25T00:00:00"/>
    <d v="2002-02-28T00:00:00"/>
    <d v="2002-03-20T00:00:00"/>
    <d v="2002-03-20T00:00:00"/>
    <d v="2002-03-20T00:00:00"/>
    <d v="2002-03-20T00:00:00"/>
    <s v="OTIF FAIL"/>
    <n v="3"/>
    <s v="1210_FG_CRC"/>
    <x v="0"/>
    <n v="0"/>
    <m/>
  </r>
  <r>
    <s v="0558108821-3"/>
    <s v="HRC"/>
    <n v="1.2"/>
    <n v="1250"/>
    <n v="0"/>
    <n v="100"/>
    <n v="6.9939999999999998"/>
    <s v="CRAP"/>
    <d v="2001-09-25T00:00:00"/>
    <d v="2002-02-28T00:00:00"/>
    <d v="2002-03-21T00:00:00"/>
    <d v="2002-03-21T00:00:00"/>
    <d v="2002-03-21T00:00:00"/>
    <d v="2002-03-21T00:00:00"/>
    <s v="OTIF FAIL"/>
    <n v="3"/>
    <s v="1210_FG_CRC"/>
    <x v="0"/>
    <n v="0"/>
    <m/>
  </r>
  <r>
    <s v="0558114849-4"/>
    <s v="HRC"/>
    <n v="2"/>
    <n v="1219"/>
    <n v="0"/>
    <n v="50"/>
    <n v="50"/>
    <s v="CRAP"/>
    <d v="2001-08-25T00:00:00"/>
    <d v="2002-02-28T00:00:00"/>
    <d v="2002-03-07T00:00:00"/>
    <d v="2002-03-07T00:00:00"/>
    <d v="2002-03-08T00:00:00"/>
    <d v="2002-03-08T00:00:00"/>
    <s v="OTIF FAIL"/>
    <n v="4"/>
    <s v="1210_FG_CRC"/>
    <x v="1"/>
    <n v="1"/>
    <m/>
  </r>
  <r>
    <s v="0558116590-2"/>
    <s v="JBS"/>
    <n v="0.8"/>
    <n v="1250"/>
    <n v="0"/>
    <n v="6"/>
    <n v="3"/>
    <s v="CRAP"/>
    <d v="2002-03-10T00:00:00"/>
    <d v="2002-04-08T00:00:00"/>
    <s v="-"/>
    <s v="-"/>
    <d v="2002-04-08T00:00:00"/>
    <d v="2002-04-08T00:00:00"/>
    <s v="OTIF FAIL"/>
    <n v="2"/>
    <s v="1210_FG_CRC"/>
    <x v="7"/>
    <n v="0"/>
    <m/>
  </r>
  <r>
    <s v="0558113653-2"/>
    <s v="HRC"/>
    <n v="1.2"/>
    <n v="1250"/>
    <n v="0"/>
    <n v="100"/>
    <n v="62.152000000000001"/>
    <s v="CRAP"/>
    <d v="2001-08-07T00:00:00"/>
    <d v="2002-02-28T00:00:00"/>
    <d v="2002-03-21T00:00:00"/>
    <d v="2002-03-21T00:00:00"/>
    <d v="2002-03-21T00:00:00"/>
    <d v="2002-03-21T00:00:00"/>
    <s v="OTIF FAIL"/>
    <n v="2"/>
    <s v="1210_FG_CRC"/>
    <x v="0"/>
    <n v="0"/>
    <m/>
  </r>
  <r>
    <s v="0558115654-5"/>
    <s v="CST"/>
    <n v="1.2"/>
    <n v="288"/>
    <n v="0"/>
    <n v="2"/>
    <n v="2"/>
    <s v="CRAP"/>
    <d v="2001-09-25T00:00:00"/>
    <d v="2002-02-28T00:00:00"/>
    <d v="2002-03-13T00:00:00"/>
    <d v="2002-03-13T00:00:00"/>
    <d v="2002-03-12T00:00:00"/>
    <d v="2002-03-12T00:00:00"/>
    <s v="OTIF FAIL"/>
    <n v="5"/>
    <s v="1210_FG_CRC"/>
    <x v="3"/>
    <n v="1"/>
    <m/>
  </r>
  <r>
    <s v="0558106469-3"/>
    <s v="CRC"/>
    <n v="1"/>
    <n v="1250"/>
    <n v="0"/>
    <n v="20"/>
    <n v="2.2959999999999998"/>
    <s v="CRAP"/>
    <d v="2001-09-25T00:00:00"/>
    <d v="2002-02-28T00:00:00"/>
    <d v="2002-04-06T00:00:00"/>
    <d v="2002-04-06T00:00:00"/>
    <d v="2002-04-06T00:00:00"/>
    <d v="2002-04-06T00:00:00"/>
    <s v="OTIF FAIL"/>
    <n v="3"/>
    <s v="1210_FG_CRC"/>
    <x v="6"/>
    <n v="0"/>
    <m/>
  </r>
  <r>
    <s v="0558108341-2"/>
    <s v="CRC"/>
    <n v="0.6"/>
    <n v="1250"/>
    <n v="0"/>
    <n v="20"/>
    <n v="20"/>
    <s v="CRAP"/>
    <d v="2001-09-25T00:00:00"/>
    <d v="2002-02-28T00:00:00"/>
    <d v="2002-03-17T00:00:00"/>
    <d v="2002-03-17T00:00:00"/>
    <d v="2002-03-17T00:00:00"/>
    <d v="2002-03-17T00:00:00"/>
    <s v="OTIF FAIL"/>
    <n v="2"/>
    <s v="1210_FG_CRC"/>
    <x v="0"/>
    <n v="1"/>
    <m/>
  </r>
  <r>
    <s v="0569022523-1"/>
    <s v="CRC"/>
    <n v="0.4"/>
    <n v="375.5"/>
    <n v="0"/>
    <n v="80"/>
    <n v="19.385000000000002"/>
    <s v="CRAP"/>
    <d v="2001-09-25T00:00:00"/>
    <d v="2002-03-02T00:00:00"/>
    <d v="2002-02-27T00:00:00"/>
    <d v="2002-03-02T00:00:00"/>
    <d v="2002-01-10T00:00:00"/>
    <d v="2002-01-24T00:00:00"/>
    <s v="OTIF PASS"/>
    <n v="1"/>
    <s v="1210_FG_CRC"/>
    <x v="8"/>
    <n v="0"/>
    <m/>
  </r>
  <r>
    <s v="0519010821-4"/>
    <s v="CRC"/>
    <n v="0.8"/>
    <n v="158"/>
    <n v="0"/>
    <n v="2.4"/>
    <n v="2.4"/>
    <s v="CRAP"/>
    <d v="2002-02-06T00:00:00"/>
    <d v="2002-02-21T00:00:00"/>
    <d v="2002-03-23T00:00:00"/>
    <d v="2002-03-23T00:00:00"/>
    <d v="2002-03-16T00:00:00"/>
    <d v="2002-05-16T00:00:00"/>
    <s v="OTIF FAIL"/>
    <n v="4"/>
    <s v="1110_FG_CRC"/>
    <x v="4"/>
    <n v="1"/>
    <m/>
  </r>
  <r>
    <s v="0519010821-1"/>
    <s v="CST"/>
    <n v="0.8"/>
    <n v="78"/>
    <n v="0"/>
    <n v="5"/>
    <n v="5"/>
    <s v="CRAP"/>
    <d v="2002-02-06T00:00:00"/>
    <d v="2002-02-21T00:00:00"/>
    <d v="2002-03-31T00:00:00"/>
    <d v="2002-03-31T00:00:00"/>
    <d v="2002-03-31T00:00:00"/>
    <d v="2002-03-31T00:00:00"/>
    <s v="OTIF FAIL"/>
    <n v="1"/>
    <s v="1110_FG_CRC"/>
    <x v="6"/>
    <n v="1"/>
    <m/>
  </r>
  <r>
    <s v="0558112603-2"/>
    <s v="CST"/>
    <n v="1.2"/>
    <n v="1000"/>
    <n v="0"/>
    <n v="6"/>
    <n v="6"/>
    <s v="CRAP"/>
    <d v="2001-09-25T00:00:00"/>
    <d v="2002-03-05T00:00:00"/>
    <d v="2002-03-29T00:00:00"/>
    <d v="2002-03-29T00:00:00"/>
    <d v="2002-03-29T00:00:00"/>
    <d v="2002-03-29T00:00:00"/>
    <s v="OTIF FAIL"/>
    <n v="2"/>
    <s v="1210_FG_CRC"/>
    <x v="9"/>
    <n v="1"/>
    <m/>
  </r>
  <r>
    <s v="0558114646-1"/>
    <s v="CST"/>
    <n v="1.2"/>
    <n v="1000"/>
    <n v="0"/>
    <n v="3"/>
    <n v="3"/>
    <s v="CRAP"/>
    <d v="2001-08-23T00:00:00"/>
    <d v="2002-02-21T00:00:00"/>
    <d v="2002-03-29T00:00:00"/>
    <d v="2002-03-29T00:00:00"/>
    <d v="2002-03-29T00:00:00"/>
    <d v="2002-03-29T00:00:00"/>
    <s v="OTIF FAIL"/>
    <n v="1"/>
    <s v="1210_FG_CRC"/>
    <x v="9"/>
    <n v="1"/>
    <m/>
  </r>
  <r>
    <s v="0558111257-1"/>
    <s v="CST"/>
    <n v="0.4"/>
    <n v="1250"/>
    <n v="0"/>
    <n v="44"/>
    <n v="44"/>
    <s v="CRAP"/>
    <d v="2001-09-25T00:00:00"/>
    <d v="2002-03-01T00:00:00"/>
    <d v="2002-02-26T00:00:00"/>
    <d v="2002-03-01T00:00:00"/>
    <d v="2002-01-23T00:00:00"/>
    <d v="2002-01-23T00:00:00"/>
    <s v="OTIF PASS"/>
    <n v="1"/>
    <s v="1210_FG_CRC"/>
    <x v="8"/>
    <n v="1"/>
    <m/>
  </r>
  <r>
    <s v="0519010821-2"/>
    <s v="CST"/>
    <n v="0.8"/>
    <n v="98"/>
    <n v="0"/>
    <n v="5"/>
    <n v="5"/>
    <s v="CRAP"/>
    <d v="2002-02-06T00:00:00"/>
    <d v="2002-02-21T00:00:00"/>
    <d v="2002-03-25T00:00:00"/>
    <d v="2002-03-25T00:00:00"/>
    <d v="2002-03-19T00:00:00"/>
    <d v="2002-05-16T00:00:00"/>
    <s v="OTIF FAIL"/>
    <n v="2"/>
    <s v="1110_FG_CRC"/>
    <x v="4"/>
    <n v="1"/>
    <m/>
  </r>
  <r>
    <s v="0519010821-3"/>
    <s v="CST"/>
    <n v="0.8"/>
    <n v="118"/>
    <n v="0"/>
    <n v="5"/>
    <n v="5"/>
    <s v="CRAP"/>
    <d v="2002-02-06T00:00:00"/>
    <d v="2002-02-21T00:00:00"/>
    <d v="2002-03-31T00:00:00"/>
    <d v="2002-03-31T00:00:00"/>
    <d v="2002-03-31T00:00:00"/>
    <d v="2002-05-16T00:00:00"/>
    <s v="OTIF FAIL"/>
    <n v="3"/>
    <s v="1110_FG_CRC"/>
    <x v="4"/>
    <n v="1"/>
    <m/>
  </r>
  <r>
    <s v="0519010807-4"/>
    <s v="CST"/>
    <n v="1.1499999999999999"/>
    <n v="195.5"/>
    <n v="0"/>
    <n v="3.1"/>
    <n v="3.1"/>
    <s v="CRAP"/>
    <d v="2001-08-23T00:00:00"/>
    <d v="2002-02-27T00:00:00"/>
    <d v="2002-03-19T00:00:00"/>
    <d v="2002-03-19T00:00:00"/>
    <d v="2002-03-19T00:00:00"/>
    <d v="2002-03-19T00:00:00"/>
    <s v="OTIF FAIL"/>
    <n v="4"/>
    <s v="1110_FG_CRC"/>
    <x v="0"/>
    <n v="1"/>
    <m/>
  </r>
  <r>
    <s v="0519010807-3"/>
    <s v="CST"/>
    <n v="1.1499999999999999"/>
    <n v="159.30000000000001"/>
    <n v="0"/>
    <n v="5.0999999999999996"/>
    <n v="5.0999999999999996"/>
    <s v="CRAP"/>
    <d v="2001-08-23T00:00:00"/>
    <d v="2002-02-27T00:00:00"/>
    <d v="2002-03-19T00:00:00"/>
    <d v="2002-03-19T00:00:00"/>
    <d v="2002-03-19T00:00:00"/>
    <d v="2002-03-19T00:00:00"/>
    <s v="OTIF FAIL"/>
    <n v="3"/>
    <s v="1110_FG_CRC"/>
    <x v="0"/>
    <n v="1"/>
    <m/>
  </r>
  <r>
    <s v="0569023124-2"/>
    <s v="CST"/>
    <n v="1.45"/>
    <n v="1000"/>
    <n v="0"/>
    <n v="20"/>
    <n v="20"/>
    <s v="CRAP"/>
    <d v="2001-08-27T00:00:00"/>
    <d v="2002-03-31T00:00:00"/>
    <d v="2002-03-31T00:00:00"/>
    <d v="2002-03-31T00:00:00"/>
    <d v="2002-03-31T00:00:00"/>
    <d v="2002-03-31T00:00:00"/>
    <s v="OTIF PASS"/>
    <n v="2"/>
    <s v="1210_FG_CRC"/>
    <x v="6"/>
    <n v="1"/>
    <m/>
  </r>
  <r>
    <s v="0519010633-1"/>
    <s v="HRC"/>
    <n v="0.8"/>
    <n v="318"/>
    <n v="0"/>
    <n v="7.3"/>
    <n v="2.5339999999999998"/>
    <s v="CRAP"/>
    <d v="2001-09-25T00:00:00"/>
    <d v="2002-02-27T00:00:00"/>
    <d v="2002-03-23T00:00:00"/>
    <d v="2002-03-23T00:00:00"/>
    <d v="2002-03-16T00:00:00"/>
    <d v="2002-03-16T00:00:00"/>
    <s v="OTIF FAIL"/>
    <n v="1"/>
    <s v="1110_FG_CRC"/>
    <x v="3"/>
    <n v="0"/>
    <m/>
  </r>
  <r>
    <s v="0558108565-2"/>
    <s v="CST"/>
    <n v="0.5"/>
    <n v="1250"/>
    <n v="0"/>
    <n v="44"/>
    <n v="7.0529999999999999"/>
    <s v="CRAP"/>
    <d v="2001-09-25T00:00:00"/>
    <d v="2002-03-01T00:00:00"/>
    <s v="-"/>
    <s v="-"/>
    <d v="2002-01-20T00:00:00"/>
    <d v="2002-01-20T00:00:00"/>
    <s v="OTIF FAIL"/>
    <n v="2"/>
    <s v="1210_FG_CRC"/>
    <x v="8"/>
    <n v="0"/>
    <m/>
  </r>
  <r>
    <s v="0569023074-1"/>
    <s v="CST"/>
    <n v="1.18"/>
    <n v="1000"/>
    <n v="0"/>
    <n v="116"/>
    <n v="33.838000000000001"/>
    <s v="CRAP"/>
    <d v="2001-08-23T00:00:00"/>
    <d v="2002-02-27T00:00:00"/>
    <d v="2002-03-24T00:00:00"/>
    <d v="2002-03-24T00:00:00"/>
    <d v="2002-03-24T00:00:00"/>
    <d v="2002-04-07T00:00:00"/>
    <s v="OTIF FAIL"/>
    <n v="1"/>
    <s v="1210_FG_CRC"/>
    <x v="7"/>
    <n v="0"/>
    <m/>
  </r>
  <r>
    <s v="0569022501-3"/>
    <s v="HPC"/>
    <n v="0.7"/>
    <n v="1250"/>
    <n v="0"/>
    <n v="3"/>
    <n v="3"/>
    <s v="CRAP"/>
    <d v="2001-09-25T00:00:00"/>
    <d v="2002-03-10T00:00:00"/>
    <d v="2002-04-29T00:00:00"/>
    <d v="2002-04-29T00:00:00"/>
    <d v="2002-04-22T00:00:00"/>
    <d v="2002-04-22T00:00:00"/>
    <s v="OTIF FAIL"/>
    <n v="3"/>
    <s v="1210_FG_CRC"/>
    <x v="2"/>
    <n v="1"/>
    <m/>
  </r>
  <r>
    <s v="0568012672-3"/>
    <s v="CST"/>
    <n v="0.8"/>
    <n v="1000"/>
    <n v="0"/>
    <n v="10"/>
    <n v="10"/>
    <s v="CRAP"/>
    <d v="2001-08-07T00:00:00"/>
    <d v="2002-02-27T00:00:00"/>
    <s v="-"/>
    <s v="-"/>
    <d v="2002-03-29T00:00:00"/>
    <d v="2002-03-29T00:00:00"/>
    <s v="OTIF FAIL"/>
    <n v="3"/>
    <s v="1210_FG_CRC"/>
    <x v="9"/>
    <n v="1"/>
    <m/>
  </r>
  <r>
    <s v="0569022900-1"/>
    <s v="CST"/>
    <n v="0.4"/>
    <n v="375.5"/>
    <n v="0"/>
    <n v="70"/>
    <n v="70"/>
    <s v="CRAP"/>
    <d v="2001-08-07T00:00:00"/>
    <d v="2002-03-03T00:00:00"/>
    <d v="2002-02-28T00:00:00"/>
    <d v="2002-03-03T00:00:00"/>
    <d v="2002-01-24T00:00:00"/>
    <d v="2002-01-24T00:00:00"/>
    <s v="OTIF PASS"/>
    <n v="1"/>
    <s v="1210_FG_CRC"/>
    <x v="8"/>
    <n v="1"/>
    <m/>
  </r>
  <r>
    <s v="0558108565-1"/>
    <s v="CRC"/>
    <n v="0.4"/>
    <n v="1250"/>
    <n v="0"/>
    <n v="44"/>
    <n v="6.6079999999999997"/>
    <s v="CRAP"/>
    <d v="2001-09-25T00:00:00"/>
    <d v="2002-03-01T00:00:00"/>
    <d v="2002-04-04T00:00:00"/>
    <d v="2002-04-04T00:00:00"/>
    <d v="2002-01-07T00:00:00"/>
    <d v="2002-01-23T00:00:00"/>
    <s v="OTIF FAIL"/>
    <n v="1"/>
    <s v="1210_FG_CRC"/>
    <x v="8"/>
    <n v="0"/>
    <m/>
  </r>
  <r>
    <s v="0519010829-4"/>
    <s v="CST"/>
    <n v="0.8"/>
    <n v="158"/>
    <n v="0"/>
    <n v="2.4"/>
    <n v="2.4"/>
    <s v="CRAP"/>
    <d v="2002-04-06T00:00:00"/>
    <d v="2002-05-16T00:00:00"/>
    <s v="-"/>
    <s v="-"/>
    <d v="2002-05-16T00:00:00"/>
    <d v="2002-05-16T00:00:00"/>
    <s v="OTIF FAIL"/>
    <n v="4"/>
    <s v="1110_FG_CRC"/>
    <x v="4"/>
    <n v="1"/>
    <m/>
  </r>
  <r>
    <s v="0519010829-2"/>
    <s v="HRC"/>
    <n v="0.8"/>
    <n v="98"/>
    <n v="0"/>
    <n v="5"/>
    <n v="5"/>
    <s v="CRAP"/>
    <d v="2002-04-06T00:00:00"/>
    <d v="2002-05-16T00:00:00"/>
    <s v="-"/>
    <s v="-"/>
    <d v="2002-05-16T00:00:00"/>
    <d v="2002-05-16T00:00:00"/>
    <s v="OTIF FAIL"/>
    <n v="2"/>
    <s v="1110_FG_CRC"/>
    <x v="4"/>
    <n v="1"/>
    <m/>
  </r>
  <r>
    <s v="0569023169-9"/>
    <s v="CST"/>
    <n v="1.18"/>
    <n v="117"/>
    <n v="0"/>
    <n v="2"/>
    <n v="2"/>
    <s v="CRAP"/>
    <d v="2001-08-29T00:00:00"/>
    <d v="2002-03-31T00:00:00"/>
    <d v="2002-04-07T00:00:00"/>
    <d v="2002-04-07T00:00:00"/>
    <d v="2002-04-07T00:00:00"/>
    <d v="2002-04-07T00:00:00"/>
    <s v="OTIF FAIL"/>
    <n v="9"/>
    <s v="1210_FG_CRC"/>
    <x v="7"/>
    <n v="1"/>
    <m/>
  </r>
  <r>
    <s v="0569023074-2"/>
    <s v="HPC"/>
    <n v="1.45"/>
    <n v="1000"/>
    <n v="0"/>
    <n v="59"/>
    <n v="59"/>
    <s v="CRAP"/>
    <d v="2001-08-23T00:00:00"/>
    <d v="2002-02-28T00:00:00"/>
    <d v="2002-03-11T00:00:00"/>
    <d v="2002-03-11T00:00:00"/>
    <d v="2002-03-15T00:00:00"/>
    <d v="2002-03-31T00:00:00"/>
    <s v="OTIF FAIL"/>
    <n v="2"/>
    <s v="1210_FG_CRC"/>
    <x v="6"/>
    <n v="1"/>
    <m/>
  </r>
  <r>
    <s v="0569023124-1"/>
    <s v="NFA"/>
    <n v="1.18"/>
    <n v="1000"/>
    <n v="0"/>
    <n v="139"/>
    <n v="139"/>
    <s v="CRAP"/>
    <d v="2001-08-27T00:00:00"/>
    <d v="2002-03-31T00:00:00"/>
    <d v="2002-04-05T00:00:00"/>
    <d v="2002-04-05T00:00:00"/>
    <d v="2002-04-05T00:00:00"/>
    <d v="2002-04-07T00:00:00"/>
    <s v="OTIF FAIL"/>
    <n v="1"/>
    <s v="1210_FG_CRC"/>
    <x v="7"/>
    <n v="1"/>
    <m/>
  </r>
  <r>
    <s v="0569022918-24"/>
    <s v="HRC"/>
    <n v="1.1499999999999999"/>
    <n v="625"/>
    <n v="0"/>
    <n v="133"/>
    <n v="23.84"/>
    <s v="CRAP"/>
    <d v="2001-08-07T00:00:00"/>
    <d v="2002-02-27T00:00:00"/>
    <d v="2002-03-29T00:00:00"/>
    <d v="2002-03-29T00:00:00"/>
    <d v="2002-03-29T00:00:00"/>
    <d v="2002-03-29T00:00:00"/>
    <s v="OTIF FAIL"/>
    <n v="24"/>
    <s v="1110_FG_CRC"/>
    <x v="9"/>
    <n v="0"/>
    <m/>
  </r>
  <r>
    <s v="0569022918-15"/>
    <s v="CST"/>
    <n v="0.9"/>
    <n v="625"/>
    <n v="0"/>
    <n v="252"/>
    <n v="38.770000000000003"/>
    <s v="CRAP"/>
    <d v="2001-08-07T00:00:00"/>
    <d v="2002-02-27T00:00:00"/>
    <s v="-"/>
    <s v="-"/>
    <d v="2002-03-24T00:00:00"/>
    <d v="2002-05-10T00:00:00"/>
    <s v="OTIF FAIL"/>
    <n v="15"/>
    <s v="1110_FG_CRC"/>
    <x v="19"/>
    <n v="0"/>
    <m/>
  </r>
  <r>
    <s v="0569022900-2"/>
    <s v="CST"/>
    <n v="0.4"/>
    <n v="419.5"/>
    <n v="0"/>
    <n v="80"/>
    <n v="80"/>
    <s v="CRAP"/>
    <d v="2001-08-07T00:00:00"/>
    <d v="2002-03-03T00:00:00"/>
    <d v="2002-02-26T00:00:00"/>
    <d v="2002-03-03T00:00:00"/>
    <d v="2002-01-24T00:00:00"/>
    <d v="2002-01-24T00:00:00"/>
    <s v="OTIF PASS"/>
    <n v="2"/>
    <s v="1210_FG_CRC"/>
    <x v="8"/>
    <n v="1"/>
    <m/>
  </r>
  <r>
    <s v="0519010829-3"/>
    <s v="CST"/>
    <n v="0.8"/>
    <n v="118"/>
    <n v="0"/>
    <n v="5"/>
    <n v="5"/>
    <s v="CRAP"/>
    <d v="2002-04-06T00:00:00"/>
    <d v="2002-05-16T00:00:00"/>
    <s v="-"/>
    <s v="-"/>
    <d v="2002-05-16T00:00:00"/>
    <d v="2002-05-16T00:00:00"/>
    <s v="OTIF FAIL"/>
    <n v="3"/>
    <s v="1110_FG_CRC"/>
    <x v="4"/>
    <n v="1"/>
    <m/>
  </r>
  <r>
    <s v="0558109784-9"/>
    <s v="CST"/>
    <n v="2"/>
    <n v="1250"/>
    <n v="0"/>
    <n v="9"/>
    <n v="3.0550000000000002"/>
    <s v="CRAP"/>
    <d v="2001-08-19T00:00:00"/>
    <d v="2002-02-25T00:00:00"/>
    <d v="2002-04-06T00:00:00"/>
    <d v="2002-04-06T00:00:00"/>
    <d v="2002-04-06T00:00:00"/>
    <d v="2002-04-06T00:00:00"/>
    <s v="OTIF FAIL"/>
    <n v="9"/>
    <s v="1210_FG_CRC"/>
    <x v="6"/>
    <n v="0"/>
    <m/>
  </r>
  <r>
    <s v="0558112522-1"/>
    <s v="CST"/>
    <n v="1"/>
    <n v="1250"/>
    <n v="0"/>
    <n v="10"/>
    <n v="2.2320000000000002"/>
    <s v="CRAP"/>
    <d v="2001-09-25T00:00:00"/>
    <d v="2002-02-26T00:00:00"/>
    <d v="2002-03-13T00:00:00"/>
    <d v="2002-03-13T00:00:00"/>
    <d v="2002-03-13T00:00:00"/>
    <d v="2002-03-13T00:00:00"/>
    <s v="OTIF FAIL"/>
    <n v="1"/>
    <s v="1210_FG_CRC"/>
    <x v="3"/>
    <n v="0"/>
    <m/>
  </r>
  <r>
    <s v="0558111260-1"/>
    <s v="HRC"/>
    <n v="0.9"/>
    <n v="1250"/>
    <n v="0"/>
    <n v="9"/>
    <n v="9"/>
    <s v="CRAP"/>
    <d v="2001-09-25T00:00:00"/>
    <d v="2002-02-26T00:00:00"/>
    <d v="2002-03-02T00:00:00"/>
    <d v="2002-03-02T00:00:00"/>
    <d v="2002-01-20T00:00:00"/>
    <d v="2002-01-20T00:00:00"/>
    <s v="OTIF FAIL"/>
    <n v="1"/>
    <s v="1210_FG_CRC"/>
    <x v="8"/>
    <n v="1"/>
    <m/>
  </r>
  <r>
    <s v="0569022918-33"/>
    <s v="CST"/>
    <n v="0.8"/>
    <n v="48"/>
    <n v="0"/>
    <n v="2"/>
    <n v="2"/>
    <s v="CRAP"/>
    <d v="2001-08-07T00:00:00"/>
    <d v="2002-02-27T00:00:00"/>
    <d v="2002-03-23T00:00:00"/>
    <d v="2002-03-23T00:00:00"/>
    <d v="2002-03-16T00:00:00"/>
    <d v="2002-03-16T00:00:00"/>
    <s v="OTIF FAIL"/>
    <n v="33"/>
    <s v="1110_FG_CRC"/>
    <x v="3"/>
    <n v="1"/>
    <m/>
  </r>
  <r>
    <s v="0558109959-7"/>
    <s v="CST"/>
    <n v="1.2"/>
    <n v="1000"/>
    <n v="0"/>
    <n v="3"/>
    <n v="3"/>
    <s v="CRAP"/>
    <d v="2001-09-25T00:00:00"/>
    <d v="2002-02-25T00:00:00"/>
    <d v="2002-03-29T00:00:00"/>
    <d v="2002-03-29T00:00:00"/>
    <d v="2002-03-29T00:00:00"/>
    <d v="2002-03-29T00:00:00"/>
    <s v="OTIF FAIL"/>
    <n v="7"/>
    <s v="1210_FG_CRC"/>
    <x v="9"/>
    <n v="1"/>
    <m/>
  </r>
  <r>
    <s v="0558114915-5"/>
    <s v="CST"/>
    <n v="1.18"/>
    <n v="1250"/>
    <n v="0"/>
    <n v="44"/>
    <n v="44"/>
    <s v="CRAP"/>
    <d v="2001-08-26T00:00:00"/>
    <d v="2002-03-30T00:00:00"/>
    <d v="2002-04-06T00:00:00"/>
    <d v="2002-04-06T00:00:00"/>
    <d v="2002-04-06T00:00:00"/>
    <d v="2002-04-06T00:00:00"/>
    <s v="OTIF FAIL"/>
    <n v="5"/>
    <s v="1210_FG_CRC"/>
    <x v="6"/>
    <n v="1"/>
    <m/>
  </r>
  <r>
    <s v="0558114213-1"/>
    <s v="HRC"/>
    <n v="2"/>
    <n v="1000"/>
    <n v="0"/>
    <n v="5"/>
    <n v="5"/>
    <s v="CRAP"/>
    <d v="2001-09-25T00:00:00"/>
    <d v="2002-03-07T00:00:00"/>
    <d v="2002-04-07T00:00:00"/>
    <d v="2002-04-07T00:00:00"/>
    <d v="2002-04-07T00:00:00"/>
    <d v="2002-04-07T00:00:00"/>
    <s v="OTIF FAIL"/>
    <n v="1"/>
    <s v="1210_FG_CRC"/>
    <x v="7"/>
    <n v="1"/>
    <m/>
  </r>
  <r>
    <s v="0569022839-3"/>
    <s v="HRC"/>
    <n v="0.7"/>
    <n v="1250"/>
    <n v="0"/>
    <n v="3"/>
    <n v="3"/>
    <s v="CRAP"/>
    <d v="2001-08-01T00:00:00"/>
    <d v="2002-03-10T00:00:00"/>
    <d v="2002-04-29T00:00:00"/>
    <d v="2002-04-29T00:00:00"/>
    <d v="2002-04-22T00:00:00"/>
    <d v="2002-04-22T00:00:00"/>
    <s v="OTIF FAIL"/>
    <n v="3"/>
    <s v="1210_FG_CRC"/>
    <x v="2"/>
    <n v="1"/>
    <m/>
  </r>
  <r>
    <s v="0558108070-1"/>
    <s v="CRC"/>
    <n v="0.8"/>
    <n v="1250"/>
    <n v="0"/>
    <n v="44"/>
    <n v="24.88"/>
    <s v="CRAP"/>
    <d v="2001-09-25T00:00:00"/>
    <d v="2002-03-29T00:00:00"/>
    <d v="2002-04-01T00:00:00"/>
    <d v="2002-04-01T00:00:00"/>
    <d v="2002-04-01T00:00:00"/>
    <d v="2002-04-05T00:00:00"/>
    <s v="OTIF FAIL"/>
    <n v="1"/>
    <s v="1210_FG_CRC"/>
    <x v="6"/>
    <n v="0"/>
    <m/>
  </r>
  <r>
    <s v="0569023050-26"/>
    <s v="CST"/>
    <n v="0.8"/>
    <n v="118"/>
    <n v="0"/>
    <n v="4"/>
    <n v="4"/>
    <s v="CRAP"/>
    <d v="2001-08-19T00:00:00"/>
    <d v="2002-02-27T00:00:00"/>
    <d v="2002-03-30T00:00:00"/>
    <d v="2002-03-30T00:00:00"/>
    <d v="2002-03-16T00:00:00"/>
    <d v="2002-05-16T00:00:00"/>
    <s v="OTIF FAIL"/>
    <n v="26"/>
    <s v="1110_FG_CRC"/>
    <x v="4"/>
    <n v="1"/>
    <m/>
  </r>
  <r>
    <s v="0558112956-3"/>
    <s v="CST"/>
    <n v="1"/>
    <n v="1250"/>
    <n v="0"/>
    <n v="3"/>
    <n v="3"/>
    <s v="CRAP"/>
    <d v="2001-08-05T00:00:00"/>
    <d v="2002-02-26T00:00:00"/>
    <d v="2002-04-19T00:00:00"/>
    <d v="2002-04-19T00:00:00"/>
    <d v="2002-03-29T00:00:00"/>
    <d v="2002-03-29T00:00:00"/>
    <s v="OTIF FAIL"/>
    <n v="3"/>
    <s v="1210_FG_CRC"/>
    <x v="9"/>
    <n v="1"/>
    <m/>
  </r>
  <r>
    <s v="0569022839-2"/>
    <s v="CST"/>
    <n v="0.6"/>
    <n v="1250"/>
    <n v="0"/>
    <n v="3"/>
    <n v="3"/>
    <s v="CRAP"/>
    <d v="2001-08-01T00:00:00"/>
    <d v="2002-03-10T00:00:00"/>
    <d v="2002-04-29T00:00:00"/>
    <d v="2002-04-29T00:00:00"/>
    <d v="2002-04-22T00:00:00"/>
    <d v="2002-04-22T00:00:00"/>
    <s v="OTIF FAIL"/>
    <n v="2"/>
    <s v="1210_FG_CRC"/>
    <x v="2"/>
    <n v="1"/>
    <m/>
  </r>
  <r>
    <s v="0569022838-1"/>
    <s v="CRC"/>
    <n v="0.5"/>
    <n v="1250"/>
    <n v="0"/>
    <n v="227"/>
    <n v="180.08199999999999"/>
    <s v="CRAP"/>
    <d v="2001-08-01T00:00:00"/>
    <d v="2002-03-10T00:00:00"/>
    <d v="2002-04-15T00:00:00"/>
    <d v="2002-04-15T00:00:00"/>
    <d v="2002-04-22T00:00:00"/>
    <d v="2002-04-22T00:00:00"/>
    <s v="OTIF FAIL"/>
    <n v="1"/>
    <s v="1210_FG_CRC"/>
    <x v="2"/>
    <n v="0"/>
    <m/>
  </r>
  <r>
    <s v="0569022838-4"/>
    <s v="CRC"/>
    <n v="0.6"/>
    <n v="1250"/>
    <n v="0"/>
    <n v="109"/>
    <n v="76.882000000000005"/>
    <s v="CRAP"/>
    <d v="2001-08-01T00:00:00"/>
    <d v="2002-03-10T00:00:00"/>
    <d v="2002-03-27T00:00:00"/>
    <d v="2002-03-27T00:00:00"/>
    <d v="2002-03-27T00:00:00"/>
    <d v="2002-04-22T00:00:00"/>
    <s v="OTIF FAIL"/>
    <n v="4"/>
    <s v="1210_FG_CRC"/>
    <x v="2"/>
    <n v="0"/>
    <m/>
  </r>
  <r>
    <s v="0568012695-2"/>
    <s v="CST"/>
    <n v="0.6"/>
    <n v="1000"/>
    <n v="0"/>
    <n v="17"/>
    <n v="17"/>
    <s v="CRAP"/>
    <d v="2001-08-09T00:00:00"/>
    <d v="2002-02-27T00:00:00"/>
    <d v="2002-03-12T00:00:00"/>
    <d v="2002-03-12T00:00:00"/>
    <d v="2002-03-14T00:00:00"/>
    <d v="2002-03-14T00:00:00"/>
    <s v="OTIF FAIL"/>
    <n v="2"/>
    <s v="1210_FG_CRC"/>
    <x v="3"/>
    <n v="1"/>
    <m/>
  </r>
  <r>
    <s v="0569022837-2"/>
    <s v="CST"/>
    <n v="0.6"/>
    <n v="1250"/>
    <n v="0"/>
    <n v="46"/>
    <n v="34.966000000000001"/>
    <s v="CRAP"/>
    <d v="2001-08-01T00:00:00"/>
    <d v="2002-03-10T00:00:00"/>
    <d v="2002-04-08T00:00:00"/>
    <d v="2002-04-08T00:00:00"/>
    <d v="2002-04-22T00:00:00"/>
    <d v="2002-04-22T00:00:00"/>
    <s v="OTIF FAIL"/>
    <n v="2"/>
    <s v="1210_FG_CRC"/>
    <x v="2"/>
    <n v="0"/>
    <m/>
  </r>
  <r>
    <s v="0558114915-4"/>
    <s v="CST"/>
    <n v="0.88"/>
    <n v="1250"/>
    <n v="0"/>
    <n v="44"/>
    <n v="28.776"/>
    <s v="CRAP"/>
    <d v="2001-08-26T00:00:00"/>
    <d v="2002-03-30T00:00:00"/>
    <d v="2002-03-30T00:00:00"/>
    <d v="2002-03-30T00:00:00"/>
    <d v="2002-03-30T00:00:00"/>
    <d v="2002-03-30T00:00:00"/>
    <s v="OTIF PASS"/>
    <n v="4"/>
    <s v="1210_FG_CRC"/>
    <x v="9"/>
    <n v="0"/>
    <m/>
  </r>
  <r>
    <s v="0568012672-2"/>
    <s v="CST"/>
    <n v="2.5"/>
    <n v="1000"/>
    <n v="0"/>
    <n v="120"/>
    <n v="60.225999999999999"/>
    <s v="CRAP"/>
    <d v="2001-08-07T00:00:00"/>
    <d v="2002-02-27T00:00:00"/>
    <d v="2002-03-03T00:00:00"/>
    <d v="2002-03-03T00:00:00"/>
    <d v="2002-03-06T00:00:00"/>
    <d v="2002-03-07T00:00:00"/>
    <s v="OTIF FAIL"/>
    <n v="2"/>
    <s v="1210_FG_CRC"/>
    <x v="1"/>
    <n v="0"/>
    <m/>
  </r>
  <r>
    <s v="0569023020-2"/>
    <s v="CST"/>
    <n v="1.45"/>
    <n v="1000"/>
    <n v="0"/>
    <n v="147"/>
    <n v="130.446"/>
    <s v="CRAP"/>
    <d v="2001-08-19T00:00:00"/>
    <d v="2002-03-31T00:00:00"/>
    <d v="2002-03-31T00:00:00"/>
    <d v="2002-03-31T00:00:00"/>
    <d v="2002-03-31T00:00:00"/>
    <d v="2002-03-31T00:00:00"/>
    <s v="OTIF PASS"/>
    <n v="2"/>
    <s v="1210_FG_CRC"/>
    <x v="6"/>
    <n v="0"/>
    <m/>
  </r>
  <r>
    <s v="0558113137-1"/>
    <s v="CRC"/>
    <n v="0.8"/>
    <n v="1000"/>
    <n v="0"/>
    <n v="6"/>
    <n v="6"/>
    <s v="CRAP"/>
    <d v="2001-09-25T00:00:00"/>
    <d v="2002-03-05T00:00:00"/>
    <d v="2002-03-29T00:00:00"/>
    <d v="2002-03-29T00:00:00"/>
    <d v="2002-03-29T00:00:00"/>
    <d v="2002-03-29T00:00:00"/>
    <s v="OTIF FAIL"/>
    <n v="1"/>
    <s v="1210_FG_CRC"/>
    <x v="9"/>
    <n v="1"/>
    <m/>
  </r>
  <r>
    <s v="0569023178-2"/>
    <s v="HRC"/>
    <n v="1.45"/>
    <n v="1000"/>
    <n v="0"/>
    <n v="59"/>
    <n v="59"/>
    <s v="CRAP"/>
    <d v="2001-08-30T00:00:00"/>
    <d v="2002-02-27T00:00:00"/>
    <d v="2002-03-11T00:00:00"/>
    <d v="2002-03-11T00:00:00"/>
    <d v="2002-03-13T00:00:00"/>
    <d v="2002-03-31T00:00:00"/>
    <s v="OTIF FAIL"/>
    <n v="2"/>
    <s v="1210_FG_CRC"/>
    <x v="6"/>
    <n v="1"/>
    <m/>
  </r>
  <r>
    <s v="0569023178-3"/>
    <s v="CST"/>
    <n v="0.88"/>
    <n v="1000"/>
    <n v="0"/>
    <n v="324"/>
    <n v="324"/>
    <s v="CRAP"/>
    <d v="2001-08-30T00:00:00"/>
    <d v="2002-02-27T00:00:00"/>
    <d v="2002-03-23T00:00:00"/>
    <d v="2002-03-23T00:00:00"/>
    <d v="2002-03-23T00:00:00"/>
    <d v="2002-03-23T00:00:00"/>
    <s v="OTIF FAIL"/>
    <n v="3"/>
    <s v="1210_FG_CRC"/>
    <x v="0"/>
    <n v="1"/>
    <m/>
  </r>
  <r>
    <s v="0569023178-1"/>
    <s v="HRC"/>
    <n v="1.18"/>
    <n v="1000"/>
    <n v="0"/>
    <n v="289"/>
    <n v="289"/>
    <s v="CRAP"/>
    <d v="2001-08-30T00:00:00"/>
    <d v="2002-03-31T00:00:00"/>
    <d v="2002-04-07T00:00:00"/>
    <d v="2002-04-07T00:00:00"/>
    <d v="2002-04-07T00:00:00"/>
    <d v="2002-04-07T00:00:00"/>
    <s v="OTIF FAIL"/>
    <n v="1"/>
    <s v="1210_FG_CRC"/>
    <x v="7"/>
    <n v="1"/>
    <m/>
  </r>
  <r>
    <s v="0558114774-2"/>
    <s v="HRC"/>
    <n v="4"/>
    <n v="1250"/>
    <n v="0"/>
    <n v="8"/>
    <n v="8"/>
    <s v="CRAP"/>
    <d v="2001-09-25T00:00:00"/>
    <d v="2002-03-07T00:00:00"/>
    <d v="2002-03-21T00:00:00"/>
    <d v="2002-03-21T00:00:00"/>
    <d v="2002-03-21T00:00:00"/>
    <d v="2002-03-21T00:00:00"/>
    <s v="OTIF FAIL"/>
    <n v="2"/>
    <s v="1210_FG_CRC"/>
    <x v="0"/>
    <n v="1"/>
    <m/>
  </r>
  <r>
    <s v="0558113538-7"/>
    <s v="CST"/>
    <n v="1.4"/>
    <n v="625"/>
    <n v="0"/>
    <n v="20"/>
    <n v="20"/>
    <s v="CRAP"/>
    <d v="2001-08-05T00:00:00"/>
    <d v="2002-03-30T00:00:00"/>
    <s v="-"/>
    <s v="-"/>
    <d v="2002-04-06T00:00:00"/>
    <d v="2002-04-06T00:00:00"/>
    <s v="OTIF FAIL"/>
    <n v="7"/>
    <s v="1210_FG_CRC"/>
    <x v="6"/>
    <n v="1"/>
    <m/>
  </r>
  <r>
    <s v="0569022127-1"/>
    <s v="CRC"/>
    <n v="0.4"/>
    <n v="560"/>
    <n v="0"/>
    <n v="8"/>
    <n v="3.9750000000000001"/>
    <s v="CRAP"/>
    <d v="2001-09-25T00:00:00"/>
    <d v="2002-03-02T00:00:00"/>
    <s v="-"/>
    <s v="-"/>
    <d v="2002-01-12T00:00:00"/>
    <d v="2002-01-14T00:00:00"/>
    <s v="OTIF FAIL"/>
    <n v="1"/>
    <s v="1210_FG_CRC"/>
    <x v="13"/>
    <n v="0"/>
    <m/>
  </r>
  <r>
    <s v="0558112001-1"/>
    <s v="CST"/>
    <n v="1"/>
    <n v="1000"/>
    <n v="0"/>
    <n v="3"/>
    <n v="3"/>
    <s v="CRAP"/>
    <d v="2001-09-25T00:00:00"/>
    <d v="2002-03-04T00:00:00"/>
    <d v="2002-03-19T00:00:00"/>
    <d v="2002-03-19T00:00:00"/>
    <d v="2002-03-19T00:00:00"/>
    <d v="2002-03-19T00:00:00"/>
    <s v="OTIF FAIL"/>
    <n v="1"/>
    <s v="1210_FG_CRC"/>
    <x v="0"/>
    <n v="1"/>
    <m/>
  </r>
  <r>
    <s v="0569023169-2"/>
    <s v="CRC"/>
    <n v="1.45"/>
    <n v="116"/>
    <n v="0"/>
    <n v="2"/>
    <n v="2"/>
    <s v="CRAP"/>
    <d v="2001-08-29T00:00:00"/>
    <d v="2002-03-31T00:00:00"/>
    <d v="2002-03-04T00:00:00"/>
    <d v="2002-03-31T00:00:00"/>
    <d v="2002-01-31T00:00:00"/>
    <d v="2002-01-31T00:00:00"/>
    <s v="OTIF PASS"/>
    <n v="2"/>
    <s v="1210_FG_CRC"/>
    <x v="10"/>
    <n v="1"/>
    <m/>
  </r>
  <r>
    <s v="0558114678-1"/>
    <s v="CST"/>
    <n v="1"/>
    <n v="1250"/>
    <n v="0"/>
    <n v="8"/>
    <n v="8"/>
    <s v="CRAP"/>
    <d v="2001-08-23T00:00:00"/>
    <d v="2002-02-26T00:00:00"/>
    <d v="2002-04-28T00:00:00"/>
    <d v="2002-04-28T00:00:00"/>
    <d v="2002-03-29T00:00:00"/>
    <d v="2002-03-29T00:00:00"/>
    <s v="OTIF FAIL"/>
    <n v="1"/>
    <s v="1210_FG_CRC"/>
    <x v="9"/>
    <n v="1"/>
    <m/>
  </r>
  <r>
    <s v="0558115964-2"/>
    <s v="CST"/>
    <n v="0.8"/>
    <n v="1000"/>
    <n v="0"/>
    <n v="5"/>
    <n v="5"/>
    <s v="CRAP"/>
    <d v="2001-09-25T00:00:00"/>
    <d v="2002-03-08T00:00:00"/>
    <d v="2002-04-07T00:00:00"/>
    <d v="2002-04-07T00:00:00"/>
    <d v="2002-04-07T00:00:00"/>
    <d v="2002-04-07T00:00:00"/>
    <s v="OTIF FAIL"/>
    <n v="2"/>
    <s v="1210_FG_CRC"/>
    <x v="7"/>
    <n v="1"/>
    <m/>
  </r>
  <r>
    <s v="0558113511-2"/>
    <s v="HRC"/>
    <n v="0.5"/>
    <n v="350"/>
    <n v="0"/>
    <n v="15"/>
    <n v="15"/>
    <s v="CRAP"/>
    <d v="2001-08-07T00:00:00"/>
    <d v="2002-03-01T00:00:00"/>
    <d v="2002-02-27T00:00:00"/>
    <d v="2002-03-01T00:00:00"/>
    <d v="2002-01-30T00:00:00"/>
    <d v="2002-01-30T00:00:00"/>
    <s v="OTIF PASS"/>
    <n v="2"/>
    <s v="1210_FG_CRC"/>
    <x v="10"/>
    <n v="1"/>
    <m/>
  </r>
  <r>
    <s v="0569023173-1"/>
    <s v="HPC"/>
    <n v="0.5"/>
    <n v="1250"/>
    <n v="0"/>
    <n v="9"/>
    <n v="9"/>
    <s v="CRAP"/>
    <d v="2001-08-30T00:00:00"/>
    <d v="2002-03-04T00:00:00"/>
    <d v="2002-04-26T00:00:00"/>
    <d v="2002-04-26T00:00:00"/>
    <d v="2002-04-19T00:00:00"/>
    <d v="2002-04-22T00:00:00"/>
    <s v="OTIF FAIL"/>
    <n v="1"/>
    <s v="1210_FG_CRC"/>
    <x v="2"/>
    <n v="1"/>
    <m/>
  </r>
  <r>
    <s v="0558113847-13"/>
    <s v="CST"/>
    <n v="0.5"/>
    <n v="1250"/>
    <n v="0"/>
    <n v="6"/>
    <n v="6"/>
    <s v="CRAP"/>
    <d v="2001-08-11T00:00:00"/>
    <d v="2002-03-06T00:00:00"/>
    <d v="2002-03-31T00:00:00"/>
    <d v="2002-03-31T00:00:00"/>
    <d v="2002-03-12T00:00:00"/>
    <d v="2002-03-12T00:00:00"/>
    <s v="OTIF FAIL"/>
    <n v="13"/>
    <s v="1210_FG_CRC"/>
    <x v="3"/>
    <n v="1"/>
    <m/>
  </r>
  <r>
    <s v="0558116087-2"/>
    <s v="CST"/>
    <n v="1.2"/>
    <n v="1000"/>
    <n v="0"/>
    <n v="3"/>
    <n v="3"/>
    <s v="CRAP"/>
    <d v="2001-09-25T00:00:00"/>
    <d v="2002-03-08T00:00:00"/>
    <d v="2002-03-30T00:00:00"/>
    <d v="2002-03-30T00:00:00"/>
    <d v="2002-03-30T00:00:00"/>
    <d v="2002-04-06T00:00:00"/>
    <s v="OTIF FAIL"/>
    <n v="2"/>
    <s v="1210_FG_CRC"/>
    <x v="6"/>
    <n v="1"/>
    <m/>
  </r>
  <r>
    <s v="0569022837-1"/>
    <s v="HRC"/>
    <n v="0.5"/>
    <n v="1250"/>
    <n v="0"/>
    <n v="42"/>
    <n v="42"/>
    <s v="CRAP"/>
    <d v="2001-08-01T00:00:00"/>
    <d v="2002-03-10T00:00:00"/>
    <d v="2002-04-14T00:00:00"/>
    <d v="2002-04-14T00:00:00"/>
    <d v="2002-04-19T00:00:00"/>
    <d v="2002-04-22T00:00:00"/>
    <s v="OTIF FAIL"/>
    <n v="1"/>
    <s v="1210_FG_CRC"/>
    <x v="2"/>
    <n v="1"/>
    <m/>
  </r>
  <r>
    <s v="0558114158-2"/>
    <s v="HRC"/>
    <n v="0.6"/>
    <n v="1250"/>
    <n v="0"/>
    <n v="22"/>
    <n v="22"/>
    <s v="CRAP"/>
    <d v="2001-08-16T00:00:00"/>
    <d v="2002-02-27T00:00:00"/>
    <d v="2002-03-18T00:00:00"/>
    <d v="2002-03-18T00:00:00"/>
    <d v="2002-03-25T00:00:00"/>
    <d v="2002-03-25T00:00:00"/>
    <s v="OTIF FAIL"/>
    <n v="2"/>
    <s v="1210_FG_CRC"/>
    <x v="9"/>
    <n v="1"/>
    <m/>
  </r>
  <r>
    <s v="0569022523-2"/>
    <s v="CST"/>
    <n v="0.4"/>
    <n v="419.5"/>
    <n v="0"/>
    <n v="30"/>
    <n v="3.4089999999999998"/>
    <s v="CRAP"/>
    <d v="2001-09-25T00:00:00"/>
    <d v="2002-03-02T00:00:00"/>
    <d v="2002-02-26T00:00:00"/>
    <d v="2002-03-02T00:00:00"/>
    <d v="2002-01-10T00:00:00"/>
    <d v="2002-01-24T00:00:00"/>
    <s v="OTIF PASS"/>
    <n v="2"/>
    <s v="1210_FG_CRC"/>
    <x v="8"/>
    <n v="0"/>
    <m/>
  </r>
  <r>
    <s v="0558115990-1"/>
    <s v="CST"/>
    <n v="0.6"/>
    <n v="1000"/>
    <n v="0"/>
    <n v="3"/>
    <n v="3"/>
    <s v="CRAP"/>
    <d v="2001-09-25T00:00:00"/>
    <d v="2002-03-08T00:00:00"/>
    <d v="2002-04-26T00:00:00"/>
    <d v="2002-04-26T00:00:00"/>
    <d v="2002-04-19T00:00:00"/>
    <d v="2002-04-19T00:00:00"/>
    <s v="OTIF FAIL"/>
    <n v="1"/>
    <s v="1210_FG_CRC"/>
    <x v="15"/>
    <n v="1"/>
    <m/>
  </r>
  <r>
    <s v="0558108195-2"/>
    <s v="HPC"/>
    <n v="0.5"/>
    <n v="1170"/>
    <n v="0"/>
    <n v="50"/>
    <n v="50"/>
    <s v="CRAP"/>
    <d v="2001-09-25T00:00:00"/>
    <d v="2002-03-01T00:00:00"/>
    <d v="2002-02-28T00:00:00"/>
    <d v="2002-03-01T00:00:00"/>
    <d v="2002-01-20T00:00:00"/>
    <d v="2002-01-20T00:00:00"/>
    <s v="OTIF PASS"/>
    <n v="2"/>
    <s v="1210_FG_CRC"/>
    <x v="8"/>
    <n v="1"/>
    <m/>
  </r>
  <r>
    <s v="0558113436-1"/>
    <s v="CRC"/>
    <n v="0.6"/>
    <n v="1250"/>
    <n v="0"/>
    <n v="3"/>
    <n v="3"/>
    <s v="CRAP"/>
    <d v="2001-08-05T00:00:00"/>
    <d v="2002-03-06T00:00:00"/>
    <d v="2002-04-29T00:00:00"/>
    <d v="2002-04-29T00:00:00"/>
    <d v="2002-04-22T00:00:00"/>
    <d v="2002-04-22T00:00:00"/>
    <s v="OTIF FAIL"/>
    <n v="1"/>
    <s v="1210_FG_CRC"/>
    <x v="2"/>
    <n v="1"/>
    <m/>
  </r>
  <r>
    <s v="0558114135-1"/>
    <s v="CRC"/>
    <n v="0.5"/>
    <n v="625"/>
    <n v="0"/>
    <n v="10"/>
    <n v="10"/>
    <s v="CRAP"/>
    <d v="2001-08-14T00:00:00"/>
    <d v="2002-03-30T00:00:00"/>
    <d v="2002-04-27T00:00:00"/>
    <d v="2002-04-27T00:00:00"/>
    <d v="2002-04-20T00:00:00"/>
    <d v="2002-04-20T00:00:00"/>
    <s v="OTIF FAIL"/>
    <n v="1"/>
    <s v="1210_FG_CRC"/>
    <x v="15"/>
    <n v="1"/>
    <m/>
  </r>
  <r>
    <s v="0558114117-2"/>
    <s v="CBL"/>
    <n v="0.5"/>
    <n v="1250"/>
    <n v="0"/>
    <n v="3"/>
    <n v="3"/>
    <s v="CRAP"/>
    <d v="2001-08-16T00:00:00"/>
    <d v="2002-03-07T00:00:00"/>
    <d v="2002-04-26T00:00:00"/>
    <d v="2002-04-26T00:00:00"/>
    <d v="2002-04-19T00:00:00"/>
    <d v="2002-04-22T00:00:00"/>
    <s v="OTIF FAIL"/>
    <n v="2"/>
    <s v="1210_FG_CRC"/>
    <x v="2"/>
    <n v="1"/>
    <m/>
  </r>
  <r>
    <s v="0569023169-3"/>
    <s v="CST"/>
    <n v="1.45"/>
    <n v="96"/>
    <n v="0"/>
    <n v="3"/>
    <n v="3"/>
    <s v="CRAP"/>
    <d v="2001-08-29T00:00:00"/>
    <d v="2002-03-31T00:00:00"/>
    <d v="2002-03-04T00:00:00"/>
    <d v="2002-03-31T00:00:00"/>
    <d v="2002-02-04T00:00:00"/>
    <d v="2002-02-04T00:00:00"/>
    <s v="OTIF PASS"/>
    <n v="3"/>
    <s v="1210_FG_CRC"/>
    <x v="20"/>
    <n v="1"/>
    <m/>
  </r>
  <r>
    <s v="0569023169-4"/>
    <s v="HRC"/>
    <n v="1.45"/>
    <n v="76"/>
    <n v="0"/>
    <n v="2"/>
    <n v="2"/>
    <s v="CRAP"/>
    <d v="2001-08-29T00:00:00"/>
    <d v="2002-03-31T00:00:00"/>
    <d v="2002-03-04T00:00:00"/>
    <d v="2002-03-31T00:00:00"/>
    <d v="2002-01-31T00:00:00"/>
    <d v="2002-01-31T00:00:00"/>
    <s v="OTIF PASS"/>
    <n v="4"/>
    <s v="1210_FG_CRC"/>
    <x v="10"/>
    <n v="1"/>
    <m/>
  </r>
  <r>
    <s v="0558114660-3"/>
    <s v="PSS"/>
    <n v="0.8"/>
    <n v="1250"/>
    <n v="0"/>
    <n v="3"/>
    <n v="3"/>
    <s v="CRAP"/>
    <d v="2001-08-23T00:00:00"/>
    <d v="2002-02-26T00:00:00"/>
    <d v="2002-05-08T00:00:00"/>
    <d v="2002-05-08T00:00:00"/>
    <d v="2002-01-07T00:00:00"/>
    <d v="2002-03-28T00:00:00"/>
    <s v="OTIF FAIL"/>
    <n v="3"/>
    <s v="1210_FG_CRC"/>
    <x v="9"/>
    <n v="1"/>
    <m/>
  </r>
  <r>
    <s v="0568012688-4"/>
    <s v="HRC"/>
    <n v="0.8"/>
    <n v="1219"/>
    <n v="0"/>
    <n v="18"/>
    <n v="18"/>
    <s v="CRAP"/>
    <d v="2001-08-09T00:00:00"/>
    <d v="2002-02-27T00:00:00"/>
    <d v="2002-03-23T00:00:00"/>
    <d v="2002-03-23T00:00:00"/>
    <d v="2002-03-24T00:00:00"/>
    <d v="2002-03-24T00:00:00"/>
    <s v="OTIF FAIL"/>
    <n v="4"/>
    <s v="1210_FG_CRC"/>
    <x v="9"/>
    <n v="1"/>
    <m/>
  </r>
  <r>
    <s v="0558111333-2"/>
    <s v="HPC"/>
    <n v="0.5"/>
    <n v="1170"/>
    <n v="0"/>
    <n v="80"/>
    <n v="80"/>
    <s v="CRAP"/>
    <d v="2001-09-25T00:00:00"/>
    <d v="2002-03-01T00:00:00"/>
    <d v="2002-03-01T00:00:00"/>
    <d v="2002-03-01T00:00:00"/>
    <d v="2002-01-20T00:00:00"/>
    <d v="2002-01-20T00:00:00"/>
    <s v="OTIF FAIL"/>
    <n v="2"/>
    <s v="1210_FG_CRC"/>
    <x v="8"/>
    <n v="1"/>
    <m/>
  </r>
  <r>
    <s v="0569022529-4"/>
    <s v="HRC"/>
    <n v="0.5"/>
    <n v="560"/>
    <n v="0"/>
    <n v="40"/>
    <n v="38.755000000000003"/>
    <s v="CRAP"/>
    <d v="2001-09-25T00:00:00"/>
    <d v="2002-03-02T00:00:00"/>
    <d v="2002-03-01T00:00:00"/>
    <d v="2002-03-02T00:00:00"/>
    <d v="2002-01-14T00:00:00"/>
    <d v="2002-01-14T00:00:00"/>
    <s v="OTIF PASS"/>
    <n v="4"/>
    <s v="1210_FG_CRC"/>
    <x v="13"/>
    <n v="0"/>
    <m/>
  </r>
  <r>
    <s v="0558113307-1"/>
    <s v="HRC"/>
    <n v="0.5"/>
    <n v="1000"/>
    <n v="0"/>
    <n v="6"/>
    <n v="3.4540000000000002"/>
    <s v="CRAP"/>
    <d v="2001-08-12T00:00:00"/>
    <d v="2002-03-05T00:00:00"/>
    <d v="2002-04-08T00:00:00"/>
    <d v="2002-04-08T00:00:00"/>
    <d v="2002-04-08T00:00:00"/>
    <d v="2002-04-08T00:00:00"/>
    <s v="OTIF FAIL"/>
    <n v="1"/>
    <s v="1210_FG_CRC"/>
    <x v="7"/>
    <n v="0"/>
    <m/>
  </r>
  <r>
    <s v="0558114101-2"/>
    <s v="HRC"/>
    <n v="0.6"/>
    <n v="1250"/>
    <n v="0"/>
    <n v="9"/>
    <n v="9"/>
    <s v="CRAP"/>
    <d v="2001-08-16T00:00:00"/>
    <d v="2002-02-26T00:00:00"/>
    <d v="2002-04-07T00:00:00"/>
    <d v="2002-04-07T00:00:00"/>
    <d v="2002-03-15T00:00:00"/>
    <d v="2002-03-16T00:00:00"/>
    <s v="OTIF FAIL"/>
    <n v="2"/>
    <s v="1210_FG_CRC"/>
    <x v="3"/>
    <n v="1"/>
    <m/>
  </r>
  <r>
    <s v="0569023169-8"/>
    <s v="HRC"/>
    <n v="1.18"/>
    <n v="157"/>
    <n v="0"/>
    <n v="5"/>
    <n v="5"/>
    <s v="CRAP"/>
    <d v="2001-08-29T00:00:00"/>
    <d v="2002-03-31T00:00:00"/>
    <d v="2002-04-07T00:00:00"/>
    <d v="2002-04-07T00:00:00"/>
    <d v="2002-04-07T00:00:00"/>
    <d v="2002-04-07T00:00:00"/>
    <s v="OTIF FAIL"/>
    <n v="8"/>
    <s v="1210_FG_CRC"/>
    <x v="7"/>
    <n v="1"/>
    <m/>
  </r>
  <r>
    <s v="0569023169-1"/>
    <s v="HPC"/>
    <n v="1.45"/>
    <n v="156"/>
    <n v="0"/>
    <n v="5"/>
    <n v="5"/>
    <s v="CRAP"/>
    <d v="2001-08-29T00:00:00"/>
    <d v="2002-03-31T00:00:00"/>
    <d v="2002-03-04T00:00:00"/>
    <d v="2002-03-31T00:00:00"/>
    <d v="2002-02-07T00:00:00"/>
    <d v="2002-02-07T00:00:00"/>
    <s v="OTIF PASS"/>
    <n v="1"/>
    <s v="1210_FG_CRC"/>
    <x v="20"/>
    <n v="1"/>
    <m/>
  </r>
  <r>
    <s v="0569022787-1"/>
    <s v="HRC"/>
    <n v="0.6"/>
    <n v="1250"/>
    <n v="0"/>
    <n v="6"/>
    <n v="6"/>
    <s v="CRAP"/>
    <d v="2001-09-25T00:00:00"/>
    <d v="2002-03-10T00:00:00"/>
    <d v="2002-04-29T00:00:00"/>
    <d v="2002-04-29T00:00:00"/>
    <d v="2002-04-22T00:00:00"/>
    <d v="2002-04-22T00:00:00"/>
    <s v="OTIF FAIL"/>
    <n v="1"/>
    <s v="1210_FG_CRC"/>
    <x v="2"/>
    <n v="1"/>
    <m/>
  </r>
  <r>
    <s v="0568012695-3"/>
    <s v="CST"/>
    <n v="0.8"/>
    <n v="1000"/>
    <n v="0"/>
    <n v="17"/>
    <n v="17"/>
    <s v="CRAP"/>
    <d v="2001-08-09T00:00:00"/>
    <d v="2002-02-27T00:00:00"/>
    <d v="2002-03-14T00:00:00"/>
    <d v="2002-03-14T00:00:00"/>
    <d v="2002-03-14T00:00:00"/>
    <d v="2002-03-14T00:00:00"/>
    <s v="OTIF FAIL"/>
    <n v="3"/>
    <s v="1210_FG_CRC"/>
    <x v="3"/>
    <n v="1"/>
    <m/>
  </r>
  <r>
    <s v="0569023069-3"/>
    <s v="CST"/>
    <n v="0.7"/>
    <n v="1250"/>
    <n v="0"/>
    <n v="7"/>
    <n v="7"/>
    <s v="CRAP"/>
    <d v="2001-08-23T00:00:00"/>
    <d v="2002-03-04T00:00:00"/>
    <d v="2002-04-29T00:00:00"/>
    <d v="2002-04-29T00:00:00"/>
    <d v="2002-04-22T00:00:00"/>
    <d v="2002-04-22T00:00:00"/>
    <s v="OTIF FAIL"/>
    <n v="3"/>
    <s v="1210_FG_CRC"/>
    <x v="2"/>
    <n v="1"/>
    <m/>
  </r>
  <r>
    <s v="0558113404-1"/>
    <s v="CST"/>
    <n v="0.78"/>
    <n v="625"/>
    <n v="0"/>
    <n v="12"/>
    <n v="12"/>
    <s v="CRAP"/>
    <d v="2001-08-02T00:00:00"/>
    <d v="2002-03-30T00:00:00"/>
    <d v="2002-04-09T00:00:00"/>
    <d v="2002-04-09T00:00:00"/>
    <d v="2002-04-09T00:00:00"/>
    <d v="2002-04-09T00:00:00"/>
    <s v="OTIF FAIL"/>
    <n v="1"/>
    <s v="1210_FG_CRC"/>
    <x v="7"/>
    <n v="1"/>
    <m/>
  </r>
  <r>
    <s v="0558110846-1"/>
    <s v="CRC"/>
    <n v="0.7"/>
    <n v="1000"/>
    <n v="0"/>
    <n v="3"/>
    <n v="3"/>
    <s v="CRAP"/>
    <d v="2001-09-25T00:00:00"/>
    <d v="2002-03-04T00:00:00"/>
    <d v="2002-04-14T00:00:00"/>
    <d v="2002-04-14T00:00:00"/>
    <d v="2002-04-05T00:00:00"/>
    <d v="2002-04-05T00:00:00"/>
    <s v="OTIF FAIL"/>
    <n v="1"/>
    <s v="1210_FG_CRC"/>
    <x v="6"/>
    <n v="1"/>
    <m/>
  </r>
  <r>
    <s v="0569022918-26"/>
    <s v="CST"/>
    <n v="1.45"/>
    <n v="57"/>
    <n v="0"/>
    <n v="7"/>
    <n v="2.5979999999999999"/>
    <s v="CRAP"/>
    <d v="2001-08-07T00:00:00"/>
    <d v="2002-02-27T00:00:00"/>
    <d v="2002-02-17T00:00:00"/>
    <d v="2002-02-27T00:00:00"/>
    <d v="2001-11-30T00:00:00"/>
    <d v="2001-11-30T00:00:00"/>
    <s v="OTIF PASS"/>
    <n v="26"/>
    <s v="1110_FG_CRC"/>
    <x v="18"/>
    <n v="0"/>
    <m/>
  </r>
  <r>
    <s v="0558110380-4"/>
    <s v="CST"/>
    <n v="0.7"/>
    <n v="492"/>
    <n v="0"/>
    <n v="10"/>
    <n v="3.4660000000000002"/>
    <s v="CRAP"/>
    <d v="2001-09-25T00:00:00"/>
    <d v="2002-03-04T00:00:00"/>
    <d v="2002-03-29T00:00:00"/>
    <d v="2002-03-29T00:00:00"/>
    <d v="2002-03-29T00:00:00"/>
    <d v="2002-03-29T00:00:00"/>
    <s v="OTIF FAIL"/>
    <n v="4"/>
    <s v="1210_FG_CRC"/>
    <x v="9"/>
    <n v="0"/>
    <m/>
  </r>
  <r>
    <s v="0558113326-2"/>
    <s v="CST"/>
    <n v="0.8"/>
    <n v="1000"/>
    <n v="0"/>
    <n v="3"/>
    <n v="3"/>
    <s v="CRAP"/>
    <d v="2001-09-25T00:00:00"/>
    <d v="2002-03-05T00:00:00"/>
    <d v="2002-03-29T00:00:00"/>
    <d v="2002-03-29T00:00:00"/>
    <d v="2002-03-29T00:00:00"/>
    <d v="2002-03-29T00:00:00"/>
    <s v="OTIF FAIL"/>
    <n v="2"/>
    <s v="1210_FG_CRC"/>
    <x v="9"/>
    <n v="1"/>
    <m/>
  </r>
  <r>
    <s v="0569023063-2"/>
    <s v="HRC"/>
    <n v="1.1499999999999999"/>
    <n v="625"/>
    <n v="0"/>
    <n v="250"/>
    <n v="250"/>
    <s v="CRAP"/>
    <d v="2001-08-22T00:00:00"/>
    <d v="2002-02-24T00:00:00"/>
    <d v="2002-03-29T00:00:00"/>
    <d v="2002-03-29T00:00:00"/>
    <d v="2002-03-29T00:00:00"/>
    <d v="2002-03-29T00:00:00"/>
    <s v="OTIF FAIL"/>
    <n v="2"/>
    <s v="1110_FG_CRC"/>
    <x v="9"/>
    <n v="1"/>
    <m/>
  </r>
  <r>
    <s v="0558110504-1"/>
    <s v="CRC"/>
    <n v="0.5"/>
    <n v="1250"/>
    <n v="0"/>
    <n v="20"/>
    <n v="4.78"/>
    <s v="CRAP"/>
    <d v="2001-09-25T00:00:00"/>
    <d v="2002-03-04T00:00:00"/>
    <d v="2002-04-05T00:00:00"/>
    <d v="2002-04-05T00:00:00"/>
    <d v="2002-04-05T00:00:00"/>
    <d v="2002-04-05T00:00:00"/>
    <s v="OTIF FAIL"/>
    <n v="1"/>
    <s v="1210_FG_CRC"/>
    <x v="6"/>
    <n v="0"/>
    <m/>
  </r>
  <r>
    <s v="0569023050-8"/>
    <s v="CST"/>
    <n v="0.9"/>
    <n v="625"/>
    <n v="0"/>
    <n v="32"/>
    <n v="32"/>
    <s v="CRAP"/>
    <d v="2001-08-19T00:00:00"/>
    <d v="2002-02-27T00:00:00"/>
    <s v="-"/>
    <s v="-"/>
    <d v="2002-05-10T00:00:00"/>
    <d v="2002-05-10T00:00:00"/>
    <s v="OTIF FAIL"/>
    <n v="8"/>
    <s v="1110_FG_CRC"/>
    <x v="19"/>
    <n v="1"/>
    <m/>
  </r>
  <r>
    <s v="0569023050-25"/>
    <s v="HRC"/>
    <n v="0.8"/>
    <n v="38"/>
    <n v="0"/>
    <n v="3"/>
    <n v="3"/>
    <s v="CRAP"/>
    <d v="2001-08-19T00:00:00"/>
    <d v="2002-02-27T00:00:00"/>
    <d v="2002-03-23T00:00:00"/>
    <d v="2002-03-23T00:00:00"/>
    <d v="2002-03-16T00:00:00"/>
    <d v="2002-03-16T00:00:00"/>
    <s v="OTIF FAIL"/>
    <n v="25"/>
    <s v="1110_FG_CRC"/>
    <x v="3"/>
    <n v="1"/>
    <m/>
  </r>
  <r>
    <s v="0558114952-1"/>
    <s v="PSS"/>
    <n v="0.6"/>
    <n v="1250"/>
    <n v="0"/>
    <n v="22"/>
    <n v="22"/>
    <s v="CRAP"/>
    <d v="2001-08-29T00:00:00"/>
    <d v="2002-02-27T00:00:00"/>
    <d v="2002-02-25T00:00:00"/>
    <d v="2002-02-27T00:00:00"/>
    <d v="2002-01-17T00:00:00"/>
    <d v="2002-01-17T00:00:00"/>
    <s v="OTIF PASS"/>
    <n v="1"/>
    <s v="1210_FG_CRC"/>
    <x v="13"/>
    <n v="1"/>
    <m/>
  </r>
  <r>
    <s v="0568012765-3"/>
    <s v="CST"/>
    <n v="0.5"/>
    <n v="1250"/>
    <n v="0"/>
    <n v="40"/>
    <n v="40"/>
    <s v="CRAP"/>
    <d v="2001-08-15T00:00:00"/>
    <d v="2002-02-27T00:00:00"/>
    <d v="2002-03-25T00:00:00"/>
    <d v="2002-03-25T00:00:00"/>
    <d v="2002-03-25T00:00:00"/>
    <d v="2002-03-25T00:00:00"/>
    <s v="OTIF FAIL"/>
    <n v="3"/>
    <s v="1210_FG_CRC"/>
    <x v="9"/>
    <n v="1"/>
    <m/>
  </r>
  <r>
    <s v="0558116266-2"/>
    <s v="CST"/>
    <n v="2"/>
    <n v="1000"/>
    <n v="0"/>
    <n v="3"/>
    <n v="3"/>
    <s v="CRAP"/>
    <d v="2001-10-25T00:00:00"/>
    <d v="2002-03-10T00:00:00"/>
    <d v="2002-04-14T00:00:00"/>
    <d v="2002-04-14T00:00:00"/>
    <d v="2002-04-14T00:00:00"/>
    <d v="2002-04-14T00:00:00"/>
    <s v="OTIF FAIL"/>
    <n v="2"/>
    <s v="1210_FG_CRC"/>
    <x v="15"/>
    <n v="1"/>
    <m/>
  </r>
  <r>
    <s v="0558107580-1"/>
    <s v="HRC"/>
    <n v="0.71"/>
    <n v="1250"/>
    <n v="0"/>
    <n v="76"/>
    <n v="15.231999999999999"/>
    <s v="CRAP"/>
    <d v="2001-09-25T00:00:00"/>
    <d v="2002-02-27T00:00:00"/>
    <d v="2002-03-20T00:00:00"/>
    <d v="2002-03-20T00:00:00"/>
    <d v="2002-03-20T00:00:00"/>
    <d v="2002-03-20T00:00:00"/>
    <s v="OTIF FAIL"/>
    <n v="1"/>
    <s v="1210_FG_CRC"/>
    <x v="0"/>
    <n v="0"/>
    <m/>
  </r>
  <r>
    <s v="0558116266-3"/>
    <s v="HRC"/>
    <n v="1.5"/>
    <n v="1000"/>
    <n v="0"/>
    <n v="3"/>
    <n v="3"/>
    <s v="CRAP"/>
    <d v="2001-10-25T00:00:00"/>
    <d v="2002-03-10T00:00:00"/>
    <d v="2002-04-08T00:00:00"/>
    <d v="2002-04-08T00:00:00"/>
    <d v="2002-04-08T00:00:00"/>
    <d v="2002-04-08T00:00:00"/>
    <s v="OTIF FAIL"/>
    <n v="3"/>
    <s v="1210_FG_CRC"/>
    <x v="7"/>
    <n v="1"/>
    <m/>
  </r>
  <r>
    <s v="0558116266-1"/>
    <s v="PSS"/>
    <n v="1.2"/>
    <n v="1000"/>
    <n v="0"/>
    <n v="3"/>
    <n v="3"/>
    <s v="CRAP"/>
    <d v="2001-10-25T00:00:00"/>
    <d v="2002-03-10T00:00:00"/>
    <d v="2002-04-06T00:00:00"/>
    <d v="2002-04-06T00:00:00"/>
    <d v="2002-04-06T00:00:00"/>
    <d v="2002-04-06T00:00:00"/>
    <s v="OTIF FAIL"/>
    <n v="1"/>
    <s v="1210_FG_CRC"/>
    <x v="6"/>
    <n v="1"/>
    <m/>
  </r>
  <r>
    <s v="0558114062-5"/>
    <s v="HRC"/>
    <n v="1.2"/>
    <n v="1000"/>
    <n v="0"/>
    <n v="6"/>
    <n v="6"/>
    <s v="CRAP"/>
    <d v="2001-08-16T00:00:00"/>
    <d v="2002-03-07T00:00:00"/>
    <d v="2002-03-30T00:00:00"/>
    <d v="2002-03-30T00:00:00"/>
    <d v="2002-03-30T00:00:00"/>
    <d v="2002-04-06T00:00:00"/>
    <s v="OTIF FAIL"/>
    <n v="5"/>
    <s v="1210_FG_CRC"/>
    <x v="6"/>
    <n v="1"/>
    <m/>
  </r>
  <r>
    <s v="0558116267-1"/>
    <s v="HPC"/>
    <n v="1.2"/>
    <n v="1000"/>
    <n v="0"/>
    <n v="3"/>
    <n v="3"/>
    <s v="CRAP"/>
    <d v="2001-10-25T00:00:00"/>
    <d v="2002-03-10T00:00:00"/>
    <d v="2002-04-06T00:00:00"/>
    <d v="2002-04-06T00:00:00"/>
    <d v="2002-04-06T00:00:00"/>
    <d v="2002-04-06T00:00:00"/>
    <s v="OTIF FAIL"/>
    <n v="1"/>
    <s v="1210_FG_CRC"/>
    <x v="6"/>
    <n v="1"/>
    <m/>
  </r>
  <r>
    <s v="0558113548-1"/>
    <s v="HPC"/>
    <n v="1.2"/>
    <n v="1000"/>
    <n v="0"/>
    <n v="3"/>
    <n v="3"/>
    <s v="CRAP"/>
    <d v="2001-08-07T00:00:00"/>
    <d v="2002-03-06T00:00:00"/>
    <d v="2002-03-30T00:00:00"/>
    <d v="2002-03-30T00:00:00"/>
    <d v="2002-03-30T00:00:00"/>
    <d v="2002-04-06T00:00:00"/>
    <s v="OTIF FAIL"/>
    <n v="1"/>
    <s v="1210_FG_CRC"/>
    <x v="6"/>
    <n v="1"/>
    <m/>
  </r>
  <r>
    <s v="0558116267-2"/>
    <s v="CRC"/>
    <n v="2"/>
    <n v="1000"/>
    <n v="0"/>
    <n v="3"/>
    <n v="3"/>
    <s v="CRAP"/>
    <d v="2001-10-25T00:00:00"/>
    <d v="2002-03-10T00:00:00"/>
    <d v="2002-04-14T00:00:00"/>
    <d v="2002-04-14T00:00:00"/>
    <d v="2002-04-14T00:00:00"/>
    <d v="2002-04-14T00:00:00"/>
    <s v="OTIF FAIL"/>
    <n v="2"/>
    <s v="1210_FG_CRC"/>
    <x v="15"/>
    <n v="1"/>
    <m/>
  </r>
  <r>
    <s v="0558116267-3"/>
    <s v="CST"/>
    <n v="1.5"/>
    <n v="1000"/>
    <n v="0"/>
    <n v="3"/>
    <n v="3"/>
    <s v="CRAP"/>
    <d v="2001-10-25T00:00:00"/>
    <d v="2002-03-10T00:00:00"/>
    <d v="2002-04-08T00:00:00"/>
    <d v="2002-04-08T00:00:00"/>
    <d v="2002-04-08T00:00:00"/>
    <d v="2002-04-08T00:00:00"/>
    <s v="OTIF FAIL"/>
    <n v="3"/>
    <s v="1210_FG_CRC"/>
    <x v="7"/>
    <n v="1"/>
    <m/>
  </r>
  <r>
    <s v="0558116268-2"/>
    <s v="CST"/>
    <n v="2"/>
    <n v="1000"/>
    <n v="0"/>
    <n v="3"/>
    <n v="3"/>
    <s v="CRAP"/>
    <d v="2001-10-25T00:00:00"/>
    <d v="2002-03-10T00:00:00"/>
    <d v="2002-04-14T00:00:00"/>
    <d v="2002-04-14T00:00:00"/>
    <d v="2002-04-14T00:00:00"/>
    <d v="2002-04-14T00:00:00"/>
    <s v="OTIF FAIL"/>
    <n v="2"/>
    <s v="1210_FG_CRC"/>
    <x v="15"/>
    <n v="1"/>
    <m/>
  </r>
  <r>
    <s v="0558116268-1"/>
    <s v="CST"/>
    <n v="1.2"/>
    <n v="1000"/>
    <n v="0"/>
    <n v="3"/>
    <n v="3"/>
    <s v="CRAP"/>
    <d v="2001-10-25T00:00:00"/>
    <d v="2002-03-10T00:00:00"/>
    <d v="2002-04-06T00:00:00"/>
    <d v="2002-04-06T00:00:00"/>
    <d v="2002-04-06T00:00:00"/>
    <d v="2002-04-06T00:00:00"/>
    <s v="OTIF FAIL"/>
    <n v="1"/>
    <s v="1210_FG_CRC"/>
    <x v="6"/>
    <n v="1"/>
    <m/>
  </r>
  <r>
    <s v="0558116268-3"/>
    <s v="CST"/>
    <n v="1.5"/>
    <n v="1000"/>
    <n v="0"/>
    <n v="3"/>
    <n v="3"/>
    <s v="CRAP"/>
    <d v="2001-10-25T00:00:00"/>
    <d v="2002-03-10T00:00:00"/>
    <d v="2002-04-08T00:00:00"/>
    <d v="2002-04-08T00:00:00"/>
    <d v="2002-04-08T00:00:00"/>
    <d v="2002-04-08T00:00:00"/>
    <s v="OTIF FAIL"/>
    <n v="3"/>
    <s v="1210_FG_CRC"/>
    <x v="7"/>
    <n v="1"/>
    <m/>
  </r>
  <r>
    <s v="0569023069-4"/>
    <s v="CST"/>
    <n v="0.6"/>
    <n v="1250"/>
    <n v="0"/>
    <n v="19"/>
    <n v="19"/>
    <s v="CRAP"/>
    <d v="2001-08-23T00:00:00"/>
    <d v="2002-02-21T00:00:00"/>
    <d v="2002-03-27T00:00:00"/>
    <d v="2002-03-27T00:00:00"/>
    <d v="2002-03-27T00:00:00"/>
    <d v="2002-04-22T00:00:00"/>
    <s v="OTIF FAIL"/>
    <n v="4"/>
    <s v="1210_FG_CRC"/>
    <x v="2"/>
    <n v="1"/>
    <m/>
  </r>
  <r>
    <s v="0558114048-2"/>
    <s v="CST"/>
    <n v="0.7"/>
    <n v="1250"/>
    <n v="0"/>
    <n v="3"/>
    <n v="3"/>
    <s v="CRAP"/>
    <d v="2001-09-25T00:00:00"/>
    <d v="2002-03-07T00:00:00"/>
    <d v="2002-04-29T00:00:00"/>
    <d v="2002-04-29T00:00:00"/>
    <d v="2002-04-22T00:00:00"/>
    <d v="2002-04-22T00:00:00"/>
    <s v="OTIF FAIL"/>
    <n v="2"/>
    <s v="1210_FG_CRC"/>
    <x v="2"/>
    <n v="1"/>
    <m/>
  </r>
  <r>
    <s v="0558114158-1"/>
    <s v="CST"/>
    <n v="0.5"/>
    <n v="1250"/>
    <n v="0"/>
    <n v="66"/>
    <n v="66"/>
    <s v="CRAP"/>
    <d v="2001-08-16T00:00:00"/>
    <d v="2002-02-27T00:00:00"/>
    <d v="2002-03-13T00:00:00"/>
    <d v="2002-03-13T00:00:00"/>
    <d v="2002-03-17T00:00:00"/>
    <d v="2002-03-18T00:00:00"/>
    <s v="OTIF FAIL"/>
    <n v="1"/>
    <s v="1210_FG_CRC"/>
    <x v="0"/>
    <n v="1"/>
    <m/>
  </r>
  <r>
    <s v="0569022529-7"/>
    <s v="HPC"/>
    <n v="0.4"/>
    <n v="560"/>
    <n v="0"/>
    <n v="4"/>
    <n v="4"/>
    <s v="CRAP"/>
    <d v="2001-09-25T00:00:00"/>
    <d v="2002-03-03T00:00:00"/>
    <d v="2002-03-12T00:00:00"/>
    <d v="2002-03-12T00:00:00"/>
    <d v="2002-01-14T00:00:00"/>
    <d v="2002-01-14T00:00:00"/>
    <s v="OTIF FAIL"/>
    <n v="7"/>
    <s v="1210_FG_CRC"/>
    <x v="13"/>
    <n v="1"/>
    <m/>
  </r>
  <r>
    <s v="0558107008-6"/>
    <s v="CST"/>
    <n v="0.8"/>
    <n v="1250"/>
    <n v="0"/>
    <n v="50"/>
    <n v="11.532999999999999"/>
    <s v="CRAP"/>
    <d v="2001-09-25T00:00:00"/>
    <d v="2002-03-29T00:00:00"/>
    <d v="2002-04-05T00:00:00"/>
    <d v="2002-04-05T00:00:00"/>
    <d v="2002-04-05T00:00:00"/>
    <d v="2002-04-05T00:00:00"/>
    <s v="OTIF FAIL"/>
    <n v="6"/>
    <s v="1210_FG_CRC"/>
    <x v="6"/>
    <n v="0"/>
    <m/>
  </r>
  <r>
    <s v="0558113737-2"/>
    <s v="HPC"/>
    <n v="0.5"/>
    <n v="1250"/>
    <n v="0"/>
    <n v="22"/>
    <n v="17.803999999999998"/>
    <s v="CRAP"/>
    <d v="2001-08-11T00:00:00"/>
    <d v="2002-03-02T00:00:00"/>
    <d v="2002-03-14T00:00:00"/>
    <d v="2002-03-14T00:00:00"/>
    <d v="2002-03-21T00:00:00"/>
    <d v="2002-03-23T00:00:00"/>
    <s v="OTIF FAIL"/>
    <n v="2"/>
    <s v="1210_FG_CRC"/>
    <x v="0"/>
    <n v="0"/>
    <m/>
  </r>
  <r>
    <s v="0569023050-24"/>
    <s v="CRC"/>
    <n v="1.45"/>
    <n v="157"/>
    <n v="0"/>
    <n v="5"/>
    <n v="5"/>
    <s v="CRAP"/>
    <d v="2001-08-19T00:00:00"/>
    <d v="2002-02-27T00:00:00"/>
    <d v="2002-02-17T00:00:00"/>
    <d v="2002-02-27T00:00:00"/>
    <d v="2002-01-31T00:00:00"/>
    <d v="2002-01-31T00:00:00"/>
    <s v="OTIF PASS"/>
    <n v="24"/>
    <s v="1110_FG_CRC"/>
    <x v="10"/>
    <n v="1"/>
    <m/>
  </r>
  <r>
    <s v="0558110852-5"/>
    <s v="CST"/>
    <n v="0.5"/>
    <n v="1250"/>
    <n v="0"/>
    <n v="3"/>
    <n v="3"/>
    <s v="CRAP"/>
    <d v="2001-09-25T00:00:00"/>
    <d v="2002-03-04T00:00:00"/>
    <d v="2002-04-05T00:00:00"/>
    <d v="2002-04-05T00:00:00"/>
    <d v="2002-04-05T00:00:00"/>
    <d v="2002-04-05T00:00:00"/>
    <s v="OTIF FAIL"/>
    <n v="5"/>
    <s v="1210_FG_CRC"/>
    <x v="6"/>
    <n v="1"/>
    <m/>
  </r>
  <r>
    <s v="0558110852-3"/>
    <s v="CST"/>
    <n v="3"/>
    <n v="1250"/>
    <n v="0"/>
    <n v="3"/>
    <n v="3"/>
    <s v="CRAP"/>
    <d v="2001-09-25T00:00:00"/>
    <d v="2002-03-04T00:00:00"/>
    <s v="-"/>
    <s v="-"/>
    <d v="2002-01-28T00:00:00"/>
    <d v="2002-01-28T00:00:00"/>
    <s v="OTIF FAIL"/>
    <n v="3"/>
    <s v="1210_FG_CRC"/>
    <x v="10"/>
    <n v="1"/>
    <m/>
  </r>
  <r>
    <s v="0558113587-1"/>
    <s v="HRC"/>
    <n v="0.6"/>
    <n v="1250"/>
    <n v="0"/>
    <n v="6"/>
    <n v="6"/>
    <s v="CRAP"/>
    <d v="2001-08-07T00:00:00"/>
    <d v="2002-03-06T00:00:00"/>
    <d v="2002-02-23T00:00:00"/>
    <d v="2002-03-06T00:00:00"/>
    <d v="2002-01-22T00:00:00"/>
    <d v="2002-01-28T00:00:00"/>
    <s v="OTIF PASS"/>
    <n v="1"/>
    <s v="1210_FG_CRC"/>
    <x v="10"/>
    <n v="1"/>
    <m/>
  </r>
  <r>
    <s v="0558114032-7"/>
    <s v="CST"/>
    <n v="1.5"/>
    <n v="1000"/>
    <n v="0"/>
    <n v="3"/>
    <n v="3"/>
    <s v="CRAP"/>
    <d v="2001-08-16T00:00:00"/>
    <d v="2002-03-06T00:00:00"/>
    <d v="2002-04-08T00:00:00"/>
    <d v="2002-04-08T00:00:00"/>
    <d v="2002-04-08T00:00:00"/>
    <d v="2002-04-08T00:00:00"/>
    <s v="OTIF FAIL"/>
    <n v="7"/>
    <s v="1210_FG_CRC"/>
    <x v="7"/>
    <n v="1"/>
    <m/>
  </r>
  <r>
    <s v="0569023050-27"/>
    <s v="HPC"/>
    <n v="0.8"/>
    <n v="318"/>
    <n v="0"/>
    <n v="2"/>
    <n v="2"/>
    <s v="CRAP"/>
    <d v="2001-08-19T00:00:00"/>
    <d v="2002-02-27T00:00:00"/>
    <d v="2002-03-30T00:00:00"/>
    <d v="2002-03-30T00:00:00"/>
    <d v="2002-03-16T00:00:00"/>
    <d v="2002-03-16T00:00:00"/>
    <s v="OTIF FAIL"/>
    <n v="27"/>
    <s v="1110_FG_CRC"/>
    <x v="3"/>
    <n v="1"/>
    <m/>
  </r>
  <r>
    <s v="0558115984-1"/>
    <s v="CST"/>
    <n v="0.9"/>
    <n v="1250"/>
    <n v="0"/>
    <n v="60"/>
    <n v="60"/>
    <s v="CRAP"/>
    <d v="2001-09-25T00:00:00"/>
    <d v="2002-03-30T00:00:00"/>
    <d v="2002-03-30T00:00:00"/>
    <d v="2002-03-30T00:00:00"/>
    <d v="2002-03-30T00:00:00"/>
    <d v="2002-03-30T00:00:00"/>
    <s v="OTIF PASS"/>
    <n v="1"/>
    <s v="1210_FG_CRC"/>
    <x v="9"/>
    <n v="1"/>
    <m/>
  </r>
  <r>
    <s v="0558115435-5"/>
    <s v="CST"/>
    <n v="0.5"/>
    <n v="625"/>
    <n v="0"/>
    <n v="10"/>
    <n v="10"/>
    <s v="CRAP"/>
    <d v="2001-08-28T00:00:00"/>
    <d v="2002-03-30T00:00:00"/>
    <d v="2002-04-27T00:00:00"/>
    <d v="2002-04-27T00:00:00"/>
    <d v="2002-04-20T00:00:00"/>
    <d v="2002-04-20T00:00:00"/>
    <s v="OTIF FAIL"/>
    <n v="5"/>
    <s v="1210_FG_CRC"/>
    <x v="15"/>
    <n v="1"/>
    <m/>
  </r>
  <r>
    <s v="0569023014-2"/>
    <s v="CST"/>
    <n v="0.7"/>
    <n v="1250"/>
    <n v="0"/>
    <n v="9"/>
    <n v="9"/>
    <s v="CRAP"/>
    <d v="2001-08-19T00:00:00"/>
    <d v="2002-03-09T00:00:00"/>
    <d v="2002-04-29T00:00:00"/>
    <d v="2002-04-29T00:00:00"/>
    <d v="2002-04-22T00:00:00"/>
    <d v="2002-04-22T00:00:00"/>
    <s v="OTIF FAIL"/>
    <n v="2"/>
    <s v="1210_FG_CRC"/>
    <x v="2"/>
    <n v="1"/>
    <m/>
  </r>
  <r>
    <s v="0558115807-1"/>
    <s v="CST"/>
    <n v="0.5"/>
    <n v="1000"/>
    <n v="0"/>
    <n v="3"/>
    <n v="3"/>
    <s v="CRAP"/>
    <d v="2001-08-30T00:00:00"/>
    <d v="2002-03-08T00:00:00"/>
    <d v="2002-04-08T00:00:00"/>
    <d v="2002-04-08T00:00:00"/>
    <d v="2002-04-08T00:00:00"/>
    <d v="2002-04-08T00:00:00"/>
    <s v="OTIF FAIL"/>
    <n v="1"/>
    <s v="1210_FG_CRC"/>
    <x v="7"/>
    <n v="1"/>
    <m/>
  </r>
  <r>
    <s v="0558115807-2"/>
    <s v="CST"/>
    <n v="0.9"/>
    <n v="1250"/>
    <n v="0"/>
    <n v="3"/>
    <n v="3"/>
    <s v="CRAP"/>
    <d v="2001-08-30T00:00:00"/>
    <d v="2002-03-08T00:00:00"/>
    <d v="2002-03-01T00:00:00"/>
    <d v="2002-03-08T00:00:00"/>
    <d v="2002-01-16T00:00:00"/>
    <d v="2002-01-16T00:00:00"/>
    <s v="OTIF PASS"/>
    <n v="2"/>
    <s v="1210_FG_CRC"/>
    <x v="13"/>
    <n v="1"/>
    <m/>
  </r>
  <r>
    <s v="0558115438-2"/>
    <s v="CRC"/>
    <n v="1.5"/>
    <n v="1250"/>
    <n v="0"/>
    <n v="6"/>
    <n v="6"/>
    <s v="CRAP"/>
    <d v="2001-08-29T00:00:00"/>
    <d v="2002-02-26T00:00:00"/>
    <d v="2002-04-20T00:00:00"/>
    <d v="2002-04-20T00:00:00"/>
    <d v="2002-01-14T00:00:00"/>
    <d v="2002-01-14T00:00:00"/>
    <s v="OTIF FAIL"/>
    <n v="2"/>
    <s v="1210_FG_CRC"/>
    <x v="13"/>
    <n v="1"/>
    <m/>
  </r>
  <r>
    <s v="0558111495-1"/>
    <s v="CST"/>
    <n v="0.57999999999999996"/>
    <n v="625"/>
    <n v="0"/>
    <n v="29.998999999999999"/>
    <n v="10.327"/>
    <s v="CRAP"/>
    <d v="2001-09-25T00:00:00"/>
    <d v="2002-03-30T00:00:00"/>
    <d v="2002-04-27T00:00:00"/>
    <d v="2002-04-27T00:00:00"/>
    <d v="2002-04-20T00:00:00"/>
    <d v="2002-05-11T00:00:00"/>
    <s v="OTIF FAIL"/>
    <n v="1"/>
    <s v="1210_FG_CRC"/>
    <x v="19"/>
    <n v="0"/>
    <m/>
  </r>
  <r>
    <s v="0558113552-2"/>
    <s v="CST"/>
    <n v="1.85"/>
    <n v="1000"/>
    <n v="0"/>
    <n v="16"/>
    <n v="7.3220000000000001"/>
    <s v="CRAP"/>
    <d v="2001-08-07T00:00:00"/>
    <d v="2002-02-27T00:00:00"/>
    <d v="2002-03-18T00:00:00"/>
    <d v="2002-03-18T00:00:00"/>
    <d v="2002-03-18T00:00:00"/>
    <d v="2002-03-18T00:00:00"/>
    <s v="OTIF FAIL"/>
    <n v="2"/>
    <s v="1210_FG_CRC"/>
    <x v="0"/>
    <n v="0"/>
    <m/>
  </r>
  <r>
    <s v="0558115636-3"/>
    <s v="HRC"/>
    <n v="0.5"/>
    <n v="1250"/>
    <n v="0"/>
    <n v="6"/>
    <n v="6"/>
    <s v="CRAP"/>
    <d v="2001-09-25T00:00:00"/>
    <d v="2002-03-08T00:00:00"/>
    <s v="-"/>
    <s v="-"/>
    <d v="2002-01-17T00:00:00"/>
    <d v="2002-01-17T00:00:00"/>
    <s v="OTIF FAIL"/>
    <n v="3"/>
    <s v="1210_FG_CRC"/>
    <x v="13"/>
    <n v="1"/>
    <m/>
  </r>
  <r>
    <s v="0558115636-4"/>
    <s v="CRC"/>
    <n v="0.8"/>
    <n v="1000"/>
    <n v="0"/>
    <n v="3"/>
    <n v="3"/>
    <s v="CRAP"/>
    <d v="2001-09-25T00:00:00"/>
    <d v="2002-03-08T00:00:00"/>
    <d v="2002-04-07T00:00:00"/>
    <d v="2002-04-07T00:00:00"/>
    <d v="2002-04-07T00:00:00"/>
    <d v="2002-04-07T00:00:00"/>
    <s v="OTIF FAIL"/>
    <n v="4"/>
    <s v="1210_FG_CRC"/>
    <x v="7"/>
    <n v="1"/>
    <m/>
  </r>
  <r>
    <s v="0558114341-1"/>
    <s v="CST"/>
    <n v="1.2"/>
    <n v="1250"/>
    <n v="0"/>
    <n v="80"/>
    <n v="58.247"/>
    <s v="CRAP"/>
    <d v="2001-08-17T00:00:00"/>
    <d v="2002-02-27T00:00:00"/>
    <d v="2002-03-06T00:00:00"/>
    <d v="2002-03-06T00:00:00"/>
    <d v="2002-03-09T00:00:00"/>
    <d v="2002-03-09T00:00:00"/>
    <s v="OTIF FAIL"/>
    <n v="1"/>
    <s v="1210_FG_CRC"/>
    <x v="1"/>
    <n v="0"/>
    <m/>
  </r>
  <r>
    <s v="0558114341-2"/>
    <s v="CST"/>
    <n v="0.9"/>
    <n v="1250"/>
    <n v="0"/>
    <n v="22"/>
    <n v="22"/>
    <s v="CRAP"/>
    <d v="2001-08-17T00:00:00"/>
    <d v="2002-02-27T00:00:00"/>
    <d v="2002-03-10T00:00:00"/>
    <d v="2002-03-10T00:00:00"/>
    <d v="2002-03-17T00:00:00"/>
    <d v="2002-03-17T00:00:00"/>
    <s v="OTIF FAIL"/>
    <n v="2"/>
    <s v="1210_FG_CRC"/>
    <x v="0"/>
    <n v="1"/>
    <m/>
  </r>
  <r>
    <s v="0558113562-7"/>
    <s v="CST"/>
    <n v="1.2"/>
    <n v="1000"/>
    <n v="0"/>
    <n v="3"/>
    <n v="3"/>
    <s v="CRAP"/>
    <d v="2001-08-18T00:00:00"/>
    <d v="2002-03-06T00:00:00"/>
    <d v="2002-03-29T00:00:00"/>
    <d v="2002-03-29T00:00:00"/>
    <d v="2002-03-29T00:00:00"/>
    <d v="2002-03-29T00:00:00"/>
    <s v="OTIF FAIL"/>
    <n v="7"/>
    <s v="1210_FG_CRC"/>
    <x v="9"/>
    <n v="1"/>
    <m/>
  </r>
  <r>
    <s v="0558115438-3"/>
    <s v="CST"/>
    <n v="1"/>
    <n v="1250"/>
    <n v="0"/>
    <n v="6"/>
    <n v="6"/>
    <s v="CRAP"/>
    <d v="2001-08-29T00:00:00"/>
    <d v="2002-02-24T00:00:00"/>
    <d v="2002-04-19T00:00:00"/>
    <d v="2002-04-19T00:00:00"/>
    <d v="2002-03-29T00:00:00"/>
    <d v="2002-03-29T00:00:00"/>
    <s v="OTIF FAIL"/>
    <n v="3"/>
    <s v="1210_FG_CRC"/>
    <x v="9"/>
    <n v="1"/>
    <m/>
  </r>
  <r>
    <s v="0558116754-2"/>
    <s v="CRC"/>
    <n v="0.5"/>
    <n v="90"/>
    <n v="0"/>
    <n v="5"/>
    <n v="5"/>
    <s v="CRAP"/>
    <d v="2002-04-06T00:00:00"/>
    <d v="2002-05-13T00:00:00"/>
    <s v="-"/>
    <s v="-"/>
    <d v="2002-05-13T00:00:00"/>
    <d v="2002-05-13T00:00:00"/>
    <s v="OTIF FAIL"/>
    <n v="2"/>
    <s v="1210_FG_CRC"/>
    <x v="4"/>
    <n v="1"/>
    <m/>
  </r>
  <r>
    <s v="0558114480-1"/>
    <s v="CST"/>
    <n v="0.6"/>
    <n v="1250"/>
    <n v="0"/>
    <n v="3"/>
    <n v="3"/>
    <s v="CRAP"/>
    <d v="2001-09-25T00:00:00"/>
    <d v="2002-03-07T00:00:00"/>
    <d v="2002-04-06T00:00:00"/>
    <d v="2002-04-06T00:00:00"/>
    <d v="2002-04-06T00:00:00"/>
    <d v="2002-04-06T00:00:00"/>
    <s v="OTIF FAIL"/>
    <n v="1"/>
    <s v="1210_FG_CRC"/>
    <x v="6"/>
    <n v="1"/>
    <m/>
  </r>
  <r>
    <s v="0558114563-4"/>
    <s v="CST"/>
    <n v="0.6"/>
    <n v="1250"/>
    <n v="0"/>
    <n v="3"/>
    <n v="3"/>
    <s v="CRAP"/>
    <d v="2001-09-25T00:00:00"/>
    <d v="2002-03-07T00:00:00"/>
    <d v="2002-04-06T00:00:00"/>
    <d v="2002-04-06T00:00:00"/>
    <d v="2002-04-06T00:00:00"/>
    <d v="2002-04-06T00:00:00"/>
    <s v="OTIF FAIL"/>
    <n v="4"/>
    <s v="1210_FG_CRC"/>
    <x v="6"/>
    <n v="1"/>
    <m/>
  </r>
  <r>
    <s v="0558115313-1"/>
    <s v="CST"/>
    <n v="1"/>
    <n v="1000"/>
    <n v="0"/>
    <n v="3"/>
    <n v="3"/>
    <s v="CRAP"/>
    <d v="2001-08-29T00:00:00"/>
    <d v="2002-03-10T00:00:00"/>
    <d v="2002-04-01T00:00:00"/>
    <d v="2002-04-01T00:00:00"/>
    <d v="2002-03-30T00:00:00"/>
    <d v="2002-03-30T00:00:00"/>
    <s v="OTIF FAIL"/>
    <n v="1"/>
    <s v="1210_FG_CRC"/>
    <x v="9"/>
    <n v="1"/>
    <m/>
  </r>
  <r>
    <s v="0558115282-1"/>
    <s v="CST"/>
    <n v="1.2"/>
    <n v="1250"/>
    <n v="0"/>
    <n v="6"/>
    <n v="6"/>
    <s v="CRAP"/>
    <d v="2001-08-29T00:00:00"/>
    <d v="2002-02-26T00:00:00"/>
    <d v="2002-03-29T00:00:00"/>
    <d v="2002-03-29T00:00:00"/>
    <d v="2002-03-29T00:00:00"/>
    <d v="2002-03-29T00:00:00"/>
    <s v="OTIF FAIL"/>
    <n v="1"/>
    <s v="1210_FG_CRC"/>
    <x v="9"/>
    <n v="1"/>
    <m/>
  </r>
  <r>
    <s v="0558115282-2"/>
    <s v="CST"/>
    <n v="1.5"/>
    <n v="1250"/>
    <n v="0"/>
    <n v="6"/>
    <n v="6"/>
    <s v="CRAP"/>
    <d v="2001-08-29T00:00:00"/>
    <d v="2002-02-26T00:00:00"/>
    <s v="-"/>
    <s v="-"/>
    <d v="2002-01-12T00:00:00"/>
    <d v="2002-01-14T00:00:00"/>
    <s v="OTIF FAIL"/>
    <n v="2"/>
    <s v="1210_FG_CRC"/>
    <x v="13"/>
    <n v="1"/>
    <m/>
  </r>
  <r>
    <s v="0558115282-3"/>
    <s v="CST"/>
    <n v="0.9"/>
    <n v="1250"/>
    <n v="0"/>
    <n v="3"/>
    <n v="3"/>
    <s v="CRAP"/>
    <d v="2001-08-29T00:00:00"/>
    <d v="2002-02-26T00:00:00"/>
    <s v="-"/>
    <s v="-"/>
    <d v="2002-01-12T00:00:00"/>
    <d v="2002-01-20T00:00:00"/>
    <s v="OTIF FAIL"/>
    <n v="3"/>
    <s v="1210_FG_CRC"/>
    <x v="8"/>
    <n v="1"/>
    <m/>
  </r>
  <r>
    <s v="0569023063-3"/>
    <s v="HRC"/>
    <n v="1.45"/>
    <n v="625"/>
    <n v="0"/>
    <n v="100"/>
    <n v="100"/>
    <s v="CRAP"/>
    <d v="2001-08-22T00:00:00"/>
    <d v="2002-02-26T00:00:00"/>
    <d v="2002-03-15T00:00:00"/>
    <d v="2002-03-15T00:00:00"/>
    <d v="2002-03-15T00:00:00"/>
    <d v="2002-03-15T00:00:00"/>
    <s v="OTIF FAIL"/>
    <n v="3"/>
    <s v="1110_FG_CRC"/>
    <x v="3"/>
    <n v="1"/>
    <m/>
  </r>
  <r>
    <s v="0558115257-2"/>
    <s v="PSS"/>
    <n v="0.7"/>
    <n v="1250"/>
    <n v="0"/>
    <n v="3"/>
    <n v="3"/>
    <s v="CRAP"/>
    <d v="2001-08-27T00:00:00"/>
    <d v="2002-03-08T00:00:00"/>
    <d v="2002-04-29T00:00:00"/>
    <d v="2002-04-29T00:00:00"/>
    <d v="2002-04-22T00:00:00"/>
    <d v="2002-04-22T00:00:00"/>
    <s v="OTIF FAIL"/>
    <n v="2"/>
    <s v="1210_FG_CRC"/>
    <x v="2"/>
    <n v="1"/>
    <m/>
  </r>
  <r>
    <s v="0558114563-5"/>
    <s v="CST"/>
    <n v="0.7"/>
    <n v="1250"/>
    <n v="0"/>
    <n v="3"/>
    <n v="3"/>
    <s v="CRAP"/>
    <d v="2001-09-25T00:00:00"/>
    <d v="2002-03-07T00:00:00"/>
    <d v="2002-02-19T00:00:00"/>
    <d v="2002-03-07T00:00:00"/>
    <d v="2001-11-18T00:00:00"/>
    <d v="2002-01-30T00:00:00"/>
    <s v="OTIF PASS"/>
    <n v="5"/>
    <s v="1210_FG_CRC"/>
    <x v="10"/>
    <n v="1"/>
    <m/>
  </r>
  <r>
    <s v="0558114905-1"/>
    <s v="HRC"/>
    <n v="0.5"/>
    <n v="1000"/>
    <n v="0"/>
    <n v="6"/>
    <n v="6"/>
    <s v="CRAP"/>
    <d v="2001-08-29T00:00:00"/>
    <d v="2002-03-08T00:00:00"/>
    <d v="2002-04-08T00:00:00"/>
    <d v="2002-04-08T00:00:00"/>
    <d v="2002-04-08T00:00:00"/>
    <d v="2002-04-08T00:00:00"/>
    <s v="OTIF FAIL"/>
    <n v="1"/>
    <s v="1210_FG_CRC"/>
    <x v="7"/>
    <n v="1"/>
    <m/>
  </r>
  <r>
    <s v="0558114863-1"/>
    <s v="HRC"/>
    <n v="0.7"/>
    <n v="1250"/>
    <n v="0"/>
    <n v="6"/>
    <n v="6"/>
    <s v="CRAP"/>
    <d v="2001-08-25T00:00:00"/>
    <d v="2002-03-07T00:00:00"/>
    <d v="2002-04-29T00:00:00"/>
    <d v="2002-04-29T00:00:00"/>
    <d v="2002-04-22T00:00:00"/>
    <d v="2002-04-22T00:00:00"/>
    <s v="OTIF FAIL"/>
    <n v="1"/>
    <s v="1210_FG_CRC"/>
    <x v="2"/>
    <n v="1"/>
    <m/>
  </r>
  <r>
    <s v="0558112912-1"/>
    <s v="CST"/>
    <n v="0.6"/>
    <n v="1250"/>
    <n v="0"/>
    <n v="3"/>
    <n v="3"/>
    <s v="CRAP"/>
    <d v="2001-09-25T00:00:00"/>
    <d v="2002-03-05T00:00:00"/>
    <d v="2002-04-29T00:00:00"/>
    <d v="2002-04-29T00:00:00"/>
    <d v="2002-04-22T00:00:00"/>
    <d v="2002-04-22T00:00:00"/>
    <s v="OTIF FAIL"/>
    <n v="1"/>
    <s v="1210_FG_CRC"/>
    <x v="2"/>
    <n v="1"/>
    <m/>
  </r>
  <r>
    <s v="0558114600-1"/>
    <s v="HRC"/>
    <n v="1.6"/>
    <n v="1250"/>
    <n v="0"/>
    <n v="6"/>
    <n v="6"/>
    <s v="CRAP"/>
    <d v="2001-08-23T00:00:00"/>
    <d v="2002-02-22T00:00:00"/>
    <d v="2002-02-15T00:00:00"/>
    <d v="2002-02-22T00:00:00"/>
    <d v="2002-01-07T00:00:00"/>
    <d v="2002-01-07T00:00:00"/>
    <s v="OTIF PASS"/>
    <n v="1"/>
    <s v="1210_FG_CRC"/>
    <x v="17"/>
    <n v="1"/>
    <m/>
  </r>
  <r>
    <s v="0558114636-1"/>
    <s v="CST"/>
    <n v="1.5"/>
    <n v="1250"/>
    <n v="0"/>
    <n v="9"/>
    <n v="9"/>
    <s v="CRAP"/>
    <d v="2001-08-23T00:00:00"/>
    <d v="2002-02-24T00:00:00"/>
    <s v="-"/>
    <s v="-"/>
    <d v="2002-03-23T00:00:00"/>
    <d v="2002-03-30T00:00:00"/>
    <s v="OTIF FAIL"/>
    <n v="1"/>
    <s v="1210_FG_CRC"/>
    <x v="9"/>
    <n v="1"/>
    <m/>
  </r>
  <r>
    <s v="0558114650-3"/>
    <s v="HPC"/>
    <n v="1.2"/>
    <n v="1250"/>
    <n v="0"/>
    <n v="22"/>
    <n v="22"/>
    <s v="CRAP"/>
    <d v="2001-08-23T00:00:00"/>
    <d v="2002-02-22T00:00:00"/>
    <d v="2002-03-13T00:00:00"/>
    <d v="2002-03-13T00:00:00"/>
    <d v="2002-03-20T00:00:00"/>
    <d v="2002-03-20T00:00:00"/>
    <s v="OTIF FAIL"/>
    <n v="3"/>
    <s v="1210_FG_CRC"/>
    <x v="0"/>
    <n v="1"/>
    <m/>
  </r>
  <r>
    <s v="0558116250-3"/>
    <s v="CST"/>
    <n v="2"/>
    <n v="1000"/>
    <n v="0"/>
    <n v="3"/>
    <n v="3"/>
    <s v="CRAP"/>
    <d v="2001-10-25T00:00:00"/>
    <d v="2002-03-08T00:00:00"/>
    <d v="2002-04-07T00:00:00"/>
    <d v="2002-04-07T00:00:00"/>
    <d v="2002-04-07T00:00:00"/>
    <d v="2002-04-07T00:00:00"/>
    <s v="OTIF FAIL"/>
    <n v="3"/>
    <s v="1210_FG_CRC"/>
    <x v="7"/>
    <n v="1"/>
    <m/>
  </r>
  <r>
    <s v="0558114650-2"/>
    <s v="CST"/>
    <n v="1"/>
    <n v="1250"/>
    <n v="0"/>
    <n v="22"/>
    <n v="22"/>
    <s v="CRAP"/>
    <d v="2001-08-23T00:00:00"/>
    <d v="2002-02-23T00:00:00"/>
    <d v="2002-03-13T00:00:00"/>
    <d v="2002-03-13T00:00:00"/>
    <d v="2002-03-20T00:00:00"/>
    <d v="2002-03-20T00:00:00"/>
    <s v="OTIF FAIL"/>
    <n v="2"/>
    <s v="1210_FG_CRC"/>
    <x v="0"/>
    <n v="1"/>
    <m/>
  </r>
  <r>
    <s v="0558113353-1"/>
    <s v="CRC"/>
    <n v="0.5"/>
    <n v="1250"/>
    <n v="0"/>
    <n v="6"/>
    <n v="6"/>
    <s v="CRAP"/>
    <d v="2001-08-05T00:00:00"/>
    <d v="2002-03-06T00:00:00"/>
    <d v="2002-04-26T00:00:00"/>
    <d v="2002-04-26T00:00:00"/>
    <d v="2002-04-19T00:00:00"/>
    <d v="2002-04-22T00:00:00"/>
    <s v="OTIF FAIL"/>
    <n v="1"/>
    <s v="1210_FG_CRC"/>
    <x v="2"/>
    <n v="1"/>
    <m/>
  </r>
  <r>
    <s v="0558116246-1"/>
    <s v="CST"/>
    <n v="0.9"/>
    <n v="625"/>
    <n v="0"/>
    <n v="42"/>
    <n v="42"/>
    <s v="CRAP"/>
    <d v="2001-10-25T00:00:00"/>
    <d v="2002-03-14T00:00:00"/>
    <d v="2002-03-21T00:00:00"/>
    <d v="2002-03-21T00:00:00"/>
    <d v="2002-03-21T00:00:00"/>
    <d v="2002-03-21T00:00:00"/>
    <s v="OTIF FAIL"/>
    <n v="1"/>
    <s v="1210_FG_CRC"/>
    <x v="0"/>
    <n v="1"/>
    <m/>
  </r>
  <r>
    <s v="0569023121-3"/>
    <s v="CST"/>
    <n v="0.6"/>
    <n v="1250"/>
    <n v="0"/>
    <n v="10"/>
    <n v="10"/>
    <s v="CRAP"/>
    <d v="2001-08-27T00:00:00"/>
    <d v="2002-03-04T00:00:00"/>
    <d v="2002-04-29T00:00:00"/>
    <d v="2002-04-29T00:00:00"/>
    <d v="2002-04-22T00:00:00"/>
    <d v="2002-04-22T00:00:00"/>
    <s v="OTIF FAIL"/>
    <n v="3"/>
    <s v="1210_FG_CRC"/>
    <x v="2"/>
    <n v="1"/>
    <m/>
  </r>
  <r>
    <s v="0558114650-1"/>
    <s v="HPC"/>
    <n v="0.8"/>
    <n v="1250"/>
    <n v="0"/>
    <n v="22"/>
    <n v="22"/>
    <s v="CRAP"/>
    <d v="2001-08-23T00:00:00"/>
    <d v="2002-02-21T00:00:00"/>
    <d v="2002-03-20T00:00:00"/>
    <d v="2002-03-20T00:00:00"/>
    <d v="2002-03-27T00:00:00"/>
    <d v="2002-03-27T00:00:00"/>
    <s v="OTIF FAIL"/>
    <n v="1"/>
    <s v="1210_FG_CRC"/>
    <x v="9"/>
    <n v="1"/>
    <m/>
  </r>
  <r>
    <s v="0558116249-3"/>
    <s v="CST"/>
    <n v="2"/>
    <n v="1000"/>
    <n v="0"/>
    <n v="3"/>
    <n v="3"/>
    <s v="CRAP"/>
    <d v="2001-10-25T00:00:00"/>
    <d v="2002-03-08T00:00:00"/>
    <d v="2002-04-07T00:00:00"/>
    <d v="2002-04-07T00:00:00"/>
    <d v="2002-04-07T00:00:00"/>
    <d v="2002-04-07T00:00:00"/>
    <s v="OTIF FAIL"/>
    <n v="3"/>
    <s v="1210_FG_CRC"/>
    <x v="7"/>
    <n v="1"/>
    <m/>
  </r>
  <r>
    <s v="0558116754-6"/>
    <s v="HRC"/>
    <n v="0.6"/>
    <n v="63"/>
    <n v="0"/>
    <n v="4"/>
    <n v="4"/>
    <s v="CRAP"/>
    <d v="2002-04-06T00:00:00"/>
    <d v="2002-05-13T00:00:00"/>
    <s v="-"/>
    <s v="-"/>
    <d v="2002-05-13T00:00:00"/>
    <d v="2002-05-13T00:00:00"/>
    <s v="OTIF FAIL"/>
    <n v="6"/>
    <s v="1210_FG_CRC"/>
    <x v="4"/>
    <n v="1"/>
    <m/>
  </r>
  <r>
    <s v="0558113290-1"/>
    <s v="HRC"/>
    <n v="0.5"/>
    <n v="1250"/>
    <n v="0"/>
    <n v="6"/>
    <n v="6"/>
    <s v="CRAP"/>
    <d v="2001-08-05T00:00:00"/>
    <d v="2002-03-05T00:00:00"/>
    <d v="2002-04-14T00:00:00"/>
    <d v="2002-04-14T00:00:00"/>
    <d v="2002-03-30T00:00:00"/>
    <d v="2002-03-30T00:00:00"/>
    <s v="OTIF FAIL"/>
    <n v="1"/>
    <s v="1210_FG_CRC"/>
    <x v="9"/>
    <n v="1"/>
    <m/>
  </r>
  <r>
    <s v="0558113290-2"/>
    <s v="HRC"/>
    <n v="0.6"/>
    <n v="1250"/>
    <n v="0"/>
    <n v="6"/>
    <n v="6"/>
    <s v="CRAP"/>
    <d v="2001-08-05T00:00:00"/>
    <d v="2002-03-05T00:00:00"/>
    <d v="2002-02-23T00:00:00"/>
    <d v="2002-03-05T00:00:00"/>
    <d v="2002-01-16T00:00:00"/>
    <d v="2002-01-28T00:00:00"/>
    <s v="OTIF PASS"/>
    <n v="2"/>
    <s v="1210_FG_CRC"/>
    <x v="10"/>
    <n v="1"/>
    <m/>
  </r>
  <r>
    <s v="0568011593-4"/>
    <s v="HRC"/>
    <n v="0.4"/>
    <n v="1000"/>
    <n v="0"/>
    <n v="50"/>
    <n v="50"/>
    <s v="CRAP"/>
    <d v="2001-09-25T00:00:00"/>
    <d v="2002-02-27T00:00:00"/>
    <s v="-"/>
    <s v="-"/>
    <d v="2002-01-24T00:00:00"/>
    <d v="2002-01-24T00:00:00"/>
    <s v="OTIF FAIL"/>
    <n v="4"/>
    <s v="1210_FG_CRC"/>
    <x v="8"/>
    <n v="1"/>
    <m/>
  </r>
  <r>
    <s v="0568011593-2"/>
    <s v="HPC"/>
    <n v="0.5"/>
    <n v="1000"/>
    <n v="0"/>
    <n v="30"/>
    <n v="30"/>
    <s v="CRAP"/>
    <d v="2001-09-25T00:00:00"/>
    <d v="2002-02-27T00:00:00"/>
    <d v="2002-03-01T00:00:00"/>
    <d v="2002-03-01T00:00:00"/>
    <d v="2002-01-24T00:00:00"/>
    <d v="2002-01-24T00:00:00"/>
    <s v="OTIF FAIL"/>
    <n v="2"/>
    <s v="1210_FG_CRC"/>
    <x v="8"/>
    <n v="1"/>
    <m/>
  </r>
  <r>
    <s v="0558114731-1"/>
    <s v="HRC"/>
    <n v="1.5"/>
    <n v="1000"/>
    <n v="0"/>
    <n v="5"/>
    <n v="5"/>
    <s v="CRAP"/>
    <d v="2001-08-23T00:00:00"/>
    <d v="2002-03-07T00:00:00"/>
    <d v="2002-04-08T00:00:00"/>
    <d v="2002-04-08T00:00:00"/>
    <d v="2002-04-08T00:00:00"/>
    <d v="2002-04-08T00:00:00"/>
    <s v="OTIF FAIL"/>
    <n v="1"/>
    <s v="1210_FG_CRC"/>
    <x v="7"/>
    <n v="1"/>
    <m/>
  </r>
  <r>
    <s v="0568011774-1"/>
    <s v="HPC"/>
    <n v="0.5"/>
    <n v="350"/>
    <n v="0"/>
    <n v="110"/>
    <n v="7.9429999999999996"/>
    <s v="CRAP"/>
    <d v="2001-09-25T00:00:00"/>
    <d v="2002-02-27T00:00:00"/>
    <d v="2002-02-24T00:00:00"/>
    <d v="2002-02-27T00:00:00"/>
    <d v="2002-01-10T00:00:00"/>
    <d v="2002-01-10T00:00:00"/>
    <s v="OTIF PASS"/>
    <n v="1"/>
    <s v="1210_FG_CRC"/>
    <x v="17"/>
    <n v="0"/>
    <m/>
  </r>
  <r>
    <s v="0558111261-1"/>
    <s v="CRC"/>
    <n v="3"/>
    <n v="1250"/>
    <n v="0"/>
    <n v="3"/>
    <n v="3"/>
    <s v="CRAP"/>
    <d v="2001-09-25T00:00:00"/>
    <d v="2002-03-04T00:00:00"/>
    <d v="2002-02-21T00:00:00"/>
    <d v="2002-03-04T00:00:00"/>
    <d v="2002-01-02T00:00:00"/>
    <d v="2002-01-28T00:00:00"/>
    <s v="OTIF PASS"/>
    <n v="1"/>
    <s v="1210_FG_CRC"/>
    <x v="10"/>
    <n v="1"/>
    <m/>
  </r>
  <r>
    <s v="0558114863-2"/>
    <s v="HRC"/>
    <n v="0.9"/>
    <n v="1250"/>
    <n v="0"/>
    <n v="6"/>
    <n v="6"/>
    <s v="CRAP"/>
    <d v="2001-08-29T00:00:00"/>
    <d v="2002-03-07T00:00:00"/>
    <d v="2002-03-01T00:00:00"/>
    <d v="2002-03-07T00:00:00"/>
    <d v="2002-01-10T00:00:00"/>
    <d v="2002-01-16T00:00:00"/>
    <s v="OTIF PASS"/>
    <n v="2"/>
    <s v="1210_FG_CRC"/>
    <x v="13"/>
    <n v="1"/>
    <m/>
  </r>
  <r>
    <s v="0558113270-1"/>
    <s v="CST"/>
    <n v="0.6"/>
    <n v="1250"/>
    <n v="0"/>
    <n v="6"/>
    <n v="6"/>
    <s v="CRAP"/>
    <d v="2001-08-05T00:00:00"/>
    <d v="2002-03-05T00:00:00"/>
    <d v="2002-04-29T00:00:00"/>
    <d v="2002-04-29T00:00:00"/>
    <d v="2002-04-22T00:00:00"/>
    <d v="2002-04-22T00:00:00"/>
    <s v="OTIF FAIL"/>
    <n v="1"/>
    <s v="1210_FG_CRC"/>
    <x v="2"/>
    <n v="1"/>
    <m/>
  </r>
  <r>
    <s v="0558113206-1"/>
    <s v="PSS"/>
    <n v="1.2"/>
    <n v="1000"/>
    <n v="0"/>
    <n v="3"/>
    <n v="3"/>
    <s v="CRAP"/>
    <d v="2001-08-23T00:00:00"/>
    <d v="2002-02-22T00:00:00"/>
    <d v="2002-03-30T00:00:00"/>
    <d v="2002-03-30T00:00:00"/>
    <d v="2002-03-30T00:00:00"/>
    <d v="2002-04-06T00:00:00"/>
    <s v="OTIF FAIL"/>
    <n v="1"/>
    <s v="1210_FG_CRC"/>
    <x v="6"/>
    <n v="1"/>
    <m/>
  </r>
  <r>
    <s v="0558116248-3"/>
    <s v="HPC"/>
    <n v="2"/>
    <n v="1000"/>
    <n v="0"/>
    <n v="3"/>
    <n v="3"/>
    <s v="CRAP"/>
    <d v="2001-10-25T00:00:00"/>
    <d v="2002-03-08T00:00:00"/>
    <d v="2002-04-07T00:00:00"/>
    <d v="2002-04-07T00:00:00"/>
    <d v="2002-04-07T00:00:00"/>
    <d v="2002-04-07T00:00:00"/>
    <s v="OTIF FAIL"/>
    <n v="3"/>
    <s v="1210_FG_CRC"/>
    <x v="7"/>
    <n v="1"/>
    <m/>
  </r>
  <r>
    <s v="0558116247-3"/>
    <s v="HRC"/>
    <n v="2"/>
    <n v="1000"/>
    <n v="0"/>
    <n v="3"/>
    <n v="3"/>
    <s v="CRAP"/>
    <d v="2001-10-25T00:00:00"/>
    <d v="2002-03-08T00:00:00"/>
    <d v="2002-04-07T00:00:00"/>
    <d v="2002-04-07T00:00:00"/>
    <d v="2002-04-07T00:00:00"/>
    <d v="2002-04-07T00:00:00"/>
    <s v="OTIF FAIL"/>
    <n v="3"/>
    <s v="1210_FG_CRC"/>
    <x v="7"/>
    <n v="1"/>
    <m/>
  </r>
  <r>
    <s v="0519010823-2"/>
    <s v="HRC"/>
    <n v="0.8"/>
    <n v="98"/>
    <n v="0"/>
    <n v="5"/>
    <n v="5"/>
    <s v="CRAP"/>
    <d v="2002-02-17T00:00:00"/>
    <d v="2002-02-21T00:00:00"/>
    <d v="2002-03-23T00:00:00"/>
    <d v="2002-03-23T00:00:00"/>
    <d v="2002-03-16T00:00:00"/>
    <d v="2002-05-16T00:00:00"/>
    <s v="OTIF FAIL"/>
    <n v="2"/>
    <s v="1110_FG_CRC"/>
    <x v="4"/>
    <n v="1"/>
    <m/>
  </r>
  <r>
    <s v="0569023218-3"/>
    <s v="HRC"/>
    <n v="0.9"/>
    <n v="630"/>
    <n v="0"/>
    <n v="65"/>
    <n v="65"/>
    <s v="CRAP"/>
    <d v="2001-09-28T00:00:00"/>
    <d v="2002-02-27T00:00:00"/>
    <d v="2002-03-06T00:00:00"/>
    <d v="2002-03-06T00:00:00"/>
    <d v="2002-03-03T00:00:00"/>
    <d v="2002-03-03T00:00:00"/>
    <s v="OTIF FAIL"/>
    <n v="3"/>
    <s v="1210_FG_CRC"/>
    <x v="1"/>
    <n v="1"/>
    <m/>
  </r>
  <r>
    <s v="0569023217-3"/>
    <s v="PSS"/>
    <n v="0.9"/>
    <n v="630"/>
    <n v="0"/>
    <n v="65"/>
    <n v="65"/>
    <s v="CRAP"/>
    <d v="2001-09-28T00:00:00"/>
    <d v="2002-02-27T00:00:00"/>
    <d v="2002-03-06T00:00:00"/>
    <d v="2002-03-06T00:00:00"/>
    <d v="2002-03-03T00:00:00"/>
    <d v="2002-03-03T00:00:00"/>
    <s v="OTIF FAIL"/>
    <n v="3"/>
    <s v="1210_FG_CRC"/>
    <x v="1"/>
    <n v="1"/>
    <m/>
  </r>
  <r>
    <s v="0558111465-3"/>
    <s v="HRC"/>
    <n v="0.65"/>
    <n v="59.8"/>
    <n v="0"/>
    <n v="18"/>
    <n v="18"/>
    <s v="CRAP"/>
    <d v="2001-09-25T00:00:00"/>
    <d v="2002-03-30T00:00:00"/>
    <s v="-"/>
    <s v="-"/>
    <d v="2002-04-06T00:00:00"/>
    <d v="2002-04-06T00:00:00"/>
    <s v="OTIF FAIL"/>
    <n v="3"/>
    <s v="1210_FG_CRC"/>
    <x v="6"/>
    <n v="1"/>
    <m/>
  </r>
  <r>
    <s v="0519010823-3"/>
    <s v="HRC"/>
    <n v="0.8"/>
    <n v="118"/>
    <n v="0"/>
    <n v="5"/>
    <n v="5"/>
    <s v="CRAP"/>
    <d v="2002-02-17T00:00:00"/>
    <d v="2002-02-21T00:00:00"/>
    <d v="2002-03-23T00:00:00"/>
    <d v="2002-03-23T00:00:00"/>
    <d v="2002-03-16T00:00:00"/>
    <d v="2002-05-16T00:00:00"/>
    <s v="OTIF FAIL"/>
    <n v="3"/>
    <s v="1110_FG_CRC"/>
    <x v="4"/>
    <n v="1"/>
    <m/>
  </r>
  <r>
    <s v="0519010823-1"/>
    <s v="CST"/>
    <n v="0.8"/>
    <n v="78"/>
    <n v="0"/>
    <n v="5"/>
    <n v="5"/>
    <s v="CRAP"/>
    <d v="2002-02-17T00:00:00"/>
    <d v="2002-02-21T00:00:00"/>
    <d v="2002-03-29T00:00:00"/>
    <d v="2002-03-29T00:00:00"/>
    <d v="2002-03-22T00:00:00"/>
    <d v="2002-03-31T00:00:00"/>
    <s v="OTIF FAIL"/>
    <n v="1"/>
    <s v="1110_FG_CRC"/>
    <x v="6"/>
    <n v="1"/>
    <m/>
  </r>
  <r>
    <s v="0558113338-15"/>
    <s v="CST"/>
    <n v="0.5"/>
    <n v="1250"/>
    <n v="0"/>
    <n v="6"/>
    <n v="6"/>
    <s v="CRAP"/>
    <d v="2001-08-05T00:00:00"/>
    <d v="2002-03-06T00:00:00"/>
    <d v="2002-03-31T00:00:00"/>
    <d v="2002-03-31T00:00:00"/>
    <d v="2002-03-12T00:00:00"/>
    <d v="2002-03-12T00:00:00"/>
    <s v="OTIF FAIL"/>
    <n v="15"/>
    <s v="1210_FG_CRC"/>
    <x v="3"/>
    <n v="1"/>
    <m/>
  </r>
  <r>
    <s v="0519010823-4"/>
    <s v="HRC"/>
    <n v="0.8"/>
    <n v="158"/>
    <n v="0"/>
    <n v="2.4"/>
    <n v="2.4"/>
    <s v="CRAP"/>
    <d v="2002-02-17T00:00:00"/>
    <d v="2002-02-21T00:00:00"/>
    <d v="2002-03-25T00:00:00"/>
    <d v="2002-03-25T00:00:00"/>
    <d v="2002-03-18T00:00:00"/>
    <d v="2002-05-16T00:00:00"/>
    <s v="OTIF FAIL"/>
    <n v="4"/>
    <s v="1110_FG_CRC"/>
    <x v="4"/>
    <n v="1"/>
    <m/>
  </r>
  <r>
    <s v="0519010822-2"/>
    <s v="CST"/>
    <n v="0.8"/>
    <n v="98"/>
    <n v="0"/>
    <n v="5"/>
    <n v="5"/>
    <s v="CRAP"/>
    <d v="2002-02-15T00:00:00"/>
    <d v="2002-02-28T00:00:00"/>
    <d v="2002-03-29T00:00:00"/>
    <d v="2002-03-29T00:00:00"/>
    <d v="2002-03-22T00:00:00"/>
    <d v="2002-05-16T00:00:00"/>
    <s v="OTIF FAIL"/>
    <n v="2"/>
    <s v="1110_FG_CRC"/>
    <x v="4"/>
    <n v="1"/>
    <m/>
  </r>
  <r>
    <s v="0519010822-1"/>
    <s v="HPC"/>
    <n v="0.8"/>
    <n v="78"/>
    <n v="0"/>
    <n v="5"/>
    <n v="5"/>
    <s v="CRAP"/>
    <d v="2002-02-15T00:00:00"/>
    <d v="2002-02-21T00:00:00"/>
    <d v="2002-03-23T00:00:00"/>
    <d v="2002-03-23T00:00:00"/>
    <d v="2002-03-16T00:00:00"/>
    <d v="2002-03-31T00:00:00"/>
    <s v="OTIF FAIL"/>
    <n v="1"/>
    <s v="1110_FG_CRC"/>
    <x v="6"/>
    <n v="1"/>
    <m/>
  </r>
  <r>
    <s v="0519010822-4"/>
    <s v="CST"/>
    <n v="0.8"/>
    <n v="158"/>
    <n v="0"/>
    <n v="2.4"/>
    <n v="2.4"/>
    <s v="CRAP"/>
    <d v="2002-02-15T00:00:00"/>
    <d v="2002-02-28T00:00:00"/>
    <d v="2002-03-30T00:00:00"/>
    <d v="2002-03-30T00:00:00"/>
    <d v="2002-03-17T00:00:00"/>
    <d v="2002-05-16T00:00:00"/>
    <s v="OTIF FAIL"/>
    <n v="4"/>
    <s v="1110_FG_CRC"/>
    <x v="4"/>
    <n v="1"/>
    <m/>
  </r>
  <r>
    <s v="0519010822-3"/>
    <s v="HPC"/>
    <n v="0.8"/>
    <n v="118"/>
    <n v="0"/>
    <n v="5"/>
    <n v="5"/>
    <s v="CRAP"/>
    <d v="2002-02-15T00:00:00"/>
    <d v="2002-02-28T00:00:00"/>
    <d v="2002-03-23T00:00:00"/>
    <d v="2002-03-23T00:00:00"/>
    <d v="2002-03-18T00:00:00"/>
    <d v="2002-05-16T00:00:00"/>
    <s v="OTIF FAIL"/>
    <n v="3"/>
    <s v="1110_FG_CRC"/>
    <x v="4"/>
    <n v="1"/>
    <m/>
  </r>
  <r>
    <s v="0569022625-1"/>
    <s v="CST"/>
    <n v="0.38"/>
    <n v="488"/>
    <n v="0"/>
    <n v="60"/>
    <n v="60"/>
    <s v="CRAP"/>
    <d v="2001-09-25T00:00:00"/>
    <d v="2002-02-25T00:00:00"/>
    <d v="2002-03-28T00:00:00"/>
    <d v="2002-03-28T00:00:00"/>
    <d v="2002-03-19T00:00:00"/>
    <d v="2002-03-23T00:00:00"/>
    <s v="OTIF FAIL"/>
    <n v="1"/>
    <s v="1110_FG_CRC"/>
    <x v="0"/>
    <n v="1"/>
    <m/>
  </r>
  <r>
    <s v="0558112955-2"/>
    <s v="CST"/>
    <n v="0.48"/>
    <n v="321"/>
    <n v="0"/>
    <n v="5.1520000000000001"/>
    <n v="5.1520000000000001"/>
    <s v="CRAP"/>
    <d v="2001-08-05T00:00:00"/>
    <d v="2002-02-26T00:00:00"/>
    <d v="2002-03-10T00:00:00"/>
    <d v="2002-03-10T00:00:00"/>
    <d v="2002-03-09T00:00:00"/>
    <d v="2002-03-09T00:00:00"/>
    <s v="OTIF FAIL"/>
    <n v="2"/>
    <s v="1210_FG_CRC"/>
    <x v="1"/>
    <n v="1"/>
    <m/>
  </r>
  <r>
    <s v="0569023062-7"/>
    <s v="HRC"/>
    <n v="0.7"/>
    <n v="1250"/>
    <n v="0"/>
    <n v="45"/>
    <n v="45"/>
    <s v="CRAP"/>
    <d v="2001-08-23T00:00:00"/>
    <d v="2002-02-25T00:00:00"/>
    <d v="2002-03-25T00:00:00"/>
    <d v="2002-03-25T00:00:00"/>
    <d v="2002-03-25T00:00:00"/>
    <d v="2002-03-28T00:00:00"/>
    <s v="OTIF FAIL"/>
    <n v="7"/>
    <s v="1210_FG_CRC"/>
    <x v="9"/>
    <n v="1"/>
    <m/>
  </r>
  <r>
    <s v="0519010826-1"/>
    <s v="CST"/>
    <n v="0.8"/>
    <n v="38"/>
    <n v="0"/>
    <n v="4.5"/>
    <n v="4.5"/>
    <s v="CRAP"/>
    <d v="2002-03-28T00:00:00"/>
    <d v="2002-05-03T00:00:00"/>
    <s v="-"/>
    <s v="-"/>
    <s v="-"/>
    <d v="2002-04-22T00:00:00"/>
    <s v="OTIF FAIL"/>
    <n v="1"/>
    <s v="1110_FG_CRC"/>
    <x v="2"/>
    <n v="0"/>
    <m/>
  </r>
  <r>
    <s v="0569021870-6"/>
    <s v="CST"/>
    <n v="0.38"/>
    <n v="460"/>
    <n v="0"/>
    <n v="9"/>
    <n v="2.1949999999999998"/>
    <s v="CRAP"/>
    <d v="2001-09-25T00:00:00"/>
    <d v="2002-02-25T00:00:00"/>
    <s v="-"/>
    <s v="-"/>
    <d v="2002-03-22T00:00:00"/>
    <d v="2002-03-22T00:00:00"/>
    <s v="OTIF FAIL"/>
    <n v="6"/>
    <s v="1110_FG_CRC"/>
    <x v="0"/>
    <n v="0"/>
    <m/>
  </r>
  <r>
    <s v="0519010827-1"/>
    <s v="CST"/>
    <n v="0.8"/>
    <n v="38"/>
    <n v="0"/>
    <n v="4.5"/>
    <n v="4.5"/>
    <s v="CRAP"/>
    <d v="2002-03-28T00:00:00"/>
    <d v="2002-05-03T00:00:00"/>
    <s v="-"/>
    <s v="-"/>
    <s v="-"/>
    <d v="2002-04-22T00:00:00"/>
    <s v="OTIF FAIL"/>
    <n v="1"/>
    <s v="1110_FG_CRC"/>
    <x v="2"/>
    <n v="0"/>
    <m/>
  </r>
  <r>
    <s v="0569023239-1"/>
    <s v="CRC"/>
    <n v="0.38"/>
    <n v="360"/>
    <n v="0"/>
    <n v="2.6640000000000001"/>
    <n v="2.6640000000000001"/>
    <s v="CRAP"/>
    <d v="2002-01-02T00:00:00"/>
    <d v="2002-02-25T00:00:00"/>
    <s v="-"/>
    <s v="-"/>
    <d v="2002-03-20T00:00:00"/>
    <d v="2002-03-20T00:00:00"/>
    <s v="OTIF FAIL"/>
    <n v="1"/>
    <s v="1110_FG_CRC"/>
    <x v="0"/>
    <n v="1"/>
    <m/>
  </r>
  <r>
    <s v="0569023237-1"/>
    <s v="CRC"/>
    <n v="0.33"/>
    <n v="615"/>
    <n v="0"/>
    <n v="40"/>
    <n v="40"/>
    <s v="CRAP"/>
    <d v="2002-01-02T00:00:00"/>
    <d v="2002-02-25T00:00:00"/>
    <s v="-"/>
    <s v="-"/>
    <d v="2002-03-22T00:00:00"/>
    <d v="2002-03-30T00:00:00"/>
    <s v="OTIF FAIL"/>
    <n v="1"/>
    <s v="1110_FG_CRC"/>
    <x v="9"/>
    <n v="1"/>
    <m/>
  </r>
  <r>
    <s v="0569023235-4"/>
    <s v="CRC"/>
    <n v="0.38"/>
    <n v="488"/>
    <n v="0"/>
    <n v="4.5940000000000003"/>
    <n v="4.5940000000000003"/>
    <s v="CRAP"/>
    <d v="2002-01-02T00:00:00"/>
    <d v="2002-02-25T00:00:00"/>
    <d v="2002-03-30T00:00:00"/>
    <d v="2002-03-30T00:00:00"/>
    <d v="2002-03-23T00:00:00"/>
    <d v="2002-03-23T00:00:00"/>
    <s v="OTIF FAIL"/>
    <n v="4"/>
    <s v="1110_FG_CRC"/>
    <x v="0"/>
    <n v="1"/>
    <m/>
  </r>
  <r>
    <s v="0519010830-2"/>
    <s v="CRC"/>
    <n v="0.8"/>
    <n v="38"/>
    <n v="0"/>
    <n v="4.5"/>
    <n v="4.5"/>
    <s v="CRAP"/>
    <d v="2002-04-18T00:00:00"/>
    <d v="2002-05-22T00:00:00"/>
    <d v="2002-05-22T00:00:00"/>
    <d v="2002-05-22T00:00:00"/>
    <s v="-"/>
    <d v="2002-04-22T00:00:00"/>
    <s v="OTIF PASS"/>
    <n v="2"/>
    <s v="1110_FG_CRC"/>
    <x v="2"/>
    <n v="0"/>
    <m/>
  </r>
  <r>
    <s v="0569022821-1"/>
    <s v="CRC"/>
    <n v="0.7"/>
    <n v="1250"/>
    <n v="0"/>
    <n v="9"/>
    <n v="9"/>
    <s v="CRAP"/>
    <d v="2001-08-04T00:00:00"/>
    <d v="2002-02-26T00:00:00"/>
    <d v="2002-02-27T00:00:00"/>
    <d v="2002-02-27T00:00:00"/>
    <d v="2002-01-06T00:00:00"/>
    <d v="2002-03-28T00:00:00"/>
    <s v="OTIF FAIL"/>
    <n v="1"/>
    <s v="1210_FG_CRC"/>
    <x v="9"/>
    <n v="1"/>
    <m/>
  </r>
  <r>
    <s v="0569023240-1"/>
    <s v="HPC"/>
    <n v="0.33"/>
    <n v="410"/>
    <n v="0"/>
    <n v="18"/>
    <n v="18"/>
    <s v="CRAP"/>
    <d v="2002-01-02T00:00:00"/>
    <d v="2002-02-25T00:00:00"/>
    <d v="2002-03-25T00:00:00"/>
    <d v="2002-03-25T00:00:00"/>
    <d v="2002-03-25T00:00:00"/>
    <d v="2002-03-30T00:00:00"/>
    <s v="OTIF FAIL"/>
    <n v="1"/>
    <s v="1110_FG_CRC"/>
    <x v="9"/>
    <n v="1"/>
    <m/>
  </r>
  <r>
    <s v="0558115780-1"/>
    <s v="HRC"/>
    <n v="0.5"/>
    <n v="232"/>
    <n v="0"/>
    <n v="29.696000000000002"/>
    <n v="29.696000000000002"/>
    <s v="CRAP"/>
    <d v="2001-08-30T00:00:00"/>
    <d v="2002-02-26T00:00:00"/>
    <d v="2002-03-13T00:00:00"/>
    <d v="2002-03-13T00:00:00"/>
    <d v="2002-03-12T00:00:00"/>
    <d v="2002-03-12T00:00:00"/>
    <s v="OTIF FAIL"/>
    <n v="1"/>
    <s v="1210_FG_CRC"/>
    <x v="3"/>
    <n v="1"/>
    <m/>
  </r>
  <r>
    <s v="0569022895-6"/>
    <s v="HRC"/>
    <n v="0.5"/>
    <n v="1000"/>
    <n v="0"/>
    <n v="64"/>
    <n v="64"/>
    <s v="CRAP"/>
    <d v="2001-08-05T00:00:00"/>
    <d v="2002-02-26T00:00:00"/>
    <d v="2002-03-03T00:00:00"/>
    <d v="2002-03-03T00:00:00"/>
    <d v="2002-03-07T00:00:00"/>
    <d v="2002-03-07T00:00:00"/>
    <s v="OTIF FAIL"/>
    <n v="6"/>
    <s v="1210_FG_CRC"/>
    <x v="1"/>
    <n v="1"/>
    <m/>
  </r>
  <r>
    <s v="0558114888-8"/>
    <s v="HRC"/>
    <n v="0.8"/>
    <n v="1250"/>
    <n v="0"/>
    <n v="9"/>
    <n v="9"/>
    <s v="CRAP"/>
    <d v="2001-08-25T00:00:00"/>
    <d v="2002-02-26T00:00:00"/>
    <s v="-"/>
    <s v="-"/>
    <d v="2002-03-22T00:00:00"/>
    <d v="2002-03-22T00:00:00"/>
    <s v="OTIF FAIL"/>
    <n v="8"/>
    <s v="1210_FG_CRC"/>
    <x v="0"/>
    <n v="1"/>
    <m/>
  </r>
  <r>
    <s v="0569022895-7"/>
    <s v="HRC"/>
    <n v="0.55000000000000004"/>
    <n v="1000"/>
    <n v="0"/>
    <n v="64"/>
    <n v="64"/>
    <s v="CRAP"/>
    <d v="2001-08-05T00:00:00"/>
    <d v="2002-02-26T00:00:00"/>
    <d v="2002-03-16T00:00:00"/>
    <d v="2002-03-16T00:00:00"/>
    <d v="2002-03-16T00:00:00"/>
    <d v="2002-03-16T00:00:00"/>
    <s v="OTIF FAIL"/>
    <n v="7"/>
    <s v="1210_FG_CRC"/>
    <x v="3"/>
    <n v="1"/>
    <m/>
  </r>
  <r>
    <s v="0569023174-1"/>
    <s v="HRC"/>
    <n v="0.5"/>
    <n v="1250"/>
    <n v="0"/>
    <n v="22"/>
    <n v="22"/>
    <s v="CRAP"/>
    <d v="2001-08-30T00:00:00"/>
    <d v="2002-03-04T00:00:00"/>
    <d v="2002-03-27T00:00:00"/>
    <d v="2002-03-27T00:00:00"/>
    <d v="2002-03-27T00:00:00"/>
    <d v="2002-04-22T00:00:00"/>
    <s v="OTIF FAIL"/>
    <n v="1"/>
    <s v="1210_FG_CRC"/>
    <x v="2"/>
    <n v="1"/>
    <m/>
  </r>
  <r>
    <s v="0569023174-2"/>
    <s v="HRC"/>
    <n v="0.6"/>
    <n v="1250"/>
    <n v="0"/>
    <n v="4"/>
    <n v="4"/>
    <s v="CRAP"/>
    <d v="2001-08-30T00:00:00"/>
    <d v="2002-03-04T00:00:00"/>
    <d v="2002-04-29T00:00:00"/>
    <d v="2002-04-29T00:00:00"/>
    <d v="2002-04-22T00:00:00"/>
    <d v="2002-04-22T00:00:00"/>
    <s v="OTIF FAIL"/>
    <n v="2"/>
    <s v="1210_FG_CRC"/>
    <x v="2"/>
    <n v="1"/>
    <m/>
  </r>
  <r>
    <s v="0569023173-3"/>
    <s v="CST"/>
    <n v="1"/>
    <n v="1000"/>
    <n v="0"/>
    <n v="2"/>
    <n v="2"/>
    <s v="CRAP"/>
    <d v="2001-08-30T00:00:00"/>
    <d v="2002-03-04T00:00:00"/>
    <d v="2002-04-01T00:00:00"/>
    <d v="2002-04-01T00:00:00"/>
    <d v="2002-03-30T00:00:00"/>
    <d v="2002-03-30T00:00:00"/>
    <s v="OTIF FAIL"/>
    <n v="3"/>
    <s v="1210_FG_CRC"/>
    <x v="9"/>
    <n v="1"/>
    <m/>
  </r>
  <r>
    <s v="0569023173-2"/>
    <s v="CST"/>
    <n v="0.8"/>
    <n v="1000"/>
    <n v="0"/>
    <n v="9"/>
    <n v="9"/>
    <s v="CRAP"/>
    <d v="2001-08-30T00:00:00"/>
    <d v="2002-03-04T00:00:00"/>
    <d v="2002-04-07T00:00:00"/>
    <d v="2002-04-07T00:00:00"/>
    <d v="2002-04-07T00:00:00"/>
    <d v="2002-04-07T00:00:00"/>
    <s v="OTIF FAIL"/>
    <n v="2"/>
    <s v="1210_FG_CRC"/>
    <x v="7"/>
    <n v="1"/>
    <m/>
  </r>
  <r>
    <s v="0569023169-21"/>
    <s v="HRC"/>
    <n v="1.18"/>
    <n v="77"/>
    <n v="0"/>
    <n v="4"/>
    <n v="4"/>
    <s v="CRAP"/>
    <d v="2001-08-29T00:00:00"/>
    <d v="2002-03-31T00:00:00"/>
    <d v="2002-04-07T00:00:00"/>
    <d v="2002-04-07T00:00:00"/>
    <d v="2002-04-07T00:00:00"/>
    <d v="2002-04-07T00:00:00"/>
    <s v="OTIF FAIL"/>
    <n v="21"/>
    <s v="1210_FG_CRC"/>
    <x v="7"/>
    <n v="1"/>
    <m/>
  </r>
  <r>
    <s v="0558114900-1"/>
    <s v="CST"/>
    <n v="1.6"/>
    <n v="1250"/>
    <n v="0"/>
    <n v="3"/>
    <n v="3"/>
    <s v="CRAP"/>
    <d v="2001-09-25T00:00:00"/>
    <d v="2002-03-08T00:00:00"/>
    <d v="2002-04-18T00:00:00"/>
    <d v="2002-04-18T00:00:00"/>
    <d v="2002-01-11T00:00:00"/>
    <d v="2002-01-11T00:00:00"/>
    <s v="OTIF FAIL"/>
    <n v="1"/>
    <s v="1210_FG_CRC"/>
    <x v="17"/>
    <n v="1"/>
    <m/>
  </r>
  <r>
    <s v="0569023169-13"/>
    <s v="HRC"/>
    <n v="1.45"/>
    <n v="156"/>
    <n v="0"/>
    <n v="10"/>
    <n v="10"/>
    <s v="CRAP"/>
    <d v="2001-08-29T00:00:00"/>
    <d v="2002-03-31T00:00:00"/>
    <d v="2002-04-07T00:00:00"/>
    <d v="2002-04-07T00:00:00"/>
    <d v="2002-04-07T00:00:00"/>
    <d v="2002-04-07T00:00:00"/>
    <s v="OTIF FAIL"/>
    <n v="13"/>
    <s v="1210_FG_CRC"/>
    <x v="7"/>
    <n v="1"/>
    <m/>
  </r>
  <r>
    <s v="0569023169-23"/>
    <s v="CST"/>
    <n v="1.18"/>
    <n v="47"/>
    <n v="0"/>
    <n v="2"/>
    <n v="2"/>
    <s v="CRAP"/>
    <d v="2001-08-29T00:00:00"/>
    <d v="2002-03-31T00:00:00"/>
    <d v="2002-04-07T00:00:00"/>
    <d v="2002-04-07T00:00:00"/>
    <d v="2002-04-07T00:00:00"/>
    <d v="2002-04-07T00:00:00"/>
    <s v="OTIF FAIL"/>
    <n v="23"/>
    <s v="1210_FG_CRC"/>
    <x v="7"/>
    <n v="1"/>
    <m/>
  </r>
  <r>
    <s v="0569023169-18"/>
    <s v="CST"/>
    <n v="1.18"/>
    <n v="157"/>
    <n v="0"/>
    <n v="8"/>
    <n v="8"/>
    <s v="CRAP"/>
    <d v="2001-08-29T00:00:00"/>
    <d v="2002-03-31T00:00:00"/>
    <d v="2002-04-07T00:00:00"/>
    <d v="2002-04-07T00:00:00"/>
    <d v="2002-04-07T00:00:00"/>
    <d v="2002-04-07T00:00:00"/>
    <s v="OTIF FAIL"/>
    <n v="18"/>
    <s v="1210_FG_CRC"/>
    <x v="7"/>
    <n v="1"/>
    <m/>
  </r>
  <r>
    <s v="0569023169-15"/>
    <s v="HRC"/>
    <n v="1.45"/>
    <n v="76"/>
    <n v="0"/>
    <n v="4"/>
    <n v="4"/>
    <s v="CRAP"/>
    <d v="2001-08-29T00:00:00"/>
    <d v="2002-03-31T00:00:00"/>
    <d v="2002-04-07T00:00:00"/>
    <d v="2002-04-07T00:00:00"/>
    <d v="2002-04-07T00:00:00"/>
    <d v="2002-04-07T00:00:00"/>
    <s v="OTIF FAIL"/>
    <n v="15"/>
    <s v="1210_FG_CRC"/>
    <x v="7"/>
    <n v="1"/>
    <m/>
  </r>
  <r>
    <s v="0558114058-2"/>
    <s v="CRC"/>
    <n v="0.48"/>
    <n v="232"/>
    <n v="0"/>
    <n v="7.4320000000000004"/>
    <n v="7.4320000000000004"/>
    <s v="CRAP"/>
    <d v="2001-08-16T00:00:00"/>
    <d v="2002-02-26T00:00:00"/>
    <d v="2002-03-10T00:00:00"/>
    <d v="2002-03-10T00:00:00"/>
    <d v="2002-03-09T00:00:00"/>
    <d v="2002-03-09T00:00:00"/>
    <s v="OTIF FAIL"/>
    <n v="2"/>
    <s v="1210_FG_CRC"/>
    <x v="1"/>
    <n v="1"/>
    <m/>
  </r>
  <r>
    <s v="0569023169-19"/>
    <s v="CRC"/>
    <n v="1.18"/>
    <n v="117"/>
    <n v="0"/>
    <n v="2"/>
    <n v="2"/>
    <s v="CRAP"/>
    <d v="2001-08-29T00:00:00"/>
    <d v="2002-03-31T00:00:00"/>
    <d v="2002-04-07T00:00:00"/>
    <d v="2002-04-07T00:00:00"/>
    <d v="2002-04-07T00:00:00"/>
    <d v="2002-04-07T00:00:00"/>
    <s v="OTIF FAIL"/>
    <n v="19"/>
    <s v="1210_FG_CRC"/>
    <x v="7"/>
    <n v="1"/>
    <m/>
  </r>
  <r>
    <s v="0519010824-1"/>
    <s v="CST"/>
    <n v="0.8"/>
    <n v="38"/>
    <n v="0"/>
    <n v="4.5"/>
    <n v="4.5"/>
    <s v="CRAP"/>
    <d v="2002-03-20T00:00:00"/>
    <d v="2002-04-22T00:00:00"/>
    <d v="2002-04-25T00:00:00"/>
    <d v="2002-04-25T00:00:00"/>
    <d v="2002-04-22T00:00:00"/>
    <d v="2002-04-22T00:00:00"/>
    <s v="OTIF FAIL"/>
    <n v="1"/>
    <s v="1110_FG_CRC"/>
    <x v="2"/>
    <n v="1"/>
    <m/>
  </r>
  <r>
    <s v="0569023233-1"/>
    <s v="HPC"/>
    <n v="0.38"/>
    <n v="485"/>
    <n v="0"/>
    <n v="10.895"/>
    <n v="10.895"/>
    <s v="CRAP"/>
    <d v="2002-01-02T00:00:00"/>
    <d v="2002-02-25T00:00:00"/>
    <d v="2002-03-30T00:00:00"/>
    <d v="2002-03-30T00:00:00"/>
    <d v="2002-03-23T00:00:00"/>
    <d v="2002-03-23T00:00:00"/>
    <s v="OTIF FAIL"/>
    <n v="1"/>
    <s v="1110_FG_CRC"/>
    <x v="0"/>
    <n v="1"/>
    <m/>
  </r>
  <r>
    <s v="0569022625-3"/>
    <s v="CRC"/>
    <n v="0.4"/>
    <n v="435"/>
    <n v="0"/>
    <n v="9"/>
    <n v="9"/>
    <s v="CRAP"/>
    <d v="2001-09-25T00:00:00"/>
    <d v="2002-02-25T00:00:00"/>
    <d v="2002-03-21T00:00:00"/>
    <d v="2002-03-21T00:00:00"/>
    <d v="2002-03-21T00:00:00"/>
    <d v="2002-03-23T00:00:00"/>
    <s v="OTIF FAIL"/>
    <n v="3"/>
    <s v="1110_FG_CRC"/>
    <x v="0"/>
    <n v="1"/>
    <m/>
  </r>
  <r>
    <s v="0558115468-1"/>
    <s v="CST"/>
    <n v="1.2"/>
    <n v="1250"/>
    <n v="0"/>
    <n v="22"/>
    <n v="22"/>
    <s v="CRAP"/>
    <d v="2001-08-29T00:00:00"/>
    <d v="2002-02-26T00:00:00"/>
    <d v="2002-03-02T00:00:00"/>
    <d v="2002-03-02T00:00:00"/>
    <d v="2002-03-09T00:00:00"/>
    <d v="2002-03-09T00:00:00"/>
    <s v="OTIF FAIL"/>
    <n v="1"/>
    <s v="1210_FG_CRC"/>
    <x v="1"/>
    <n v="1"/>
    <m/>
  </r>
  <r>
    <s v="0558113270-2"/>
    <s v="CST"/>
    <n v="0.7"/>
    <n v="1250"/>
    <n v="0"/>
    <n v="9"/>
    <n v="9"/>
    <s v="CRAP"/>
    <d v="2001-08-05T00:00:00"/>
    <d v="2002-03-05T00:00:00"/>
    <d v="2002-04-29T00:00:00"/>
    <d v="2002-04-29T00:00:00"/>
    <d v="2002-04-22T00:00:00"/>
    <d v="2002-04-22T00:00:00"/>
    <s v="OTIF FAIL"/>
    <n v="2"/>
    <s v="1210_FG_CRC"/>
    <x v="2"/>
    <n v="1"/>
    <m/>
  </r>
  <r>
    <s v="0569023234-1"/>
    <s v="CRC"/>
    <n v="0.28999999999999998"/>
    <n v="410"/>
    <n v="0"/>
    <n v="3.266"/>
    <n v="3.266"/>
    <s v="CRAP"/>
    <d v="2002-01-02T00:00:00"/>
    <d v="2002-02-25T00:00:00"/>
    <d v="2002-03-19T00:00:00"/>
    <d v="2002-03-19T00:00:00"/>
    <d v="2002-03-19T00:00:00"/>
    <d v="2002-03-22T00:00:00"/>
    <s v="OTIF FAIL"/>
    <n v="1"/>
    <s v="1110_FG_CRC"/>
    <x v="0"/>
    <n v="1"/>
    <m/>
  </r>
  <r>
    <s v="0558112993-2"/>
    <s v="CST"/>
    <n v="0.55000000000000004"/>
    <n v="305"/>
    <n v="0"/>
    <n v="2.44"/>
    <n v="1.6539999999999999"/>
    <s v="CRAP"/>
    <d v="2001-09-25T00:00:00"/>
    <d v="2002-02-26T00:00:00"/>
    <d v="2002-03-13T00:00:00"/>
    <d v="2002-03-13T00:00:00"/>
    <d v="2002-03-12T00:00:00"/>
    <d v="2002-03-12T00:00:00"/>
    <s v="OTIF FAIL"/>
    <n v="2"/>
    <s v="1210_FG_CRC"/>
    <x v="3"/>
    <n v="0"/>
    <m/>
  </r>
  <r>
    <s v="0569022895-8"/>
    <s v="HRC"/>
    <n v="0.6"/>
    <n v="1000"/>
    <n v="0"/>
    <n v="64"/>
    <n v="61.258000000000003"/>
    <s v="CRAP"/>
    <d v="2001-08-05T00:00:00"/>
    <d v="2002-02-26T00:00:00"/>
    <d v="2002-03-22T00:00:00"/>
    <d v="2002-03-22T00:00:00"/>
    <d v="2002-03-22T00:00:00"/>
    <d v="2002-03-22T00:00:00"/>
    <s v="OTIF FAIL"/>
    <n v="8"/>
    <s v="1210_FG_CRC"/>
    <x v="0"/>
    <n v="0"/>
    <m/>
  </r>
  <r>
    <s v="0569022998-15"/>
    <s v="CST"/>
    <n v="0.8"/>
    <n v="1250"/>
    <n v="0"/>
    <n v="20"/>
    <n v="20"/>
    <s v="CRAP"/>
    <d v="2001-08-17T00:00:00"/>
    <d v="2002-02-25T00:00:00"/>
    <d v="2002-03-22T00:00:00"/>
    <d v="2002-03-22T00:00:00"/>
    <d v="2002-03-22T00:00:00"/>
    <d v="2002-03-22T00:00:00"/>
    <s v="OTIF FAIL"/>
    <n v="15"/>
    <s v="1210_FG_CRC"/>
    <x v="0"/>
    <n v="1"/>
    <m/>
  </r>
  <r>
    <s v="0519010825-1"/>
    <s v="HRC"/>
    <n v="0.8"/>
    <n v="38"/>
    <n v="0"/>
    <n v="4.5"/>
    <n v="4.5"/>
    <s v="CRAP"/>
    <d v="2002-03-20T00:00:00"/>
    <d v="2002-04-22T00:00:00"/>
    <d v="2002-04-25T00:00:00"/>
    <d v="2002-04-25T00:00:00"/>
    <d v="2002-04-22T00:00:00"/>
    <d v="2002-04-22T00:00:00"/>
    <s v="OTIF FAIL"/>
    <n v="1"/>
    <s v="1110_FG_CRC"/>
    <x v="2"/>
    <n v="1"/>
    <m/>
  </r>
  <r>
    <s v="0558114888-7"/>
    <s v="HPC"/>
    <n v="0.7"/>
    <n v="1250"/>
    <n v="0"/>
    <n v="21"/>
    <n v="21"/>
    <s v="CRAP"/>
    <d v="2001-08-25T00:00:00"/>
    <d v="2002-02-26T00:00:00"/>
    <d v="2002-03-28T00:00:00"/>
    <d v="2002-03-28T00:00:00"/>
    <d v="2002-03-28T00:00:00"/>
    <d v="2002-03-28T00:00:00"/>
    <s v="OTIF FAIL"/>
    <n v="7"/>
    <s v="1210_FG_CRC"/>
    <x v="9"/>
    <n v="1"/>
    <m/>
  </r>
  <r>
    <s v="0569021433-6"/>
    <s v="HRC"/>
    <n v="0.33"/>
    <n v="615"/>
    <n v="0"/>
    <n v="20"/>
    <n v="10.718"/>
    <s v="CRAP"/>
    <d v="2001-09-25T00:00:00"/>
    <d v="2002-02-25T00:00:00"/>
    <d v="2002-03-30T00:00:00"/>
    <d v="2002-03-30T00:00:00"/>
    <d v="2002-03-30T00:00:00"/>
    <d v="2002-03-30T00:00:00"/>
    <s v="OTIF FAIL"/>
    <n v="6"/>
    <s v="1110_FG_CRC"/>
    <x v="9"/>
    <n v="0"/>
    <m/>
  </r>
  <r>
    <s v="0519010828-1"/>
    <s v="CST"/>
    <n v="0.8"/>
    <n v="38"/>
    <n v="0"/>
    <n v="4.5"/>
    <n v="4.5"/>
    <s v="CRAP"/>
    <d v="2002-03-28T00:00:00"/>
    <d v="2002-05-03T00:00:00"/>
    <s v="-"/>
    <s v="-"/>
    <s v="-"/>
    <d v="2002-04-22T00:00:00"/>
    <s v="OTIF FAIL"/>
    <n v="1"/>
    <s v="1110_FG_CRC"/>
    <x v="2"/>
    <n v="0"/>
    <m/>
  </r>
  <r>
    <s v="0569023228-1"/>
    <s v="CST"/>
    <n v="0.26"/>
    <n v="410"/>
    <n v="0"/>
    <n v="3.8780000000000001"/>
    <n v="3.8780000000000001"/>
    <s v="CRAP"/>
    <d v="2002-01-02T00:00:00"/>
    <d v="2002-02-25T00:00:00"/>
    <d v="2002-04-03T00:00:00"/>
    <d v="2002-04-03T00:00:00"/>
    <d v="2002-03-20T00:00:00"/>
    <d v="2002-03-20T00:00:00"/>
    <s v="OTIF FAIL"/>
    <n v="1"/>
    <s v="1110_FG_CRC"/>
    <x v="0"/>
    <n v="1"/>
    <m/>
  </r>
  <r>
    <s v="0569023229-1"/>
    <s v="CST"/>
    <n v="0.4"/>
    <n v="565"/>
    <n v="0"/>
    <n v="2.5489999999999999"/>
    <n v="2.5489999999999999"/>
    <s v="CRAP"/>
    <d v="2002-01-02T00:00:00"/>
    <d v="2002-02-25T00:00:00"/>
    <s v="-"/>
    <s v="-"/>
    <d v="2002-03-24T00:00:00"/>
    <d v="2002-03-24T00:00:00"/>
    <s v="OTIF FAIL"/>
    <n v="1"/>
    <s v="1110_FG_CRC"/>
    <x v="9"/>
    <n v="1"/>
    <m/>
  </r>
  <r>
    <s v="0569023069-2"/>
    <s v="CST"/>
    <n v="1"/>
    <n v="1000"/>
    <n v="0"/>
    <n v="3"/>
    <n v="3"/>
    <s v="CRAP"/>
    <d v="2001-08-23T00:00:00"/>
    <d v="2002-02-23T00:00:00"/>
    <d v="2002-03-23T00:00:00"/>
    <d v="2002-03-23T00:00:00"/>
    <d v="2002-03-23T00:00:00"/>
    <d v="2002-03-30T00:00:00"/>
    <s v="OTIF FAIL"/>
    <n v="2"/>
    <s v="1210_FG_CRC"/>
    <x v="9"/>
    <n v="1"/>
    <m/>
  </r>
  <r>
    <s v="0569023235-5"/>
    <s v="CRC"/>
    <n v="0.38"/>
    <n v="535"/>
    <n v="0"/>
    <n v="3.7530000000000001"/>
    <n v="3.7530000000000001"/>
    <s v="CRAP"/>
    <d v="2002-01-02T00:00:00"/>
    <d v="2002-02-25T00:00:00"/>
    <d v="2002-03-30T00:00:00"/>
    <d v="2002-03-30T00:00:00"/>
    <d v="2002-03-23T00:00:00"/>
    <d v="2002-03-23T00:00:00"/>
    <s v="OTIF FAIL"/>
    <n v="5"/>
    <s v="1110_FG_CRC"/>
    <x v="0"/>
    <n v="1"/>
    <m/>
  </r>
  <r>
    <s v="0569023068-1"/>
    <s v="CST"/>
    <n v="0.5"/>
    <n v="1250"/>
    <n v="0"/>
    <n v="3"/>
    <n v="3"/>
    <s v="CRAP"/>
    <d v="2001-08-23T00:00:00"/>
    <d v="2002-02-25T00:00:00"/>
    <d v="2002-04-26T00:00:00"/>
    <d v="2002-04-26T00:00:00"/>
    <d v="2002-04-19T00:00:00"/>
    <d v="2002-04-22T00:00:00"/>
    <s v="OTIF FAIL"/>
    <n v="1"/>
    <s v="1210_FG_CRC"/>
    <x v="2"/>
    <n v="1"/>
    <m/>
  </r>
  <r>
    <s v="0569022821-2"/>
    <s v="HRC"/>
    <n v="0.8"/>
    <n v="1250"/>
    <n v="0"/>
    <n v="30"/>
    <n v="30"/>
    <s v="CRAP"/>
    <d v="2001-08-04T00:00:00"/>
    <d v="2002-02-26T00:00:00"/>
    <d v="2002-03-22T00:00:00"/>
    <d v="2002-03-22T00:00:00"/>
    <d v="2002-03-22T00:00:00"/>
    <d v="2002-03-22T00:00:00"/>
    <s v="OTIF FAIL"/>
    <n v="2"/>
    <s v="1210_FG_CRC"/>
    <x v="0"/>
    <n v="1"/>
    <m/>
  </r>
  <r>
    <s v="0569023093-1"/>
    <s v="CST"/>
    <n v="0.33"/>
    <n v="360"/>
    <n v="0"/>
    <n v="8"/>
    <n v="8"/>
    <s v="CRAP"/>
    <d v="2001-09-25T00:00:00"/>
    <d v="2002-02-25T00:00:00"/>
    <d v="2002-03-25T00:00:00"/>
    <d v="2002-03-25T00:00:00"/>
    <d v="2002-03-25T00:00:00"/>
    <d v="2002-03-25T00:00:00"/>
    <s v="OTIF FAIL"/>
    <n v="1"/>
    <s v="1110_FG_CRC"/>
    <x v="9"/>
    <n v="1"/>
    <m/>
  </r>
  <r>
    <s v="0569022895-9"/>
    <s v="CST"/>
    <n v="0.7"/>
    <n v="1000"/>
    <n v="0"/>
    <n v="32"/>
    <n v="32"/>
    <s v="CRAP"/>
    <d v="2001-08-05T00:00:00"/>
    <d v="2002-02-26T00:00:00"/>
    <d v="2002-03-02T00:00:00"/>
    <d v="2002-03-02T00:00:00"/>
    <d v="2002-03-05T00:00:00"/>
    <d v="2002-03-05T00:00:00"/>
    <s v="OTIF FAIL"/>
    <n v="9"/>
    <s v="1210_FG_CRC"/>
    <x v="1"/>
    <n v="1"/>
    <m/>
  </r>
  <r>
    <s v="0569023235-2"/>
    <s v="CRC"/>
    <n v="0.4"/>
    <n v="435"/>
    <n v="0"/>
    <n v="4.226"/>
    <n v="4.226"/>
    <s v="CRAP"/>
    <d v="2002-01-02T00:00:00"/>
    <d v="2002-02-25T00:00:00"/>
    <d v="2002-03-30T00:00:00"/>
    <d v="2002-03-30T00:00:00"/>
    <d v="2002-03-23T00:00:00"/>
    <d v="2002-03-23T00:00:00"/>
    <s v="OTIF FAIL"/>
    <n v="2"/>
    <s v="1110_FG_CRC"/>
    <x v="0"/>
    <n v="1"/>
    <m/>
  </r>
  <r>
    <s v="0569023231-1"/>
    <s v="CST"/>
    <n v="0.26"/>
    <n v="535"/>
    <n v="0"/>
    <n v="3.085"/>
    <n v="3.085"/>
    <s v="CRAP"/>
    <d v="2002-01-02T00:00:00"/>
    <d v="2002-02-25T00:00:00"/>
    <d v="2002-03-18T00:00:00"/>
    <d v="2002-03-18T00:00:00"/>
    <d v="2002-03-18T00:00:00"/>
    <d v="2002-03-18T00:00:00"/>
    <s v="OTIF FAIL"/>
    <n v="1"/>
    <s v="1110_FG_CRC"/>
    <x v="0"/>
    <n v="1"/>
    <m/>
  </r>
  <r>
    <s v="0569023235-1"/>
    <s v="CRC"/>
    <n v="0.4"/>
    <n v="465"/>
    <n v="0"/>
    <n v="3.5129999999999999"/>
    <n v="3.5129999999999999"/>
    <s v="CRAP"/>
    <d v="2002-01-02T00:00:00"/>
    <d v="2002-02-25T00:00:00"/>
    <d v="2002-03-17T00:00:00"/>
    <d v="2002-03-17T00:00:00"/>
    <d v="2002-03-17T00:00:00"/>
    <d v="2002-03-17T00:00:00"/>
    <s v="OTIF FAIL"/>
    <n v="1"/>
    <s v="1110_FG_CRC"/>
    <x v="0"/>
    <n v="1"/>
    <m/>
  </r>
  <r>
    <s v="0569023231-2"/>
    <s v="CST"/>
    <n v="0.4"/>
    <n v="550"/>
    <n v="0"/>
    <n v="2.7930000000000001"/>
    <n v="2.7930000000000001"/>
    <s v="CRAP"/>
    <d v="2002-01-02T00:00:00"/>
    <d v="2002-02-25T00:00:00"/>
    <d v="2002-03-17T00:00:00"/>
    <d v="2002-03-17T00:00:00"/>
    <d v="2002-03-17T00:00:00"/>
    <d v="2002-03-17T00:00:00"/>
    <s v="OTIF FAIL"/>
    <n v="2"/>
    <s v="1110_FG_CRC"/>
    <x v="0"/>
    <n v="1"/>
    <m/>
  </r>
  <r>
    <s v="0569023064-1"/>
    <s v="CST"/>
    <n v="0.28999999999999998"/>
    <n v="410"/>
    <n v="0"/>
    <n v="40"/>
    <n v="40"/>
    <s v="CRAP"/>
    <d v="2001-09-25T00:00:00"/>
    <d v="2002-02-25T00:00:00"/>
    <d v="2002-03-22T00:00:00"/>
    <d v="2002-03-22T00:00:00"/>
    <d v="2002-03-22T00:00:00"/>
    <d v="2002-03-22T00:00:00"/>
    <s v="OTIF FAIL"/>
    <n v="1"/>
    <s v="1110_FG_CRC"/>
    <x v="0"/>
    <n v="1"/>
    <m/>
  </r>
  <r>
    <s v="0558113009-1"/>
    <s v="CRC"/>
    <n v="0.5"/>
    <n v="233"/>
    <n v="0"/>
    <n v="22.5"/>
    <n v="22.5"/>
    <s v="CRAP"/>
    <d v="2001-08-05T00:00:00"/>
    <d v="2002-02-26T00:00:00"/>
    <d v="2002-03-13T00:00:00"/>
    <d v="2002-03-13T00:00:00"/>
    <d v="2002-03-12T00:00:00"/>
    <d v="2002-03-12T00:00:00"/>
    <s v="OTIF FAIL"/>
    <n v="1"/>
    <s v="1210_FG_CRC"/>
    <x v="3"/>
    <n v="1"/>
    <m/>
  </r>
  <r>
    <s v="0558111352-2"/>
    <s v="PSS"/>
    <n v="0.48"/>
    <n v="321"/>
    <n v="0"/>
    <n v="5.1520000000000001"/>
    <n v="2.8010000000000002"/>
    <s v="CRAP"/>
    <d v="2001-09-25T00:00:00"/>
    <d v="2002-02-26T00:00:00"/>
    <d v="2002-03-10T00:00:00"/>
    <d v="2002-03-10T00:00:00"/>
    <d v="2002-03-09T00:00:00"/>
    <d v="2002-03-09T00:00:00"/>
    <s v="OTIF FAIL"/>
    <n v="2"/>
    <s v="1210_FG_CRC"/>
    <x v="1"/>
    <n v="0"/>
    <m/>
  </r>
  <r>
    <s v="0569023233-4"/>
    <s v="CST"/>
    <n v="0.4"/>
    <n v="615"/>
    <n v="0"/>
    <n v="6.03"/>
    <n v="6.03"/>
    <s v="CRAP"/>
    <d v="2002-01-02T00:00:00"/>
    <d v="2002-02-25T00:00:00"/>
    <s v="-"/>
    <s v="-"/>
    <d v="2002-05-10T00:00:00"/>
    <d v="2002-05-10T00:00:00"/>
    <s v="OTIF FAIL"/>
    <n v="4"/>
    <s v="1110_FG_CRC"/>
    <x v="19"/>
    <n v="1"/>
    <m/>
  </r>
  <r>
    <s v="0569023062-8"/>
    <s v="CST"/>
    <n v="0.8"/>
    <n v="1250"/>
    <n v="0"/>
    <n v="6"/>
    <n v="6"/>
    <s v="CRAP"/>
    <d v="2001-08-23T00:00:00"/>
    <d v="2002-02-25T00:00:00"/>
    <d v="2002-05-07T00:00:00"/>
    <d v="2002-05-07T00:00:00"/>
    <d v="2002-03-22T00:00:00"/>
    <d v="2002-03-22T00:00:00"/>
    <s v="OTIF FAIL"/>
    <n v="8"/>
    <s v="1210_FG_CRC"/>
    <x v="0"/>
    <n v="1"/>
    <m/>
  </r>
  <r>
    <s v="0569023229-2"/>
    <s v="HRC"/>
    <n v="0.4"/>
    <n v="435"/>
    <n v="0"/>
    <n v="3.81"/>
    <n v="3.81"/>
    <s v="CRAP"/>
    <d v="2002-01-02T00:00:00"/>
    <d v="2002-02-25T00:00:00"/>
    <d v="2002-03-18T00:00:00"/>
    <d v="2002-03-18T00:00:00"/>
    <d v="2002-03-18T00:00:00"/>
    <d v="2002-03-23T00:00:00"/>
    <s v="OTIF FAIL"/>
    <n v="2"/>
    <s v="1110_FG_CRC"/>
    <x v="0"/>
    <n v="1"/>
    <m/>
  </r>
  <r>
    <s v="0569022419-1"/>
    <s v="CST"/>
    <n v="0.55000000000000004"/>
    <n v="1220"/>
    <n v="0"/>
    <n v="22.616"/>
    <n v="4.93"/>
    <s v="CRAP"/>
    <d v="2001-09-25T00:00:00"/>
    <d v="2002-02-26T00:00:00"/>
    <s v="-"/>
    <s v="-"/>
    <d v="2002-03-19T00:00:00"/>
    <d v="2002-03-19T00:00:00"/>
    <s v="OTIF FAIL"/>
    <n v="1"/>
    <s v="1210_FG_CRC"/>
    <x v="0"/>
    <n v="0"/>
    <m/>
  </r>
  <r>
    <s v="0558112993-4"/>
    <s v="CRC"/>
    <n v="0.55000000000000004"/>
    <n v="330"/>
    <n v="0"/>
    <n v="2.64"/>
    <n v="2.64"/>
    <s v="CRAP"/>
    <d v="2001-09-25T00:00:00"/>
    <d v="2002-02-26T00:00:00"/>
    <d v="2002-03-13T00:00:00"/>
    <d v="2002-03-13T00:00:00"/>
    <d v="2002-03-12T00:00:00"/>
    <d v="2002-03-12T00:00:00"/>
    <s v="OTIF FAIL"/>
    <n v="4"/>
    <s v="1210_FG_CRC"/>
    <x v="3"/>
    <n v="1"/>
    <m/>
  </r>
  <r>
    <s v="0558113751-1"/>
    <s v="CST"/>
    <n v="1"/>
    <n v="1250"/>
    <n v="0"/>
    <n v="22"/>
    <n v="22"/>
    <s v="CRAP"/>
    <d v="2001-08-11T00:00:00"/>
    <d v="2002-02-26T00:00:00"/>
    <d v="2002-03-06T00:00:00"/>
    <d v="2002-03-06T00:00:00"/>
    <d v="2002-03-09T00:00:00"/>
    <d v="2002-03-09T00:00:00"/>
    <s v="OTIF FAIL"/>
    <n v="1"/>
    <s v="1210_FG_CRC"/>
    <x v="1"/>
    <n v="1"/>
    <m/>
  </r>
  <r>
    <s v="0569023015-1"/>
    <s v="CST"/>
    <n v="0.6"/>
    <n v="1250"/>
    <n v="0"/>
    <n v="3"/>
    <n v="3"/>
    <s v="CRAP"/>
    <d v="2001-08-19T00:00:00"/>
    <d v="2002-03-09T00:00:00"/>
    <d v="2002-04-29T00:00:00"/>
    <d v="2002-04-29T00:00:00"/>
    <d v="2002-04-22T00:00:00"/>
    <d v="2002-04-22T00:00:00"/>
    <s v="OTIF FAIL"/>
    <n v="1"/>
    <s v="1210_FG_CRC"/>
    <x v="2"/>
    <n v="1"/>
    <m/>
  </r>
  <r>
    <s v="0558114888-5"/>
    <s v="CST"/>
    <n v="0.5"/>
    <n v="1250"/>
    <n v="0"/>
    <n v="9"/>
    <n v="9"/>
    <s v="CRAP"/>
    <d v="2001-08-25T00:00:00"/>
    <d v="2002-02-26T00:00:00"/>
    <s v="-"/>
    <s v="-"/>
    <d v="2002-03-22T00:00:00"/>
    <d v="2002-03-22T00:00:00"/>
    <s v="OTIF FAIL"/>
    <n v="5"/>
    <s v="1210_FG_CRC"/>
    <x v="0"/>
    <n v="1"/>
    <m/>
  </r>
  <r>
    <s v="0569023235-3"/>
    <s v="HRC"/>
    <n v="0.33"/>
    <n v="512"/>
    <n v="0"/>
    <n v="3.3519999999999999"/>
    <n v="3.3519999999999999"/>
    <s v="CRAP"/>
    <d v="2002-01-02T00:00:00"/>
    <d v="2002-02-25T00:00:00"/>
    <d v="2002-03-18T00:00:00"/>
    <d v="2002-03-18T00:00:00"/>
    <d v="2002-03-18T00:00:00"/>
    <d v="2002-03-18T00:00:00"/>
    <s v="OTIF FAIL"/>
    <n v="3"/>
    <s v="1110_FG_CRC"/>
    <x v="0"/>
    <n v="1"/>
    <m/>
  </r>
  <r>
    <s v="0569022998-13"/>
    <s v="CST"/>
    <n v="0.6"/>
    <n v="1250"/>
    <n v="0"/>
    <n v="58.076000000000001"/>
    <n v="9.3740000000000006"/>
    <s v="CRAP"/>
    <d v="2001-08-17T00:00:00"/>
    <d v="2002-02-25T00:00:00"/>
    <d v="2002-02-27T00:00:00"/>
    <d v="2002-02-27T00:00:00"/>
    <d v="2002-01-02T00:00:00"/>
    <d v="2002-03-28T00:00:00"/>
    <s v="OTIF FAIL"/>
    <n v="13"/>
    <s v="1210_FG_CRC"/>
    <x v="9"/>
    <n v="0"/>
    <m/>
  </r>
  <r>
    <s v="0558114697-1"/>
    <s v="CST"/>
    <n v="1"/>
    <n v="625"/>
    <n v="0"/>
    <n v="10"/>
    <n v="10"/>
    <s v="CRAP"/>
    <d v="2001-08-23T00:00:00"/>
    <d v="2002-02-26T00:00:00"/>
    <d v="2002-03-13T00:00:00"/>
    <d v="2002-03-13T00:00:00"/>
    <d v="2002-03-09T00:00:00"/>
    <d v="2002-03-09T00:00:00"/>
    <s v="OTIF FAIL"/>
    <n v="1"/>
    <s v="1210_FG_CRC"/>
    <x v="1"/>
    <n v="1"/>
    <m/>
  </r>
  <r>
    <s v="0569022515-2"/>
    <s v="CST"/>
    <n v="0.26"/>
    <n v="410"/>
    <n v="0"/>
    <n v="10"/>
    <n v="3.8780000000000001"/>
    <s v="CRAP"/>
    <d v="2001-09-25T00:00:00"/>
    <d v="2002-02-25T00:00:00"/>
    <d v="2002-03-20T00:00:00"/>
    <d v="2002-03-20T00:00:00"/>
    <d v="2002-03-20T00:00:00"/>
    <d v="2002-03-20T00:00:00"/>
    <s v="OTIF FAIL"/>
    <n v="2"/>
    <s v="1110_FG_CRC"/>
    <x v="0"/>
    <n v="0"/>
    <m/>
  </r>
  <r>
    <s v="0569022628-1"/>
    <s v="HRC"/>
    <n v="0.6"/>
    <n v="1250"/>
    <n v="0"/>
    <n v="43.07"/>
    <n v="21.212"/>
    <s v="CRAP"/>
    <d v="2001-09-25T00:00:00"/>
    <d v="2002-02-26T00:00:00"/>
    <d v="2002-03-21T00:00:00"/>
    <d v="2002-03-21T00:00:00"/>
    <d v="2002-03-28T00:00:00"/>
    <d v="2002-03-28T00:00:00"/>
    <s v="OTIF FAIL"/>
    <n v="1"/>
    <s v="1210_FG_CRC"/>
    <x v="9"/>
    <n v="0"/>
    <m/>
  </r>
  <r>
    <s v="0569022625-2"/>
    <s v="HRC"/>
    <n v="0.38"/>
    <n v="512"/>
    <n v="0"/>
    <n v="60"/>
    <n v="60"/>
    <s v="CRAP"/>
    <d v="2001-09-25T00:00:00"/>
    <d v="2002-02-25T00:00:00"/>
    <s v="-"/>
    <s v="-"/>
    <d v="2002-03-22T00:00:00"/>
    <d v="2002-03-22T00:00:00"/>
    <s v="OTIF FAIL"/>
    <n v="2"/>
    <s v="1110_FG_CRC"/>
    <x v="0"/>
    <n v="1"/>
    <m/>
  </r>
  <r>
    <s v="0569021870-1"/>
    <s v="CST"/>
    <n v="0.38"/>
    <n v="510"/>
    <n v="0"/>
    <n v="54"/>
    <n v="12.525"/>
    <s v="CRAP"/>
    <d v="2001-09-25T00:00:00"/>
    <d v="2002-02-25T00:00:00"/>
    <d v="2002-03-30T00:00:00"/>
    <d v="2002-03-30T00:00:00"/>
    <d v="2002-03-23T00:00:00"/>
    <d v="2002-03-23T00:00:00"/>
    <s v="OTIF FAIL"/>
    <n v="1"/>
    <s v="1110_FG_CRC"/>
    <x v="0"/>
    <n v="0"/>
    <m/>
  </r>
  <r>
    <s v="0569022625-4"/>
    <s v="HPC"/>
    <n v="0.4"/>
    <n v="565"/>
    <n v="0"/>
    <n v="11"/>
    <n v="11"/>
    <s v="CRAP"/>
    <d v="2001-09-25T00:00:00"/>
    <d v="2002-02-25T00:00:00"/>
    <d v="2002-03-30T00:00:00"/>
    <d v="2002-03-30T00:00:00"/>
    <d v="2002-03-23T00:00:00"/>
    <d v="2002-03-24T00:00:00"/>
    <s v="OTIF FAIL"/>
    <n v="4"/>
    <s v="1110_FG_CRC"/>
    <x v="9"/>
    <n v="1"/>
    <m/>
  </r>
  <r>
    <s v="0569023236-2"/>
    <s v="CST"/>
    <n v="0.33"/>
    <n v="615"/>
    <n v="0"/>
    <n v="2.839"/>
    <n v="2.839"/>
    <s v="CRAP"/>
    <d v="2002-01-02T00:00:00"/>
    <d v="2002-02-25T00:00:00"/>
    <d v="2002-03-18T00:00:00"/>
    <d v="2002-03-18T00:00:00"/>
    <d v="2002-03-18T00:00:00"/>
    <d v="2002-03-30T00:00:00"/>
    <s v="OTIF FAIL"/>
    <n v="2"/>
    <s v="1110_FG_CRC"/>
    <x v="9"/>
    <n v="1"/>
    <m/>
  </r>
  <r>
    <s v="0519010820-1"/>
    <s v="CST"/>
    <n v="0.57999999999999996"/>
    <n v="80.5"/>
    <n v="0"/>
    <n v="20"/>
    <n v="20"/>
    <s v="CRAP"/>
    <d v="2002-01-01T00:00:00"/>
    <d v="2002-02-25T00:00:00"/>
    <d v="2002-03-24T00:00:00"/>
    <d v="2002-03-24T00:00:00"/>
    <d v="2002-03-17T00:00:00"/>
    <d v="2002-03-17T00:00:00"/>
    <s v="OTIF FAIL"/>
    <n v="1"/>
    <s v="1110_FG_CRC"/>
    <x v="0"/>
    <n v="1"/>
    <m/>
  </r>
  <r>
    <s v="0519010818-2"/>
    <s v="CST"/>
    <n v="0.57999999999999996"/>
    <n v="78.5"/>
    <n v="0"/>
    <n v="2.5870000000000002"/>
    <n v="2.5870000000000002"/>
    <s v="CRAP"/>
    <d v="2002-01-01T00:00:00"/>
    <d v="2002-02-25T00:00:00"/>
    <d v="2002-03-23T00:00:00"/>
    <d v="2002-03-23T00:00:00"/>
    <d v="2002-03-16T00:00:00"/>
    <d v="2002-03-16T00:00:00"/>
    <s v="OTIF FAIL"/>
    <n v="2"/>
    <s v="1110_FG_CRC"/>
    <x v="3"/>
    <n v="1"/>
    <m/>
  </r>
  <r>
    <s v="0519010818-1"/>
    <s v="HRC"/>
    <n v="0.57999999999999996"/>
    <n v="80.5"/>
    <n v="0"/>
    <n v="10.01"/>
    <n v="10.01"/>
    <s v="CRAP"/>
    <d v="2002-01-01T00:00:00"/>
    <d v="2002-02-25T00:00:00"/>
    <d v="2002-03-23T00:00:00"/>
    <d v="2002-03-23T00:00:00"/>
    <d v="2002-03-17T00:00:00"/>
    <d v="2002-03-17T00:00:00"/>
    <s v="OTIF FAIL"/>
    <n v="1"/>
    <s v="1110_FG_CRC"/>
    <x v="0"/>
    <n v="1"/>
    <m/>
  </r>
  <r>
    <s v="0519010817-1"/>
    <s v="CST"/>
    <n v="0.57999999999999996"/>
    <n v="80.5"/>
    <n v="0"/>
    <n v="5.133"/>
    <n v="5.133"/>
    <s v="CRAP"/>
    <d v="2002-01-01T00:00:00"/>
    <d v="2002-02-25T00:00:00"/>
    <d v="2002-03-23T00:00:00"/>
    <d v="2002-03-23T00:00:00"/>
    <d v="2002-03-16T00:00:00"/>
    <d v="2002-03-17T00:00:00"/>
    <s v="OTIF FAIL"/>
    <n v="1"/>
    <s v="1110_FG_CRC"/>
    <x v="0"/>
    <n v="1"/>
    <m/>
  </r>
  <r>
    <s v="0569022966-3"/>
    <s v="CRC"/>
    <n v="0.6"/>
    <n v="1250"/>
    <n v="0"/>
    <n v="3"/>
    <n v="3"/>
    <s v="CRAP"/>
    <d v="2001-08-13T00:00:00"/>
    <d v="2002-03-09T00:00:00"/>
    <d v="2002-04-29T00:00:00"/>
    <d v="2002-04-29T00:00:00"/>
    <d v="2002-04-22T00:00:00"/>
    <d v="2002-04-22T00:00:00"/>
    <s v="OTIF FAIL"/>
    <n v="3"/>
    <s v="1210_FG_CRC"/>
    <x v="2"/>
    <n v="1"/>
    <m/>
  </r>
  <r>
    <s v="0569023237-2"/>
    <s v="HRC"/>
    <n v="0.26"/>
    <n v="410"/>
    <n v="0"/>
    <n v="20"/>
    <n v="20"/>
    <s v="CRAP"/>
    <d v="2002-01-02T00:00:00"/>
    <d v="2002-02-25T00:00:00"/>
    <d v="2002-03-20T00:00:00"/>
    <d v="2002-03-20T00:00:00"/>
    <d v="2002-03-20T00:00:00"/>
    <d v="2002-03-20T00:00:00"/>
    <s v="OTIF FAIL"/>
    <n v="2"/>
    <s v="1110_FG_CRC"/>
    <x v="0"/>
    <n v="1"/>
    <m/>
  </r>
  <r>
    <s v="0569022574-1"/>
    <s v="CRC"/>
    <n v="0.28999999999999998"/>
    <n v="485"/>
    <n v="0"/>
    <n v="6"/>
    <n v="2.298"/>
    <s v="CRAP"/>
    <d v="2001-09-25T00:00:00"/>
    <d v="2002-02-25T00:00:00"/>
    <s v="-"/>
    <s v="-"/>
    <d v="2002-03-20T00:00:00"/>
    <d v="2002-03-22T00:00:00"/>
    <s v="OTIF FAIL"/>
    <n v="1"/>
    <s v="1110_FG_CRC"/>
    <x v="0"/>
    <n v="0"/>
    <m/>
  </r>
  <r>
    <s v="0519010804-1"/>
    <s v="HRC"/>
    <n v="0.57999999999999996"/>
    <n v="80.5"/>
    <n v="0"/>
    <n v="6"/>
    <n v="6"/>
    <s v="CRAP"/>
    <d v="2001-08-21T00:00:00"/>
    <d v="2002-02-25T00:00:00"/>
    <d v="2002-03-24T00:00:00"/>
    <d v="2002-03-24T00:00:00"/>
    <d v="2002-03-17T00:00:00"/>
    <d v="2002-03-17T00:00:00"/>
    <s v="OTIF FAIL"/>
    <n v="1"/>
    <s v="1110_FG_CRC"/>
    <x v="0"/>
    <n v="1"/>
    <m/>
  </r>
  <r>
    <s v="0569023233-3"/>
    <s v="HPC"/>
    <n v="0.28999999999999998"/>
    <n v="485"/>
    <n v="0"/>
    <n v="5.0670000000000002"/>
    <n v="5.0670000000000002"/>
    <s v="CRAP"/>
    <d v="2002-01-02T00:00:00"/>
    <d v="2002-02-25T00:00:00"/>
    <s v="-"/>
    <s v="-"/>
    <d v="2002-03-22T00:00:00"/>
    <d v="2002-03-22T00:00:00"/>
    <s v="OTIF FAIL"/>
    <n v="3"/>
    <s v="1110_FG_CRC"/>
    <x v="0"/>
    <n v="1"/>
    <m/>
  </r>
  <r>
    <s v="0519010804-2"/>
    <s v="CST"/>
    <n v="0.8"/>
    <n v="38"/>
    <n v="0"/>
    <n v="20"/>
    <n v="20"/>
    <s v="CRAP"/>
    <d v="2001-08-21T00:00:00"/>
    <d v="2002-02-20T00:00:00"/>
    <d v="2002-04-25T00:00:00"/>
    <d v="2002-04-25T00:00:00"/>
    <d v="2002-03-14T00:00:00"/>
    <d v="2002-04-22T00:00:00"/>
    <s v="OTIF FAIL"/>
    <n v="2"/>
    <s v="1110_FG_CRC"/>
    <x v="2"/>
    <n v="1"/>
    <m/>
  </r>
  <r>
    <s v="0569023236-1"/>
    <s v="CRC"/>
    <n v="0.33"/>
    <n v="410"/>
    <n v="0"/>
    <n v="5.39"/>
    <n v="5.39"/>
    <s v="CRAP"/>
    <d v="2002-01-02T00:00:00"/>
    <d v="2002-02-25T00:00:00"/>
    <d v="2002-03-30T00:00:00"/>
    <d v="2002-03-30T00:00:00"/>
    <d v="2002-03-30T00:00:00"/>
    <d v="2002-03-30T00:00:00"/>
    <s v="OTIF FAIL"/>
    <n v="1"/>
    <s v="1110_FG_CRC"/>
    <x v="9"/>
    <n v="1"/>
    <m/>
  </r>
  <r>
    <s v="0519010804-3"/>
    <s v="CST"/>
    <n v="0.8"/>
    <n v="48"/>
    <n v="0"/>
    <n v="10.5"/>
    <n v="10.5"/>
    <s v="CRAP"/>
    <d v="2001-08-21T00:00:00"/>
    <d v="2002-02-25T00:00:00"/>
    <d v="2002-04-25T00:00:00"/>
    <d v="2002-04-25T00:00:00"/>
    <d v="2002-03-15T00:00:00"/>
    <d v="2002-03-15T00:00:00"/>
    <s v="OTIF FAIL"/>
    <n v="3"/>
    <s v="1110_FG_CRC"/>
    <x v="3"/>
    <n v="1"/>
    <m/>
  </r>
  <r>
    <s v="0569023233-2"/>
    <s v="HPC"/>
    <n v="0.33"/>
    <n v="485"/>
    <n v="0"/>
    <n v="5.4269999999999996"/>
    <n v="5.4269999999999996"/>
    <s v="CRAP"/>
    <d v="2002-01-02T00:00:00"/>
    <d v="2002-02-25T00:00:00"/>
    <d v="2002-03-23T00:00:00"/>
    <d v="2002-03-23T00:00:00"/>
    <d v="2002-03-23T00:00:00"/>
    <d v="2002-03-23T00:00:00"/>
    <s v="OTIF FAIL"/>
    <n v="2"/>
    <s v="1110_FG_CRC"/>
    <x v="0"/>
    <n v="1"/>
    <m/>
  </r>
  <r>
    <s v="0558114888-6"/>
    <s v="HRC"/>
    <n v="0.6"/>
    <n v="1250"/>
    <n v="0"/>
    <n v="21"/>
    <n v="21"/>
    <s v="CRAP"/>
    <d v="2001-08-25T00:00:00"/>
    <d v="2002-02-26T00:00:00"/>
    <d v="2002-03-26T00:00:00"/>
    <d v="2002-03-26T00:00:00"/>
    <d v="2002-03-26T00:00:00"/>
    <d v="2002-03-28T00:00:00"/>
    <s v="OTIF FAIL"/>
    <n v="6"/>
    <s v="1210_FG_CRC"/>
    <x v="9"/>
    <n v="1"/>
    <m/>
  </r>
  <r>
    <s v="0569021870-2"/>
    <s v="PSS"/>
    <n v="0.33"/>
    <n v="510"/>
    <n v="0"/>
    <n v="18"/>
    <n v="10.802"/>
    <s v="CRAP"/>
    <d v="2001-09-25T00:00:00"/>
    <d v="2002-02-25T00:00:00"/>
    <d v="2002-03-29T00:00:00"/>
    <d v="2002-03-29T00:00:00"/>
    <d v="2002-03-29T00:00:00"/>
    <d v="2002-03-29T00:00:00"/>
    <s v="OTIF FAIL"/>
    <n v="2"/>
    <s v="1110_FG_CRC"/>
    <x v="9"/>
    <n v="0"/>
    <m/>
  </r>
  <r>
    <s v="0569022998-14"/>
    <s v="HRC"/>
    <n v="0.7"/>
    <n v="1250"/>
    <n v="0"/>
    <n v="75"/>
    <n v="55.994"/>
    <s v="CRAP"/>
    <d v="2001-08-17T00:00:00"/>
    <d v="2002-02-25T00:00:00"/>
    <d v="2002-02-27T00:00:00"/>
    <d v="2002-02-27T00:00:00"/>
    <d v="2002-03-05T00:00:00"/>
    <d v="2002-03-28T00:00:00"/>
    <s v="OTIF FAIL"/>
    <n v="14"/>
    <s v="1210_FG_CRC"/>
    <x v="9"/>
    <n v="0"/>
    <m/>
  </r>
  <r>
    <s v="0569021870-3"/>
    <s v="CST"/>
    <n v="0.38"/>
    <n v="485"/>
    <n v="0"/>
    <n v="27"/>
    <n v="3.4140000000000001"/>
    <s v="CRAP"/>
    <d v="2001-09-25T00:00:00"/>
    <d v="2002-02-25T00:00:00"/>
    <s v="-"/>
    <s v="-"/>
    <d v="2002-03-22T00:00:00"/>
    <d v="2002-03-23T00:00:00"/>
    <s v="OTIF FAIL"/>
    <n v="3"/>
    <s v="1110_FG_CRC"/>
    <x v="0"/>
    <n v="0"/>
    <m/>
  </r>
  <r>
    <s v="0558114115-1"/>
    <s v="HPC"/>
    <n v="0.5"/>
    <n v="1250"/>
    <n v="0"/>
    <n v="20"/>
    <n v="6.7039999999999997"/>
    <s v="CRAP"/>
    <d v="2001-08-16T00:00:00"/>
    <d v="2002-02-26T00:00:00"/>
    <s v="-"/>
    <s v="-"/>
    <d v="2002-03-22T00:00:00"/>
    <d v="2002-03-22T00:00:00"/>
    <s v="OTIF FAIL"/>
    <n v="1"/>
    <s v="1210_FG_CRC"/>
    <x v="0"/>
    <n v="0"/>
    <m/>
  </r>
  <r>
    <s v="0569023062-4"/>
    <s v="CST"/>
    <n v="0.7"/>
    <n v="1250"/>
    <n v="0"/>
    <n v="12"/>
    <n v="12"/>
    <s v="CRAP"/>
    <d v="2001-08-23T00:00:00"/>
    <d v="2002-02-25T00:00:00"/>
    <d v="2002-03-12T00:00:00"/>
    <d v="2002-03-12T00:00:00"/>
    <d v="2002-03-06T00:00:00"/>
    <d v="2002-04-01T00:00:00"/>
    <s v="OTIF FAIL"/>
    <n v="4"/>
    <s v="1210_FG_CRC"/>
    <x v="6"/>
    <n v="1"/>
    <m/>
  </r>
  <r>
    <s v="0558115446-1"/>
    <s v="CRC"/>
    <n v="1"/>
    <n v="1250"/>
    <n v="0"/>
    <n v="9"/>
    <n v="9"/>
    <s v="CRAP"/>
    <d v="2001-08-29T00:00:00"/>
    <d v="2002-02-26T00:00:00"/>
    <d v="2002-03-29T00:00:00"/>
    <d v="2002-03-29T00:00:00"/>
    <d v="2002-03-29T00:00:00"/>
    <d v="2002-03-29T00:00:00"/>
    <s v="OTIF FAIL"/>
    <n v="1"/>
    <s v="1210_FG_CRC"/>
    <x v="9"/>
    <n v="1"/>
    <m/>
  </r>
  <r>
    <s v="0558115794-1"/>
    <s v="CST"/>
    <n v="0.6"/>
    <n v="1250"/>
    <n v="0"/>
    <n v="21"/>
    <n v="21"/>
    <s v="CRAP"/>
    <d v="2001-08-30T00:00:00"/>
    <d v="2002-02-26T00:00:00"/>
    <d v="2002-04-01T00:00:00"/>
    <d v="2002-04-01T00:00:00"/>
    <d v="2002-04-01T00:00:00"/>
    <d v="2002-04-01T00:00:00"/>
    <s v="OTIF FAIL"/>
    <n v="1"/>
    <s v="1210_FG_CRC"/>
    <x v="6"/>
    <n v="1"/>
    <m/>
  </r>
  <r>
    <s v="0569023062-6"/>
    <s v="HRC"/>
    <n v="1.2"/>
    <n v="1250"/>
    <n v="0"/>
    <n v="21"/>
    <n v="21"/>
    <s v="CRAP"/>
    <d v="2001-08-23T00:00:00"/>
    <d v="2002-02-25T00:00:00"/>
    <d v="2002-03-19T00:00:00"/>
    <d v="2002-03-19T00:00:00"/>
    <d v="2002-03-19T00:00:00"/>
    <d v="2002-03-23T00:00:00"/>
    <s v="OTIF FAIL"/>
    <n v="6"/>
    <s v="1210_FG_CRC"/>
    <x v="0"/>
    <n v="1"/>
    <m/>
  </r>
  <r>
    <s v="0558113602-1"/>
    <s v="CST"/>
    <n v="1.5"/>
    <n v="1250"/>
    <n v="0"/>
    <n v="60"/>
    <n v="54.863999999999997"/>
    <s v="CRAP"/>
    <d v="2001-08-07T00:00:00"/>
    <d v="2002-02-26T00:00:00"/>
    <d v="2002-03-23T00:00:00"/>
    <d v="2002-03-23T00:00:00"/>
    <d v="2002-03-23T00:00:00"/>
    <d v="2002-03-23T00:00:00"/>
    <s v="OTIF FAIL"/>
    <n v="1"/>
    <s v="1210_FG_CRC"/>
    <x v="0"/>
    <n v="0"/>
    <m/>
  </r>
  <r>
    <s v="0569022434-1"/>
    <s v="CST"/>
    <n v="2"/>
    <n v="1250"/>
    <n v="0"/>
    <n v="9"/>
    <n v="9"/>
    <s v="CRAP"/>
    <d v="2001-09-25T00:00:00"/>
    <d v="2002-02-26T00:00:00"/>
    <d v="2002-02-26T00:00:00"/>
    <d v="2002-02-26T00:00:00"/>
    <d v="2002-02-26T00:00:00"/>
    <d v="2002-03-23T00:00:00"/>
    <s v="OTIF PASS"/>
    <n v="1"/>
    <s v="1210_FG_CRC"/>
    <x v="0"/>
    <n v="1"/>
    <m/>
  </r>
  <r>
    <s v="0558114888-2"/>
    <s v="CRC"/>
    <n v="0.7"/>
    <n v="1250"/>
    <n v="0"/>
    <n v="30"/>
    <n v="30"/>
    <s v="CRAP"/>
    <d v="2001-08-25T00:00:00"/>
    <d v="2002-02-26T00:00:00"/>
    <d v="2002-04-01T00:00:00"/>
    <d v="2002-04-01T00:00:00"/>
    <d v="2002-04-01T00:00:00"/>
    <d v="2002-04-01T00:00:00"/>
    <s v="OTIF FAIL"/>
    <n v="2"/>
    <s v="1210_FG_CRC"/>
    <x v="6"/>
    <n v="1"/>
    <m/>
  </r>
  <r>
    <s v="0558111416-2"/>
    <s v="CST"/>
    <n v="3"/>
    <n v="1250"/>
    <n v="0"/>
    <n v="3"/>
    <n v="3"/>
    <s v="CRAP"/>
    <d v="2001-09-25T00:00:00"/>
    <d v="2002-03-04T00:00:00"/>
    <d v="2002-02-21T00:00:00"/>
    <d v="2002-03-04T00:00:00"/>
    <d v="2002-01-04T00:00:00"/>
    <d v="2002-01-28T00:00:00"/>
    <s v="OTIF PASS"/>
    <n v="2"/>
    <s v="1210_FG_CRC"/>
    <x v="10"/>
    <n v="1"/>
    <m/>
  </r>
  <r>
    <s v="0558114888-4"/>
    <s v="HPC"/>
    <n v="1"/>
    <n v="1250"/>
    <n v="0"/>
    <n v="9"/>
    <n v="9"/>
    <s v="CRAP"/>
    <d v="2001-08-25T00:00:00"/>
    <d v="2002-02-26T00:00:00"/>
    <d v="2002-03-29T00:00:00"/>
    <d v="2002-03-29T00:00:00"/>
    <d v="2002-03-29T00:00:00"/>
    <d v="2002-03-29T00:00:00"/>
    <s v="OTIF FAIL"/>
    <n v="4"/>
    <s v="1210_FG_CRC"/>
    <x v="9"/>
    <n v="1"/>
    <m/>
  </r>
  <r>
    <s v="0558116793-10"/>
    <s v="CST"/>
    <n v="2"/>
    <n v="1250"/>
    <n v="0"/>
    <n v="3"/>
    <n v="3"/>
    <s v="CRAP"/>
    <d v="2002-04-18T00:00:00"/>
    <d v="2002-04-18T00:00:00"/>
    <d v="2002-04-29T00:00:00"/>
    <d v="2002-04-29T00:00:00"/>
    <s v="-"/>
    <d v="2002-04-29T00:00:00"/>
    <s v="OTIF FAIL"/>
    <n v="10"/>
    <s v="1210_FG_CRC"/>
    <x v="16"/>
    <n v="0"/>
    <m/>
  </r>
  <r>
    <s v="0569022998-5"/>
    <s v="CRC"/>
    <n v="0.5"/>
    <n v="1250"/>
    <n v="0"/>
    <n v="105"/>
    <n v="105"/>
    <s v="CRAP"/>
    <d v="2001-08-17T00:00:00"/>
    <d v="2002-02-26T00:00:00"/>
    <d v="2002-03-01T00:00:00"/>
    <d v="2002-03-01T00:00:00"/>
    <d v="2002-03-06T00:00:00"/>
    <d v="2002-03-12T00:00:00"/>
    <s v="OTIF FAIL"/>
    <n v="5"/>
    <s v="1210_FG_CRC"/>
    <x v="3"/>
    <n v="1"/>
    <m/>
  </r>
  <r>
    <s v="0569023217-1"/>
    <s v="HRC"/>
    <n v="1"/>
    <n v="625"/>
    <n v="0"/>
    <n v="75"/>
    <n v="75"/>
    <s v="CRAP"/>
    <d v="2001-09-28T00:00:00"/>
    <d v="2002-02-27T00:00:00"/>
    <d v="2002-03-13T00:00:00"/>
    <d v="2002-03-13T00:00:00"/>
    <d v="2002-03-07T00:00:00"/>
    <d v="2002-03-07T00:00:00"/>
    <s v="OTIF FAIL"/>
    <n v="1"/>
    <s v="1210_FG_CRC"/>
    <x v="1"/>
    <n v="1"/>
    <m/>
  </r>
  <r>
    <s v="0558111712-1"/>
    <s v="CST"/>
    <n v="0.4"/>
    <n v="1250"/>
    <n v="0"/>
    <n v="22"/>
    <n v="22"/>
    <s v="CRAP"/>
    <d v="2001-09-25T00:00:00"/>
    <d v="2002-02-27T00:00:00"/>
    <d v="2002-03-10T00:00:00"/>
    <d v="2002-03-10T00:00:00"/>
    <d v="2002-03-18T00:00:00"/>
    <d v="2002-03-18T00:00:00"/>
    <s v="OTIF FAIL"/>
    <n v="1"/>
    <s v="1210_FG_CRC"/>
    <x v="0"/>
    <n v="1"/>
    <m/>
  </r>
  <r>
    <s v="0569023218-1"/>
    <s v="CRC"/>
    <n v="1"/>
    <n v="625"/>
    <n v="0"/>
    <n v="75"/>
    <n v="75"/>
    <s v="CRAP"/>
    <d v="2001-09-28T00:00:00"/>
    <d v="2002-02-27T00:00:00"/>
    <d v="2002-04-18T00:00:00"/>
    <d v="2002-04-18T00:00:00"/>
    <d v="2002-03-07T00:00:00"/>
    <d v="2002-03-07T00:00:00"/>
    <s v="OTIF FAIL"/>
    <n v="1"/>
    <s v="1210_FG_CRC"/>
    <x v="1"/>
    <n v="1"/>
    <m/>
  </r>
  <r>
    <s v="0569022998-9"/>
    <s v="CST"/>
    <n v="0.9"/>
    <n v="1250"/>
    <n v="0"/>
    <n v="100"/>
    <n v="100"/>
    <s v="CRAP"/>
    <d v="2001-08-17T00:00:00"/>
    <d v="2002-02-25T00:00:00"/>
    <d v="2002-03-11T00:00:00"/>
    <d v="2002-03-11T00:00:00"/>
    <d v="2002-03-17T00:00:00"/>
    <d v="2002-03-17T00:00:00"/>
    <s v="OTIF FAIL"/>
    <n v="9"/>
    <s v="1210_FG_CRC"/>
    <x v="0"/>
    <n v="1"/>
    <m/>
  </r>
  <r>
    <s v="0558113091-1"/>
    <s v="HRC"/>
    <n v="0.57999999999999996"/>
    <n v="625"/>
    <n v="0"/>
    <n v="39"/>
    <n v="39"/>
    <s v="CRAP"/>
    <d v="2001-09-25T00:00:00"/>
    <d v="2002-03-30T00:00:00"/>
    <s v="-"/>
    <s v="-"/>
    <d v="2002-05-11T00:00:00"/>
    <d v="2002-05-11T00:00:00"/>
    <s v="OTIF FAIL"/>
    <n v="1"/>
    <s v="1210_FG_CRC"/>
    <x v="19"/>
    <n v="1"/>
    <m/>
  </r>
  <r>
    <s v="0569023062-5"/>
    <s v="CST"/>
    <n v="0.8"/>
    <n v="1250"/>
    <n v="0"/>
    <n v="3"/>
    <n v="3"/>
    <s v="CRAP"/>
    <d v="2001-08-23T00:00:00"/>
    <d v="2002-02-25T00:00:00"/>
    <s v="-"/>
    <s v="-"/>
    <d v="2002-03-23T00:00:00"/>
    <d v="2002-03-24T00:00:00"/>
    <s v="OTIF FAIL"/>
    <n v="5"/>
    <s v="1210_FG_CRC"/>
    <x v="9"/>
    <n v="1"/>
    <m/>
  </r>
  <r>
    <s v="0558113090-1"/>
    <s v="NFA"/>
    <n v="0.57999999999999996"/>
    <n v="625"/>
    <n v="0"/>
    <n v="22"/>
    <n v="22"/>
    <s v="CRAP"/>
    <d v="2001-09-25T00:00:00"/>
    <d v="2002-03-30T00:00:00"/>
    <d v="2002-04-27T00:00:00"/>
    <d v="2002-04-27T00:00:00"/>
    <d v="2002-04-20T00:00:00"/>
    <d v="2002-05-11T00:00:00"/>
    <s v="OTIF FAIL"/>
    <n v="1"/>
    <s v="1210_FG_CRC"/>
    <x v="19"/>
    <n v="1"/>
    <m/>
  </r>
  <r>
    <s v="0558112960-1"/>
    <s v="CST"/>
    <n v="1.2"/>
    <n v="1250"/>
    <n v="0"/>
    <n v="6"/>
    <n v="6"/>
    <s v="CRAP"/>
    <d v="2001-08-05T00:00:00"/>
    <d v="2002-02-26T00:00:00"/>
    <d v="2002-03-29T00:00:00"/>
    <d v="2002-03-29T00:00:00"/>
    <d v="2002-03-29T00:00:00"/>
    <d v="2002-03-29T00:00:00"/>
    <s v="OTIF FAIL"/>
    <n v="1"/>
    <s v="1210_FG_CRC"/>
    <x v="9"/>
    <n v="1"/>
    <m/>
  </r>
  <r>
    <s v="0558112956-1"/>
    <s v="CRC"/>
    <n v="0.8"/>
    <n v="1250"/>
    <n v="0"/>
    <n v="6"/>
    <n v="6"/>
    <s v="CRAP"/>
    <d v="2001-08-05T00:00:00"/>
    <d v="2002-02-26T00:00:00"/>
    <d v="2002-05-08T00:00:00"/>
    <d v="2002-05-08T00:00:00"/>
    <d v="2002-01-15T00:00:00"/>
    <d v="2002-03-28T00:00:00"/>
    <s v="OTIF FAIL"/>
    <n v="1"/>
    <s v="1210_FG_CRC"/>
    <x v="9"/>
    <n v="1"/>
    <m/>
  </r>
  <r>
    <s v="0569022779-1"/>
    <s v="CST"/>
    <n v="0.4"/>
    <n v="615"/>
    <n v="0"/>
    <n v="100"/>
    <n v="14.637"/>
    <s v="CRAP"/>
    <d v="2001-08-05T00:00:00"/>
    <d v="2002-02-25T00:00:00"/>
    <d v="2002-03-29T00:00:00"/>
    <d v="2002-03-29T00:00:00"/>
    <d v="2002-03-29T00:00:00"/>
    <d v="2002-03-29T00:00:00"/>
    <s v="OTIF FAIL"/>
    <n v="1"/>
    <s v="1110_FG_CRC"/>
    <x v="9"/>
    <n v="0"/>
    <m/>
  </r>
  <r>
    <s v="0558111428-5"/>
    <s v="HRC"/>
    <n v="3"/>
    <n v="1250"/>
    <n v="0"/>
    <n v="3"/>
    <n v="3"/>
    <s v="CRAP"/>
    <d v="2001-09-25T00:00:00"/>
    <d v="2002-03-04T00:00:00"/>
    <d v="2002-02-21T00:00:00"/>
    <d v="2002-03-04T00:00:00"/>
    <d v="2002-01-04T00:00:00"/>
    <d v="2002-01-28T00:00:00"/>
    <s v="OTIF PASS"/>
    <n v="5"/>
    <s v="1210_FG_CRC"/>
    <x v="10"/>
    <n v="1"/>
    <m/>
  </r>
  <r>
    <s v="0568011811-3"/>
    <s v="HRC"/>
    <n v="0.5"/>
    <n v="1000"/>
    <n v="0"/>
    <n v="30"/>
    <n v="20.385999999999999"/>
    <s v="CRAP"/>
    <d v="2001-09-25T00:00:00"/>
    <d v="2002-02-27T00:00:00"/>
    <d v="2002-03-05T00:00:00"/>
    <d v="2002-03-05T00:00:00"/>
    <d v="2002-01-15T00:00:00"/>
    <d v="2002-01-15T00:00:00"/>
    <s v="OTIF FAIL"/>
    <n v="3"/>
    <s v="1210_FG_CRC"/>
    <x v="13"/>
    <n v="0"/>
    <m/>
  </r>
  <r>
    <s v="0569023249-4"/>
    <s v="HRC"/>
    <n v="0.26"/>
    <n v="485"/>
    <n v="0"/>
    <n v="23.8"/>
    <n v="23.8"/>
    <s v="CRAP"/>
    <d v="2002-01-02T00:00:00"/>
    <d v="2002-02-25T00:00:00"/>
    <d v="2002-03-16T00:00:00"/>
    <d v="2002-03-16T00:00:00"/>
    <d v="2002-03-16T00:00:00"/>
    <d v="2002-03-16T00:00:00"/>
    <s v="OTIF FAIL"/>
    <n v="4"/>
    <s v="1110_FG_CRC"/>
    <x v="3"/>
    <n v="1"/>
    <m/>
  </r>
  <r>
    <s v="0558112541-3"/>
    <s v="CST"/>
    <n v="0.5"/>
    <n v="1250"/>
    <n v="0"/>
    <n v="6"/>
    <n v="6"/>
    <s v="CRAP"/>
    <d v="2001-09-25T00:00:00"/>
    <d v="2002-03-05T00:00:00"/>
    <d v="2002-02-23T00:00:00"/>
    <d v="2002-03-05T00:00:00"/>
    <d v="2002-01-16T00:00:00"/>
    <d v="2002-01-17T00:00:00"/>
    <s v="OTIF PASS"/>
    <n v="3"/>
    <s v="1210_FG_CRC"/>
    <x v="13"/>
    <n v="1"/>
    <m/>
  </r>
  <r>
    <s v="0569023230-1"/>
    <s v="NFA"/>
    <n v="0.4"/>
    <n v="600"/>
    <n v="0"/>
    <n v="2.6080000000000001"/>
    <n v="2.6080000000000001"/>
    <s v="CRAP"/>
    <d v="2002-01-02T00:00:00"/>
    <d v="2002-02-25T00:00:00"/>
    <s v="-"/>
    <s v="-"/>
    <d v="2002-03-24T00:00:00"/>
    <d v="2002-03-24T00:00:00"/>
    <s v="OTIF FAIL"/>
    <n v="1"/>
    <s v="1110_FG_CRC"/>
    <x v="9"/>
    <n v="1"/>
    <m/>
  </r>
  <r>
    <s v="0558111465-1"/>
    <s v="CST"/>
    <n v="0.46"/>
    <n v="50.4"/>
    <n v="0"/>
    <n v="36"/>
    <n v="36"/>
    <s v="CRAP"/>
    <d v="2001-09-25T00:00:00"/>
    <d v="2002-03-30T00:00:00"/>
    <s v="-"/>
    <s v="-"/>
    <d v="2002-04-06T00:00:00"/>
    <d v="2002-04-06T00:00:00"/>
    <s v="OTIF FAIL"/>
    <n v="1"/>
    <s v="1210_FG_CRC"/>
    <x v="6"/>
    <n v="1"/>
    <m/>
  </r>
  <r>
    <s v="0558112494-1"/>
    <s v="CRC"/>
    <n v="0.5"/>
    <n v="1250"/>
    <n v="0"/>
    <n v="3"/>
    <n v="3"/>
    <s v="CRAP"/>
    <d v="2001-09-25T00:00:00"/>
    <d v="2002-03-05T00:00:00"/>
    <d v="2002-02-23T00:00:00"/>
    <d v="2002-03-05T00:00:00"/>
    <d v="2002-01-16T00:00:00"/>
    <d v="2002-01-17T00:00:00"/>
    <s v="OTIF PASS"/>
    <n v="1"/>
    <s v="1210_FG_CRC"/>
    <x v="13"/>
    <n v="1"/>
    <m/>
  </r>
  <r>
    <s v="0569023249-3"/>
    <s v="HPC"/>
    <n v="0.26"/>
    <n v="515"/>
    <n v="0"/>
    <n v="17.402999999999999"/>
    <n v="17.402999999999999"/>
    <s v="CRAP"/>
    <d v="2002-01-02T00:00:00"/>
    <d v="2002-02-25T00:00:00"/>
    <s v="-"/>
    <s v="-"/>
    <d v="2002-03-20T00:00:00"/>
    <d v="2002-03-29T00:00:00"/>
    <s v="OTIF FAIL"/>
    <n v="3"/>
    <s v="1110_FG_CRC"/>
    <x v="9"/>
    <n v="1"/>
    <m/>
  </r>
  <r>
    <s v="0558112459-6"/>
    <s v="NFA"/>
    <n v="0.7"/>
    <n v="1250"/>
    <n v="0"/>
    <n v="3"/>
    <n v="3"/>
    <s v="CRAP"/>
    <d v="2001-09-25T00:00:00"/>
    <d v="2002-03-05T00:00:00"/>
    <d v="2002-04-29T00:00:00"/>
    <d v="2002-04-29T00:00:00"/>
    <d v="2002-04-22T00:00:00"/>
    <d v="2002-04-22T00:00:00"/>
    <s v="OTIF FAIL"/>
    <n v="6"/>
    <s v="1210_FG_CRC"/>
    <x v="2"/>
    <n v="1"/>
    <m/>
  </r>
  <r>
    <s v="0568011811-5"/>
    <s v="CST"/>
    <n v="0.4"/>
    <n v="1000"/>
    <n v="0"/>
    <n v="30"/>
    <n v="19.687999999999999"/>
    <s v="CRAP"/>
    <d v="2001-09-25T00:00:00"/>
    <d v="2002-02-27T00:00:00"/>
    <d v="2002-03-05T00:00:00"/>
    <d v="2002-03-05T00:00:00"/>
    <d v="2002-01-13T00:00:00"/>
    <d v="2002-01-13T00:00:00"/>
    <s v="OTIF FAIL"/>
    <n v="5"/>
    <s v="1210_FG_CRC"/>
    <x v="13"/>
    <n v="0"/>
    <m/>
  </r>
  <r>
    <s v="0558112371-3"/>
    <s v="CST"/>
    <n v="0.7"/>
    <n v="1250"/>
    <n v="0"/>
    <n v="6"/>
    <n v="6"/>
    <s v="CRAP"/>
    <d v="2001-09-25T00:00:00"/>
    <d v="2002-03-05T00:00:00"/>
    <d v="2002-04-29T00:00:00"/>
    <d v="2002-04-29T00:00:00"/>
    <d v="2002-04-22T00:00:00"/>
    <d v="2002-04-22T00:00:00"/>
    <s v="OTIF FAIL"/>
    <n v="3"/>
    <s v="1210_FG_CRC"/>
    <x v="2"/>
    <n v="1"/>
    <m/>
  </r>
  <r>
    <s v="0558078645-4"/>
    <s v="CRC"/>
    <n v="0.45"/>
    <n v="119"/>
    <n v="0"/>
    <n v="17.5"/>
    <n v="17.5"/>
    <s v="CRAP"/>
    <d v="2001-09-25T00:00:00"/>
    <d v="2002-02-27T00:00:00"/>
    <d v="2002-03-22T00:00:00"/>
    <d v="2002-03-22T00:00:00"/>
    <d v="2002-03-22T00:00:00"/>
    <d v="2002-03-22T00:00:00"/>
    <s v="OTIF FAIL"/>
    <n v="4"/>
    <s v="1210_FG_CRC"/>
    <x v="0"/>
    <n v="1"/>
    <m/>
  </r>
  <r>
    <s v="0568012226-1"/>
    <s v="CST"/>
    <n v="0.44500000000000001"/>
    <n v="1219.2"/>
    <n v="0"/>
    <n v="18.14"/>
    <n v="9.9169999999999998"/>
    <s v="CRAP"/>
    <d v="2001-09-25T00:00:00"/>
    <d v="2002-03-10T00:00:00"/>
    <d v="2002-04-25T00:00:00"/>
    <d v="2002-04-25T00:00:00"/>
    <d v="2001-12-11T00:00:00"/>
    <d v="2001-12-11T00:00:00"/>
    <s v="OTIF FAIL"/>
    <n v="1"/>
    <s v="1210_FG_CRC"/>
    <x v="21"/>
    <n v="0"/>
    <m/>
  </r>
  <r>
    <s v="0558114264-1"/>
    <s v="JBS"/>
    <n v="0.6"/>
    <n v="1250"/>
    <n v="0"/>
    <n v="21"/>
    <n v="21"/>
    <s v="CRAP"/>
    <d v="2001-08-17T00:00:00"/>
    <d v="2002-02-26T00:00:00"/>
    <d v="2002-03-13T00:00:00"/>
    <d v="2002-03-13T00:00:00"/>
    <d v="2002-03-14T00:00:00"/>
    <d v="2002-03-14T00:00:00"/>
    <s v="OTIF FAIL"/>
    <n v="1"/>
    <s v="1210_FG_CRC"/>
    <x v="3"/>
    <n v="1"/>
    <m/>
  </r>
  <r>
    <s v="0569023010-3"/>
    <s v="CST"/>
    <n v="0.5"/>
    <n v="1250"/>
    <n v="0"/>
    <n v="6"/>
    <n v="6"/>
    <s v="CRAP"/>
    <d v="2001-08-20T00:00:00"/>
    <d v="2002-02-25T00:00:00"/>
    <d v="2002-03-13T00:00:00"/>
    <d v="2002-03-13T00:00:00"/>
    <d v="2002-03-12T00:00:00"/>
    <d v="2002-03-12T00:00:00"/>
    <s v="OTIF FAIL"/>
    <n v="3"/>
    <s v="1210_FG_CRC"/>
    <x v="3"/>
    <n v="1"/>
    <m/>
  </r>
  <r>
    <s v="0558114888-1"/>
    <s v="CST"/>
    <n v="0.6"/>
    <n v="1250"/>
    <n v="0"/>
    <n v="21"/>
    <n v="21"/>
    <s v="CRAP"/>
    <d v="2001-08-25T00:00:00"/>
    <d v="2002-02-26T00:00:00"/>
    <d v="2002-04-01T00:00:00"/>
    <d v="2002-04-01T00:00:00"/>
    <d v="2002-04-01T00:00:00"/>
    <d v="2002-04-01T00:00:00"/>
    <s v="OTIF FAIL"/>
    <n v="1"/>
    <s v="1210_FG_CRC"/>
    <x v="6"/>
    <n v="1"/>
    <m/>
  </r>
  <r>
    <s v="0569022895-2"/>
    <s v="CST"/>
    <n v="0.6"/>
    <n v="1000"/>
    <n v="0"/>
    <n v="64"/>
    <n v="64"/>
    <s v="CRAP"/>
    <d v="2001-08-05T00:00:00"/>
    <d v="2002-02-26T00:00:00"/>
    <d v="2002-03-17T00:00:00"/>
    <d v="2002-03-17T00:00:00"/>
    <d v="2002-03-17T00:00:00"/>
    <d v="2002-03-17T00:00:00"/>
    <s v="OTIF FAIL"/>
    <n v="2"/>
    <s v="1210_FG_CRC"/>
    <x v="0"/>
    <n v="1"/>
    <m/>
  </r>
  <r>
    <s v="0569022998-6"/>
    <s v="CST"/>
    <n v="0.6"/>
    <n v="1250"/>
    <n v="0"/>
    <n v="185"/>
    <n v="185"/>
    <s v="CRAP"/>
    <d v="2001-08-17T00:00:00"/>
    <d v="2002-02-26T00:00:00"/>
    <d v="2002-03-29T00:00:00"/>
    <d v="2002-03-29T00:00:00"/>
    <d v="2002-03-29T00:00:00"/>
    <d v="2002-04-01T00:00:00"/>
    <s v="OTIF FAIL"/>
    <n v="6"/>
    <s v="1210_FG_CRC"/>
    <x v="6"/>
    <n v="1"/>
    <m/>
  </r>
  <r>
    <s v="0569022998-10"/>
    <s v="HPC"/>
    <n v="1"/>
    <n v="1250"/>
    <n v="0"/>
    <n v="75"/>
    <n v="75"/>
    <s v="CRAP"/>
    <d v="2001-08-17T00:00:00"/>
    <d v="2002-02-25T00:00:00"/>
    <d v="2002-03-19T00:00:00"/>
    <d v="2002-03-19T00:00:00"/>
    <d v="2002-03-19T00:00:00"/>
    <d v="2002-03-29T00:00:00"/>
    <s v="OTIF FAIL"/>
    <n v="10"/>
    <s v="1210_FG_CRC"/>
    <x v="9"/>
    <n v="1"/>
    <m/>
  </r>
  <r>
    <s v="0569022998-11"/>
    <s v="NFA"/>
    <n v="1.2"/>
    <n v="1250"/>
    <n v="0"/>
    <n v="75"/>
    <n v="75"/>
    <s v="CRAP"/>
    <d v="2001-08-17T00:00:00"/>
    <d v="2002-02-25T00:00:00"/>
    <d v="2002-03-05T00:00:00"/>
    <d v="2002-03-05T00:00:00"/>
    <d v="2002-03-08T00:00:00"/>
    <d v="2002-03-23T00:00:00"/>
    <s v="OTIF FAIL"/>
    <n v="11"/>
    <s v="1210_FG_CRC"/>
    <x v="0"/>
    <n v="1"/>
    <m/>
  </r>
  <r>
    <s v="0569023232-1"/>
    <s v="CST"/>
    <n v="0.3"/>
    <n v="615"/>
    <n v="0"/>
    <n v="2.5049999999999999"/>
    <n v="2.5049999999999999"/>
    <s v="CRAP"/>
    <d v="2002-01-02T00:00:00"/>
    <d v="2002-02-25T00:00:00"/>
    <d v="2002-03-21T00:00:00"/>
    <d v="2002-03-21T00:00:00"/>
    <d v="2002-03-21T00:00:00"/>
    <d v="2002-03-21T00:00:00"/>
    <s v="OTIF FAIL"/>
    <n v="1"/>
    <s v="1110_FG_CRC"/>
    <x v="0"/>
    <n v="1"/>
    <m/>
  </r>
  <r>
    <s v="0558116674-2"/>
    <s v="CST"/>
    <n v="1"/>
    <n v="320"/>
    <n v="0"/>
    <n v="20.535"/>
    <n v="20.535"/>
    <s v="CRAP"/>
    <d v="2002-03-28T00:00:00"/>
    <d v="2002-05-05T00:00:00"/>
    <s v="-"/>
    <s v="-"/>
    <s v="-"/>
    <d v="2002-04-22T00:00:00"/>
    <s v="OTIF FAIL"/>
    <n v="2"/>
    <s v="1210_FG_CRC"/>
    <x v="2"/>
    <n v="0"/>
    <m/>
  </r>
  <r>
    <s v="0569022895-1"/>
    <s v="CST"/>
    <n v="0.5"/>
    <n v="1000"/>
    <n v="0"/>
    <n v="64"/>
    <n v="64"/>
    <s v="CRAP"/>
    <d v="2001-08-05T00:00:00"/>
    <d v="2002-02-26T00:00:00"/>
    <d v="2002-02-27T00:00:00"/>
    <d v="2002-02-27T00:00:00"/>
    <d v="2002-03-05T00:00:00"/>
    <d v="2002-03-05T00:00:00"/>
    <s v="OTIF FAIL"/>
    <n v="1"/>
    <s v="1210_FG_CRC"/>
    <x v="1"/>
    <n v="1"/>
    <m/>
  </r>
  <r>
    <s v="0569022998-7"/>
    <s v="HPC"/>
    <n v="0.7"/>
    <n v="1250"/>
    <n v="0"/>
    <n v="175"/>
    <n v="175"/>
    <s v="CRAP"/>
    <d v="2001-08-17T00:00:00"/>
    <d v="2002-02-26T00:00:00"/>
    <d v="2002-03-03T00:00:00"/>
    <d v="2002-03-03T00:00:00"/>
    <d v="2002-03-07T00:00:00"/>
    <d v="2002-04-01T00:00:00"/>
    <s v="OTIF FAIL"/>
    <n v="7"/>
    <s v="1210_FG_CRC"/>
    <x v="6"/>
    <n v="1"/>
    <m/>
  </r>
  <r>
    <s v="0569023168-2"/>
    <s v="CST"/>
    <n v="0.6"/>
    <n v="1220"/>
    <n v="0"/>
    <n v="70"/>
    <n v="70"/>
    <s v="CRAP"/>
    <d v="2001-09-25T00:00:00"/>
    <d v="2002-02-25T00:00:00"/>
    <d v="2002-03-25T00:00:00"/>
    <d v="2002-03-25T00:00:00"/>
    <d v="2002-03-25T00:00:00"/>
    <d v="2002-03-25T00:00:00"/>
    <s v="OTIF FAIL"/>
    <n v="2"/>
    <s v="1210_FG_CRC"/>
    <x v="9"/>
    <n v="1"/>
    <m/>
  </r>
  <r>
    <s v="0558114660-2"/>
    <s v="HRC"/>
    <n v="0.7"/>
    <n v="1250"/>
    <n v="0"/>
    <n v="3"/>
    <n v="3"/>
    <s v="CRAP"/>
    <d v="2001-08-23T00:00:00"/>
    <d v="2002-02-26T00:00:00"/>
    <d v="2002-02-24T00:00:00"/>
    <d v="2002-02-26T00:00:00"/>
    <d v="2002-01-07T00:00:00"/>
    <d v="2002-01-07T00:00:00"/>
    <s v="OTIF PASS"/>
    <n v="2"/>
    <s v="1210_FG_CRC"/>
    <x v="17"/>
    <n v="1"/>
    <m/>
  </r>
  <r>
    <s v="0569021526-8"/>
    <s v="HRC"/>
    <n v="0.4"/>
    <n v="485"/>
    <n v="0"/>
    <n v="18"/>
    <n v="2.8250000000000002"/>
    <s v="CRAP"/>
    <d v="2001-09-25T00:00:00"/>
    <d v="2002-02-25T00:00:00"/>
    <d v="2002-03-26T00:00:00"/>
    <d v="2002-03-26T00:00:00"/>
    <d v="2002-03-19T00:00:00"/>
    <d v="2002-03-19T00:00:00"/>
    <s v="OTIF FAIL"/>
    <n v="8"/>
    <s v="1110_FG_CRC"/>
    <x v="0"/>
    <n v="0"/>
    <m/>
  </r>
  <r>
    <s v="0569021526-10"/>
    <s v="CRC"/>
    <n v="0.4"/>
    <n v="585"/>
    <n v="0"/>
    <n v="9.6"/>
    <n v="3.3279999999999998"/>
    <s v="CRAP"/>
    <d v="2001-09-25T00:00:00"/>
    <d v="2002-02-25T00:00:00"/>
    <d v="2002-03-24T00:00:00"/>
    <d v="2002-03-24T00:00:00"/>
    <d v="2002-03-24T00:00:00"/>
    <d v="2002-03-24T00:00:00"/>
    <s v="OTIF FAIL"/>
    <n v="10"/>
    <s v="1110_FG_CRC"/>
    <x v="9"/>
    <n v="0"/>
    <m/>
  </r>
  <r>
    <s v="0569023249-6"/>
    <s v="CST"/>
    <n v="0.26"/>
    <n v="600"/>
    <n v="0"/>
    <n v="19.600000000000001"/>
    <n v="19.600000000000001"/>
    <s v="CRAP"/>
    <d v="2002-01-02T00:00:00"/>
    <d v="2002-02-25T00:00:00"/>
    <d v="2002-03-15T00:00:00"/>
    <d v="2002-03-15T00:00:00"/>
    <d v="2002-03-15T00:00:00"/>
    <d v="2002-03-31T00:00:00"/>
    <s v="OTIF FAIL"/>
    <n v="6"/>
    <s v="1110_FG_CRC"/>
    <x v="6"/>
    <n v="1"/>
    <m/>
  </r>
  <r>
    <s v="0558116087-4"/>
    <s v="CRC"/>
    <n v="2"/>
    <n v="1000"/>
    <n v="0"/>
    <n v="5"/>
    <n v="5"/>
    <s v="CRAP"/>
    <d v="2001-09-25T00:00:00"/>
    <d v="2002-03-08T00:00:00"/>
    <d v="2002-04-07T00:00:00"/>
    <d v="2002-04-07T00:00:00"/>
    <d v="2002-04-07T00:00:00"/>
    <d v="2002-04-14T00:00:00"/>
    <s v="OTIF FAIL"/>
    <n v="4"/>
    <s v="1210_FG_CRC"/>
    <x v="15"/>
    <n v="1"/>
    <m/>
  </r>
  <r>
    <s v="0558116741-1"/>
    <s v="CST"/>
    <n v="1"/>
    <n v="1250"/>
    <n v="0"/>
    <n v="20"/>
    <n v="15"/>
    <s v="CRAP"/>
    <d v="2002-04-02T00:00:00"/>
    <d v="2002-04-17T00:00:00"/>
    <d v="2002-04-17T00:00:00"/>
    <d v="2002-04-17T00:00:00"/>
    <d v="2002-04-17T00:00:00"/>
    <d v="2002-04-17T00:00:00"/>
    <s v="OTIF PASS"/>
    <n v="1"/>
    <s v="1210_FG_CRC"/>
    <x v="15"/>
    <n v="0"/>
    <m/>
  </r>
  <r>
    <s v="0569022998-12"/>
    <s v="CRC"/>
    <n v="1.5"/>
    <n v="1250"/>
    <n v="0"/>
    <n v="10"/>
    <n v="10"/>
    <s v="CRAP"/>
    <d v="2001-08-17T00:00:00"/>
    <d v="2002-02-25T00:00:00"/>
    <d v="2002-02-25T00:00:00"/>
    <d v="2002-02-25T00:00:00"/>
    <d v="2002-02-25T00:00:00"/>
    <d v="2002-03-23T00:00:00"/>
    <s v="OTIF PASS"/>
    <n v="12"/>
    <s v="1210_FG_CRC"/>
    <x v="0"/>
    <n v="1"/>
    <m/>
  </r>
  <r>
    <s v="0558113008-1"/>
    <s v="CST"/>
    <n v="0.55000000000000004"/>
    <n v="1250"/>
    <n v="0"/>
    <n v="20"/>
    <n v="20"/>
    <s v="CRAP"/>
    <d v="2001-08-05T00:00:00"/>
    <d v="2002-02-26T00:00:00"/>
    <d v="2002-02-28T00:00:00"/>
    <d v="2002-02-28T00:00:00"/>
    <d v="2002-03-06T00:00:00"/>
    <d v="2002-03-06T00:00:00"/>
    <s v="OTIF FAIL"/>
    <n v="1"/>
    <s v="1210_FG_CRC"/>
    <x v="1"/>
    <n v="1"/>
    <m/>
  </r>
  <r>
    <s v="0558110131-3"/>
    <s v="CST"/>
    <n v="0.6"/>
    <n v="1250"/>
    <n v="0"/>
    <n v="28"/>
    <n v="16.364000000000001"/>
    <s v="CRAP"/>
    <d v="2001-09-25T00:00:00"/>
    <d v="2002-02-26T00:00:00"/>
    <d v="2002-03-13T00:00:00"/>
    <d v="2002-03-13T00:00:00"/>
    <d v="2002-03-14T00:00:00"/>
    <d v="2002-03-14T00:00:00"/>
    <s v="OTIF FAIL"/>
    <n v="3"/>
    <s v="1210_FG_CRC"/>
    <x v="3"/>
    <n v="0"/>
    <m/>
  </r>
  <r>
    <s v="0569023013-1"/>
    <s v="CST"/>
    <n v="0.5"/>
    <n v="1250"/>
    <n v="0"/>
    <n v="8"/>
    <n v="8"/>
    <s v="CRAP"/>
    <d v="2001-08-19T00:00:00"/>
    <d v="2002-03-09T00:00:00"/>
    <d v="2002-04-26T00:00:00"/>
    <d v="2002-04-26T00:00:00"/>
    <d v="2002-04-19T00:00:00"/>
    <d v="2002-04-22T00:00:00"/>
    <s v="OTIF FAIL"/>
    <n v="1"/>
    <s v="1210_FG_CRC"/>
    <x v="2"/>
    <n v="1"/>
    <m/>
  </r>
  <r>
    <s v="0569023244-3"/>
    <s v="CST"/>
    <n v="0.26"/>
    <n v="600"/>
    <n v="0"/>
    <n v="9.82"/>
    <n v="9.82"/>
    <s v="CRAP"/>
    <d v="2002-01-02T00:00:00"/>
    <d v="2002-02-25T00:00:00"/>
    <d v="2002-03-15T00:00:00"/>
    <d v="2002-03-15T00:00:00"/>
    <d v="2002-03-15T00:00:00"/>
    <d v="2002-03-31T00:00:00"/>
    <s v="OTIF FAIL"/>
    <n v="3"/>
    <s v="1110_FG_CRC"/>
    <x v="6"/>
    <n v="1"/>
    <m/>
  </r>
  <r>
    <s v="0569022955-3"/>
    <s v="CRC"/>
    <n v="2"/>
    <n v="1250"/>
    <n v="0"/>
    <n v="20"/>
    <n v="20"/>
    <s v="CRAP"/>
    <d v="2001-08-11T00:00:00"/>
    <d v="2002-02-26T00:00:00"/>
    <d v="2002-03-23T00:00:00"/>
    <d v="2002-03-23T00:00:00"/>
    <d v="2002-03-23T00:00:00"/>
    <d v="2002-03-23T00:00:00"/>
    <s v="OTIF FAIL"/>
    <n v="3"/>
    <s v="1210_FG_CRC"/>
    <x v="0"/>
    <n v="1"/>
    <m/>
  </r>
  <r>
    <s v="0569022998-8"/>
    <s v="CST"/>
    <n v="0.8"/>
    <n v="1250"/>
    <n v="0"/>
    <n v="100"/>
    <n v="75.944000000000003"/>
    <s v="CRAP"/>
    <d v="2001-08-17T00:00:00"/>
    <d v="2002-02-25T00:00:00"/>
    <s v="-"/>
    <s v="-"/>
    <d v="2002-03-24T00:00:00"/>
    <d v="2002-03-24T00:00:00"/>
    <s v="OTIF FAIL"/>
    <n v="8"/>
    <s v="1210_FG_CRC"/>
    <x v="9"/>
    <n v="0"/>
    <m/>
  </r>
  <r>
    <s v="0569023244-5"/>
    <s v="CST"/>
    <n v="0.26"/>
    <n v="515"/>
    <n v="0"/>
    <n v="8.43"/>
    <n v="8.43"/>
    <s v="CRAP"/>
    <d v="2002-01-02T00:00:00"/>
    <d v="2002-02-25T00:00:00"/>
    <d v="2002-03-29T00:00:00"/>
    <d v="2002-03-29T00:00:00"/>
    <d v="2002-03-29T00:00:00"/>
    <d v="2002-03-29T00:00:00"/>
    <s v="OTIF FAIL"/>
    <n v="5"/>
    <s v="1110_FG_CRC"/>
    <x v="9"/>
    <n v="1"/>
    <m/>
  </r>
  <r>
    <s v="0558112001-8"/>
    <s v="PSS"/>
    <n v="1.2"/>
    <n v="1000"/>
    <n v="0"/>
    <n v="3"/>
    <n v="3"/>
    <s v="CRAP"/>
    <d v="2001-09-25T00:00:00"/>
    <d v="2002-03-04T00:00:00"/>
    <s v="-"/>
    <s v="-"/>
    <d v="2002-03-30T00:00:00"/>
    <d v="2002-04-06T00:00:00"/>
    <s v="OTIF FAIL"/>
    <n v="8"/>
    <s v="1210_FG_CRC"/>
    <x v="6"/>
    <n v="1"/>
    <m/>
  </r>
  <r>
    <s v="0558111494-1"/>
    <s v="CST"/>
    <n v="0.57999999999999996"/>
    <n v="625"/>
    <n v="0"/>
    <n v="19.998999999999999"/>
    <n v="19.998999999999999"/>
    <s v="CRAP"/>
    <d v="2001-09-25T00:00:00"/>
    <d v="2002-03-30T00:00:00"/>
    <d v="2002-04-27T00:00:00"/>
    <d v="2002-04-27T00:00:00"/>
    <d v="2002-04-20T00:00:00"/>
    <d v="2002-05-11T00:00:00"/>
    <s v="OTIF FAIL"/>
    <n v="1"/>
    <s v="1210_FG_CRC"/>
    <x v="19"/>
    <n v="1"/>
    <m/>
  </r>
  <r>
    <s v="0558108414-1"/>
    <s v="HRC"/>
    <n v="1"/>
    <n v="1000"/>
    <n v="0"/>
    <n v="3"/>
    <n v="3"/>
    <s v="CRAP"/>
    <d v="2001-09-25T00:00:00"/>
    <d v="2002-02-25T00:00:00"/>
    <d v="2002-04-01T00:00:00"/>
    <d v="2002-04-01T00:00:00"/>
    <d v="2002-03-30T00:00:00"/>
    <d v="2002-03-30T00:00:00"/>
    <s v="OTIF FAIL"/>
    <n v="1"/>
    <s v="1210_FG_CRC"/>
    <x v="9"/>
    <n v="1"/>
    <m/>
  </r>
  <r>
    <s v="0558116090-2"/>
    <s v="CST"/>
    <n v="0.8"/>
    <n v="1000"/>
    <n v="0"/>
    <n v="6"/>
    <n v="6"/>
    <s v="CRAP"/>
    <d v="2001-09-25T00:00:00"/>
    <d v="2002-03-08T00:00:00"/>
    <d v="2002-04-07T00:00:00"/>
    <d v="2002-04-07T00:00:00"/>
    <d v="2002-04-07T00:00:00"/>
    <d v="2002-04-07T00:00:00"/>
    <s v="OTIF FAIL"/>
    <n v="2"/>
    <s v="1210_FG_CRC"/>
    <x v="7"/>
    <n v="1"/>
    <m/>
  </r>
  <r>
    <s v="0558114579-1"/>
    <s v="CST"/>
    <n v="1.5"/>
    <n v="1250"/>
    <n v="0"/>
    <n v="50"/>
    <n v="50"/>
    <s v="CRAP"/>
    <d v="2001-08-23T00:00:00"/>
    <d v="2002-02-26T00:00:00"/>
    <d v="2002-03-23T00:00:00"/>
    <d v="2002-03-23T00:00:00"/>
    <d v="2002-03-23T00:00:00"/>
    <d v="2002-03-23T00:00:00"/>
    <s v="OTIF FAIL"/>
    <n v="1"/>
    <s v="1210_FG_CRC"/>
    <x v="0"/>
    <n v="1"/>
    <m/>
  </r>
  <r>
    <s v="0569023249-10"/>
    <s v="CRC"/>
    <n v="0.26"/>
    <n v="550"/>
    <n v="0"/>
    <n v="9"/>
    <n v="9"/>
    <s v="CRAP"/>
    <d v="2002-01-02T00:00:00"/>
    <d v="2002-02-25T00:00:00"/>
    <d v="2002-03-17T00:00:00"/>
    <d v="2002-03-17T00:00:00"/>
    <d v="2002-03-17T00:00:00"/>
    <d v="2002-03-31T00:00:00"/>
    <s v="OTIF FAIL"/>
    <n v="10"/>
    <s v="1110_FG_CRC"/>
    <x v="6"/>
    <n v="1"/>
    <m/>
  </r>
  <r>
    <s v="0558116087-1"/>
    <s v="HRC"/>
    <n v="1"/>
    <n v="1000"/>
    <n v="0"/>
    <n v="3"/>
    <n v="3"/>
    <s v="CRAP"/>
    <d v="2001-09-25T00:00:00"/>
    <d v="2002-03-08T00:00:00"/>
    <d v="2002-04-01T00:00:00"/>
    <d v="2002-04-01T00:00:00"/>
    <d v="2002-03-30T00:00:00"/>
    <d v="2002-03-30T00:00:00"/>
    <s v="OTIF FAIL"/>
    <n v="1"/>
    <s v="1210_FG_CRC"/>
    <x v="9"/>
    <n v="1"/>
    <m/>
  </r>
  <r>
    <s v="0558111302-1"/>
    <s v="CRC"/>
    <n v="0.5"/>
    <n v="625"/>
    <n v="0"/>
    <n v="9.9990000000000006"/>
    <n v="9.9990000000000006"/>
    <s v="CRAP"/>
    <d v="2001-09-25T00:00:00"/>
    <d v="2002-03-30T00:00:00"/>
    <d v="2002-04-27T00:00:00"/>
    <d v="2002-04-27T00:00:00"/>
    <d v="2002-04-20T00:00:00"/>
    <d v="2002-04-20T00:00:00"/>
    <s v="OTIF FAIL"/>
    <n v="1"/>
    <s v="1210_FG_CRC"/>
    <x v="15"/>
    <n v="1"/>
    <m/>
  </r>
  <r>
    <s v="0558111299-2"/>
    <s v="CRC"/>
    <n v="0.6"/>
    <n v="1250"/>
    <n v="0"/>
    <n v="12"/>
    <n v="12"/>
    <s v="CRAP"/>
    <d v="2001-09-25T00:00:00"/>
    <d v="2002-02-26T00:00:00"/>
    <d v="2002-04-07T00:00:00"/>
    <d v="2002-04-07T00:00:00"/>
    <d v="2002-03-16T00:00:00"/>
    <d v="2002-03-16T00:00:00"/>
    <s v="OTIF FAIL"/>
    <n v="2"/>
    <s v="1210_FG_CRC"/>
    <x v="3"/>
    <n v="1"/>
    <m/>
  </r>
  <r>
    <s v="0558111299-4"/>
    <s v="HRC"/>
    <n v="0.8"/>
    <n v="1250"/>
    <n v="0"/>
    <n v="20"/>
    <n v="20"/>
    <s v="CRAP"/>
    <d v="2001-09-25T00:00:00"/>
    <d v="2002-02-26T00:00:00"/>
    <d v="2002-03-30T00:00:00"/>
    <d v="2002-03-30T00:00:00"/>
    <d v="2002-03-28T00:00:00"/>
    <d v="2002-03-28T00:00:00"/>
    <s v="OTIF FAIL"/>
    <n v="4"/>
    <s v="1210_FG_CRC"/>
    <x v="9"/>
    <n v="1"/>
    <m/>
  </r>
  <r>
    <s v="0569023062-3"/>
    <s v="CST"/>
    <n v="0.5"/>
    <n v="1250"/>
    <n v="0"/>
    <n v="12"/>
    <n v="12"/>
    <s v="CRAP"/>
    <d v="2001-08-23T00:00:00"/>
    <d v="2002-02-25T00:00:00"/>
    <d v="2002-03-13T00:00:00"/>
    <d v="2002-03-13T00:00:00"/>
    <d v="2002-03-12T00:00:00"/>
    <d v="2002-03-12T00:00:00"/>
    <s v="OTIF FAIL"/>
    <n v="3"/>
    <s v="1210_FG_CRC"/>
    <x v="3"/>
    <n v="1"/>
    <m/>
  </r>
  <r>
    <s v="0558116087-3"/>
    <s v="HPC"/>
    <n v="1.5"/>
    <n v="1000"/>
    <n v="0"/>
    <n v="5"/>
    <n v="5"/>
    <s v="CRAP"/>
    <d v="2001-09-25T00:00:00"/>
    <d v="2002-03-08T00:00:00"/>
    <d v="2002-04-08T00:00:00"/>
    <d v="2002-04-08T00:00:00"/>
    <d v="2002-04-08T00:00:00"/>
    <d v="2002-04-08T00:00:00"/>
    <s v="OTIF FAIL"/>
    <n v="3"/>
    <s v="1210_FG_CRC"/>
    <x v="7"/>
    <n v="1"/>
    <m/>
  </r>
  <r>
    <s v="0558113933-6"/>
    <s v="CST"/>
    <n v="0.6"/>
    <n v="63"/>
    <n v="0"/>
    <n v="4"/>
    <n v="4"/>
    <s v="CRAP"/>
    <d v="2001-08-11T00:00:00"/>
    <d v="2002-02-27T00:00:00"/>
    <d v="2002-04-02T00:00:00"/>
    <d v="2002-04-02T00:00:00"/>
    <d v="2002-03-29T00:00:00"/>
    <d v="2002-05-13T00:00:00"/>
    <s v="OTIF FAIL"/>
    <n v="6"/>
    <s v="1210_FG_CRC"/>
    <x v="4"/>
    <n v="1"/>
    <m/>
  </r>
  <r>
    <s v="0569022943-1"/>
    <s v="CST"/>
    <n v="0.6"/>
    <n v="1250"/>
    <n v="0"/>
    <n v="3"/>
    <n v="3"/>
    <s v="CRAP"/>
    <d v="2001-08-07T00:00:00"/>
    <d v="2002-03-09T00:00:00"/>
    <d v="2002-04-29T00:00:00"/>
    <d v="2002-04-29T00:00:00"/>
    <d v="2002-04-22T00:00:00"/>
    <d v="2002-04-22T00:00:00"/>
    <s v="OTIF FAIL"/>
    <n v="1"/>
    <s v="1210_FG_CRC"/>
    <x v="2"/>
    <n v="1"/>
    <m/>
  </r>
  <r>
    <s v="0558105826-1"/>
    <s v="CRC"/>
    <n v="2"/>
    <n v="1250"/>
    <n v="0"/>
    <n v="9"/>
    <n v="9"/>
    <s v="CRAP"/>
    <d v="2001-09-25T00:00:00"/>
    <d v="2002-02-26T00:00:00"/>
    <d v="2002-02-26T00:00:00"/>
    <d v="2002-02-26T00:00:00"/>
    <d v="2002-02-26T00:00:00"/>
    <d v="2002-03-23T00:00:00"/>
    <s v="OTIF PASS"/>
    <n v="1"/>
    <s v="1210_FG_CRC"/>
    <x v="0"/>
    <n v="1"/>
    <m/>
  </r>
  <r>
    <s v="0569022430-1"/>
    <s v="CST"/>
    <n v="1.2"/>
    <n v="1250"/>
    <n v="0"/>
    <n v="30"/>
    <n v="30"/>
    <s v="CRAP"/>
    <d v="2001-09-25T00:00:00"/>
    <d v="2002-02-26T00:00:00"/>
    <d v="2002-03-23T00:00:00"/>
    <d v="2002-03-23T00:00:00"/>
    <d v="2002-03-23T00:00:00"/>
    <d v="2002-03-23T00:00:00"/>
    <s v="OTIF FAIL"/>
    <n v="1"/>
    <s v="1210_FG_CRC"/>
    <x v="0"/>
    <n v="1"/>
    <m/>
  </r>
  <r>
    <s v="0569023168-1"/>
    <s v="HRC"/>
    <n v="0.5"/>
    <n v="1220"/>
    <n v="0"/>
    <n v="39"/>
    <n v="39"/>
    <s v="CRAP"/>
    <d v="2001-09-25T00:00:00"/>
    <d v="2002-02-25T00:00:00"/>
    <d v="2002-03-17T00:00:00"/>
    <d v="2002-03-17T00:00:00"/>
    <d v="2002-03-17T00:00:00"/>
    <d v="2002-03-17T00:00:00"/>
    <s v="OTIF FAIL"/>
    <n v="1"/>
    <s v="1210_FG_CRC"/>
    <x v="0"/>
    <n v="1"/>
    <m/>
  </r>
  <r>
    <s v="0569023244-2"/>
    <s v="HRC"/>
    <n v="0.26"/>
    <n v="500"/>
    <n v="0"/>
    <n v="8.18"/>
    <n v="8.18"/>
    <s v="CRAP"/>
    <d v="2002-01-02T00:00:00"/>
    <d v="2002-02-25T00:00:00"/>
    <d v="2002-03-17T00:00:00"/>
    <d v="2002-03-17T00:00:00"/>
    <d v="2002-03-17T00:00:00"/>
    <d v="2002-03-29T00:00:00"/>
    <s v="OTIF FAIL"/>
    <n v="2"/>
    <s v="1110_FG_CRC"/>
    <x v="9"/>
    <n v="1"/>
    <m/>
  </r>
  <r>
    <s v="0569023249-7"/>
    <s v="CST"/>
    <n v="0.26"/>
    <n v="550"/>
    <n v="0"/>
    <n v="9"/>
    <n v="9"/>
    <s v="CRAP"/>
    <d v="2002-01-02T00:00:00"/>
    <d v="2002-02-25T00:00:00"/>
    <d v="2002-03-31T00:00:00"/>
    <d v="2002-03-31T00:00:00"/>
    <d v="2002-03-31T00:00:00"/>
    <d v="2002-03-31T00:00:00"/>
    <s v="OTIF FAIL"/>
    <n v="7"/>
    <s v="1110_FG_CRC"/>
    <x v="6"/>
    <n v="1"/>
    <m/>
  </r>
  <r>
    <s v="0569023249-9"/>
    <s v="CRC"/>
    <n v="0.26"/>
    <n v="565"/>
    <n v="0"/>
    <n v="18.797999999999998"/>
    <n v="18.797999999999998"/>
    <s v="CRAP"/>
    <d v="2002-01-02T00:00:00"/>
    <d v="2002-02-25T00:00:00"/>
    <d v="2002-03-17T00:00:00"/>
    <d v="2002-03-17T00:00:00"/>
    <d v="2002-03-17T00:00:00"/>
    <d v="2002-03-17T00:00:00"/>
    <s v="OTIF FAIL"/>
    <n v="9"/>
    <s v="1110_FG_CRC"/>
    <x v="0"/>
    <n v="1"/>
    <m/>
  </r>
  <r>
    <s v="0569023249-5"/>
    <s v="CRC"/>
    <n v="0.26"/>
    <n v="535"/>
    <n v="0"/>
    <n v="26.3"/>
    <n v="26.3"/>
    <s v="CRAP"/>
    <d v="2002-01-02T00:00:00"/>
    <d v="2002-02-25T00:00:00"/>
    <d v="2002-03-16T00:00:00"/>
    <d v="2002-03-16T00:00:00"/>
    <d v="2002-03-16T00:00:00"/>
    <d v="2002-03-31T00:00:00"/>
    <s v="OTIF FAIL"/>
    <n v="5"/>
    <s v="1110_FG_CRC"/>
    <x v="6"/>
    <n v="1"/>
    <m/>
  </r>
  <r>
    <s v="0558114402-2"/>
    <s v="HPC"/>
    <n v="0.8"/>
    <n v="1250"/>
    <n v="0"/>
    <n v="10"/>
    <n v="10"/>
    <s v="CRAP"/>
    <d v="2001-08-21T00:00:00"/>
    <d v="2002-02-26T00:00:00"/>
    <d v="2002-04-29T00:00:00"/>
    <d v="2002-04-29T00:00:00"/>
    <d v="2002-03-29T00:00:00"/>
    <d v="2002-03-29T00:00:00"/>
    <s v="OTIF FAIL"/>
    <n v="2"/>
    <s v="1210_FG_CRC"/>
    <x v="9"/>
    <n v="1"/>
    <m/>
  </r>
  <r>
    <s v="0569023249-8"/>
    <s v="HRC"/>
    <n v="0.26"/>
    <n v="500"/>
    <n v="0"/>
    <n v="16.399999999999999"/>
    <n v="16.399999999999999"/>
    <s v="CRAP"/>
    <d v="2002-01-02T00:00:00"/>
    <d v="2002-02-25T00:00:00"/>
    <d v="2002-03-29T00:00:00"/>
    <d v="2002-03-29T00:00:00"/>
    <d v="2002-03-29T00:00:00"/>
    <d v="2002-03-29T00:00:00"/>
    <s v="OTIF FAIL"/>
    <n v="8"/>
    <s v="1110_FG_CRC"/>
    <x v="9"/>
    <n v="1"/>
    <m/>
  </r>
  <r>
    <s v="0558112274-1"/>
    <s v="CST"/>
    <n v="0.6"/>
    <n v="1250"/>
    <n v="0"/>
    <n v="6"/>
    <n v="6"/>
    <s v="CRAP"/>
    <d v="2001-09-25T00:00:00"/>
    <d v="2002-03-05T00:00:00"/>
    <d v="2002-02-24T00:00:00"/>
    <d v="2002-03-05T00:00:00"/>
    <d v="2002-01-10T00:00:00"/>
    <d v="2002-01-28T00:00:00"/>
    <s v="OTIF PASS"/>
    <n v="1"/>
    <s v="1210_FG_CRC"/>
    <x v="10"/>
    <n v="1"/>
    <m/>
  </r>
  <r>
    <s v="0569023249-2"/>
    <s v="HRC"/>
    <n v="0.26"/>
    <n v="585"/>
    <n v="0"/>
    <n v="28.7"/>
    <n v="28.7"/>
    <s v="CRAP"/>
    <d v="2002-01-02T00:00:00"/>
    <d v="2002-02-25T00:00:00"/>
    <d v="2002-03-30T00:00:00"/>
    <d v="2002-03-30T00:00:00"/>
    <d v="2002-03-30T00:00:00"/>
    <d v="2002-03-30T00:00:00"/>
    <s v="OTIF FAIL"/>
    <n v="2"/>
    <s v="1110_FG_CRC"/>
    <x v="9"/>
    <n v="1"/>
    <m/>
  </r>
  <r>
    <s v="0569023249-1"/>
    <s v="CST"/>
    <n v="0.26"/>
    <n v="615"/>
    <n v="0"/>
    <n v="30.2"/>
    <n v="30.2"/>
    <s v="CRAP"/>
    <d v="2002-01-02T00:00:00"/>
    <d v="2002-02-25T00:00:00"/>
    <s v="-"/>
    <s v="-"/>
    <d v="2002-05-03T00:00:00"/>
    <d v="2002-05-03T00:00:00"/>
    <s v="OTIF FAIL"/>
    <n v="1"/>
    <s v="1110_FG_CRC"/>
    <x v="16"/>
    <n v="1"/>
    <m/>
  </r>
  <r>
    <s v="0569022012-14"/>
    <s v="CRC"/>
    <n v="0.4"/>
    <n v="580"/>
    <n v="0"/>
    <n v="9.6660000000000004"/>
    <n v="5.7169999999999996"/>
    <s v="CRAP"/>
    <d v="2001-09-25T00:00:00"/>
    <d v="2002-02-25T00:00:00"/>
    <s v="-"/>
    <s v="-"/>
    <d v="2002-03-20T00:00:00"/>
    <d v="2002-03-20T00:00:00"/>
    <s v="OTIF FAIL"/>
    <n v="14"/>
    <s v="1110_FG_CRC"/>
    <x v="0"/>
    <n v="0"/>
    <m/>
  </r>
  <r>
    <s v="0558116754-1"/>
    <s v="NFA"/>
    <n v="0.56999999999999995"/>
    <n v="30"/>
    <n v="0"/>
    <n v="30"/>
    <n v="30"/>
    <s v="CRAP"/>
    <d v="2002-04-06T00:00:00"/>
    <d v="2002-05-13T00:00:00"/>
    <s v="-"/>
    <s v="-"/>
    <d v="2002-05-13T00:00:00"/>
    <d v="2002-05-13T00:00:00"/>
    <s v="OTIF FAIL"/>
    <n v="1"/>
    <s v="1210_FG_CRC"/>
    <x v="4"/>
    <n v="1"/>
    <m/>
  </r>
  <r>
    <s v="0569023245-1"/>
    <s v="CST"/>
    <n v="0.4"/>
    <n v="615"/>
    <n v="0"/>
    <n v="17.314"/>
    <n v="17.314"/>
    <s v="CRAP"/>
    <d v="2002-01-02T00:00:00"/>
    <d v="2002-02-25T00:00:00"/>
    <d v="2002-03-29T00:00:00"/>
    <d v="2002-03-29T00:00:00"/>
    <d v="2002-03-29T00:00:00"/>
    <d v="2002-03-29T00:00:00"/>
    <s v="OTIF FAIL"/>
    <n v="1"/>
    <s v="1110_FG_CRC"/>
    <x v="9"/>
    <n v="1"/>
    <m/>
  </r>
  <r>
    <s v="0558112472-1"/>
    <s v="JBS"/>
    <n v="0.5"/>
    <n v="1250"/>
    <n v="0"/>
    <n v="6"/>
    <n v="6"/>
    <s v="CRAP"/>
    <d v="2001-09-25T00:00:00"/>
    <d v="2002-03-05T00:00:00"/>
    <d v="2002-04-05T00:00:00"/>
    <d v="2002-04-05T00:00:00"/>
    <d v="2002-04-05T00:00:00"/>
    <d v="2002-04-05T00:00:00"/>
    <s v="OTIF FAIL"/>
    <n v="1"/>
    <s v="1210_FG_CRC"/>
    <x v="6"/>
    <n v="1"/>
    <m/>
  </r>
  <r>
    <s v="0569023244-9"/>
    <s v="CST"/>
    <n v="0.26"/>
    <n v="615"/>
    <n v="0"/>
    <n v="10.06"/>
    <n v="10.06"/>
    <s v="CRAP"/>
    <d v="2002-01-02T00:00:00"/>
    <d v="2002-02-25T00:00:00"/>
    <d v="2002-03-23T00:00:00"/>
    <d v="2002-03-23T00:00:00"/>
    <d v="2002-03-23T00:00:00"/>
    <d v="2002-05-03T00:00:00"/>
    <s v="OTIF FAIL"/>
    <n v="9"/>
    <s v="1110_FG_CRC"/>
    <x v="16"/>
    <n v="1"/>
    <m/>
  </r>
  <r>
    <s v="0569023244-8"/>
    <s v="CRC"/>
    <n v="0.26"/>
    <n v="600"/>
    <n v="0"/>
    <n v="9.82"/>
    <n v="9.82"/>
    <s v="CRAP"/>
    <d v="2002-01-02T00:00:00"/>
    <d v="2002-02-25T00:00:00"/>
    <d v="2002-03-15T00:00:00"/>
    <d v="2002-03-15T00:00:00"/>
    <d v="2002-03-15T00:00:00"/>
    <d v="2002-03-31T00:00:00"/>
    <s v="OTIF FAIL"/>
    <n v="8"/>
    <s v="1110_FG_CRC"/>
    <x v="6"/>
    <n v="1"/>
    <m/>
  </r>
  <r>
    <s v="0569023244-7"/>
    <s v="HRC"/>
    <n v="0.26"/>
    <n v="535"/>
    <n v="0"/>
    <n v="8.75"/>
    <n v="8.75"/>
    <s v="CRAP"/>
    <d v="2002-01-02T00:00:00"/>
    <d v="2002-02-25T00:00:00"/>
    <d v="2002-03-31T00:00:00"/>
    <d v="2002-03-31T00:00:00"/>
    <d v="2002-03-31T00:00:00"/>
    <d v="2002-03-31T00:00:00"/>
    <s v="OTIF FAIL"/>
    <n v="7"/>
    <s v="1110_FG_CRC"/>
    <x v="6"/>
    <n v="1"/>
    <m/>
  </r>
  <r>
    <s v="0558116721-1"/>
    <s v="CST"/>
    <n v="0.8"/>
    <n v="340"/>
    <n v="0"/>
    <n v="22.571999999999999"/>
    <n v="22.571999999999999"/>
    <s v="CRAP"/>
    <d v="2002-03-28T00:00:00"/>
    <d v="2002-05-07T00:00:00"/>
    <s v="-"/>
    <s v="-"/>
    <s v="-"/>
    <d v="2002-04-29T00:00:00"/>
    <s v="OTIF FAIL"/>
    <n v="1"/>
    <s v="1210_FG_CRC"/>
    <x v="16"/>
    <n v="0"/>
    <m/>
  </r>
  <r>
    <s v="0558116721-2"/>
    <s v="HRC"/>
    <n v="1"/>
    <n v="320"/>
    <n v="0"/>
    <n v="20.535"/>
    <n v="20.535"/>
    <s v="CRAP"/>
    <d v="2002-03-28T00:00:00"/>
    <d v="2002-05-07T00:00:00"/>
    <s v="-"/>
    <s v="-"/>
    <s v="-"/>
    <d v="2002-04-22T00:00:00"/>
    <s v="OTIF FAIL"/>
    <n v="2"/>
    <s v="1210_FG_CRC"/>
    <x v="2"/>
    <n v="0"/>
    <m/>
  </r>
  <r>
    <s v="0569023244-6"/>
    <s v="CRC"/>
    <n v="0.26"/>
    <n v="600"/>
    <n v="0"/>
    <n v="9.82"/>
    <n v="9.82"/>
    <s v="CRAP"/>
    <d v="2002-01-02T00:00:00"/>
    <d v="2002-02-25T00:00:00"/>
    <d v="2002-03-31T00:00:00"/>
    <d v="2002-03-31T00:00:00"/>
    <d v="2002-03-31T00:00:00"/>
    <d v="2002-03-31T00:00:00"/>
    <s v="OTIF FAIL"/>
    <n v="6"/>
    <s v="1110_FG_CRC"/>
    <x v="6"/>
    <n v="1"/>
    <m/>
  </r>
  <r>
    <s v="0569023244-4"/>
    <s v="HRC"/>
    <n v="0.26"/>
    <n v="550"/>
    <n v="0"/>
    <n v="4.8310000000000004"/>
    <n v="4.8310000000000004"/>
    <s v="CRAP"/>
    <d v="2002-01-02T00:00:00"/>
    <d v="2002-02-25T00:00:00"/>
    <d v="2002-03-31T00:00:00"/>
    <d v="2002-03-31T00:00:00"/>
    <d v="2002-03-31T00:00:00"/>
    <d v="2002-03-31T00:00:00"/>
    <s v="OTIF FAIL"/>
    <n v="4"/>
    <s v="1110_FG_CRC"/>
    <x v="6"/>
    <n v="1"/>
    <m/>
  </r>
  <r>
    <s v="0558116535-1"/>
    <s v="CRC"/>
    <n v="0.56999999999999995"/>
    <n v="30"/>
    <n v="0"/>
    <n v="30"/>
    <n v="30"/>
    <s v="CRAP"/>
    <d v="2002-02-12T00:00:00"/>
    <d v="2002-02-21T00:00:00"/>
    <s v="-"/>
    <s v="-"/>
    <d v="2002-03-20T00:00:00"/>
    <d v="2002-05-13T00:00:00"/>
    <s v="OTIF FAIL"/>
    <n v="1"/>
    <s v="1210_FG_CRC"/>
    <x v="4"/>
    <n v="1"/>
    <m/>
  </r>
  <r>
    <s v="0569023244-1"/>
    <s v="CST"/>
    <n v="0.26"/>
    <n v="615"/>
    <n v="0"/>
    <n v="9"/>
    <n v="9"/>
    <s v="CRAP"/>
    <d v="2002-01-02T00:00:00"/>
    <d v="2002-02-25T00:00:00"/>
    <d v="2002-03-23T00:00:00"/>
    <d v="2002-03-23T00:00:00"/>
    <d v="2002-03-23T00:00:00"/>
    <d v="2002-05-03T00:00:00"/>
    <s v="OTIF FAIL"/>
    <n v="1"/>
    <s v="1110_FG_CRC"/>
    <x v="16"/>
    <n v="1"/>
    <m/>
  </r>
  <r>
    <s v="0569023238-1"/>
    <s v="CST"/>
    <n v="0.3"/>
    <n v="615"/>
    <n v="0"/>
    <n v="3.6019999999999999"/>
    <n v="3.6019999999999999"/>
    <s v="CRAP"/>
    <d v="2002-01-02T00:00:00"/>
    <d v="2002-02-25T00:00:00"/>
    <d v="2002-04-18T00:00:00"/>
    <d v="2002-04-18T00:00:00"/>
    <d v="2002-03-21T00:00:00"/>
    <d v="2002-03-21T00:00:00"/>
    <s v="OTIF FAIL"/>
    <n v="1"/>
    <s v="1110_FG_CRC"/>
    <x v="0"/>
    <n v="1"/>
    <m/>
  </r>
  <r>
    <s v="0558113997-7"/>
    <s v="CST"/>
    <n v="1"/>
    <n v="1250"/>
    <n v="0"/>
    <n v="15"/>
    <n v="15"/>
    <s v="CRAP"/>
    <d v="2001-08-13T00:00:00"/>
    <d v="2002-02-26T00:00:00"/>
    <d v="2002-03-08T00:00:00"/>
    <d v="2002-03-08T00:00:00"/>
    <d v="2002-03-11T00:00:00"/>
    <d v="2002-03-29T00:00:00"/>
    <s v="OTIF FAIL"/>
    <n v="7"/>
    <s v="1210_FG_CRC"/>
    <x v="9"/>
    <n v="1"/>
    <m/>
  </r>
  <r>
    <s v="0569022895-5"/>
    <s v="CBL"/>
    <n v="1.2"/>
    <n v="1000"/>
    <n v="0"/>
    <n v="16"/>
    <n v="16"/>
    <s v="CRAP"/>
    <d v="2001-08-05T00:00:00"/>
    <d v="2002-02-26T00:00:00"/>
    <d v="2002-03-19T00:00:00"/>
    <d v="2002-03-19T00:00:00"/>
    <d v="2002-03-19T00:00:00"/>
    <d v="2002-03-19T00:00:00"/>
    <s v="OTIF FAIL"/>
    <n v="5"/>
    <s v="1210_FG_CRC"/>
    <x v="0"/>
    <n v="1"/>
    <m/>
  </r>
  <r>
    <s v="0569022895-4"/>
    <s v="CRC"/>
    <n v="1"/>
    <n v="1000"/>
    <n v="0"/>
    <n v="5"/>
    <n v="2.2160000000000002"/>
    <s v="CRAP"/>
    <d v="2001-08-05T00:00:00"/>
    <d v="2002-02-26T00:00:00"/>
    <d v="2002-03-13T00:00:00"/>
    <d v="2002-03-13T00:00:00"/>
    <d v="2002-03-12T00:00:00"/>
    <d v="2002-03-12T00:00:00"/>
    <s v="OTIF FAIL"/>
    <n v="4"/>
    <s v="1210_FG_CRC"/>
    <x v="3"/>
    <n v="0"/>
    <m/>
  </r>
  <r>
    <s v="0558116697-1"/>
    <s v="CRC"/>
    <n v="0.8"/>
    <n v="340"/>
    <n v="0"/>
    <n v="22.571999999999999"/>
    <n v="22.571999999999999"/>
    <s v="CRAP"/>
    <d v="2002-03-28T00:00:00"/>
    <d v="2002-05-11T00:00:00"/>
    <s v="-"/>
    <s v="-"/>
    <s v="-"/>
    <d v="2002-04-29T00:00:00"/>
    <s v="OTIF FAIL"/>
    <n v="1"/>
    <s v="1210_FG_CRC"/>
    <x v="16"/>
    <n v="0"/>
    <m/>
  </r>
  <r>
    <s v="0558116536-1"/>
    <s v="HRC"/>
    <n v="0.57999999999999996"/>
    <n v="79.5"/>
    <n v="0"/>
    <n v="30"/>
    <n v="30"/>
    <s v="CRAP"/>
    <d v="2002-02-12T00:00:00"/>
    <d v="2002-02-21T00:00:00"/>
    <d v="2002-04-05T00:00:00"/>
    <d v="2002-04-05T00:00:00"/>
    <d v="2002-04-05T00:00:00"/>
    <d v="2002-04-16T00:00:00"/>
    <s v="OTIF FAIL"/>
    <n v="1"/>
    <s v="1210_FG_CRC"/>
    <x v="15"/>
    <n v="1"/>
    <m/>
  </r>
  <r>
    <s v="0558116536-2"/>
    <s v="CRC"/>
    <n v="0.57999999999999996"/>
    <n v="59.5"/>
    <n v="0"/>
    <n v="30"/>
    <n v="30"/>
    <s v="CRAP"/>
    <d v="2002-02-12T00:00:00"/>
    <d v="2002-02-21T00:00:00"/>
    <d v="2002-04-05T00:00:00"/>
    <d v="2002-04-05T00:00:00"/>
    <d v="2002-04-05T00:00:00"/>
    <d v="2002-04-16T00:00:00"/>
    <s v="OTIF FAIL"/>
    <n v="2"/>
    <s v="1210_FG_CRC"/>
    <x v="15"/>
    <n v="1"/>
    <m/>
  </r>
  <r>
    <s v="0558116697-2"/>
    <s v="CRC"/>
    <n v="1"/>
    <n v="320"/>
    <n v="0"/>
    <n v="20.535"/>
    <n v="20.535"/>
    <s v="CRAP"/>
    <d v="2002-03-28T00:00:00"/>
    <d v="2002-05-11T00:00:00"/>
    <s v="-"/>
    <s v="-"/>
    <s v="-"/>
    <d v="2002-04-22T00:00:00"/>
    <s v="OTIF FAIL"/>
    <n v="2"/>
    <s v="1210_FG_CRC"/>
    <x v="2"/>
    <n v="0"/>
    <m/>
  </r>
  <r>
    <s v="0569022895-3"/>
    <s v="CRC"/>
    <n v="0.7"/>
    <n v="1000"/>
    <n v="0"/>
    <n v="64"/>
    <n v="38.067999999999998"/>
    <s v="CRAP"/>
    <d v="2001-08-05T00:00:00"/>
    <d v="2002-02-26T00:00:00"/>
    <d v="2002-03-17T00:00:00"/>
    <d v="2002-03-17T00:00:00"/>
    <d v="2002-03-17T00:00:00"/>
    <d v="2002-03-17T00:00:00"/>
    <s v="OTIF FAIL"/>
    <n v="3"/>
    <s v="1210_FG_CRC"/>
    <x v="0"/>
    <n v="0"/>
    <m/>
  </r>
  <r>
    <s v="0558116723-1"/>
    <s v="HRC"/>
    <n v="0.7"/>
    <n v="390"/>
    <n v="0"/>
    <n v="20.613"/>
    <n v="20.613"/>
    <s v="CRAP"/>
    <d v="2002-03-28T00:00:00"/>
    <d v="2002-05-07T00:00:00"/>
    <s v="-"/>
    <s v="-"/>
    <s v="-"/>
    <d v="2002-04-22T00:00:00"/>
    <s v="OTIF FAIL"/>
    <n v="1"/>
    <s v="1210_FG_CRC"/>
    <x v="2"/>
    <n v="0"/>
    <m/>
  </r>
  <r>
    <s v="0558112480-2"/>
    <s v="CST"/>
    <n v="0.5"/>
    <n v="1250"/>
    <n v="0"/>
    <n v="3"/>
    <n v="3"/>
    <s v="CRAP"/>
    <d v="2001-09-25T00:00:00"/>
    <d v="2002-03-05T00:00:00"/>
    <d v="2002-04-05T00:00:00"/>
    <d v="2002-04-05T00:00:00"/>
    <d v="2002-04-05T00:00:00"/>
    <d v="2002-04-05T00:00:00"/>
    <s v="OTIF FAIL"/>
    <n v="2"/>
    <s v="1210_FG_CRC"/>
    <x v="6"/>
    <n v="1"/>
    <m/>
  </r>
  <r>
    <s v="0558110553-3"/>
    <s v="CST"/>
    <n v="1"/>
    <n v="434"/>
    <n v="0"/>
    <n v="6.94"/>
    <n v="6.94"/>
    <s v="CRAP"/>
    <d v="2001-09-25T00:00:00"/>
    <d v="2002-02-27T00:00:00"/>
    <d v="2002-03-11T00:00:00"/>
    <d v="2002-03-11T00:00:00"/>
    <d v="2002-03-10T00:00:00"/>
    <d v="2002-03-10T00:00:00"/>
    <s v="OTIF FAIL"/>
    <n v="3"/>
    <s v="1210_FG_CRC"/>
    <x v="3"/>
    <n v="1"/>
    <m/>
  </r>
  <r>
    <s v="0558116723-2"/>
    <s v="CST"/>
    <n v="1.5"/>
    <n v="410"/>
    <n v="0"/>
    <n v="10.124000000000001"/>
    <n v="10.124000000000001"/>
    <s v="CRAP"/>
    <d v="2002-03-28T00:00:00"/>
    <d v="2002-05-07T00:00:00"/>
    <s v="-"/>
    <s v="-"/>
    <s v="-"/>
    <d v="2002-05-12T00:00:00"/>
    <s v="OTIF FAIL"/>
    <n v="2"/>
    <s v="1210_FG_CRC"/>
    <x v="4"/>
    <n v="0"/>
    <m/>
  </r>
  <r>
    <s v="0558116676-1"/>
    <s v="CST"/>
    <n v="0.7"/>
    <n v="390"/>
    <n v="0"/>
    <n v="20.613"/>
    <n v="20.613"/>
    <s v="CRAP"/>
    <d v="2002-03-28T00:00:00"/>
    <d v="2002-05-05T00:00:00"/>
    <s v="-"/>
    <s v="-"/>
    <s v="-"/>
    <d v="2002-04-22T00:00:00"/>
    <s v="OTIF FAIL"/>
    <n v="1"/>
    <s v="1210_FG_CRC"/>
    <x v="2"/>
    <n v="0"/>
    <m/>
  </r>
  <r>
    <s v="0558116722-1"/>
    <s v="HRC"/>
    <n v="1.5"/>
    <n v="515"/>
    <n v="0"/>
    <n v="4.9729999999999999"/>
    <n v="4.9729999999999999"/>
    <s v="CRAP"/>
    <d v="2002-03-28T00:00:00"/>
    <d v="2002-05-07T00:00:00"/>
    <s v="-"/>
    <s v="-"/>
    <s v="-"/>
    <d v="2002-05-13T00:00:00"/>
    <s v="OTIF FAIL"/>
    <n v="1"/>
    <s v="1210_FG_CRC"/>
    <x v="4"/>
    <n v="0"/>
    <m/>
  </r>
  <r>
    <s v="0558113277-2"/>
    <s v="CST"/>
    <n v="0.8"/>
    <n v="1250"/>
    <n v="0"/>
    <n v="6"/>
    <n v="6"/>
    <s v="CRAP"/>
    <d v="2001-09-25T00:00:00"/>
    <d v="2002-03-05T00:00:00"/>
    <d v="2002-03-29T00:00:00"/>
    <d v="2002-03-29T00:00:00"/>
    <d v="2002-03-29T00:00:00"/>
    <d v="2002-03-29T00:00:00"/>
    <s v="OTIF FAIL"/>
    <n v="2"/>
    <s v="1210_FG_CRC"/>
    <x v="9"/>
    <n v="1"/>
    <m/>
  </r>
  <r>
    <s v="0558109843-6"/>
    <s v="CRC"/>
    <n v="1.5"/>
    <n v="340"/>
    <n v="0"/>
    <n v="4"/>
    <n v="4"/>
    <s v="CRAP"/>
    <d v="2001-09-25T00:00:00"/>
    <d v="2002-03-04T00:00:00"/>
    <d v="2002-03-22T00:00:00"/>
    <d v="2002-03-22T00:00:00"/>
    <d v="2002-03-21T00:00:00"/>
    <d v="2002-03-21T00:00:00"/>
    <s v="OTIF FAIL"/>
    <n v="6"/>
    <s v="1210_FG_CRC"/>
    <x v="0"/>
    <n v="1"/>
    <m/>
  </r>
  <r>
    <s v="0558116700-1"/>
    <s v="PSS"/>
    <n v="1.5"/>
    <n v="410"/>
    <n v="0"/>
    <n v="5.9029999999999996"/>
    <n v="5.9029999999999996"/>
    <s v="CRAP"/>
    <d v="2002-03-28T00:00:00"/>
    <d v="2002-05-11T00:00:00"/>
    <s v="-"/>
    <s v="-"/>
    <s v="-"/>
    <d v="2002-05-12T00:00:00"/>
    <s v="OTIF FAIL"/>
    <n v="1"/>
    <s v="1210_FG_CRC"/>
    <x v="4"/>
    <n v="0"/>
    <m/>
  </r>
  <r>
    <s v="0558113796-1"/>
    <s v="JBS"/>
    <n v="1"/>
    <n v="1250"/>
    <n v="0"/>
    <n v="20"/>
    <n v="20"/>
    <s v="CRAP"/>
    <d v="2001-08-11T00:00:00"/>
    <d v="2002-02-27T00:00:00"/>
    <d v="2002-03-07T00:00:00"/>
    <d v="2002-03-07T00:00:00"/>
    <d v="2002-03-10T00:00:00"/>
    <d v="2002-03-10T00:00:00"/>
    <s v="OTIF FAIL"/>
    <n v="1"/>
    <s v="1210_FG_CRC"/>
    <x v="3"/>
    <n v="1"/>
    <m/>
  </r>
  <r>
    <s v="0558113096-1"/>
    <s v="CRC"/>
    <n v="0.5"/>
    <n v="1250"/>
    <n v="0"/>
    <n v="3"/>
    <n v="3"/>
    <s v="CRAP"/>
    <d v="2001-08-05T00:00:00"/>
    <d v="2002-03-05T00:00:00"/>
    <d v="2002-04-05T00:00:00"/>
    <d v="2002-04-05T00:00:00"/>
    <d v="2002-04-05T00:00:00"/>
    <d v="2002-04-05T00:00:00"/>
    <s v="OTIF FAIL"/>
    <n v="1"/>
    <s v="1210_FG_CRC"/>
    <x v="6"/>
    <n v="1"/>
    <m/>
  </r>
  <r>
    <s v="0558116699-2"/>
    <s v="CRC"/>
    <n v="1.5"/>
    <n v="410"/>
    <n v="0"/>
    <n v="10.124000000000001"/>
    <n v="10.124000000000001"/>
    <s v="CRAP"/>
    <d v="2002-03-28T00:00:00"/>
    <d v="2002-05-11T00:00:00"/>
    <s v="-"/>
    <s v="-"/>
    <s v="-"/>
    <d v="2002-05-12T00:00:00"/>
    <s v="OTIF FAIL"/>
    <n v="2"/>
    <s v="1210_FG_CRC"/>
    <x v="4"/>
    <n v="0"/>
    <m/>
  </r>
  <r>
    <s v="0558110631-1"/>
    <s v="CRC"/>
    <n v="0.5"/>
    <n v="1250"/>
    <n v="0"/>
    <n v="60"/>
    <n v="60"/>
    <s v="CRAP"/>
    <d v="2001-09-25T00:00:00"/>
    <d v="2002-03-01T00:00:00"/>
    <s v="-"/>
    <s v="-"/>
    <d v="2002-01-26T00:00:00"/>
    <d v="2002-03-01T00:00:00"/>
    <s v="OTIF FAIL"/>
    <n v="1"/>
    <s v="1210_FG_CRC"/>
    <x v="5"/>
    <n v="1"/>
    <m/>
  </r>
  <r>
    <s v="0558116676-2"/>
    <s v="CST"/>
    <n v="1.5"/>
    <n v="410"/>
    <n v="0"/>
    <n v="10.124000000000001"/>
    <n v="10.124000000000001"/>
    <s v="CRAP"/>
    <d v="2002-03-28T00:00:00"/>
    <d v="2002-05-05T00:00:00"/>
    <s v="-"/>
    <s v="-"/>
    <s v="-"/>
    <d v="2002-05-12T00:00:00"/>
    <s v="OTIF FAIL"/>
    <n v="2"/>
    <s v="1210_FG_CRC"/>
    <x v="4"/>
    <n v="0"/>
    <m/>
  </r>
  <r>
    <s v="0558114723-2"/>
    <s v="CST"/>
    <n v="0.7"/>
    <n v="600"/>
    <n v="0"/>
    <n v="9"/>
    <n v="9"/>
    <s v="CRAP"/>
    <d v="2001-08-23T00:00:00"/>
    <d v="2002-02-25T00:00:00"/>
    <s v="-"/>
    <s v="-"/>
    <d v="2002-04-17T00:00:00"/>
    <d v="2002-04-17T00:00:00"/>
    <s v="OTIF FAIL"/>
    <n v="2"/>
    <s v="1210_FG_CRC"/>
    <x v="15"/>
    <n v="1"/>
    <m/>
  </r>
  <r>
    <s v="0558116122-2"/>
    <s v="CST"/>
    <n v="1.5"/>
    <n v="1000"/>
    <n v="0"/>
    <n v="3"/>
    <n v="3"/>
    <s v="CRAP"/>
    <d v="2001-09-25T00:00:00"/>
    <d v="2002-03-08T00:00:00"/>
    <d v="2002-04-08T00:00:00"/>
    <d v="2002-04-08T00:00:00"/>
    <d v="2002-04-08T00:00:00"/>
    <d v="2002-04-08T00:00:00"/>
    <s v="OTIF FAIL"/>
    <n v="2"/>
    <s v="1210_FG_CRC"/>
    <x v="7"/>
    <n v="1"/>
    <m/>
  </r>
  <r>
    <s v="0558116677-1"/>
    <s v="HRC"/>
    <n v="1.5"/>
    <n v="410"/>
    <n v="0"/>
    <n v="5.9029999999999996"/>
    <n v="5.9029999999999996"/>
    <s v="CRAP"/>
    <d v="2002-03-28T00:00:00"/>
    <d v="2002-05-05T00:00:00"/>
    <s v="-"/>
    <s v="-"/>
    <s v="-"/>
    <d v="2002-05-12T00:00:00"/>
    <s v="OTIF FAIL"/>
    <n v="1"/>
    <s v="1210_FG_CRC"/>
    <x v="4"/>
    <n v="0"/>
    <m/>
  </r>
  <r>
    <s v="0558114660-1"/>
    <s v="NFA"/>
    <n v="0.9"/>
    <n v="1250"/>
    <n v="0"/>
    <n v="3"/>
    <n v="3"/>
    <s v="CRAP"/>
    <d v="2001-08-23T00:00:00"/>
    <d v="2002-02-26T00:00:00"/>
    <d v="2002-03-02T00:00:00"/>
    <d v="2002-03-02T00:00:00"/>
    <d v="2002-01-07T00:00:00"/>
    <d v="2002-01-20T00:00:00"/>
    <s v="OTIF FAIL"/>
    <n v="1"/>
    <s v="1210_FG_CRC"/>
    <x v="8"/>
    <n v="1"/>
    <m/>
  </r>
  <r>
    <s v="0558113290-4"/>
    <s v="CST"/>
    <n v="0.5"/>
    <n v="1250"/>
    <n v="0"/>
    <n v="6"/>
    <n v="6"/>
    <s v="CRAP"/>
    <d v="2001-08-05T00:00:00"/>
    <d v="2002-03-05T00:00:00"/>
    <d v="2002-04-05T00:00:00"/>
    <d v="2002-04-05T00:00:00"/>
    <d v="2002-04-05T00:00:00"/>
    <d v="2002-04-05T00:00:00"/>
    <s v="OTIF FAIL"/>
    <n v="4"/>
    <s v="1210_FG_CRC"/>
    <x v="6"/>
    <n v="1"/>
    <m/>
  </r>
  <r>
    <s v="0558114660-4"/>
    <s v="CST"/>
    <n v="1.2"/>
    <n v="1250"/>
    <n v="0"/>
    <n v="9"/>
    <n v="9"/>
    <s v="CRAP"/>
    <d v="2001-08-23T00:00:00"/>
    <d v="2002-02-27T00:00:00"/>
    <d v="2002-03-29T00:00:00"/>
    <d v="2002-03-29T00:00:00"/>
    <d v="2002-03-29T00:00:00"/>
    <d v="2002-03-29T00:00:00"/>
    <s v="OTIF FAIL"/>
    <n v="4"/>
    <s v="1210_FG_CRC"/>
    <x v="9"/>
    <n v="1"/>
    <m/>
  </r>
  <r>
    <s v="0558102211-1"/>
    <s v="CST"/>
    <n v="0.5"/>
    <n v="1250"/>
    <n v="0"/>
    <n v="80"/>
    <n v="8.94"/>
    <s v="CRAP"/>
    <d v="2001-09-25T00:00:00"/>
    <d v="2002-03-01T00:00:00"/>
    <d v="2002-02-24T00:00:00"/>
    <d v="2002-03-01T00:00:00"/>
    <d v="2002-01-07T00:00:00"/>
    <d v="2002-03-01T00:00:00"/>
    <s v="OTIF PASS"/>
    <n v="1"/>
    <s v="1210_FG_CRC"/>
    <x v="5"/>
    <n v="0"/>
    <m/>
  </r>
  <r>
    <s v="0558116703-1"/>
    <s v="HPC"/>
    <n v="1.5"/>
    <n v="500"/>
    <n v="0"/>
    <n v="4.2"/>
    <n v="4.2"/>
    <s v="CRAP"/>
    <d v="2002-03-28T00:00:00"/>
    <d v="2002-05-11T00:00:00"/>
    <s v="-"/>
    <s v="-"/>
    <s v="-"/>
    <d v="2002-04-21T00:00:00"/>
    <s v="OTIF FAIL"/>
    <n v="1"/>
    <s v="1210_FG_CRC"/>
    <x v="2"/>
    <n v="0"/>
    <m/>
  </r>
  <r>
    <s v="0558114649-5"/>
    <s v="HRC"/>
    <n v="2.5"/>
    <n v="1250"/>
    <n v="0"/>
    <n v="12"/>
    <n v="12"/>
    <s v="CRAP"/>
    <d v="2001-08-23T00:00:00"/>
    <d v="2002-02-27T00:00:00"/>
    <s v="-"/>
    <s v="-"/>
    <d v="2002-03-21T00:00:00"/>
    <d v="2002-03-21T00:00:00"/>
    <s v="OTIF FAIL"/>
    <n v="5"/>
    <s v="1210_FG_CRC"/>
    <x v="0"/>
    <n v="1"/>
    <m/>
  </r>
  <r>
    <s v="0558116552-1"/>
    <s v="CST"/>
    <n v="0.56999999999999995"/>
    <n v="30"/>
    <n v="0"/>
    <n v="30"/>
    <n v="30"/>
    <s v="CRAP"/>
    <d v="2002-02-17T00:00:00"/>
    <d v="2002-02-27T00:00:00"/>
    <d v="2002-04-25T00:00:00"/>
    <d v="2002-04-25T00:00:00"/>
    <d v="2002-03-04T00:00:00"/>
    <d v="2002-05-13T00:00:00"/>
    <s v="OTIF FAIL"/>
    <n v="1"/>
    <s v="1210_FG_CRC"/>
    <x v="4"/>
    <n v="1"/>
    <m/>
  </r>
  <r>
    <s v="0558116621-1"/>
    <s v="CRC"/>
    <n v="1.5"/>
    <n v="410"/>
    <n v="0"/>
    <n v="5.9029999999999996"/>
    <n v="5.9029999999999996"/>
    <s v="CRAP"/>
    <d v="2002-03-20T00:00:00"/>
    <d v="2002-04-21T00:00:00"/>
    <d v="2002-04-21T00:00:00"/>
    <d v="2002-04-21T00:00:00"/>
    <d v="2002-04-21T00:00:00"/>
    <d v="2002-05-12T00:00:00"/>
    <s v="OTIF PASS"/>
    <n v="1"/>
    <s v="1210_FG_CRC"/>
    <x v="4"/>
    <n v="1"/>
    <m/>
  </r>
  <r>
    <s v="0558116699-1"/>
    <s v="HPC"/>
    <n v="0.7"/>
    <n v="390"/>
    <n v="0"/>
    <n v="20.613"/>
    <n v="20.613"/>
    <s v="CRAP"/>
    <d v="2002-03-28T00:00:00"/>
    <d v="2002-05-11T00:00:00"/>
    <s v="-"/>
    <s v="-"/>
    <s v="-"/>
    <d v="2002-04-22T00:00:00"/>
    <s v="OTIF FAIL"/>
    <n v="1"/>
    <s v="1210_FG_CRC"/>
    <x v="2"/>
    <n v="0"/>
    <m/>
  </r>
  <r>
    <s v="0558116620-1"/>
    <s v="CST"/>
    <n v="0.7"/>
    <n v="390"/>
    <n v="0"/>
    <n v="20.613"/>
    <n v="20.613"/>
    <s v="CRAP"/>
    <d v="2002-03-20T00:00:00"/>
    <d v="2002-04-22T00:00:00"/>
    <d v="2002-04-29T00:00:00"/>
    <d v="2002-04-29T00:00:00"/>
    <d v="2002-04-22T00:00:00"/>
    <d v="2002-04-22T00:00:00"/>
    <s v="OTIF FAIL"/>
    <n v="1"/>
    <s v="1210_FG_CRC"/>
    <x v="2"/>
    <n v="1"/>
    <m/>
  </r>
  <r>
    <s v="0558114829-1"/>
    <s v="CST"/>
    <n v="1"/>
    <n v="1250"/>
    <n v="0"/>
    <n v="12"/>
    <n v="12"/>
    <s v="CRAP"/>
    <d v="2001-08-25T00:00:00"/>
    <d v="2002-03-07T00:00:00"/>
    <d v="2002-03-17T00:00:00"/>
    <d v="2002-03-17T00:00:00"/>
    <d v="2002-03-17T00:00:00"/>
    <d v="2002-03-17T00:00:00"/>
    <s v="OTIF FAIL"/>
    <n v="1"/>
    <s v="1210_FG_CRC"/>
    <x v="0"/>
    <n v="1"/>
    <m/>
  </r>
  <r>
    <s v="0558110384-1"/>
    <s v="CRC"/>
    <n v="1"/>
    <n v="1250"/>
    <n v="0"/>
    <n v="12"/>
    <n v="6.1619999999999999"/>
    <s v="CRAP"/>
    <d v="2001-09-25T00:00:00"/>
    <d v="2002-03-04T00:00:00"/>
    <d v="2002-03-17T00:00:00"/>
    <d v="2002-03-17T00:00:00"/>
    <d v="2002-03-17T00:00:00"/>
    <d v="2002-03-17T00:00:00"/>
    <s v="OTIF FAIL"/>
    <n v="1"/>
    <s v="1210_FG_CRC"/>
    <x v="0"/>
    <n v="0"/>
    <m/>
  </r>
  <r>
    <s v="0558114572-3"/>
    <s v="CST"/>
    <n v="0.5"/>
    <n v="1250"/>
    <n v="0"/>
    <n v="22"/>
    <n v="22"/>
    <s v="CRAP"/>
    <d v="2001-08-23T00:00:00"/>
    <d v="2002-02-27T00:00:00"/>
    <d v="2002-03-13T00:00:00"/>
    <d v="2002-03-13T00:00:00"/>
    <d v="2002-03-17T00:00:00"/>
    <d v="2002-03-18T00:00:00"/>
    <s v="OTIF FAIL"/>
    <n v="3"/>
    <s v="1210_FG_CRC"/>
    <x v="0"/>
    <n v="1"/>
    <m/>
  </r>
  <r>
    <s v="0558116647-1"/>
    <s v="CST"/>
    <n v="1.5"/>
    <n v="500"/>
    <n v="0"/>
    <n v="4.2"/>
    <n v="4.2"/>
    <s v="CRAP"/>
    <d v="2002-03-20T00:00:00"/>
    <d v="2002-04-21T00:00:00"/>
    <d v="2002-04-21T00:00:00"/>
    <d v="2002-04-21T00:00:00"/>
    <d v="2002-04-21T00:00:00"/>
    <d v="2002-04-21T00:00:00"/>
    <s v="OTIF PASS"/>
    <n v="1"/>
    <s v="1210_FG_CRC"/>
    <x v="2"/>
    <n v="1"/>
    <m/>
  </r>
  <r>
    <s v="0558116644-1"/>
    <s v="CST"/>
    <n v="1.5"/>
    <n v="410"/>
    <n v="0"/>
    <n v="5.9029999999999996"/>
    <n v="5.9029999999999996"/>
    <s v="CRAP"/>
    <d v="2002-03-20T00:00:00"/>
    <d v="2002-04-21T00:00:00"/>
    <d v="2002-04-21T00:00:00"/>
    <d v="2002-04-21T00:00:00"/>
    <d v="2002-04-21T00:00:00"/>
    <d v="2002-05-12T00:00:00"/>
    <s v="OTIF PASS"/>
    <n v="1"/>
    <s v="1210_FG_CRC"/>
    <x v="4"/>
    <n v="1"/>
    <m/>
  </r>
  <r>
    <s v="0558116562-1"/>
    <s v="CST"/>
    <n v="0.57999999999999996"/>
    <n v="79.5"/>
    <n v="0"/>
    <n v="30"/>
    <n v="30"/>
    <s v="CRAP"/>
    <d v="2002-02-17T00:00:00"/>
    <d v="2002-03-31T00:00:00"/>
    <d v="2002-04-29T00:00:00"/>
    <d v="2002-04-29T00:00:00"/>
    <d v="2002-04-08T00:00:00"/>
    <d v="2002-04-16T00:00:00"/>
    <s v="OTIF FAIL"/>
    <n v="1"/>
    <s v="1210_FG_CRC"/>
    <x v="15"/>
    <n v="1"/>
    <m/>
  </r>
  <r>
    <s v="0558116562-2"/>
    <s v="CRC"/>
    <n v="0.57999999999999996"/>
    <n v="59.5"/>
    <n v="0"/>
    <n v="30"/>
    <n v="14.8"/>
    <s v="CRAP"/>
    <d v="2002-02-17T00:00:00"/>
    <d v="2002-03-31T00:00:00"/>
    <d v="2002-04-29T00:00:00"/>
    <d v="2002-04-29T00:00:00"/>
    <d v="2002-04-07T00:00:00"/>
    <d v="2002-04-16T00:00:00"/>
    <s v="OTIF FAIL"/>
    <n v="2"/>
    <s v="1210_FG_CRC"/>
    <x v="15"/>
    <n v="0"/>
    <m/>
  </r>
  <r>
    <s v="0558114922-3"/>
    <s v="CRC"/>
    <n v="0.7"/>
    <n v="1250"/>
    <n v="0"/>
    <n v="3"/>
    <n v="3"/>
    <s v="CRAP"/>
    <d v="2001-09-25T00:00:00"/>
    <d v="2002-03-08T00:00:00"/>
    <s v="-"/>
    <s v="-"/>
    <d v="2002-01-11T00:00:00"/>
    <d v="2002-01-30T00:00:00"/>
    <s v="OTIF FAIL"/>
    <n v="3"/>
    <s v="1210_FG_CRC"/>
    <x v="10"/>
    <n v="1"/>
    <m/>
  </r>
  <r>
    <s v="0558114488-1"/>
    <s v="CST"/>
    <n v="0.5"/>
    <n v="1000"/>
    <n v="0"/>
    <n v="6"/>
    <n v="6"/>
    <s v="CRAP"/>
    <d v="2001-08-21T00:00:00"/>
    <d v="2002-02-25T00:00:00"/>
    <d v="2002-04-01T00:00:00"/>
    <d v="2002-04-01T00:00:00"/>
    <d v="2002-04-01T00:00:00"/>
    <d v="2002-04-08T00:00:00"/>
    <s v="OTIF FAIL"/>
    <n v="1"/>
    <s v="1210_FG_CRC"/>
    <x v="7"/>
    <n v="1"/>
    <m/>
  </r>
  <r>
    <s v="0558116680-1"/>
    <s v="HPC"/>
    <n v="1.5"/>
    <n v="500"/>
    <n v="0"/>
    <n v="4.2"/>
    <n v="4.2"/>
    <s v="CRAP"/>
    <d v="2002-03-28T00:00:00"/>
    <d v="2002-05-05T00:00:00"/>
    <s v="-"/>
    <s v="-"/>
    <s v="-"/>
    <d v="2002-04-21T00:00:00"/>
    <s v="OTIF FAIL"/>
    <n v="1"/>
    <s v="1210_FG_CRC"/>
    <x v="2"/>
    <n v="0"/>
    <m/>
  </r>
  <r>
    <s v="0558116619-1"/>
    <s v="CST"/>
    <n v="1.5"/>
    <n v="515"/>
    <n v="0"/>
    <n v="4.9729999999999999"/>
    <n v="4.9729999999999999"/>
    <s v="CRAP"/>
    <d v="2002-03-20T00:00:00"/>
    <d v="2002-04-22T00:00:00"/>
    <s v="-"/>
    <s v="-"/>
    <d v="2002-05-13T00:00:00"/>
    <d v="2002-05-13T00:00:00"/>
    <s v="OTIF FAIL"/>
    <n v="1"/>
    <s v="1210_FG_CRC"/>
    <x v="4"/>
    <n v="1"/>
    <m/>
  </r>
  <r>
    <s v="0558114922-2"/>
    <s v="HRC"/>
    <n v="0.6"/>
    <n v="1250"/>
    <n v="0"/>
    <n v="3"/>
    <n v="3"/>
    <s v="CRAP"/>
    <d v="2001-09-25T00:00:00"/>
    <d v="2002-03-08T00:00:00"/>
    <d v="2002-04-06T00:00:00"/>
    <d v="2002-04-06T00:00:00"/>
    <d v="2002-04-06T00:00:00"/>
    <d v="2002-04-06T00:00:00"/>
    <s v="OTIF FAIL"/>
    <n v="2"/>
    <s v="1210_FG_CRC"/>
    <x v="6"/>
    <n v="1"/>
    <m/>
  </r>
  <r>
    <s v="0558116624-1"/>
    <s v="HRC"/>
    <n v="1.5"/>
    <n v="500"/>
    <n v="0"/>
    <n v="4.2"/>
    <n v="4.2"/>
    <s v="CRAP"/>
    <d v="2002-03-20T00:00:00"/>
    <d v="2002-04-21T00:00:00"/>
    <d v="2002-04-21T00:00:00"/>
    <d v="2002-04-21T00:00:00"/>
    <d v="2002-04-21T00:00:00"/>
    <d v="2002-04-21T00:00:00"/>
    <s v="OTIF PASS"/>
    <n v="1"/>
    <s v="1210_FG_CRC"/>
    <x v="2"/>
    <n v="1"/>
    <m/>
  </r>
  <r>
    <s v="0558116643-2"/>
    <s v="CST"/>
    <n v="1.5"/>
    <n v="410"/>
    <n v="0"/>
    <n v="10.124000000000001"/>
    <n v="10.124000000000001"/>
    <s v="CRAP"/>
    <d v="2002-03-20T00:00:00"/>
    <d v="2002-04-22T00:00:00"/>
    <s v="-"/>
    <s v="-"/>
    <d v="2002-05-12T00:00:00"/>
    <d v="2002-05-12T00:00:00"/>
    <s v="OTIF FAIL"/>
    <n v="2"/>
    <s v="1210_FG_CRC"/>
    <x v="4"/>
    <n v="1"/>
    <m/>
  </r>
  <r>
    <s v="0558114730-1"/>
    <s v="CST"/>
    <n v="0.5"/>
    <n v="1250"/>
    <n v="0"/>
    <n v="80"/>
    <n v="80"/>
    <s v="CRAP"/>
    <d v="2001-08-23T00:00:00"/>
    <d v="2002-02-23T00:00:00"/>
    <d v="2002-02-24T00:00:00"/>
    <d v="2002-02-24T00:00:00"/>
    <d v="2002-03-01T00:00:00"/>
    <d v="2002-03-01T00:00:00"/>
    <s v="OTIF FAIL"/>
    <n v="1"/>
    <s v="1210_FG_CRC"/>
    <x v="5"/>
    <n v="1"/>
    <m/>
  </r>
  <r>
    <s v="0558115344-1"/>
    <s v="CST"/>
    <n v="0.5"/>
    <n v="1250"/>
    <n v="0"/>
    <n v="6"/>
    <n v="6"/>
    <s v="CRAP"/>
    <d v="2001-08-29T00:00:00"/>
    <d v="2002-03-08T00:00:00"/>
    <d v="2002-04-05T00:00:00"/>
    <d v="2002-04-05T00:00:00"/>
    <d v="2002-04-05T00:00:00"/>
    <d v="2002-04-05T00:00:00"/>
    <s v="OTIF FAIL"/>
    <n v="1"/>
    <s v="1210_FG_CRC"/>
    <x v="6"/>
    <n v="1"/>
    <m/>
  </r>
  <r>
    <s v="0558116643-1"/>
    <s v="PSS"/>
    <n v="0.7"/>
    <n v="390"/>
    <n v="0"/>
    <n v="20.613"/>
    <n v="20.613"/>
    <s v="CRAP"/>
    <d v="2002-03-20T00:00:00"/>
    <d v="2002-04-22T00:00:00"/>
    <d v="2002-04-29T00:00:00"/>
    <d v="2002-04-29T00:00:00"/>
    <d v="2002-04-22T00:00:00"/>
    <d v="2002-04-22T00:00:00"/>
    <s v="OTIF FAIL"/>
    <n v="1"/>
    <s v="1210_FG_CRC"/>
    <x v="2"/>
    <n v="1"/>
    <m/>
  </r>
  <r>
    <s v="0558116642-1"/>
    <s v="PSS"/>
    <n v="1.5"/>
    <n v="515"/>
    <n v="0"/>
    <n v="4.9729999999999999"/>
    <n v="4.9729999999999999"/>
    <s v="CRAP"/>
    <d v="2002-03-20T00:00:00"/>
    <d v="2002-04-22T00:00:00"/>
    <d v="2002-04-22T00:00:00"/>
    <d v="2002-04-22T00:00:00"/>
    <d v="2002-04-22T00:00:00"/>
    <d v="2002-05-13T00:00:00"/>
    <s v="OTIF PASS"/>
    <n v="1"/>
    <s v="1210_FG_CRC"/>
    <x v="4"/>
    <n v="1"/>
    <m/>
  </r>
  <r>
    <s v="0568012702-2"/>
    <s v="CST"/>
    <n v="0.8"/>
    <n v="1250"/>
    <n v="0"/>
    <n v="60"/>
    <n v="60"/>
    <s v="CRAP"/>
    <d v="2001-08-07T00:00:00"/>
    <d v="2002-02-27T00:00:00"/>
    <d v="2002-03-14T00:00:00"/>
    <d v="2002-03-14T00:00:00"/>
    <d v="2002-03-14T00:00:00"/>
    <d v="2002-03-14T00:00:00"/>
    <s v="OTIF FAIL"/>
    <n v="2"/>
    <s v="1210_FG_CRC"/>
    <x v="3"/>
    <n v="1"/>
    <m/>
  </r>
  <r>
    <s v="0558113403-1"/>
    <s v="CST"/>
    <n v="0.5"/>
    <n v="625"/>
    <n v="0"/>
    <n v="10"/>
    <n v="10"/>
    <s v="CRAP"/>
    <d v="2001-08-02T00:00:00"/>
    <d v="2002-03-30T00:00:00"/>
    <d v="2002-04-27T00:00:00"/>
    <d v="2002-04-27T00:00:00"/>
    <d v="2002-04-20T00:00:00"/>
    <d v="2002-04-20T00:00:00"/>
    <s v="OTIF FAIL"/>
    <n v="1"/>
    <s v="1210_FG_CRC"/>
    <x v="15"/>
    <n v="1"/>
    <m/>
  </r>
  <r>
    <s v="0558110383-6"/>
    <s v="CST"/>
    <n v="0.9"/>
    <n v="340"/>
    <n v="0"/>
    <n v="16"/>
    <n v="3.3860000000000001"/>
    <s v="CRAP"/>
    <d v="2001-09-25T00:00:00"/>
    <d v="2002-03-04T00:00:00"/>
    <d v="2002-03-20T00:00:00"/>
    <d v="2002-03-20T00:00:00"/>
    <d v="2002-03-20T00:00:00"/>
    <d v="2002-03-20T00:00:00"/>
    <s v="OTIF FAIL"/>
    <n v="6"/>
    <s v="1210_FG_CRC"/>
    <x v="0"/>
    <n v="0"/>
    <m/>
  </r>
  <r>
    <s v="0558110553-2"/>
    <s v="CRC"/>
    <n v="1"/>
    <n v="408"/>
    <n v="0"/>
    <n v="13.06"/>
    <n v="13.06"/>
    <s v="CRAP"/>
    <d v="2001-09-25T00:00:00"/>
    <d v="2002-02-27T00:00:00"/>
    <d v="2002-03-11T00:00:00"/>
    <d v="2002-03-11T00:00:00"/>
    <d v="2002-03-10T00:00:00"/>
    <d v="2002-03-10T00:00:00"/>
    <s v="OTIF FAIL"/>
    <n v="2"/>
    <s v="1210_FG_CRC"/>
    <x v="3"/>
    <n v="1"/>
    <m/>
  </r>
  <r>
    <s v="0558110553-1"/>
    <s v="CST"/>
    <n v="1"/>
    <n v="408"/>
    <n v="0"/>
    <n v="13.06"/>
    <n v="13.06"/>
    <s v="CRAP"/>
    <d v="2001-09-25T00:00:00"/>
    <d v="2002-02-27T00:00:00"/>
    <d v="2002-03-11T00:00:00"/>
    <d v="2002-03-11T00:00:00"/>
    <d v="2002-03-10T00:00:00"/>
    <d v="2002-03-10T00:00:00"/>
    <s v="OTIF FAIL"/>
    <n v="1"/>
    <s v="1210_FG_CRC"/>
    <x v="3"/>
    <n v="1"/>
    <m/>
  </r>
  <r>
    <s v="0558116620-2"/>
    <s v="CRC"/>
    <n v="1.5"/>
    <n v="410"/>
    <n v="0"/>
    <n v="10.124000000000001"/>
    <n v="10.124000000000001"/>
    <s v="CRAP"/>
    <d v="2002-03-20T00:00:00"/>
    <d v="2002-04-22T00:00:00"/>
    <s v="-"/>
    <s v="-"/>
    <d v="2002-04-22T00:00:00"/>
    <d v="2002-05-12T00:00:00"/>
    <s v="OTIF FAIL"/>
    <n v="2"/>
    <s v="1210_FG_CRC"/>
    <x v="4"/>
    <n v="1"/>
    <m/>
  </r>
  <r>
    <s v="0558116698-1"/>
    <s v="HRC"/>
    <n v="1.5"/>
    <n v="515"/>
    <n v="0"/>
    <n v="4.9729999999999999"/>
    <n v="4.9729999999999999"/>
    <s v="CRAP"/>
    <d v="2002-03-28T00:00:00"/>
    <d v="2002-05-11T00:00:00"/>
    <s v="-"/>
    <s v="-"/>
    <s v="-"/>
    <d v="2002-05-13T00:00:00"/>
    <s v="OTIF FAIL"/>
    <n v="1"/>
    <s v="1210_FG_CRC"/>
    <x v="4"/>
    <n v="0"/>
    <m/>
  </r>
  <r>
    <s v="0558112177-1"/>
    <s v="CRC"/>
    <n v="1"/>
    <n v="1250"/>
    <n v="0"/>
    <n v="12"/>
    <n v="6.1529999999999996"/>
    <s v="CRAP"/>
    <d v="2001-09-25T00:00:00"/>
    <d v="2002-03-05T00:00:00"/>
    <d v="2002-03-17T00:00:00"/>
    <d v="2002-03-17T00:00:00"/>
    <d v="2002-03-17T00:00:00"/>
    <d v="2002-03-17T00:00:00"/>
    <s v="OTIF FAIL"/>
    <n v="1"/>
    <s v="1210_FG_CRC"/>
    <x v="0"/>
    <n v="0"/>
    <m/>
  </r>
  <r>
    <s v="0558116675-1"/>
    <s v="HRC"/>
    <n v="1.5"/>
    <n v="515"/>
    <n v="0"/>
    <n v="4.9729999999999999"/>
    <n v="4.9729999999999999"/>
    <s v="CRAP"/>
    <d v="2002-03-28T00:00:00"/>
    <d v="2002-05-05T00:00:00"/>
    <s v="-"/>
    <s v="-"/>
    <s v="-"/>
    <d v="2002-05-13T00:00:00"/>
    <s v="OTIF FAIL"/>
    <n v="1"/>
    <s v="1210_FG_CRC"/>
    <x v="4"/>
    <n v="0"/>
    <m/>
  </r>
  <r>
    <s v="0558116727-1"/>
    <s v="CST"/>
    <n v="1.5"/>
    <n v="500"/>
    <n v="0"/>
    <n v="4.2"/>
    <n v="4.2"/>
    <s v="CRAP"/>
    <d v="2002-03-28T00:00:00"/>
    <d v="2002-05-07T00:00:00"/>
    <s v="-"/>
    <s v="-"/>
    <s v="-"/>
    <d v="2002-04-21T00:00:00"/>
    <s v="OTIF FAIL"/>
    <n v="1"/>
    <s v="1210_FG_CRC"/>
    <x v="2"/>
    <n v="0"/>
    <m/>
  </r>
  <r>
    <s v="0558116724-1"/>
    <s v="HPC"/>
    <n v="1.5"/>
    <n v="410"/>
    <n v="0"/>
    <n v="5.9029999999999996"/>
    <n v="5.9029999999999996"/>
    <s v="CRAP"/>
    <d v="2002-03-28T00:00:00"/>
    <d v="2002-05-07T00:00:00"/>
    <s v="-"/>
    <s v="-"/>
    <s v="-"/>
    <d v="2002-05-12T00:00:00"/>
    <s v="OTIF FAIL"/>
    <n v="1"/>
    <s v="1210_FG_CRC"/>
    <x v="4"/>
    <n v="0"/>
    <m/>
  </r>
  <r>
    <s v="0558111186-1"/>
    <s v="CST"/>
    <n v="2"/>
    <n v="1250"/>
    <n v="0"/>
    <n v="5.0739999999999998"/>
    <n v="5.0739999999999998"/>
    <s v="CRAP"/>
    <d v="2001-09-25T00:00:00"/>
    <d v="2002-03-21T00:00:00"/>
    <d v="2002-02-24T00:00:00"/>
    <d v="2002-03-21T00:00:00"/>
    <d v="2002-01-17T00:00:00"/>
    <d v="2002-01-17T00:00:00"/>
    <s v="OTIF PASS"/>
    <n v="1"/>
    <s v="1210_FG_CRC"/>
    <x v="13"/>
    <n v="1"/>
    <m/>
  </r>
  <r>
    <s v="0558116725-1"/>
    <s v="CST"/>
    <n v="0.7"/>
    <n v="430"/>
    <n v="0"/>
    <n v="3.7"/>
    <n v="3.7"/>
    <s v="CRAP"/>
    <d v="2002-03-28T00:00:00"/>
    <d v="2002-05-07T00:00:00"/>
    <s v="-"/>
    <s v="-"/>
    <s v="-"/>
    <d v="2002-04-05T00:00:00"/>
    <s v="OTIF FAIL"/>
    <n v="1"/>
    <s v="1210_FG_CRC"/>
    <x v="6"/>
    <n v="0"/>
    <m/>
  </r>
  <r>
    <s v="0558116701-1"/>
    <s v="CST"/>
    <n v="0.7"/>
    <n v="430"/>
    <n v="0"/>
    <n v="3.7"/>
    <n v="3.7"/>
    <s v="CRAP"/>
    <d v="2002-03-28T00:00:00"/>
    <d v="2002-05-11T00:00:00"/>
    <s v="-"/>
    <s v="-"/>
    <s v="-"/>
    <d v="2002-04-05T00:00:00"/>
    <s v="OTIF FAIL"/>
    <n v="1"/>
    <s v="1210_FG_CRC"/>
    <x v="6"/>
    <n v="0"/>
    <m/>
  </r>
  <r>
    <s v="0558116618-2"/>
    <s v="HRC"/>
    <n v="1"/>
    <n v="320"/>
    <n v="0"/>
    <n v="20.535"/>
    <n v="20.535"/>
    <s v="CRAP"/>
    <d v="2002-03-20T00:00:00"/>
    <d v="2002-04-22T00:00:00"/>
    <d v="2002-04-21T00:00:00"/>
    <d v="2002-04-22T00:00:00"/>
    <d v="2002-04-22T00:00:00"/>
    <d v="2002-04-22T00:00:00"/>
    <s v="OTIF PASS"/>
    <n v="2"/>
    <s v="1210_FG_CRC"/>
    <x v="2"/>
    <n v="1"/>
    <m/>
  </r>
  <r>
    <s v="0558116618-1"/>
    <s v="CST"/>
    <n v="0.8"/>
    <n v="340"/>
    <n v="0"/>
    <n v="22.571999999999999"/>
    <n v="22.571999999999999"/>
    <s v="CRAP"/>
    <d v="2002-03-20T00:00:00"/>
    <d v="2002-04-22T00:00:00"/>
    <s v="-"/>
    <s v="-"/>
    <d v="2002-04-29T00:00:00"/>
    <d v="2002-04-29T00:00:00"/>
    <s v="OTIF FAIL"/>
    <n v="1"/>
    <s v="1210_FG_CRC"/>
    <x v="16"/>
    <n v="1"/>
    <m/>
  </r>
  <r>
    <s v="0558116678-1"/>
    <s v="CST"/>
    <n v="0.7"/>
    <n v="430"/>
    <n v="0"/>
    <n v="3.7"/>
    <n v="3.7"/>
    <s v="CRAP"/>
    <d v="2002-03-28T00:00:00"/>
    <d v="2002-05-05T00:00:00"/>
    <s v="-"/>
    <s v="-"/>
    <s v="-"/>
    <d v="2002-04-05T00:00:00"/>
    <s v="OTIF FAIL"/>
    <n v="1"/>
    <s v="1210_FG_CRC"/>
    <x v="6"/>
    <n v="0"/>
    <m/>
  </r>
  <r>
    <s v="0558114345-1"/>
    <s v="HRC"/>
    <n v="0.5"/>
    <n v="1250"/>
    <n v="0"/>
    <n v="3"/>
    <n v="3"/>
    <s v="CRAP"/>
    <d v="2001-08-21T00:00:00"/>
    <d v="2002-03-07T00:00:00"/>
    <d v="2002-04-26T00:00:00"/>
    <d v="2002-04-26T00:00:00"/>
    <d v="2002-04-19T00:00:00"/>
    <d v="2002-04-22T00:00:00"/>
    <s v="OTIF FAIL"/>
    <n v="1"/>
    <s v="1210_FG_CRC"/>
    <x v="2"/>
    <n v="1"/>
    <m/>
  </r>
  <r>
    <s v="0558116283-2"/>
    <s v="HRC"/>
    <n v="0.9"/>
    <n v="260"/>
    <n v="0"/>
    <n v="2.641"/>
    <n v="2.641"/>
    <s v="CRAP"/>
    <d v="2001-10-25T00:00:00"/>
    <d v="2002-03-16T00:00:00"/>
    <d v="2002-03-30T00:00:00"/>
    <d v="2002-03-30T00:00:00"/>
    <d v="2002-03-30T00:00:00"/>
    <d v="2002-03-30T00:00:00"/>
    <s v="OTIF FAIL"/>
    <n v="2"/>
    <s v="1210_FG_CRC"/>
    <x v="9"/>
    <n v="1"/>
    <m/>
  </r>
  <r>
    <s v="0558116283-1"/>
    <s v="CST"/>
    <n v="0.7"/>
    <n v="358"/>
    <n v="0"/>
    <n v="22.359000000000002"/>
    <n v="17.856000000000002"/>
    <s v="CRAP"/>
    <d v="2001-10-25T00:00:00"/>
    <d v="2002-03-15T00:00:00"/>
    <d v="2002-04-27T00:00:00"/>
    <d v="2002-04-27T00:00:00"/>
    <d v="2002-04-20T00:00:00"/>
    <d v="2002-04-20T00:00:00"/>
    <s v="OTIF FAIL"/>
    <n v="1"/>
    <s v="1210_FG_CRC"/>
    <x v="15"/>
    <n v="0"/>
    <m/>
  </r>
  <r>
    <s v="0558116282-1"/>
    <s v="JBS"/>
    <n v="0.7"/>
    <n v="358"/>
    <n v="0"/>
    <n v="22.359000000000002"/>
    <n v="22.359000000000002"/>
    <s v="CRAP"/>
    <d v="2001-10-25T00:00:00"/>
    <d v="2002-03-15T00:00:00"/>
    <d v="2002-03-30T00:00:00"/>
    <d v="2002-03-30T00:00:00"/>
    <d v="2002-03-30T00:00:00"/>
    <d v="2002-04-20T00:00:00"/>
    <s v="OTIF FAIL"/>
    <n v="1"/>
    <s v="1210_FG_CRC"/>
    <x v="15"/>
    <n v="1"/>
    <m/>
  </r>
  <r>
    <s v="0569023169-20"/>
    <s v="CST"/>
    <n v="1.18"/>
    <n v="97"/>
    <n v="0"/>
    <n v="3"/>
    <n v="3"/>
    <s v="CRAP"/>
    <d v="2001-08-29T00:00:00"/>
    <d v="2002-03-31T00:00:00"/>
    <d v="2002-04-07T00:00:00"/>
    <d v="2002-04-07T00:00:00"/>
    <d v="2002-04-07T00:00:00"/>
    <d v="2002-04-07T00:00:00"/>
    <s v="OTIF FAIL"/>
    <n v="20"/>
    <s v="1210_FG_CRC"/>
    <x v="7"/>
    <n v="1"/>
    <m/>
  </r>
  <r>
    <s v="0558109177-1"/>
    <s v="CST"/>
    <n v="2"/>
    <n v="1250"/>
    <n v="0"/>
    <n v="5"/>
    <n v="5"/>
    <s v="CRAP"/>
    <d v="2001-08-19T00:00:00"/>
    <d v="2002-02-25T00:00:00"/>
    <d v="2002-03-29T00:00:00"/>
    <d v="2002-03-29T00:00:00"/>
    <d v="2002-03-29T00:00:00"/>
    <d v="2002-03-29T00:00:00"/>
    <s v="OTIF FAIL"/>
    <n v="1"/>
    <s v="1210_FG_CRC"/>
    <x v="9"/>
    <n v="1"/>
    <m/>
  </r>
  <r>
    <s v="0558113089-1"/>
    <s v="CST"/>
    <n v="0.57999999999999996"/>
    <n v="625"/>
    <n v="0"/>
    <n v="21"/>
    <n v="21"/>
    <s v="CRAP"/>
    <d v="2001-09-25T00:00:00"/>
    <d v="2002-03-30T00:00:00"/>
    <d v="2002-04-27T00:00:00"/>
    <d v="2002-04-27T00:00:00"/>
    <d v="2002-04-20T00:00:00"/>
    <d v="2002-05-11T00:00:00"/>
    <s v="OTIF FAIL"/>
    <n v="1"/>
    <s v="1210_FG_CRC"/>
    <x v="19"/>
    <n v="1"/>
    <m/>
  </r>
  <r>
    <s v="0558116726-1"/>
    <s v="HRC"/>
    <n v="0.7"/>
    <n v="410"/>
    <n v="0"/>
    <n v="7"/>
    <n v="7"/>
    <s v="CRAP"/>
    <d v="2002-03-28T00:00:00"/>
    <d v="2002-05-07T00:00:00"/>
    <s v="-"/>
    <s v="-"/>
    <s v="-"/>
    <d v="2002-04-05T00:00:00"/>
    <s v="OTIF FAIL"/>
    <n v="1"/>
    <s v="1210_FG_CRC"/>
    <x v="6"/>
    <n v="0"/>
    <m/>
  </r>
  <r>
    <s v="0558116679-1"/>
    <s v="CST"/>
    <n v="0.7"/>
    <n v="410"/>
    <n v="0"/>
    <n v="7"/>
    <n v="7"/>
    <s v="CRAP"/>
    <d v="2002-03-28T00:00:00"/>
    <d v="2002-05-05T00:00:00"/>
    <s v="-"/>
    <s v="-"/>
    <s v="-"/>
    <d v="2002-04-05T00:00:00"/>
    <s v="OTIF FAIL"/>
    <n v="1"/>
    <s v="1210_FG_CRC"/>
    <x v="6"/>
    <n v="0"/>
    <m/>
  </r>
  <r>
    <s v="0558116623-1"/>
    <s v="HRC"/>
    <n v="0.7"/>
    <n v="410"/>
    <n v="0"/>
    <n v="7"/>
    <n v="7"/>
    <s v="CRAP"/>
    <d v="2002-03-20T00:00:00"/>
    <d v="2002-04-21T00:00:00"/>
    <d v="2002-04-28T00:00:00"/>
    <d v="2002-04-28T00:00:00"/>
    <s v="-"/>
    <d v="2002-04-28T00:00:00"/>
    <s v="OTIF FAIL"/>
    <n v="1"/>
    <s v="1210_FG_CRC"/>
    <x v="16"/>
    <n v="0"/>
    <m/>
  </r>
  <r>
    <s v="0558116144-1"/>
    <s v="CRC"/>
    <n v="0.57999999999999996"/>
    <n v="79.5"/>
    <n v="0"/>
    <n v="30"/>
    <n v="24.3"/>
    <s v="CRAP"/>
    <d v="2001-09-25T00:00:00"/>
    <d v="2002-03-31T00:00:00"/>
    <s v="-"/>
    <s v="-"/>
    <d v="2002-04-16T00:00:00"/>
    <d v="2002-04-16T00:00:00"/>
    <s v="OTIF FAIL"/>
    <n v="1"/>
    <s v="1210_FG_CRC"/>
    <x v="15"/>
    <n v="0"/>
    <m/>
  </r>
  <r>
    <s v="0568012792-15"/>
    <s v="CST"/>
    <n v="2"/>
    <n v="1000"/>
    <n v="0"/>
    <n v="16"/>
    <n v="16"/>
    <s v="CRAP"/>
    <d v="2001-08-23T00:00:00"/>
    <d v="2002-02-27T00:00:00"/>
    <d v="2002-03-08T00:00:00"/>
    <d v="2002-03-08T00:00:00"/>
    <d v="2002-03-09T00:00:00"/>
    <d v="2002-03-09T00:00:00"/>
    <s v="OTIF FAIL"/>
    <n v="15"/>
    <s v="1210_FG_CRC"/>
    <x v="1"/>
    <n v="1"/>
    <m/>
  </r>
  <r>
    <s v="0558116645-1"/>
    <s v="CST"/>
    <n v="0.7"/>
    <n v="430"/>
    <n v="0"/>
    <n v="3.7"/>
    <n v="3.7"/>
    <s v="CRAP"/>
    <d v="2002-03-20T00:00:00"/>
    <d v="2002-04-21T00:00:00"/>
    <d v="2002-04-28T00:00:00"/>
    <d v="2002-04-28T00:00:00"/>
    <s v="-"/>
    <d v="2002-04-28T00:00:00"/>
    <s v="OTIF FAIL"/>
    <n v="1"/>
    <s v="1210_FG_CRC"/>
    <x v="16"/>
    <n v="0"/>
    <m/>
  </r>
  <r>
    <s v="0558116282-2"/>
    <s v="CST"/>
    <n v="0.9"/>
    <n v="260"/>
    <n v="0"/>
    <n v="2.641"/>
    <n v="2.641"/>
    <s v="CRAP"/>
    <d v="2001-10-25T00:00:00"/>
    <d v="2002-03-15T00:00:00"/>
    <d v="2002-03-30T00:00:00"/>
    <d v="2002-03-30T00:00:00"/>
    <d v="2002-03-30T00:00:00"/>
    <d v="2002-03-30T00:00:00"/>
    <s v="OTIF FAIL"/>
    <n v="2"/>
    <s v="1210_FG_CRC"/>
    <x v="9"/>
    <n v="1"/>
    <m/>
  </r>
  <r>
    <s v="0558116287-1"/>
    <s v="CST"/>
    <n v="1.25"/>
    <n v="375"/>
    <n v="0"/>
    <n v="11.27"/>
    <n v="11.27"/>
    <s v="CRAP"/>
    <d v="2001-10-25T00:00:00"/>
    <d v="2002-03-16T00:00:00"/>
    <d v="2002-03-23T00:00:00"/>
    <d v="2002-03-23T00:00:00"/>
    <d v="2002-03-23T00:00:00"/>
    <d v="2002-03-23T00:00:00"/>
    <s v="OTIF FAIL"/>
    <n v="1"/>
    <s v="1210_FG_CRC"/>
    <x v="0"/>
    <n v="1"/>
    <m/>
  </r>
  <r>
    <s v="0558116144-2"/>
    <s v="HRC"/>
    <n v="0.57999999999999996"/>
    <n v="59.5"/>
    <n v="0"/>
    <n v="30"/>
    <n v="22.8"/>
    <s v="CRAP"/>
    <d v="2001-09-25T00:00:00"/>
    <d v="2002-03-31T00:00:00"/>
    <s v="-"/>
    <s v="-"/>
    <d v="2002-04-16T00:00:00"/>
    <d v="2002-04-16T00:00:00"/>
    <s v="OTIF FAIL"/>
    <n v="2"/>
    <s v="1210_FG_CRC"/>
    <x v="15"/>
    <n v="0"/>
    <m/>
  </r>
  <r>
    <s v="0569022585-1"/>
    <s v="CRC"/>
    <n v="0.5"/>
    <n v="1250"/>
    <n v="0"/>
    <n v="12"/>
    <n v="12"/>
    <s v="CRAP"/>
    <d v="2001-09-25T00:00:00"/>
    <d v="2002-03-10T00:00:00"/>
    <d v="2002-04-26T00:00:00"/>
    <d v="2002-04-26T00:00:00"/>
    <d v="2002-04-19T00:00:00"/>
    <d v="2002-04-22T00:00:00"/>
    <s v="OTIF FAIL"/>
    <n v="1"/>
    <s v="1210_FG_CRC"/>
    <x v="2"/>
    <n v="1"/>
    <m/>
  </r>
  <r>
    <s v="0558108419-3"/>
    <s v="CST"/>
    <n v="2"/>
    <n v="1250"/>
    <n v="0"/>
    <n v="3"/>
    <n v="3"/>
    <s v="CRAP"/>
    <d v="2001-08-19T00:00:00"/>
    <d v="2002-02-25T00:00:00"/>
    <d v="2002-03-29T00:00:00"/>
    <d v="2002-03-29T00:00:00"/>
    <d v="2002-03-29T00:00:00"/>
    <d v="2002-03-29T00:00:00"/>
    <s v="OTIF FAIL"/>
    <n v="3"/>
    <s v="1210_FG_CRC"/>
    <x v="9"/>
    <n v="1"/>
    <m/>
  </r>
  <r>
    <s v="0558113933-2"/>
    <s v="CRC"/>
    <n v="0.5"/>
    <n v="90"/>
    <n v="0"/>
    <n v="5"/>
    <n v="5"/>
    <s v="CRAP"/>
    <d v="2001-08-11T00:00:00"/>
    <d v="2002-02-27T00:00:00"/>
    <d v="2002-04-24T00:00:00"/>
    <d v="2002-04-24T00:00:00"/>
    <d v="2002-03-29T00:00:00"/>
    <d v="2002-05-13T00:00:00"/>
    <s v="OTIF FAIL"/>
    <n v="2"/>
    <s v="1210_FG_CRC"/>
    <x v="4"/>
    <n v="1"/>
    <m/>
  </r>
  <r>
    <s v="0558116641-1"/>
    <s v="HRC"/>
    <n v="0.8"/>
    <n v="340"/>
    <n v="0"/>
    <n v="22.571999999999999"/>
    <n v="22.571999999999999"/>
    <s v="CRAP"/>
    <d v="2002-03-20T00:00:00"/>
    <d v="2002-04-22T00:00:00"/>
    <s v="-"/>
    <s v="-"/>
    <d v="2002-04-29T00:00:00"/>
    <d v="2002-04-29T00:00:00"/>
    <s v="OTIF FAIL"/>
    <n v="1"/>
    <s v="1210_FG_CRC"/>
    <x v="16"/>
    <n v="1"/>
    <m/>
  </r>
  <r>
    <s v="0558110930-1"/>
    <s v="CST"/>
    <n v="0.7"/>
    <n v="1250"/>
    <n v="0"/>
    <n v="3"/>
    <n v="3"/>
    <s v="CRAP"/>
    <d v="2001-09-25T00:00:00"/>
    <d v="2002-03-04T00:00:00"/>
    <d v="2002-04-29T00:00:00"/>
    <d v="2002-04-29T00:00:00"/>
    <d v="2002-04-22T00:00:00"/>
    <d v="2002-04-22T00:00:00"/>
    <s v="OTIF FAIL"/>
    <n v="1"/>
    <s v="1210_FG_CRC"/>
    <x v="2"/>
    <n v="1"/>
    <m/>
  </r>
  <r>
    <s v="0569022747-2"/>
    <s v="CBL"/>
    <n v="0.7"/>
    <n v="1250"/>
    <n v="0"/>
    <n v="8"/>
    <n v="8"/>
    <s v="CRAP"/>
    <d v="2001-09-25T00:00:00"/>
    <d v="2002-03-10T00:00:00"/>
    <d v="2002-04-29T00:00:00"/>
    <d v="2002-04-29T00:00:00"/>
    <d v="2002-04-22T00:00:00"/>
    <d v="2002-04-22T00:00:00"/>
    <s v="OTIF FAIL"/>
    <n v="2"/>
    <s v="1210_FG_CRC"/>
    <x v="2"/>
    <n v="1"/>
    <m/>
  </r>
  <r>
    <s v="0568012792-14"/>
    <s v="PSS"/>
    <n v="1.5"/>
    <n v="1000"/>
    <n v="0"/>
    <n v="32"/>
    <n v="32"/>
    <s v="CRAP"/>
    <d v="2001-08-23T00:00:00"/>
    <d v="2002-02-27T00:00:00"/>
    <d v="2002-03-18T00:00:00"/>
    <d v="2002-03-18T00:00:00"/>
    <d v="2002-03-18T00:00:00"/>
    <d v="2002-03-18T00:00:00"/>
    <s v="OTIF FAIL"/>
    <n v="14"/>
    <s v="1210_FG_CRC"/>
    <x v="0"/>
    <n v="1"/>
    <m/>
  </r>
  <r>
    <s v="0558115880-3"/>
    <s v="CST"/>
    <n v="0.7"/>
    <n v="1250"/>
    <n v="0"/>
    <n v="24"/>
    <n v="24"/>
    <s v="CRAP"/>
    <d v="2001-09-25T00:00:00"/>
    <d v="2002-02-27T00:00:00"/>
    <d v="2002-03-20T00:00:00"/>
    <d v="2002-03-20T00:00:00"/>
    <d v="2002-03-27T00:00:00"/>
    <d v="2002-03-29T00:00:00"/>
    <s v="OTIF FAIL"/>
    <n v="3"/>
    <s v="1210_FG_CRC"/>
    <x v="9"/>
    <n v="1"/>
    <m/>
  </r>
  <r>
    <s v="0558110878-1"/>
    <s v="HRC"/>
    <n v="0.8"/>
    <n v="1250"/>
    <n v="0"/>
    <n v="15"/>
    <n v="15"/>
    <s v="CRAP"/>
    <d v="2001-09-25T00:00:00"/>
    <d v="2002-02-26T00:00:00"/>
    <d v="2002-03-23T00:00:00"/>
    <d v="2002-03-23T00:00:00"/>
    <d v="2002-03-23T00:00:00"/>
    <d v="2002-03-28T00:00:00"/>
    <s v="OTIF FAIL"/>
    <n v="1"/>
    <s v="1210_FG_CRC"/>
    <x v="9"/>
    <n v="1"/>
    <m/>
  </r>
  <r>
    <s v="0558113933-5"/>
    <s v="HRC"/>
    <n v="0.6"/>
    <n v="76"/>
    <n v="0"/>
    <n v="6"/>
    <n v="6"/>
    <s v="CRAP"/>
    <d v="2001-08-11T00:00:00"/>
    <d v="2002-02-27T00:00:00"/>
    <d v="2002-04-02T00:00:00"/>
    <d v="2002-04-02T00:00:00"/>
    <d v="2002-03-29T00:00:00"/>
    <d v="2002-05-15T00:00:00"/>
    <s v="OTIF FAIL"/>
    <n v="5"/>
    <s v="1210_FG_CRC"/>
    <x v="4"/>
    <n v="1"/>
    <m/>
  </r>
  <r>
    <s v="0558114725-1"/>
    <s v="CST"/>
    <n v="1.5"/>
    <n v="625"/>
    <n v="0"/>
    <n v="20"/>
    <n v="20"/>
    <s v="CRAP"/>
    <d v="2001-08-23T00:00:00"/>
    <d v="2002-03-30T00:00:00"/>
    <s v="-"/>
    <s v="-"/>
    <d v="2002-04-06T00:00:00"/>
    <d v="2002-04-06T00:00:00"/>
    <s v="OTIF FAIL"/>
    <n v="1"/>
    <s v="1210_FG_CRC"/>
    <x v="6"/>
    <n v="1"/>
    <m/>
  </r>
  <r>
    <s v="0558110847-1"/>
    <s v="HRC"/>
    <n v="0.6"/>
    <n v="1250"/>
    <n v="0"/>
    <n v="6"/>
    <n v="6"/>
    <s v="CRAP"/>
    <d v="2001-09-25T00:00:00"/>
    <d v="2002-03-04T00:00:00"/>
    <d v="2002-02-23T00:00:00"/>
    <d v="2002-03-04T00:00:00"/>
    <d v="2002-01-28T00:00:00"/>
    <d v="2002-01-28T00:00:00"/>
    <s v="OTIF PASS"/>
    <n v="1"/>
    <s v="1210_FG_CRC"/>
    <x v="10"/>
    <n v="1"/>
    <m/>
  </r>
  <r>
    <s v="0568012792-12"/>
    <s v="CST"/>
    <n v="0.8"/>
    <n v="870"/>
    <n v="0"/>
    <n v="25"/>
    <n v="25"/>
    <s v="CRAP"/>
    <d v="2001-08-19T00:00:00"/>
    <d v="2002-02-27T00:00:00"/>
    <d v="2002-03-21T00:00:00"/>
    <d v="2002-03-21T00:00:00"/>
    <d v="2002-03-21T00:00:00"/>
    <d v="2002-03-21T00:00:00"/>
    <s v="OTIF FAIL"/>
    <n v="12"/>
    <s v="1210_FG_CRC"/>
    <x v="0"/>
    <n v="1"/>
    <m/>
  </r>
  <r>
    <s v="0558108573-1"/>
    <s v="CST"/>
    <n v="1.5"/>
    <n v="1250"/>
    <n v="0"/>
    <n v="60"/>
    <n v="21.384"/>
    <s v="CRAP"/>
    <d v="2001-08-29T00:00:00"/>
    <d v="2002-02-27T00:00:00"/>
    <d v="2002-03-10T00:00:00"/>
    <d v="2002-03-10T00:00:00"/>
    <d v="2002-03-13T00:00:00"/>
    <d v="2002-03-13T00:00:00"/>
    <s v="OTIF FAIL"/>
    <n v="1"/>
    <s v="1210_FG_CRC"/>
    <x v="3"/>
    <n v="0"/>
    <m/>
  </r>
  <r>
    <s v="0558110972-1"/>
    <s v="HRC"/>
    <n v="0.7"/>
    <n v="1250"/>
    <n v="0"/>
    <n v="6"/>
    <n v="6"/>
    <s v="CRAP"/>
    <d v="2001-09-25T00:00:00"/>
    <d v="2002-03-04T00:00:00"/>
    <d v="2002-04-29T00:00:00"/>
    <d v="2002-04-29T00:00:00"/>
    <d v="2002-04-22T00:00:00"/>
    <d v="2002-04-22T00:00:00"/>
    <s v="OTIF FAIL"/>
    <n v="1"/>
    <s v="1210_FG_CRC"/>
    <x v="2"/>
    <n v="1"/>
    <m/>
  </r>
  <r>
    <s v="0558114649-2"/>
    <s v="HRC"/>
    <n v="1.2"/>
    <n v="1250"/>
    <n v="0"/>
    <n v="22"/>
    <n v="22"/>
    <s v="CRAP"/>
    <d v="2001-08-23T00:00:00"/>
    <d v="2002-02-27T00:00:00"/>
    <d v="2002-03-03T00:00:00"/>
    <d v="2002-03-03T00:00:00"/>
    <d v="2002-03-10T00:00:00"/>
    <d v="2002-03-10T00:00:00"/>
    <s v="OTIF FAIL"/>
    <n v="2"/>
    <s v="1210_FG_CRC"/>
    <x v="3"/>
    <n v="1"/>
    <m/>
  </r>
  <r>
    <s v="0558108573-2"/>
    <s v="CST"/>
    <n v="2.5"/>
    <n v="1250"/>
    <n v="0"/>
    <n v="40"/>
    <n v="40"/>
    <s v="CRAP"/>
    <d v="2001-08-29T00:00:00"/>
    <d v="2002-02-27T00:00:00"/>
    <d v="2002-03-12T00:00:00"/>
    <d v="2002-03-12T00:00:00"/>
    <d v="2002-03-13T00:00:00"/>
    <d v="2002-03-13T00:00:00"/>
    <s v="OTIF FAIL"/>
    <n v="2"/>
    <s v="1210_FG_CRC"/>
    <x v="3"/>
    <n v="1"/>
    <m/>
  </r>
  <r>
    <s v="0558116622-1"/>
    <s v="CST"/>
    <n v="0.7"/>
    <n v="430"/>
    <n v="0"/>
    <n v="3.7"/>
    <n v="3.7"/>
    <s v="CRAP"/>
    <d v="2002-03-20T00:00:00"/>
    <d v="2002-04-21T00:00:00"/>
    <d v="2002-04-28T00:00:00"/>
    <d v="2002-04-28T00:00:00"/>
    <s v="-"/>
    <d v="2002-04-28T00:00:00"/>
    <s v="OTIF FAIL"/>
    <n v="1"/>
    <s v="1210_FG_CRC"/>
    <x v="16"/>
    <n v="0"/>
    <m/>
  </r>
  <r>
    <s v="0558115796-7"/>
    <s v="CST"/>
    <n v="1"/>
    <n v="1250"/>
    <n v="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7"/>
    <s v="1210_FG_CRC"/>
    <x v="9"/>
    <n v="1"/>
    <m/>
  </r>
  <r>
    <s v="0568012753-2"/>
    <s v="CST"/>
    <n v="1.5"/>
    <n v="400"/>
    <n v="0"/>
    <n v="20"/>
    <n v="20"/>
    <s v="CRAP"/>
    <d v="2001-08-15T00:00:00"/>
    <d v="2002-02-27T00:00:00"/>
    <d v="2002-03-21T00:00:00"/>
    <d v="2002-03-21T00:00:00"/>
    <d v="2002-03-21T00:00:00"/>
    <d v="2002-03-21T00:00:00"/>
    <s v="OTIF FAIL"/>
    <n v="2"/>
    <s v="1210_FG_CRC"/>
    <x v="0"/>
    <n v="1"/>
    <m/>
  </r>
  <r>
    <s v="0558116702-1"/>
    <s v="CRC"/>
    <n v="0.7"/>
    <n v="410"/>
    <n v="0"/>
    <n v="7"/>
    <n v="7"/>
    <s v="CRAP"/>
    <d v="2002-03-28T00:00:00"/>
    <d v="2002-05-11T00:00:00"/>
    <s v="-"/>
    <s v="-"/>
    <s v="-"/>
    <d v="2002-04-05T00:00:00"/>
    <s v="OTIF FAIL"/>
    <n v="1"/>
    <s v="1210_FG_CRC"/>
    <x v="6"/>
    <n v="0"/>
    <m/>
  </r>
  <r>
    <s v="0568012792-10"/>
    <s v="CST"/>
    <n v="0.8"/>
    <n v="760"/>
    <n v="0"/>
    <n v="22"/>
    <n v="22"/>
    <s v="CRAP"/>
    <d v="2001-08-19T00:00:00"/>
    <d v="2002-02-27T00:00:00"/>
    <s v="-"/>
    <s v="-"/>
    <d v="2002-03-22T00:00:00"/>
    <d v="2002-03-22T00:00:00"/>
    <s v="OTIF FAIL"/>
    <n v="10"/>
    <s v="1210_FG_CRC"/>
    <x v="0"/>
    <n v="1"/>
    <m/>
  </r>
  <r>
    <s v="0558109044-8"/>
    <s v="HRC"/>
    <n v="2"/>
    <n v="1250"/>
    <n v="0"/>
    <n v="5"/>
    <n v="5"/>
    <s v="CRAP"/>
    <d v="2001-08-19T00:00:00"/>
    <d v="2002-02-25T00:00:00"/>
    <d v="2002-03-29T00:00:00"/>
    <d v="2002-03-29T00:00:00"/>
    <d v="2002-03-29T00:00:00"/>
    <d v="2002-03-29T00:00:00"/>
    <s v="OTIF FAIL"/>
    <n v="8"/>
    <s v="1210_FG_CRC"/>
    <x v="9"/>
    <n v="1"/>
    <m/>
  </r>
  <r>
    <s v="0568012792-11"/>
    <s v="HPC"/>
    <n v="0.8"/>
    <n v="860"/>
    <n v="0"/>
    <n v="25"/>
    <n v="25"/>
    <s v="CRAP"/>
    <d v="2001-08-19T00:00:00"/>
    <d v="2002-02-27T00:00:00"/>
    <d v="2002-03-21T00:00:00"/>
    <d v="2002-03-21T00:00:00"/>
    <d v="2002-03-21T00:00:00"/>
    <d v="2002-03-21T00:00:00"/>
    <s v="OTIF FAIL"/>
    <n v="11"/>
    <s v="1210_FG_CRC"/>
    <x v="0"/>
    <n v="1"/>
    <m/>
  </r>
  <r>
    <s v="0568012792-13"/>
    <s v="CST"/>
    <n v="0.8"/>
    <n v="1000"/>
    <n v="0"/>
    <n v="50"/>
    <n v="50"/>
    <s v="CRAP"/>
    <d v="2001-08-23T00:00:00"/>
    <d v="2002-02-27T00:00:00"/>
    <d v="2002-03-25T00:00:00"/>
    <d v="2002-03-25T00:00:00"/>
    <d v="2002-03-25T00:00:00"/>
    <d v="2002-03-25T00:00:00"/>
    <s v="OTIF FAIL"/>
    <n v="13"/>
    <s v="1210_FG_CRC"/>
    <x v="9"/>
    <n v="1"/>
    <m/>
  </r>
  <r>
    <s v="0558115995-1"/>
    <s v="CST"/>
    <n v="0.5"/>
    <n v="1250"/>
    <n v="0"/>
    <n v="40"/>
    <n v="40"/>
    <s v="CRAP"/>
    <d v="2001-08-31T00:00:00"/>
    <d v="2002-03-10T00:00:00"/>
    <d v="2002-02-25T00:00:00"/>
    <d v="2002-03-10T00:00:00"/>
    <d v="2002-01-19T00:00:00"/>
    <d v="2002-01-19T00:00:00"/>
    <s v="OTIF PASS"/>
    <n v="1"/>
    <s v="1210_FG_CRC"/>
    <x v="13"/>
    <n v="1"/>
    <m/>
  </r>
  <r>
    <s v="0558114062-1"/>
    <s v="CST"/>
    <n v="1.5"/>
    <n v="1000"/>
    <n v="0"/>
    <n v="6"/>
    <n v="6"/>
    <s v="CRAP"/>
    <d v="2001-08-16T00:00:00"/>
    <d v="2002-03-07T00:00:00"/>
    <d v="2002-04-08T00:00:00"/>
    <d v="2002-04-08T00:00:00"/>
    <d v="2002-04-08T00:00:00"/>
    <d v="2002-04-08T00:00:00"/>
    <s v="OTIF FAIL"/>
    <n v="1"/>
    <s v="1210_FG_CRC"/>
    <x v="7"/>
    <n v="1"/>
    <m/>
  </r>
  <r>
    <s v="0558108714-2"/>
    <s v="CST"/>
    <n v="0.75"/>
    <n v="415"/>
    <n v="0"/>
    <n v="6.64"/>
    <n v="6.64"/>
    <s v="CRAP"/>
    <d v="2001-08-19T00:00:00"/>
    <d v="2002-02-27T00:00:00"/>
    <d v="2002-04-05T00:00:00"/>
    <d v="2002-04-05T00:00:00"/>
    <d v="2002-04-05T00:00:00"/>
    <d v="2002-04-05T00:00:00"/>
    <s v="OTIF FAIL"/>
    <n v="2"/>
    <s v="1210_FG_CRC"/>
    <x v="6"/>
    <n v="1"/>
    <m/>
  </r>
  <r>
    <s v="0558116646-1"/>
    <s v="PSS"/>
    <n v="0.7"/>
    <n v="410"/>
    <n v="0"/>
    <n v="7"/>
    <n v="7"/>
    <s v="CRAP"/>
    <d v="2002-03-20T00:00:00"/>
    <d v="2002-04-21T00:00:00"/>
    <d v="2002-04-28T00:00:00"/>
    <d v="2002-04-28T00:00:00"/>
    <s v="-"/>
    <d v="2002-04-28T00:00:00"/>
    <s v="OTIF FAIL"/>
    <n v="1"/>
    <s v="1210_FG_CRC"/>
    <x v="16"/>
    <n v="0"/>
    <m/>
  </r>
  <r>
    <s v="0558115611-4"/>
    <s v="CST"/>
    <n v="1.5"/>
    <n v="1000"/>
    <n v="0"/>
    <n v="3"/>
    <n v="3"/>
    <s v="CRAP"/>
    <d v="2001-09-25T00:00:00"/>
    <d v="2002-03-08T00:00:00"/>
    <d v="2002-04-08T00:00:00"/>
    <d v="2002-04-08T00:00:00"/>
    <d v="2002-04-08T00:00:00"/>
    <d v="2002-04-08T00:00:00"/>
    <s v="OTIF FAIL"/>
    <n v="4"/>
    <s v="1210_FG_CRC"/>
    <x v="7"/>
    <n v="1"/>
    <m/>
  </r>
  <r>
    <s v="0558112038-2"/>
    <s v="HRC"/>
    <n v="1.2"/>
    <n v="1000"/>
    <n v="0"/>
    <n v="6"/>
    <n v="6"/>
    <s v="CRAP"/>
    <d v="2001-09-25T00:00:00"/>
    <d v="2002-03-04T00:00:00"/>
    <s v="-"/>
    <s v="-"/>
    <d v="2002-03-30T00:00:00"/>
    <d v="2002-04-06T00:00:00"/>
    <s v="OTIF FAIL"/>
    <n v="2"/>
    <s v="1210_FG_CRC"/>
    <x v="6"/>
    <n v="1"/>
    <m/>
  </r>
  <r>
    <s v="0558098237-9"/>
    <s v="CST"/>
    <n v="0.5"/>
    <n v="1250"/>
    <n v="0"/>
    <n v="3"/>
    <n v="3"/>
    <s v="CRAP"/>
    <d v="2001-03-08T00:00:00"/>
    <d v="2002-02-27T00:00:00"/>
    <d v="2002-03-29T00:00:00"/>
    <d v="2002-03-29T00:00:00"/>
    <d v="2002-03-24T00:00:00"/>
    <d v="2002-03-24T00:00:00"/>
    <s v="OTIF FAIL"/>
    <n v="9"/>
    <s v="1210_FG_CRC"/>
    <x v="9"/>
    <n v="1"/>
    <m/>
  </r>
  <r>
    <s v="0558108714-3"/>
    <s v="HPC"/>
    <n v="0.75"/>
    <n v="420"/>
    <n v="0"/>
    <n v="6.72"/>
    <n v="6.72"/>
    <s v="CRAP"/>
    <d v="2001-08-19T00:00:00"/>
    <d v="2002-02-27T00:00:00"/>
    <d v="2002-04-05T00:00:00"/>
    <d v="2002-04-05T00:00:00"/>
    <d v="2002-04-05T00:00:00"/>
    <d v="2002-04-05T00:00:00"/>
    <s v="OTIF FAIL"/>
    <n v="3"/>
    <s v="1210_FG_CRC"/>
    <x v="6"/>
    <n v="1"/>
    <m/>
  </r>
  <r>
    <s v="0558110587-1"/>
    <s v="CST"/>
    <n v="0.5"/>
    <n v="1250"/>
    <n v="0"/>
    <n v="44"/>
    <n v="27.411999999999999"/>
    <s v="CRAP"/>
    <d v="2001-09-25T00:00:00"/>
    <d v="2002-02-27T00:00:00"/>
    <d v="2002-03-13T00:00:00"/>
    <d v="2002-03-13T00:00:00"/>
    <d v="2002-03-18T00:00:00"/>
    <d v="2002-03-18T00:00:00"/>
    <s v="OTIF FAIL"/>
    <n v="1"/>
    <s v="1210_FG_CRC"/>
    <x v="0"/>
    <n v="0"/>
    <m/>
  </r>
  <r>
    <s v="0558110374-5"/>
    <s v="CST"/>
    <n v="0.5"/>
    <n v="1250"/>
    <n v="0"/>
    <n v="3"/>
    <n v="3"/>
    <s v="CRAP"/>
    <d v="2001-09-25T00:00:00"/>
    <d v="2002-03-04T00:00:00"/>
    <d v="2002-04-26T00:00:00"/>
    <d v="2002-04-26T00:00:00"/>
    <d v="2002-04-19T00:00:00"/>
    <d v="2002-04-22T00:00:00"/>
    <s v="OTIF FAIL"/>
    <n v="5"/>
    <s v="1210_FG_CRC"/>
    <x v="2"/>
    <n v="1"/>
    <m/>
  </r>
  <r>
    <s v="0558111073-1"/>
    <s v="CBL"/>
    <n v="0.5"/>
    <n v="1250"/>
    <n v="0"/>
    <n v="3"/>
    <n v="3"/>
    <s v="CRAP"/>
    <d v="2001-09-25T00:00:00"/>
    <d v="2002-03-04T00:00:00"/>
    <d v="2002-04-26T00:00:00"/>
    <d v="2002-04-26T00:00:00"/>
    <d v="2002-04-19T00:00:00"/>
    <d v="2002-04-22T00:00:00"/>
    <s v="OTIF FAIL"/>
    <n v="1"/>
    <s v="1210_FG_CRC"/>
    <x v="2"/>
    <n v="1"/>
    <m/>
  </r>
  <r>
    <s v="0558114649-3"/>
    <s v="PSS"/>
    <n v="1.5"/>
    <n v="1250"/>
    <n v="0"/>
    <n v="22"/>
    <n v="22"/>
    <s v="CRAP"/>
    <d v="2001-08-23T00:00:00"/>
    <d v="2002-02-27T00:00:00"/>
    <d v="2002-03-12T00:00:00"/>
    <d v="2002-03-12T00:00:00"/>
    <d v="2002-03-19T00:00:00"/>
    <d v="2002-03-19T00:00:00"/>
    <s v="OTIF FAIL"/>
    <n v="3"/>
    <s v="1210_FG_CRC"/>
    <x v="0"/>
    <n v="1"/>
    <m/>
  </r>
  <r>
    <s v="0558110577-1"/>
    <s v="CRC"/>
    <n v="0.7"/>
    <n v="1250"/>
    <n v="0"/>
    <n v="22"/>
    <n v="22"/>
    <s v="CRAP"/>
    <d v="2001-09-25T00:00:00"/>
    <d v="2002-02-27T00:00:00"/>
    <d v="2002-02-28T00:00:00"/>
    <d v="2002-02-28T00:00:00"/>
    <d v="2002-01-25T00:00:00"/>
    <d v="2002-01-25T00:00:00"/>
    <s v="OTIF FAIL"/>
    <n v="1"/>
    <s v="1210_FG_CRC"/>
    <x v="8"/>
    <n v="1"/>
    <m/>
  </r>
  <r>
    <s v="0558110991-5"/>
    <s v="CRC"/>
    <n v="0.7"/>
    <n v="1250"/>
    <n v="0"/>
    <n v="3"/>
    <n v="3"/>
    <s v="CRAP"/>
    <d v="2001-09-25T00:00:00"/>
    <d v="2002-03-04T00:00:00"/>
    <d v="2002-02-19T00:00:00"/>
    <d v="2002-03-04T00:00:00"/>
    <d v="2002-01-30T00:00:00"/>
    <d v="2002-01-30T00:00:00"/>
    <s v="OTIF PASS"/>
    <n v="5"/>
    <s v="1210_FG_CRC"/>
    <x v="10"/>
    <n v="1"/>
    <m/>
  </r>
  <r>
    <s v="0558110156-3"/>
    <s v="CST"/>
    <n v="0.5"/>
    <n v="625"/>
    <n v="0"/>
    <n v="9.9990000000000006"/>
    <n v="9.9990000000000006"/>
    <s v="CRAP"/>
    <d v="2001-09-25T00:00:00"/>
    <d v="2002-03-30T00:00:00"/>
    <d v="2002-04-27T00:00:00"/>
    <d v="2002-04-27T00:00:00"/>
    <d v="2002-04-20T00:00:00"/>
    <d v="2002-04-20T00:00:00"/>
    <s v="OTIF FAIL"/>
    <n v="3"/>
    <s v="1210_FG_CRC"/>
    <x v="15"/>
    <n v="1"/>
    <m/>
  </r>
  <r>
    <s v="0569022747-1"/>
    <s v="HRC"/>
    <n v="0.5"/>
    <n v="1250"/>
    <n v="0"/>
    <n v="6"/>
    <n v="6"/>
    <s v="CRAP"/>
    <d v="2001-09-25T00:00:00"/>
    <d v="2002-03-10T00:00:00"/>
    <d v="2002-04-26T00:00:00"/>
    <d v="2002-04-26T00:00:00"/>
    <d v="2002-04-19T00:00:00"/>
    <d v="2002-04-22T00:00:00"/>
    <s v="OTIF FAIL"/>
    <n v="1"/>
    <s v="1210_FG_CRC"/>
    <x v="2"/>
    <n v="1"/>
    <m/>
  </r>
  <r>
    <s v="0569022380-2"/>
    <s v="HRC"/>
    <n v="0.6"/>
    <n v="1250"/>
    <n v="0"/>
    <n v="48"/>
    <n v="25.4"/>
    <s v="CRAP"/>
    <d v="2001-09-25T00:00:00"/>
    <d v="2002-03-10T00:00:00"/>
    <d v="2002-03-28T00:00:00"/>
    <d v="2002-03-28T00:00:00"/>
    <d v="2002-03-28T00:00:00"/>
    <d v="2002-04-22T00:00:00"/>
    <s v="OTIF FAIL"/>
    <n v="2"/>
    <s v="1210_FG_CRC"/>
    <x v="2"/>
    <n v="0"/>
    <m/>
  </r>
  <r>
    <s v="0558106703-2"/>
    <s v="HRC"/>
    <n v="0.5"/>
    <n v="1250"/>
    <n v="0"/>
    <n v="22"/>
    <n v="22"/>
    <s v="CRAP"/>
    <d v="2001-09-25T00:00:00"/>
    <d v="2002-02-26T00:00:00"/>
    <s v="-"/>
    <s v="-"/>
    <d v="2002-04-01T00:00:00"/>
    <d v="2002-04-01T00:00:00"/>
    <s v="OTIF FAIL"/>
    <n v="2"/>
    <s v="1210_FG_CRC"/>
    <x v="6"/>
    <n v="1"/>
    <m/>
  </r>
  <r>
    <s v="0569022380-3"/>
    <s v="HPC"/>
    <n v="0.7"/>
    <n v="1250"/>
    <n v="0"/>
    <n v="47"/>
    <n v="35.433999999999997"/>
    <s v="CRAP"/>
    <d v="2001-09-25T00:00:00"/>
    <d v="2002-03-10T00:00:00"/>
    <d v="2002-04-14T00:00:00"/>
    <d v="2002-04-14T00:00:00"/>
    <d v="2002-04-13T00:00:00"/>
    <d v="2002-04-22T00:00:00"/>
    <s v="OTIF FAIL"/>
    <n v="3"/>
    <s v="1210_FG_CRC"/>
    <x v="2"/>
    <n v="0"/>
    <m/>
  </r>
  <r>
    <s v="0558113481-1"/>
    <s v="CST"/>
    <n v="0.46"/>
    <n v="50.4"/>
    <n v="0"/>
    <n v="18"/>
    <n v="18"/>
    <s v="CRAP"/>
    <d v="2001-08-05T00:00:00"/>
    <d v="2002-03-30T00:00:00"/>
    <s v="-"/>
    <s v="-"/>
    <d v="2002-04-06T00:00:00"/>
    <d v="2002-04-06T00:00:00"/>
    <s v="OTIF FAIL"/>
    <n v="1"/>
    <s v="1210_FG_CRC"/>
    <x v="6"/>
    <n v="1"/>
    <m/>
  </r>
  <r>
    <s v="0558112395-4"/>
    <s v="HRC"/>
    <n v="1.5"/>
    <n v="1000"/>
    <n v="0"/>
    <n v="3"/>
    <n v="3"/>
    <s v="CRAP"/>
    <d v="2001-09-25T00:00:00"/>
    <d v="2002-03-05T00:00:00"/>
    <d v="2002-04-08T00:00:00"/>
    <d v="2002-04-08T00:00:00"/>
    <d v="2002-04-08T00:00:00"/>
    <d v="2002-04-08T00:00:00"/>
    <s v="OTIF FAIL"/>
    <n v="4"/>
    <s v="1210_FG_CRC"/>
    <x v="7"/>
    <n v="1"/>
    <m/>
  </r>
  <r>
    <s v="0558108039-3"/>
    <s v="HPC"/>
    <n v="0.78"/>
    <n v="1250"/>
    <n v="0"/>
    <n v="44"/>
    <n v="44"/>
    <s v="CRAP"/>
    <d v="2001-09-25T00:00:00"/>
    <d v="2002-02-27T00:00:00"/>
    <d v="2002-03-13T00:00:00"/>
    <d v="2002-03-13T00:00:00"/>
    <d v="2002-03-18T00:00:00"/>
    <d v="2002-03-18T00:00:00"/>
    <s v="OTIF FAIL"/>
    <n v="3"/>
    <s v="1210_FG_CRC"/>
    <x v="0"/>
    <n v="1"/>
    <m/>
  </r>
  <r>
    <s v="0569022942-2"/>
    <s v="HPC"/>
    <n v="0.6"/>
    <n v="1250"/>
    <n v="0"/>
    <n v="3"/>
    <n v="3"/>
    <s v="CRAP"/>
    <d v="2001-08-07T00:00:00"/>
    <d v="2002-03-09T00:00:00"/>
    <d v="2002-04-29T00:00:00"/>
    <d v="2002-04-29T00:00:00"/>
    <d v="2002-04-22T00:00:00"/>
    <d v="2002-04-22T00:00:00"/>
    <s v="OTIF FAIL"/>
    <n v="2"/>
    <s v="1210_FG_CRC"/>
    <x v="2"/>
    <n v="1"/>
    <m/>
  </r>
  <r>
    <s v="0558115796-9"/>
    <s v="CST"/>
    <n v="1.5"/>
    <n v="1250"/>
    <n v="0"/>
    <n v="3"/>
    <n v="3"/>
    <s v="CRAP"/>
    <d v="2001-09-25T00:00:00"/>
    <d v="2002-03-08T00:00:00"/>
    <d v="2002-03-30T00:00:00"/>
    <d v="2002-03-30T00:00:00"/>
    <d v="2002-03-30T00:00:00"/>
    <d v="2002-03-30T00:00:00"/>
    <s v="OTIF FAIL"/>
    <n v="9"/>
    <s v="1210_FG_CRC"/>
    <x v="9"/>
    <n v="1"/>
    <m/>
  </r>
  <r>
    <s v="0558115976-1"/>
    <s v="CST"/>
    <n v="3"/>
    <n v="1250"/>
    <n v="0"/>
    <n v="6"/>
    <n v="6"/>
    <s v="CRAP"/>
    <d v="2001-09-25T00:00:00"/>
    <d v="2002-03-08T00:00:00"/>
    <s v="-"/>
    <s v="-"/>
    <d v="2002-01-20T00:00:00"/>
    <d v="2002-01-28T00:00:00"/>
    <s v="OTIF FAIL"/>
    <n v="1"/>
    <s v="1210_FG_CRC"/>
    <x v="10"/>
    <n v="1"/>
    <m/>
  </r>
  <r>
    <s v="0558107713-2"/>
    <s v="JBS"/>
    <n v="0.5"/>
    <n v="625"/>
    <n v="0"/>
    <n v="9.9990000000000006"/>
    <n v="9.9990000000000006"/>
    <s v="CRAP"/>
    <d v="2001-06-05T00:00:00"/>
    <d v="2002-03-29T00:00:00"/>
    <d v="2002-04-27T00:00:00"/>
    <d v="2002-04-27T00:00:00"/>
    <d v="2002-04-20T00:00:00"/>
    <d v="2002-04-20T00:00:00"/>
    <s v="OTIF FAIL"/>
    <n v="2"/>
    <s v="1210_FG_CRC"/>
    <x v="15"/>
    <n v="1"/>
    <m/>
  </r>
  <r>
    <s v="0558107797-2"/>
    <s v="CST"/>
    <n v="1"/>
    <n v="1250"/>
    <n v="0"/>
    <n v="3"/>
    <n v="3"/>
    <s v="CRAP"/>
    <d v="2001-09-25T00:00:00"/>
    <d v="2002-02-26T00:00:00"/>
    <d v="2002-04-19T00:00:00"/>
    <d v="2002-04-19T00:00:00"/>
    <d v="2002-03-29T00:00:00"/>
    <d v="2002-03-29T00:00:00"/>
    <s v="OTIF FAIL"/>
    <n v="2"/>
    <s v="1210_FG_CRC"/>
    <x v="9"/>
    <n v="1"/>
    <m/>
  </r>
  <r>
    <s v="0558113825-1"/>
    <s v="CST"/>
    <n v="1.2"/>
    <n v="1250"/>
    <n v="0"/>
    <n v="44"/>
    <n v="44"/>
    <s v="CRAP"/>
    <d v="2001-08-11T00:00:00"/>
    <d v="2002-02-27T00:00:00"/>
    <d v="2002-03-03T00:00:00"/>
    <d v="2002-03-03T00:00:00"/>
    <d v="2002-03-08T00:00:00"/>
    <d v="2002-03-08T00:00:00"/>
    <s v="OTIF FAIL"/>
    <n v="1"/>
    <s v="1210_FG_CRC"/>
    <x v="1"/>
    <n v="1"/>
    <m/>
  </r>
  <r>
    <s v="0558116552-3"/>
    <s v="CST"/>
    <n v="0.5"/>
    <n v="70"/>
    <n v="0"/>
    <n v="12"/>
    <n v="12"/>
    <s v="CRAP"/>
    <d v="2002-02-17T00:00:00"/>
    <d v="2002-02-27T00:00:00"/>
    <s v="-"/>
    <s v="-"/>
    <d v="2002-03-22T00:00:00"/>
    <d v="2002-05-15T00:00:00"/>
    <s v="OTIF FAIL"/>
    <n v="3"/>
    <s v="1210_FG_CRC"/>
    <x v="4"/>
    <n v="1"/>
    <m/>
  </r>
  <r>
    <s v="0558116552-2"/>
    <s v="HRC"/>
    <n v="0.5"/>
    <n v="90"/>
    <n v="0"/>
    <n v="5"/>
    <n v="5"/>
    <s v="CRAP"/>
    <d v="2002-02-17T00:00:00"/>
    <d v="2002-02-27T00:00:00"/>
    <s v="-"/>
    <s v="-"/>
    <d v="2002-03-22T00:00:00"/>
    <d v="2002-05-13T00:00:00"/>
    <s v="OTIF FAIL"/>
    <n v="2"/>
    <s v="1210_FG_CRC"/>
    <x v="4"/>
    <n v="1"/>
    <m/>
  </r>
  <r>
    <s v="0558115775-16"/>
    <s v="HRC"/>
    <n v="2.1"/>
    <n v="117"/>
    <n v="0"/>
    <n v="5"/>
    <n v="5"/>
    <s v="CRAP"/>
    <d v="2001-08-30T00:00:00"/>
    <d v="2002-03-30T00:00:00"/>
    <d v="2002-04-13T00:00:00"/>
    <d v="2002-04-13T00:00:00"/>
    <d v="2002-04-06T00:00:00"/>
    <d v="2002-04-06T00:00:00"/>
    <s v="OTIF FAIL"/>
    <n v="16"/>
    <s v="1210_FG_CRC"/>
    <x v="6"/>
    <n v="1"/>
    <m/>
  </r>
  <r>
    <s v="0558078645-5"/>
    <s v="PSS"/>
    <n v="0.45"/>
    <n v="119"/>
    <n v="0"/>
    <n v="17.5"/>
    <n v="16.71"/>
    <s v="CRAP"/>
    <d v="2001-09-25T00:00:00"/>
    <d v="2002-02-27T00:00:00"/>
    <d v="2002-03-29T00:00:00"/>
    <d v="2002-03-29T00:00:00"/>
    <d v="2002-03-22T00:00:00"/>
    <d v="2002-03-22T00:00:00"/>
    <s v="OTIF FAIL"/>
    <n v="5"/>
    <s v="1210_FG_CRC"/>
    <x v="0"/>
    <n v="0"/>
    <m/>
  </r>
  <r>
    <s v="0558115775-17"/>
    <s v="PSS"/>
    <n v="2.1"/>
    <n v="76.5"/>
    <n v="0"/>
    <n v="5"/>
    <n v="5"/>
    <s v="CRAP"/>
    <d v="2001-08-30T00:00:00"/>
    <d v="2002-03-30T00:00:00"/>
    <d v="2002-04-13T00:00:00"/>
    <d v="2002-04-13T00:00:00"/>
    <d v="2002-04-06T00:00:00"/>
    <d v="2002-04-06T00:00:00"/>
    <s v="OTIF FAIL"/>
    <n v="17"/>
    <s v="1210_FG_CRC"/>
    <x v="6"/>
    <n v="1"/>
    <m/>
  </r>
  <r>
    <s v="0558115775-12"/>
    <s v="CST"/>
    <n v="1.63"/>
    <n v="117"/>
    <n v="0"/>
    <n v="5"/>
    <n v="5"/>
    <s v="CRAP"/>
    <d v="2001-08-30T00:00:00"/>
    <d v="2002-03-30T00:00:00"/>
    <d v="2002-03-30T00:00:00"/>
    <d v="2002-03-30T00:00:00"/>
    <d v="2002-03-30T00:00:00"/>
    <d v="2002-03-30T00:00:00"/>
    <s v="OTIF PASS"/>
    <n v="12"/>
    <s v="1210_FG_CRC"/>
    <x v="9"/>
    <n v="1"/>
    <m/>
  </r>
  <r>
    <s v="0569022675-1"/>
    <s v="CRC"/>
    <n v="0.5"/>
    <n v="1250"/>
    <n v="0"/>
    <n v="14"/>
    <n v="8.7639999999999993"/>
    <s v="CRAP"/>
    <d v="2001-09-25T00:00:00"/>
    <d v="2002-03-10T00:00:00"/>
    <d v="2002-04-26T00:00:00"/>
    <d v="2002-04-26T00:00:00"/>
    <d v="2002-04-19T00:00:00"/>
    <d v="2002-04-22T00:00:00"/>
    <s v="OTIF FAIL"/>
    <n v="1"/>
    <s v="1210_FG_CRC"/>
    <x v="2"/>
    <n v="0"/>
    <m/>
  </r>
  <r>
    <s v="0558115775-3"/>
    <s v="JBS"/>
    <n v="1.63"/>
    <n v="157"/>
    <n v="0"/>
    <n v="20"/>
    <n v="20"/>
    <s v="CRAP"/>
    <d v="2001-08-30T00:00:00"/>
    <d v="2002-03-30T00:00:00"/>
    <d v="2002-03-30T00:00:00"/>
    <d v="2002-03-30T00:00:00"/>
    <d v="2002-03-30T00:00:00"/>
    <d v="2002-03-30T00:00:00"/>
    <s v="OTIF PASS"/>
    <n v="3"/>
    <s v="1210_FG_CRC"/>
    <x v="9"/>
    <n v="1"/>
    <m/>
  </r>
  <r>
    <s v="0558115775-13"/>
    <s v="HPC"/>
    <n v="1.63"/>
    <n v="157"/>
    <n v="0"/>
    <n v="5"/>
    <n v="5"/>
    <s v="CRAP"/>
    <d v="2001-08-30T00:00:00"/>
    <d v="2002-03-30T00:00:00"/>
    <d v="2002-03-30T00:00:00"/>
    <d v="2002-03-30T00:00:00"/>
    <d v="2002-03-30T00:00:00"/>
    <d v="2002-03-30T00:00:00"/>
    <s v="OTIF PASS"/>
    <n v="13"/>
    <s v="1210_FG_CRC"/>
    <x v="9"/>
    <n v="1"/>
    <m/>
  </r>
  <r>
    <s v="0558115775-10"/>
    <s v="CST"/>
    <n v="1.63"/>
    <n v="236"/>
    <n v="0"/>
    <n v="5"/>
    <n v="5"/>
    <s v="CRAP"/>
    <d v="2001-08-30T00:00:00"/>
    <d v="2002-03-30T00:00:00"/>
    <d v="2002-03-30T00:00:00"/>
    <d v="2002-03-30T00:00:00"/>
    <d v="2002-03-30T00:00:00"/>
    <d v="2002-03-30T00:00:00"/>
    <s v="OTIF PASS"/>
    <n v="10"/>
    <s v="1210_FG_CRC"/>
    <x v="9"/>
    <n v="1"/>
    <m/>
  </r>
  <r>
    <s v="0558115775-2"/>
    <s v="HRC"/>
    <n v="1.63"/>
    <n v="117"/>
    <n v="0"/>
    <n v="10"/>
    <n v="10"/>
    <s v="CRAP"/>
    <d v="2001-08-30T00:00:00"/>
    <d v="2002-03-10T00:00:00"/>
    <d v="2002-03-14T00:00:00"/>
    <d v="2002-03-14T00:00:00"/>
    <d v="2002-03-14T00:00:00"/>
    <d v="2002-03-30T00:00:00"/>
    <s v="OTIF FAIL"/>
    <n v="2"/>
    <s v="1210_FG_CRC"/>
    <x v="9"/>
    <n v="1"/>
    <m/>
  </r>
  <r>
    <s v="0558115775-15"/>
    <s v="HRC"/>
    <n v="2.1"/>
    <n v="157"/>
    <n v="0"/>
    <n v="5"/>
    <n v="5"/>
    <s v="CRAP"/>
    <d v="2001-08-30T00:00:00"/>
    <d v="2002-03-30T00:00:00"/>
    <d v="2002-04-13T00:00:00"/>
    <d v="2002-04-13T00:00:00"/>
    <d v="2002-04-06T00:00:00"/>
    <d v="2002-04-06T00:00:00"/>
    <s v="OTIF FAIL"/>
    <n v="15"/>
    <s v="1210_FG_CRC"/>
    <x v="6"/>
    <n v="1"/>
    <m/>
  </r>
  <r>
    <s v="0558115775-7"/>
    <s v="HRC"/>
    <n v="1.63"/>
    <n v="116.5"/>
    <n v="0"/>
    <n v="10"/>
    <n v="10"/>
    <s v="CRAP"/>
    <d v="2001-08-30T00:00:00"/>
    <d v="2002-03-10T00:00:00"/>
    <d v="2002-03-14T00:00:00"/>
    <d v="2002-03-14T00:00:00"/>
    <d v="2002-03-14T00:00:00"/>
    <d v="2002-03-14T00:00:00"/>
    <s v="OTIF FAIL"/>
    <n v="7"/>
    <s v="1210_FG_CRC"/>
    <x v="3"/>
    <n v="1"/>
    <m/>
  </r>
  <r>
    <s v="0558115775-6"/>
    <s v="HRC"/>
    <n v="1.63"/>
    <n v="76.5"/>
    <n v="0"/>
    <n v="10"/>
    <n v="10"/>
    <s v="CRAP"/>
    <d v="2001-08-30T00:00:00"/>
    <d v="2002-03-30T00:00:00"/>
    <d v="2002-03-30T00:00:00"/>
    <d v="2002-03-30T00:00:00"/>
    <d v="2002-03-30T00:00:00"/>
    <d v="2002-03-30T00:00:00"/>
    <s v="OTIF PASS"/>
    <n v="6"/>
    <s v="1210_FG_CRC"/>
    <x v="9"/>
    <n v="1"/>
    <m/>
  </r>
  <r>
    <s v="0558115775-8"/>
    <s v="PSS"/>
    <n v="1.63"/>
    <n v="236"/>
    <n v="0"/>
    <n v="10"/>
    <n v="10"/>
    <s v="CRAP"/>
    <d v="2001-08-30T00:00:00"/>
    <d v="2002-03-30T00:00:00"/>
    <d v="2002-03-30T00:00:00"/>
    <d v="2002-03-30T00:00:00"/>
    <d v="2002-03-30T00:00:00"/>
    <d v="2002-03-30T00:00:00"/>
    <s v="OTIF PASS"/>
    <n v="8"/>
    <s v="1210_FG_CRC"/>
    <x v="9"/>
    <n v="1"/>
    <m/>
  </r>
  <r>
    <s v="0558115775-5"/>
    <s v="HRC"/>
    <n v="1.63"/>
    <n v="237"/>
    <n v="0"/>
    <n v="20"/>
    <n v="20"/>
    <s v="CRAP"/>
    <d v="2001-08-30T00:00:00"/>
    <d v="2002-03-30T00:00:00"/>
    <d v="2002-03-30T00:00:00"/>
    <d v="2002-03-30T00:00:00"/>
    <d v="2002-03-30T00:00:00"/>
    <d v="2002-03-30T00:00:00"/>
    <s v="OTIF PASS"/>
    <n v="5"/>
    <s v="1210_FG_CRC"/>
    <x v="9"/>
    <n v="1"/>
    <m/>
  </r>
  <r>
    <s v="0558115775-11"/>
    <s v="CRC"/>
    <n v="1.63"/>
    <n v="76.5"/>
    <n v="0"/>
    <n v="5"/>
    <n v="5"/>
    <s v="CRAP"/>
    <d v="2001-08-30T00:00:00"/>
    <d v="2002-03-30T00:00:00"/>
    <d v="2002-03-30T00:00:00"/>
    <d v="2002-03-30T00:00:00"/>
    <d v="2002-03-30T00:00:00"/>
    <d v="2002-03-30T00:00:00"/>
    <s v="OTIF PASS"/>
    <n v="11"/>
    <s v="1210_FG_CRC"/>
    <x v="9"/>
    <n v="1"/>
    <m/>
  </r>
  <r>
    <s v="0558115775-4"/>
    <s v="CRC"/>
    <n v="1.63"/>
    <n v="197"/>
    <n v="0"/>
    <n v="20"/>
    <n v="20"/>
    <s v="CRAP"/>
    <d v="2001-08-30T00:00:00"/>
    <d v="2002-03-30T00:00:00"/>
    <d v="2002-03-30T00:00:00"/>
    <d v="2002-03-30T00:00:00"/>
    <d v="2002-03-30T00:00:00"/>
    <d v="2002-03-30T00:00:00"/>
    <s v="OTIF PASS"/>
    <n v="4"/>
    <s v="1210_FG_CRC"/>
    <x v="9"/>
    <n v="1"/>
    <m/>
  </r>
  <r>
    <s v="0558116641-2"/>
    <s v="CST"/>
    <n v="1"/>
    <n v="320"/>
    <n v="0"/>
    <n v="20.535"/>
    <n v="20.535"/>
    <s v="CRAP"/>
    <d v="2002-03-20T00:00:00"/>
    <d v="2002-04-22T00:00:00"/>
    <d v="2002-04-21T00:00:00"/>
    <d v="2002-04-22T00:00:00"/>
    <d v="2002-04-22T00:00:00"/>
    <d v="2002-04-22T00:00:00"/>
    <s v="OTIF PASS"/>
    <n v="2"/>
    <s v="1210_FG_CRC"/>
    <x v="2"/>
    <n v="1"/>
    <m/>
  </r>
  <r>
    <s v="0558104921-4"/>
    <s v="CRC"/>
    <n v="1.63"/>
    <n v="196.5"/>
    <n v="0"/>
    <n v="10"/>
    <n v="10"/>
    <s v="CRAP"/>
    <d v="2001-09-25T00:00:00"/>
    <d v="2002-03-29T00:00:00"/>
    <d v="2002-03-29T00:00:00"/>
    <d v="2002-03-29T00:00:00"/>
    <d v="2002-03-29T00:00:00"/>
    <d v="2002-03-29T00:00:00"/>
    <s v="OTIF PASS"/>
    <n v="4"/>
    <s v="1210_FG_CRC"/>
    <x v="9"/>
    <n v="1"/>
    <m/>
  </r>
  <r>
    <s v="0558104921-6"/>
    <s v="CST"/>
    <n v="1.63"/>
    <n v="117"/>
    <n v="0"/>
    <n v="10"/>
    <n v="2.504"/>
    <s v="CRAP"/>
    <d v="2001-09-25T00:00:00"/>
    <d v="2002-03-29T00:00:00"/>
    <d v="2002-03-29T00:00:00"/>
    <d v="2002-03-29T00:00:00"/>
    <d v="2002-03-29T00:00:00"/>
    <d v="2002-03-29T00:00:00"/>
    <s v="OTIF PASS"/>
    <n v="6"/>
    <s v="1210_FG_CRC"/>
    <x v="9"/>
    <n v="0"/>
    <m/>
  </r>
  <r>
    <s v="0558112841-1"/>
    <s v="CST"/>
    <n v="2"/>
    <n v="316.2"/>
    <n v="0"/>
    <n v="4"/>
    <n v="4"/>
    <s v="CRAP"/>
    <d v="2001-09-25T00:00:00"/>
    <d v="2002-03-30T00:00:00"/>
    <d v="2002-04-13T00:00:00"/>
    <d v="2002-04-13T00:00:00"/>
    <d v="2002-04-13T00:00:00"/>
    <d v="2002-04-13T00:00:00"/>
    <s v="OTIF FAIL"/>
    <n v="1"/>
    <s v="1210_FG_CRC"/>
    <x v="7"/>
    <n v="1"/>
    <m/>
  </r>
  <r>
    <s v="0558101344-1"/>
    <s v="CST"/>
    <n v="1.63"/>
    <n v="197"/>
    <n v="0"/>
    <n v="2.35"/>
    <n v="2.35"/>
    <s v="CRAP"/>
    <d v="2001-09-25T00:00:00"/>
    <d v="2002-03-29T00:00:00"/>
    <d v="2002-03-29T00:00:00"/>
    <d v="2002-03-29T00:00:00"/>
    <d v="2002-03-29T00:00:00"/>
    <d v="2002-03-29T00:00:00"/>
    <s v="OTIF PASS"/>
    <n v="1"/>
    <s v="1210_FG_CRC"/>
    <x v="9"/>
    <n v="1"/>
    <m/>
  </r>
  <r>
    <s v="0558104921-5"/>
    <s v="HRC"/>
    <n v="1.63"/>
    <n v="157"/>
    <n v="0"/>
    <n v="10"/>
    <n v="4.9640000000000004"/>
    <s v="CRAP"/>
    <d v="2001-09-25T00:00:00"/>
    <d v="2002-03-29T00:00:00"/>
    <d v="2002-03-29T00:00:00"/>
    <d v="2002-03-29T00:00:00"/>
    <d v="2002-03-29T00:00:00"/>
    <d v="2002-03-29T00:00:00"/>
    <s v="OTIF PASS"/>
    <n v="5"/>
    <s v="1210_FG_CRC"/>
    <x v="9"/>
    <n v="0"/>
    <m/>
  </r>
  <r>
    <s v="0558113013-1"/>
    <s v="CST"/>
    <n v="1.2"/>
    <n v="1000"/>
    <n v="0"/>
    <n v="6"/>
    <n v="6"/>
    <s v="CRAP"/>
    <d v="2001-08-05T00:00:00"/>
    <d v="2002-03-05T00:00:00"/>
    <d v="2002-03-30T00:00:00"/>
    <d v="2002-03-30T00:00:00"/>
    <d v="2002-03-30T00:00:00"/>
    <d v="2002-04-06T00:00:00"/>
    <s v="OTIF FAIL"/>
    <n v="1"/>
    <s v="1210_FG_CRC"/>
    <x v="6"/>
    <n v="1"/>
    <m/>
  </r>
  <r>
    <s v="0569022839-1"/>
    <s v="HPC"/>
    <n v="0.5"/>
    <n v="1250"/>
    <n v="0"/>
    <n v="3"/>
    <n v="3"/>
    <s v="CRAP"/>
    <d v="2001-08-01T00:00:00"/>
    <d v="2002-03-10T00:00:00"/>
    <d v="2002-04-26T00:00:00"/>
    <d v="2002-04-26T00:00:00"/>
    <d v="2002-04-19T00:00:00"/>
    <d v="2002-04-22T00:00:00"/>
    <s v="OTIF FAIL"/>
    <n v="1"/>
    <s v="1210_FG_CRC"/>
    <x v="2"/>
    <n v="1"/>
    <m/>
  </r>
  <r>
    <s v="0558113933-1"/>
    <s v="CST"/>
    <n v="0.56999999999999995"/>
    <n v="30"/>
    <n v="0"/>
    <n v="30"/>
    <n v="30"/>
    <s v="CRAP"/>
    <d v="2001-08-11T00:00:00"/>
    <d v="2002-02-26T00:00:00"/>
    <d v="2002-04-07T00:00:00"/>
    <d v="2002-04-07T00:00:00"/>
    <d v="2002-03-14T00:00:00"/>
    <d v="2002-05-13T00:00:00"/>
    <s v="OTIF FAIL"/>
    <n v="1"/>
    <s v="1210_FG_CRC"/>
    <x v="4"/>
    <n v="1"/>
    <m/>
  </r>
  <r>
    <s v="0558112276-2"/>
    <s v="CST"/>
    <n v="2"/>
    <n v="1250"/>
    <n v="0"/>
    <n v="20"/>
    <n v="20"/>
    <s v="CRAP"/>
    <d v="2001-08-03T00:00:00"/>
    <d v="2002-02-28T00:00:00"/>
    <d v="2002-03-09T00:00:00"/>
    <d v="2002-03-09T00:00:00"/>
    <d v="2002-03-10T00:00:00"/>
    <d v="2002-03-10T00:00:00"/>
    <s v="OTIF FAIL"/>
    <n v="2"/>
    <s v="1210_FG_CRC"/>
    <x v="3"/>
    <n v="1"/>
    <m/>
  </r>
  <r>
    <s v="0558115485-1"/>
    <s v="HRC"/>
    <n v="0.8"/>
    <n v="1000"/>
    <n v="0"/>
    <n v="30"/>
    <n v="30"/>
    <s v="CRAP"/>
    <d v="2001-08-29T00:00:00"/>
    <d v="2002-02-25T00:00:00"/>
    <d v="2002-03-10T00:00:00"/>
    <d v="2002-03-10T00:00:00"/>
    <d v="2002-03-13T00:00:00"/>
    <d v="2002-03-13T00:00:00"/>
    <s v="OTIF FAIL"/>
    <n v="1"/>
    <s v="1210_FG_CRC"/>
    <x v="3"/>
    <n v="1"/>
    <m/>
  </r>
  <r>
    <s v="0558116122-1"/>
    <s v="CST"/>
    <n v="1.2"/>
    <n v="1000"/>
    <n v="0"/>
    <n v="3"/>
    <n v="3"/>
    <s v="CRAP"/>
    <d v="2001-09-25T00:00:00"/>
    <d v="2002-03-08T00:00:00"/>
    <d v="2002-03-30T00:00:00"/>
    <d v="2002-03-30T00:00:00"/>
    <d v="2002-03-30T00:00:00"/>
    <d v="2002-04-06T00:00:00"/>
    <s v="OTIF FAIL"/>
    <n v="1"/>
    <s v="1210_FG_CRC"/>
    <x v="6"/>
    <n v="1"/>
    <m/>
  </r>
  <r>
    <s v="0558115485-2"/>
    <s v="CST"/>
    <n v="0.8"/>
    <n v="1000"/>
    <n v="0"/>
    <n v="30"/>
    <n v="30"/>
    <s v="CRAP"/>
    <d v="2001-08-29T00:00:00"/>
    <d v="2002-02-25T00:00:00"/>
    <d v="2002-03-11T00:00:00"/>
    <d v="2002-03-11T00:00:00"/>
    <d v="2002-03-13T00:00:00"/>
    <d v="2002-03-13T00:00:00"/>
    <s v="OTIF FAIL"/>
    <n v="2"/>
    <s v="1210_FG_CRC"/>
    <x v="3"/>
    <n v="1"/>
    <m/>
  </r>
  <r>
    <s v="0558109603-1"/>
    <s v="CST"/>
    <n v="0.56999999999999995"/>
    <n v="30"/>
    <n v="0"/>
    <n v="20"/>
    <n v="3.3980000000000001"/>
    <s v="CRAP"/>
    <d v="2001-09-25T00:00:00"/>
    <d v="2002-02-26T00:00:00"/>
    <d v="2002-04-07T00:00:00"/>
    <d v="2002-04-07T00:00:00"/>
    <d v="2002-03-14T00:00:00"/>
    <d v="2002-05-13T00:00:00"/>
    <s v="OTIF FAIL"/>
    <n v="1"/>
    <s v="1210_FG_CRC"/>
    <x v="4"/>
    <n v="0"/>
    <m/>
  </r>
  <r>
    <s v="0568012768-3"/>
    <s v="CST"/>
    <n v="0.7"/>
    <n v="1250"/>
    <n v="0"/>
    <n v="20"/>
    <n v="20"/>
    <s v="CRAP"/>
    <d v="2001-08-15T00:00:00"/>
    <d v="2002-02-27T00:00:00"/>
    <d v="2002-03-20T00:00:00"/>
    <d v="2002-03-20T00:00:00"/>
    <d v="2002-03-27T00:00:00"/>
    <d v="2002-03-27T00:00:00"/>
    <s v="OTIF FAIL"/>
    <n v="3"/>
    <s v="1210_FG_CRC"/>
    <x v="9"/>
    <n v="1"/>
    <m/>
  </r>
  <r>
    <s v="0568012768-2"/>
    <s v="HRC"/>
    <n v="0.6"/>
    <n v="1250"/>
    <n v="0"/>
    <n v="20"/>
    <n v="20"/>
    <s v="CRAP"/>
    <d v="2001-08-15T00:00:00"/>
    <d v="2002-02-27T00:00:00"/>
    <d v="2002-03-27T00:00:00"/>
    <d v="2002-03-27T00:00:00"/>
    <d v="2002-03-27T00:00:00"/>
    <d v="2002-03-27T00:00:00"/>
    <s v="OTIF FAIL"/>
    <n v="2"/>
    <s v="1210_FG_CRC"/>
    <x v="9"/>
    <n v="1"/>
    <m/>
  </r>
  <r>
    <s v="0558114915-3"/>
    <s v="HRC"/>
    <n v="1.95"/>
    <n v="1250"/>
    <n v="0"/>
    <n v="44"/>
    <n v="44"/>
    <s v="CRAP"/>
    <d v="2001-08-26T00:00:00"/>
    <d v="2002-03-30T00:00:00"/>
    <d v="2002-04-13T00:00:00"/>
    <d v="2002-04-13T00:00:00"/>
    <d v="2002-04-13T00:00:00"/>
    <d v="2002-04-13T00:00:00"/>
    <s v="OTIF FAIL"/>
    <n v="3"/>
    <s v="1210_FG_CRC"/>
    <x v="7"/>
    <n v="1"/>
    <m/>
  </r>
  <r>
    <s v="0558113718-10"/>
    <s v="HRC"/>
    <n v="3"/>
    <n v="1250"/>
    <n v="0"/>
    <n v="8"/>
    <n v="8"/>
    <s v="CRAP"/>
    <d v="2001-09-25T00:00:00"/>
    <d v="2002-03-06T00:00:00"/>
    <s v="-"/>
    <s v="-"/>
    <d v="2002-03-20T00:00:00"/>
    <d v="2002-03-20T00:00:00"/>
    <s v="OTIF FAIL"/>
    <n v="10"/>
    <s v="1210_FG_CRC"/>
    <x v="0"/>
    <n v="1"/>
    <m/>
  </r>
  <r>
    <s v="0558116516-1"/>
    <s v="CST"/>
    <n v="1.2"/>
    <n v="1270"/>
    <n v="0"/>
    <n v="100"/>
    <n v="5.806"/>
    <s v="CRAP"/>
    <d v="2002-01-30T00:00:00"/>
    <d v="2002-03-31T00:00:00"/>
    <d v="2002-03-31T00:00:00"/>
    <d v="2002-03-31T00:00:00"/>
    <s v="-"/>
    <d v="2002-03-31T00:00:00"/>
    <s v="OTIF PASS"/>
    <n v="1"/>
    <s v="1210_FG_CRC"/>
    <x v="6"/>
    <n v="0"/>
    <m/>
  </r>
  <r>
    <s v="0558116552-6"/>
    <s v="PSS"/>
    <n v="0.6"/>
    <n v="63"/>
    <n v="0"/>
    <n v="4"/>
    <n v="4"/>
    <s v="CRAP"/>
    <d v="2002-02-17T00:00:00"/>
    <d v="2002-02-27T00:00:00"/>
    <s v="-"/>
    <s v="-"/>
    <d v="2002-03-29T00:00:00"/>
    <d v="2002-05-13T00:00:00"/>
    <s v="OTIF FAIL"/>
    <n v="6"/>
    <s v="1210_FG_CRC"/>
    <x v="4"/>
    <n v="1"/>
    <m/>
  </r>
  <r>
    <s v="0558116782-1"/>
    <s v="HPC"/>
    <n v="1.2"/>
    <n v="1270"/>
    <n v="0"/>
    <n v="100"/>
    <n v="100"/>
    <s v="CRAP"/>
    <d v="2002-04-16T00:00:00"/>
    <d v="2002-04-10T00:00:00"/>
    <d v="2002-04-10T00:00:00"/>
    <d v="2002-04-10T00:00:00"/>
    <s v="-"/>
    <d v="2002-04-10T00:00:00"/>
    <s v="OTIF PASS"/>
    <n v="1"/>
    <s v="1210_FG_CRC"/>
    <x v="7"/>
    <n v="0"/>
    <m/>
  </r>
  <r>
    <s v="0558114915-2"/>
    <s v="CRC"/>
    <n v="1.45"/>
    <n v="1250"/>
    <n v="0"/>
    <n v="66"/>
    <n v="66"/>
    <s v="CRAP"/>
    <d v="2001-08-26T00:00:00"/>
    <d v="2002-03-30T00:00:00"/>
    <d v="2002-04-13T00:00:00"/>
    <d v="2002-04-13T00:00:00"/>
    <d v="2002-04-13T00:00:00"/>
    <d v="2002-04-13T00:00:00"/>
    <s v="OTIF FAIL"/>
    <n v="2"/>
    <s v="1210_FG_CRC"/>
    <x v="7"/>
    <n v="1"/>
    <m/>
  </r>
  <r>
    <s v="0558111073-3"/>
    <s v="HRC"/>
    <n v="0.7"/>
    <n v="1250"/>
    <n v="0"/>
    <n v="3"/>
    <n v="3"/>
    <s v="CRAP"/>
    <d v="2001-09-25T00:00:00"/>
    <d v="2002-03-04T00:00:00"/>
    <d v="2002-04-29T00:00:00"/>
    <d v="2002-04-29T00:00:00"/>
    <d v="2002-04-22T00:00:00"/>
    <d v="2002-04-22T00:00:00"/>
    <s v="OTIF FAIL"/>
    <n v="3"/>
    <s v="1210_FG_CRC"/>
    <x v="2"/>
    <n v="1"/>
    <m/>
  </r>
  <r>
    <s v="0569023169-14"/>
    <s v="CST"/>
    <n v="1.45"/>
    <n v="96"/>
    <n v="0"/>
    <n v="3"/>
    <n v="3"/>
    <s v="CRAP"/>
    <d v="2001-08-29T00:00:00"/>
    <d v="2002-03-31T00:00:00"/>
    <d v="2002-04-07T00:00:00"/>
    <d v="2002-04-07T00:00:00"/>
    <d v="2002-04-07T00:00:00"/>
    <d v="2002-04-07T00:00:00"/>
    <s v="OTIF FAIL"/>
    <n v="14"/>
    <s v="1210_FG_CRC"/>
    <x v="7"/>
    <n v="1"/>
    <m/>
  </r>
  <r>
    <s v="0569023169-16"/>
    <s v="HRC"/>
    <n v="1.45"/>
    <n v="56"/>
    <n v="0"/>
    <n v="2"/>
    <n v="2"/>
    <s v="CRAP"/>
    <d v="2001-08-29T00:00:00"/>
    <d v="2002-03-31T00:00:00"/>
    <d v="2002-04-07T00:00:00"/>
    <d v="2002-04-07T00:00:00"/>
    <d v="2002-04-07T00:00:00"/>
    <d v="2002-04-07T00:00:00"/>
    <s v="OTIF FAIL"/>
    <n v="16"/>
    <s v="1210_FG_CRC"/>
    <x v="7"/>
    <n v="1"/>
    <m/>
  </r>
  <r>
    <s v="0558104168-1"/>
    <s v="CST"/>
    <n v="0.8"/>
    <n v="1250"/>
    <n v="0"/>
    <n v="100"/>
    <n v="26.902999999999999"/>
    <s v="CRAP"/>
    <d v="2001-09-25T00:00:00"/>
    <d v="2002-02-28T00:00:00"/>
    <d v="2002-02-27T00:00:00"/>
    <d v="2002-02-28T00:00:00"/>
    <d v="2002-01-22T00:00:00"/>
    <d v="2002-01-22T00:00:00"/>
    <s v="OTIF PASS"/>
    <n v="1"/>
    <s v="1210_FG_CRC"/>
    <x v="8"/>
    <n v="0"/>
    <m/>
  </r>
  <r>
    <s v="0558114268-1"/>
    <s v="CST"/>
    <n v="1"/>
    <n v="1145"/>
    <n v="0"/>
    <n v="60"/>
    <n v="60"/>
    <s v="CRAP"/>
    <d v="2001-08-17T00:00:00"/>
    <d v="2002-02-28T00:00:00"/>
    <d v="2002-03-07T00:00:00"/>
    <d v="2002-03-07T00:00:00"/>
    <d v="2002-03-08T00:00:00"/>
    <d v="2002-03-09T00:00:00"/>
    <s v="OTIF FAIL"/>
    <n v="1"/>
    <s v="1210_FG_CRC"/>
    <x v="1"/>
    <n v="1"/>
    <m/>
  </r>
  <r>
    <s v="0558114268-3"/>
    <s v="CST"/>
    <n v="1"/>
    <n v="1145"/>
    <n v="0"/>
    <n v="40"/>
    <n v="40"/>
    <s v="CRAP"/>
    <d v="2001-08-17T00:00:00"/>
    <d v="2002-02-28T00:00:00"/>
    <d v="2002-03-07T00:00:00"/>
    <d v="2002-03-07T00:00:00"/>
    <d v="2002-03-08T00:00:00"/>
    <d v="2002-03-09T00:00:00"/>
    <s v="OTIF FAIL"/>
    <n v="3"/>
    <s v="1210_FG_CRC"/>
    <x v="1"/>
    <n v="1"/>
    <m/>
  </r>
  <r>
    <s v="0558114268-2"/>
    <s v="CST"/>
    <n v="1"/>
    <n v="1145"/>
    <n v="0"/>
    <n v="40"/>
    <n v="40"/>
    <s v="CRAP"/>
    <d v="2001-08-17T00:00:00"/>
    <d v="2002-02-28T00:00:00"/>
    <d v="2002-03-08T00:00:00"/>
    <d v="2002-03-08T00:00:00"/>
    <d v="2002-03-09T00:00:00"/>
    <d v="2002-03-09T00:00:00"/>
    <s v="OTIF FAIL"/>
    <n v="2"/>
    <s v="1210_FG_CRC"/>
    <x v="1"/>
    <n v="1"/>
    <m/>
  </r>
  <r>
    <s v="0558098249-4"/>
    <s v="HRC"/>
    <n v="1.2"/>
    <n v="1250"/>
    <n v="0"/>
    <n v="40"/>
    <n v="12.03"/>
    <s v="CRAP"/>
    <d v="2001-09-25T00:00:00"/>
    <d v="2002-02-28T00:00:00"/>
    <d v="2002-03-10T00:00:00"/>
    <d v="2002-03-10T00:00:00"/>
    <d v="2002-03-09T00:00:00"/>
    <d v="2002-03-09T00:00:00"/>
    <s v="OTIF FAIL"/>
    <n v="4"/>
    <s v="1210_FG_CRC"/>
    <x v="1"/>
    <n v="0"/>
    <m/>
  </r>
  <r>
    <s v="0558112371-2"/>
    <s v="CST"/>
    <n v="0.6"/>
    <n v="1250"/>
    <n v="0"/>
    <n v="3"/>
    <n v="3"/>
    <s v="CRAP"/>
    <d v="2001-09-25T00:00:00"/>
    <d v="2002-03-05T00:00:00"/>
    <d v="2002-04-29T00:00:00"/>
    <d v="2002-04-29T00:00:00"/>
    <d v="2002-04-22T00:00:00"/>
    <d v="2002-04-22T00:00:00"/>
    <s v="OTIF FAIL"/>
    <n v="2"/>
    <s v="1210_FG_CRC"/>
    <x v="2"/>
    <n v="1"/>
    <m/>
  </r>
  <r>
    <s v="0558115816-2"/>
    <s v="CST"/>
    <n v="0.8"/>
    <n v="1250"/>
    <n v="0"/>
    <n v="6"/>
    <n v="6"/>
    <s v="CRAP"/>
    <d v="2001-08-30T00:00:00"/>
    <d v="2002-03-08T00:00:00"/>
    <d v="2002-04-05T00:00:00"/>
    <d v="2002-04-05T00:00:00"/>
    <d v="2002-04-05T00:00:00"/>
    <d v="2002-04-05T00:00:00"/>
    <s v="OTIF FAIL"/>
    <n v="2"/>
    <s v="1210_FG_CRC"/>
    <x v="6"/>
    <n v="1"/>
    <m/>
  </r>
  <r>
    <s v="0558113973-2"/>
    <s v="CST"/>
    <n v="1.5"/>
    <n v="1250"/>
    <n v="0"/>
    <n v="40"/>
    <n v="40"/>
    <s v="CRAP"/>
    <d v="2001-08-16T00:00:00"/>
    <d v="2002-02-28T00:00:00"/>
    <d v="2002-03-08T00:00:00"/>
    <d v="2002-03-08T00:00:00"/>
    <d v="2002-03-09T00:00:00"/>
    <d v="2002-03-09T00:00:00"/>
    <s v="OTIF FAIL"/>
    <n v="2"/>
    <s v="1210_FG_CRC"/>
    <x v="1"/>
    <n v="1"/>
    <m/>
  </r>
  <r>
    <s v="0558113256-2"/>
    <s v="CST"/>
    <n v="1.2"/>
    <n v="1000"/>
    <n v="0"/>
    <n v="3"/>
    <n v="3"/>
    <s v="CRAP"/>
    <d v="2001-08-23T00:00:00"/>
    <d v="2002-02-20T00:00:00"/>
    <d v="2002-03-30T00:00:00"/>
    <d v="2002-03-30T00:00:00"/>
    <d v="2002-03-30T00:00:00"/>
    <d v="2002-04-06T00:00:00"/>
    <s v="OTIF FAIL"/>
    <n v="2"/>
    <s v="1210_FG_CRC"/>
    <x v="6"/>
    <n v="1"/>
    <m/>
  </r>
  <r>
    <s v="0558100276-1"/>
    <s v="HRC"/>
    <n v="0.5"/>
    <n v="1250"/>
    <n v="0"/>
    <n v="10"/>
    <n v="5.59"/>
    <s v="CRAP"/>
    <d v="2001-09-25T00:00:00"/>
    <d v="2002-03-01T00:00:00"/>
    <d v="2002-03-05T00:00:00"/>
    <d v="2002-03-05T00:00:00"/>
    <d v="2002-01-16T00:00:00"/>
    <d v="2002-03-23T00:00:00"/>
    <s v="OTIF FAIL"/>
    <n v="1"/>
    <s v="1210_FG_CRC"/>
    <x v="0"/>
    <n v="0"/>
    <m/>
  </r>
  <r>
    <s v="0558114336-4"/>
    <s v="HRC"/>
    <n v="1.2"/>
    <n v="1000"/>
    <n v="0"/>
    <n v="6"/>
    <n v="6"/>
    <s v="CRAP"/>
    <d v="2001-08-17T00:00:00"/>
    <d v="2002-03-07T00:00:00"/>
    <d v="2002-03-30T00:00:00"/>
    <d v="2002-03-30T00:00:00"/>
    <d v="2002-03-30T00:00:00"/>
    <d v="2002-04-06T00:00:00"/>
    <s v="OTIF FAIL"/>
    <n v="4"/>
    <s v="1210_FG_CRC"/>
    <x v="6"/>
    <n v="1"/>
    <m/>
  </r>
  <r>
    <s v="0558114849-11"/>
    <s v="CRC"/>
    <n v="1.2"/>
    <n v="1130"/>
    <n v="0"/>
    <n v="17"/>
    <n v="17"/>
    <s v="CRAP"/>
    <d v="2001-08-25T00:00:00"/>
    <d v="2002-02-28T00:00:00"/>
    <d v="2002-03-14T00:00:00"/>
    <d v="2002-03-14T00:00:00"/>
    <d v="2002-03-14T00:00:00"/>
    <d v="2002-03-14T00:00:00"/>
    <s v="OTIF FAIL"/>
    <n v="11"/>
    <s v="1210_FG_CRC"/>
    <x v="3"/>
    <n v="1"/>
    <m/>
  </r>
  <r>
    <s v="0558114847-3"/>
    <s v="CRC"/>
    <n v="1"/>
    <n v="1250"/>
    <n v="0"/>
    <n v="18"/>
    <n v="18"/>
    <s v="CRAP"/>
    <d v="2001-08-25T00:00:00"/>
    <d v="2002-02-28T00:00:00"/>
    <d v="2002-03-04T00:00:00"/>
    <d v="2002-03-04T00:00:00"/>
    <d v="2002-03-11T00:00:00"/>
    <d v="2002-03-11T00:00:00"/>
    <s v="OTIF FAIL"/>
    <n v="3"/>
    <s v="1210_FG_CRC"/>
    <x v="3"/>
    <n v="1"/>
    <m/>
  </r>
  <r>
    <s v="0558113933-4"/>
    <s v="HPC"/>
    <n v="0.5"/>
    <n v="63"/>
    <n v="0"/>
    <n v="3"/>
    <n v="3"/>
    <s v="CRAP"/>
    <d v="2001-08-11T00:00:00"/>
    <d v="2002-02-27T00:00:00"/>
    <d v="2002-04-24T00:00:00"/>
    <d v="2002-04-24T00:00:00"/>
    <d v="2002-03-29T00:00:00"/>
    <d v="2002-05-13T00:00:00"/>
    <s v="OTIF FAIL"/>
    <n v="4"/>
    <s v="1210_FG_CRC"/>
    <x v="4"/>
    <n v="1"/>
    <m/>
  </r>
  <r>
    <s v="0569022769-2"/>
    <s v="HPC"/>
    <n v="1"/>
    <n v="1250"/>
    <n v="0"/>
    <n v="39"/>
    <n v="30.347999999999999"/>
    <s v="CRAP"/>
    <d v="2001-09-25T00:00:00"/>
    <d v="2002-03-10T00:00:00"/>
    <d v="2002-04-10T00:00:00"/>
    <d v="2002-04-10T00:00:00"/>
    <d v="2002-04-10T00:00:00"/>
    <d v="2002-04-21T00:00:00"/>
    <s v="OTIF FAIL"/>
    <n v="2"/>
    <s v="1210_FG_CRC"/>
    <x v="2"/>
    <n v="0"/>
    <m/>
  </r>
  <r>
    <s v="0558113219-4"/>
    <s v="CST"/>
    <n v="1.5"/>
    <n v="1250"/>
    <n v="0"/>
    <n v="10"/>
    <n v="10"/>
    <s v="CRAP"/>
    <d v="2001-08-05T00:00:00"/>
    <d v="2002-03-05T00:00:00"/>
    <s v="-"/>
    <s v="-"/>
    <d v="2002-01-16T00:00:00"/>
    <d v="2002-01-31T00:00:00"/>
    <s v="OTIF FAIL"/>
    <n v="4"/>
    <s v="1210_FG_CRC"/>
    <x v="10"/>
    <n v="1"/>
    <m/>
  </r>
  <r>
    <s v="0558115293-1"/>
    <s v="HRC"/>
    <n v="0.8"/>
    <n v="1000"/>
    <n v="0"/>
    <n v="6"/>
    <n v="6"/>
    <s v="CRAP"/>
    <d v="2001-08-29T00:00:00"/>
    <d v="2002-03-08T00:00:00"/>
    <d v="2002-04-24T00:00:00"/>
    <d v="2002-04-24T00:00:00"/>
    <d v="2001-11-23T00:00:00"/>
    <d v="2002-01-14T00:00:00"/>
    <s v="OTIF FAIL"/>
    <n v="1"/>
    <s v="1210_FG_CRC"/>
    <x v="13"/>
    <n v="1"/>
    <m/>
  </r>
  <r>
    <s v="0558114030-1"/>
    <s v="CST"/>
    <n v="1.2"/>
    <n v="1000"/>
    <n v="0"/>
    <n v="3"/>
    <n v="3"/>
    <s v="CRAP"/>
    <d v="2001-08-16T00:00:00"/>
    <d v="2002-03-06T00:00:00"/>
    <d v="2002-03-16T00:00:00"/>
    <d v="2002-03-16T00:00:00"/>
    <d v="2002-03-16T00:00:00"/>
    <d v="2002-03-17T00:00:00"/>
    <s v="OTIF FAIL"/>
    <n v="1"/>
    <s v="1210_FG_CRC"/>
    <x v="0"/>
    <n v="1"/>
    <m/>
  </r>
  <r>
    <s v="0558115477-6"/>
    <s v="HRC"/>
    <n v="1.2"/>
    <n v="1000"/>
    <n v="0"/>
    <n v="6"/>
    <n v="6"/>
    <s v="CRAP"/>
    <d v="2001-08-29T00:00:00"/>
    <d v="2002-03-10T00:00:00"/>
    <d v="2002-04-26T00:00:00"/>
    <d v="2002-04-26T00:00:00"/>
    <d v="2002-01-14T00:00:00"/>
    <d v="2002-01-25T00:00:00"/>
    <s v="OTIF FAIL"/>
    <n v="6"/>
    <s v="1210_FG_CRC"/>
    <x v="8"/>
    <n v="1"/>
    <m/>
  </r>
  <r>
    <s v="0558113577-1"/>
    <s v="CST"/>
    <n v="1.5"/>
    <n v="1250"/>
    <n v="0"/>
    <n v="6"/>
    <n v="6"/>
    <s v="CRAP"/>
    <d v="2001-08-07T00:00:00"/>
    <d v="2002-03-06T00:00:00"/>
    <s v="-"/>
    <s v="-"/>
    <d v="2002-01-22T00:00:00"/>
    <d v="2002-01-31T00:00:00"/>
    <s v="OTIF FAIL"/>
    <n v="1"/>
    <s v="1210_FG_CRC"/>
    <x v="10"/>
    <n v="1"/>
    <m/>
  </r>
  <r>
    <s v="0558113126-1"/>
    <s v="HRC"/>
    <n v="0.8"/>
    <n v="1000"/>
    <n v="0"/>
    <n v="3"/>
    <n v="3"/>
    <s v="CRAP"/>
    <d v="2001-08-05T00:00:00"/>
    <d v="2002-03-05T00:00:00"/>
    <d v="2002-04-05T00:00:00"/>
    <d v="2002-04-05T00:00:00"/>
    <d v="2002-04-05T00:00:00"/>
    <d v="2002-04-05T00:00:00"/>
    <s v="OTIF FAIL"/>
    <n v="1"/>
    <s v="1210_FG_CRC"/>
    <x v="6"/>
    <n v="1"/>
    <m/>
  </r>
  <r>
    <s v="0558115477-3"/>
    <s v="CST"/>
    <n v="0.8"/>
    <n v="1000"/>
    <n v="0"/>
    <n v="6"/>
    <n v="6"/>
    <s v="CRAP"/>
    <d v="2001-08-29T00:00:00"/>
    <d v="2002-03-08T00:00:00"/>
    <d v="2002-04-24T00:00:00"/>
    <d v="2002-04-24T00:00:00"/>
    <d v="2002-01-14T00:00:00"/>
    <d v="2002-01-14T00:00:00"/>
    <s v="OTIF FAIL"/>
    <n v="3"/>
    <s v="1210_FG_CRC"/>
    <x v="13"/>
    <n v="1"/>
    <m/>
  </r>
  <r>
    <s v="0558115477-1"/>
    <s v="CST"/>
    <n v="1.2"/>
    <n v="1250"/>
    <n v="0"/>
    <n v="9"/>
    <n v="9"/>
    <s v="CRAP"/>
    <d v="2001-08-29T00:00:00"/>
    <d v="2002-03-08T00:00:00"/>
    <d v="2002-03-06T00:00:00"/>
    <d v="2002-03-08T00:00:00"/>
    <d v="2002-01-14T00:00:00"/>
    <d v="2002-01-28T00:00:00"/>
    <s v="OTIF PASS"/>
    <n v="1"/>
    <s v="1210_FG_CRC"/>
    <x v="10"/>
    <n v="1"/>
    <m/>
  </r>
  <r>
    <s v="0558115583-1"/>
    <s v="HRC"/>
    <n v="2"/>
    <n v="1250"/>
    <n v="0"/>
    <n v="3"/>
    <n v="3"/>
    <s v="CRAP"/>
    <d v="2001-08-29T00:00:00"/>
    <d v="2002-03-08T00:00:00"/>
    <d v="2002-05-03T00:00:00"/>
    <d v="2002-05-03T00:00:00"/>
    <d v="2002-01-14T00:00:00"/>
    <d v="2002-04-24T00:00:00"/>
    <s v="OTIF FAIL"/>
    <n v="1"/>
    <s v="1210_FG_CRC"/>
    <x v="2"/>
    <n v="1"/>
    <m/>
  </r>
  <r>
    <s v="0558112404-6"/>
    <s v="HRC"/>
    <n v="1"/>
    <n v="1250"/>
    <n v="0"/>
    <n v="6"/>
    <n v="6"/>
    <s v="CRAP"/>
    <d v="2001-09-25T00:00:00"/>
    <d v="2002-03-05T00:00:00"/>
    <d v="2002-04-15T00:00:00"/>
    <d v="2002-04-15T00:00:00"/>
    <d v="2002-04-15T00:00:00"/>
    <d v="2002-04-21T00:00:00"/>
    <s v="OTIF FAIL"/>
    <n v="6"/>
    <s v="1210_FG_CRC"/>
    <x v="2"/>
    <n v="1"/>
    <m/>
  </r>
  <r>
    <s v="0558115776-1"/>
    <s v="HPC"/>
    <n v="0.5"/>
    <n v="1250"/>
    <n v="0"/>
    <n v="3"/>
    <n v="3"/>
    <s v="CRAP"/>
    <d v="2001-08-30T00:00:00"/>
    <d v="2002-03-08T00:00:00"/>
    <d v="2002-04-08T00:00:00"/>
    <d v="2002-04-08T00:00:00"/>
    <d v="2002-03-29T00:00:00"/>
    <d v="2002-03-29T00:00:00"/>
    <s v="OTIF FAIL"/>
    <n v="1"/>
    <s v="1210_FG_CRC"/>
    <x v="9"/>
    <n v="1"/>
    <m/>
  </r>
  <r>
    <s v="0558114598-1"/>
    <s v="CST"/>
    <n v="0.8"/>
    <n v="1250"/>
    <n v="0"/>
    <n v="12"/>
    <n v="12"/>
    <s v="CRAP"/>
    <d v="2001-08-23T00:00:00"/>
    <d v="2002-03-07T00:00:00"/>
    <d v="2002-05-02T00:00:00"/>
    <d v="2002-05-02T00:00:00"/>
    <d v="2002-04-07T00:00:00"/>
    <d v="2002-04-07T00:00:00"/>
    <s v="OTIF FAIL"/>
    <n v="1"/>
    <s v="1210_FG_CRC"/>
    <x v="7"/>
    <n v="1"/>
    <m/>
  </r>
  <r>
    <s v="0558114454-1"/>
    <s v="HRC"/>
    <n v="0.6"/>
    <n v="1250"/>
    <n v="0"/>
    <n v="3"/>
    <n v="3"/>
    <s v="CRAP"/>
    <d v="2001-08-21T00:00:00"/>
    <d v="2002-03-07T00:00:00"/>
    <d v="2002-04-15T00:00:00"/>
    <d v="2002-04-15T00:00:00"/>
    <d v="2002-04-15T00:00:00"/>
    <d v="2002-04-15T00:00:00"/>
    <s v="OTIF FAIL"/>
    <n v="1"/>
    <s v="1210_FG_CRC"/>
    <x v="15"/>
    <n v="1"/>
    <m/>
  </r>
  <r>
    <s v="0558115746-5"/>
    <s v="CST"/>
    <n v="1"/>
    <n v="1000"/>
    <n v="0"/>
    <n v="3"/>
    <n v="3"/>
    <s v="CRAP"/>
    <d v="2001-09-25T00:00:00"/>
    <d v="2002-03-08T00:00:00"/>
    <s v="-"/>
    <s v="-"/>
    <d v="2002-01-15T00:00:00"/>
    <d v="2002-01-15T00:00:00"/>
    <s v="OTIF FAIL"/>
    <n v="5"/>
    <s v="1210_FG_CRC"/>
    <x v="13"/>
    <n v="1"/>
    <m/>
  </r>
  <r>
    <s v="0558115611-3"/>
    <s v="CRC"/>
    <n v="1.2"/>
    <n v="1250"/>
    <n v="0"/>
    <n v="6"/>
    <n v="6"/>
    <s v="CRAP"/>
    <d v="2001-09-25T00:00:00"/>
    <d v="2002-03-08T00:00:00"/>
    <d v="2002-03-07T00:00:00"/>
    <d v="2002-03-08T00:00:00"/>
    <d v="2002-01-15T00:00:00"/>
    <d v="2002-01-28T00:00:00"/>
    <s v="OTIF PASS"/>
    <n v="3"/>
    <s v="1210_FG_CRC"/>
    <x v="10"/>
    <n v="1"/>
    <m/>
  </r>
  <r>
    <s v="0558114103-1"/>
    <s v="CRC"/>
    <n v="1"/>
    <n v="1250"/>
    <n v="0"/>
    <n v="6"/>
    <n v="3.036"/>
    <s v="CRAP"/>
    <d v="2001-08-16T00:00:00"/>
    <d v="2002-03-07T00:00:00"/>
    <d v="2002-04-20T00:00:00"/>
    <d v="2002-04-20T00:00:00"/>
    <d v="2002-04-20T00:00:00"/>
    <d v="2002-04-20T00:00:00"/>
    <s v="OTIF FAIL"/>
    <n v="1"/>
    <s v="1210_FG_CRC"/>
    <x v="15"/>
    <n v="0"/>
    <m/>
  </r>
  <r>
    <s v="0569022885-6"/>
    <s v="CST"/>
    <n v="1"/>
    <n v="1250"/>
    <n v="0"/>
    <n v="3"/>
    <n v="3"/>
    <s v="CRAP"/>
    <d v="2001-08-03T00:00:00"/>
    <d v="2002-03-09T00:00:00"/>
    <d v="2002-04-15T00:00:00"/>
    <d v="2002-04-15T00:00:00"/>
    <d v="2002-04-15T00:00:00"/>
    <d v="2002-04-21T00:00:00"/>
    <s v="OTIF FAIL"/>
    <n v="6"/>
    <s v="1210_FG_CRC"/>
    <x v="2"/>
    <n v="1"/>
    <m/>
  </r>
  <r>
    <s v="0558114151-4"/>
    <s v="CRC"/>
    <n v="0.8"/>
    <n v="1250"/>
    <n v="0"/>
    <n v="22"/>
    <n v="22"/>
    <s v="CRAP"/>
    <d v="2001-08-16T00:00:00"/>
    <d v="2002-03-07T00:00:00"/>
    <d v="2002-03-25T00:00:00"/>
    <d v="2002-04-01T00:00:00"/>
    <d v="2002-04-01T00:00:00"/>
    <d v="2002-04-01T00:00:00"/>
    <s v="OTIF FAIL"/>
    <n v="4"/>
    <s v="1210_FG_CRC"/>
    <x v="6"/>
    <n v="1"/>
    <m/>
  </r>
  <r>
    <s v="0558115477-5"/>
    <s v="CST"/>
    <n v="1.5"/>
    <n v="1000"/>
    <n v="0"/>
    <n v="6"/>
    <n v="6"/>
    <s v="CRAP"/>
    <d v="2001-08-29T00:00:00"/>
    <d v="2002-03-08T00:00:00"/>
    <d v="2002-04-26T00:00:00"/>
    <d v="2002-04-26T00:00:00"/>
    <d v="2002-04-15T00:00:00"/>
    <d v="2002-04-15T00:00:00"/>
    <s v="OTIF FAIL"/>
    <n v="5"/>
    <s v="1210_FG_CRC"/>
    <x v="15"/>
    <n v="1"/>
    <m/>
  </r>
  <r>
    <s v="0558115607-1"/>
    <s v="CST"/>
    <n v="1.2"/>
    <n v="1250"/>
    <n v="0"/>
    <n v="3"/>
    <n v="3"/>
    <s v="CRAP"/>
    <d v="2001-08-29T00:00:00"/>
    <d v="2002-03-08T00:00:00"/>
    <d v="2002-03-06T00:00:00"/>
    <d v="2002-03-08T00:00:00"/>
    <d v="2002-01-15T00:00:00"/>
    <d v="2002-01-28T00:00:00"/>
    <s v="OTIF PASS"/>
    <n v="1"/>
    <s v="1210_FG_CRC"/>
    <x v="10"/>
    <n v="1"/>
    <m/>
  </r>
  <r>
    <s v="0558113642-1"/>
    <s v="CST"/>
    <n v="1.5"/>
    <n v="1250"/>
    <n v="0"/>
    <n v="3"/>
    <n v="3"/>
    <s v="CRAP"/>
    <d v="2001-08-07T00:00:00"/>
    <d v="2002-03-06T00:00:00"/>
    <s v="-"/>
    <s v="-"/>
    <d v="2002-01-22T00:00:00"/>
    <d v="2002-01-31T00:00:00"/>
    <s v="OTIF FAIL"/>
    <n v="1"/>
    <s v="1210_FG_CRC"/>
    <x v="10"/>
    <n v="1"/>
    <m/>
  </r>
  <r>
    <s v="0558113196-5"/>
    <s v="HRC"/>
    <n v="0.6"/>
    <n v="1250"/>
    <n v="0"/>
    <n v="3"/>
    <n v="3"/>
    <s v="CRAP"/>
    <d v="2001-08-05T00:00:00"/>
    <d v="2002-03-05T00:00:00"/>
    <d v="2002-04-28T00:00:00"/>
    <d v="2002-04-28T00:00:00"/>
    <d v="2002-04-16T00:00:00"/>
    <d v="2002-04-16T00:00:00"/>
    <s v="OTIF FAIL"/>
    <n v="5"/>
    <s v="1210_FG_CRC"/>
    <x v="15"/>
    <n v="1"/>
    <m/>
  </r>
  <r>
    <s v="0558115793-1"/>
    <s v="HRC"/>
    <n v="0.6"/>
    <n v="1250"/>
    <n v="0"/>
    <n v="3"/>
    <n v="3"/>
    <s v="CRAP"/>
    <d v="2001-08-30T00:00:00"/>
    <d v="2002-03-08T00:00:00"/>
    <d v="2002-04-15T00:00:00"/>
    <d v="2002-04-15T00:00:00"/>
    <d v="2002-04-15T00:00:00"/>
    <d v="2002-04-15T00:00:00"/>
    <s v="OTIF FAIL"/>
    <n v="1"/>
    <s v="1210_FG_CRC"/>
    <x v="15"/>
    <n v="1"/>
    <m/>
  </r>
  <r>
    <s v="0558114200-1"/>
    <s v="CRC"/>
    <n v="2"/>
    <n v="1250"/>
    <n v="0"/>
    <n v="3"/>
    <n v="3"/>
    <s v="CRAP"/>
    <d v="2001-08-16T00:00:00"/>
    <d v="2002-03-07T00:00:00"/>
    <d v="2002-05-03T00:00:00"/>
    <d v="2002-05-03T00:00:00"/>
    <d v="2002-04-24T00:00:00"/>
    <d v="2002-04-24T00:00:00"/>
    <s v="OTIF FAIL"/>
    <n v="1"/>
    <s v="1210_FG_CRC"/>
    <x v="2"/>
    <n v="1"/>
    <m/>
  </r>
  <r>
    <s v="0558116127-1"/>
    <s v="CST"/>
    <n v="2"/>
    <n v="1250"/>
    <n v="0"/>
    <n v="3"/>
    <n v="3"/>
    <s v="CRAP"/>
    <d v="2001-09-25T00:00:00"/>
    <d v="2002-03-08T00:00:00"/>
    <d v="2002-05-03T00:00:00"/>
    <d v="2002-05-03T00:00:00"/>
    <d v="2002-01-17T00:00:00"/>
    <d v="2002-01-24T00:00:00"/>
    <s v="OTIF FAIL"/>
    <n v="1"/>
    <s v="1210_FG_CRC"/>
    <x v="8"/>
    <n v="1"/>
    <m/>
  </r>
  <r>
    <s v="0558114911-1"/>
    <s v="CST"/>
    <n v="0.9"/>
    <n v="1000"/>
    <n v="0"/>
    <n v="16"/>
    <n v="16"/>
    <s v="CRAP"/>
    <d v="2001-08-29T00:00:00"/>
    <d v="2002-02-26T00:00:00"/>
    <d v="2002-03-01T00:00:00"/>
    <d v="2002-03-01T00:00:00"/>
    <d v="2002-03-06T00:00:00"/>
    <d v="2002-03-06T00:00:00"/>
    <s v="OTIF FAIL"/>
    <n v="1"/>
    <s v="1210_FG_CRC"/>
    <x v="1"/>
    <n v="1"/>
    <m/>
  </r>
  <r>
    <s v="0558115477-4"/>
    <s v="PSS"/>
    <n v="1"/>
    <n v="1000"/>
    <n v="0"/>
    <n v="6"/>
    <n v="6"/>
    <s v="CRAP"/>
    <d v="2001-08-29T00:00:00"/>
    <d v="2002-03-08T00:00:00"/>
    <d v="2002-04-26T00:00:00"/>
    <d v="2002-04-26T00:00:00"/>
    <d v="2002-01-14T00:00:00"/>
    <d v="2002-01-15T00:00:00"/>
    <s v="OTIF FAIL"/>
    <n v="4"/>
    <s v="1210_FG_CRC"/>
    <x v="13"/>
    <n v="1"/>
    <m/>
  </r>
  <r>
    <s v="0558113192-3"/>
    <s v="CST"/>
    <n v="1"/>
    <n v="1250"/>
    <n v="0"/>
    <n v="3"/>
    <n v="3"/>
    <s v="CRAP"/>
    <d v="2001-08-05T00:00:00"/>
    <d v="2002-03-05T00:00:00"/>
    <d v="2002-04-15T00:00:00"/>
    <d v="2002-04-15T00:00:00"/>
    <d v="2002-04-15T00:00:00"/>
    <d v="2002-04-21T00:00:00"/>
    <s v="OTIF FAIL"/>
    <n v="3"/>
    <s v="1210_FG_CRC"/>
    <x v="2"/>
    <n v="1"/>
    <m/>
  </r>
  <r>
    <s v="0558115763-1"/>
    <s v="HRC"/>
    <n v="0.8"/>
    <n v="1250"/>
    <n v="0"/>
    <n v="18"/>
    <n v="18"/>
    <s v="CRAP"/>
    <d v="2001-09-25T00:00:00"/>
    <d v="2002-02-26T00:00:00"/>
    <d v="2002-03-16T00:00:00"/>
    <d v="2002-03-16T00:00:00"/>
    <d v="2002-03-16T00:00:00"/>
    <d v="2002-03-16T00:00:00"/>
    <s v="OTIF FAIL"/>
    <n v="1"/>
    <s v="1210_FG_CRC"/>
    <x v="3"/>
    <n v="1"/>
    <m/>
  </r>
  <r>
    <s v="0558114742-2"/>
    <s v="CST"/>
    <n v="1"/>
    <n v="1250"/>
    <n v="0"/>
    <n v="3"/>
    <n v="3"/>
    <s v="CRAP"/>
    <d v="2001-08-23T00:00:00"/>
    <d v="2002-03-07T00:00:00"/>
    <d v="2002-04-15T00:00:00"/>
    <d v="2002-04-15T00:00:00"/>
    <d v="2002-04-15T00:00:00"/>
    <d v="2002-04-21T00:00:00"/>
    <s v="OTIF FAIL"/>
    <n v="2"/>
    <s v="1210_FG_CRC"/>
    <x v="2"/>
    <n v="1"/>
    <m/>
  </r>
  <r>
    <s v="0558112020-1"/>
    <s v="HPC"/>
    <n v="1.6"/>
    <n v="1250"/>
    <n v="0"/>
    <n v="10"/>
    <n v="10"/>
    <s v="CRAP"/>
    <d v="2001-09-25T00:00:00"/>
    <d v="2002-02-27T00:00:00"/>
    <d v="2002-03-13T00:00:00"/>
    <d v="2002-03-13T00:00:00"/>
    <d v="2002-03-09T00:00:00"/>
    <d v="2002-03-09T00:00:00"/>
    <s v="OTIF FAIL"/>
    <n v="1"/>
    <s v="1210_FG_CRC"/>
    <x v="1"/>
    <n v="1"/>
    <m/>
  </r>
  <r>
    <s v="0558112001-20"/>
    <s v="HPC"/>
    <n v="1"/>
    <n v="1250"/>
    <n v="0"/>
    <n v="3"/>
    <n v="3"/>
    <s v="CRAP"/>
    <d v="2001-09-25T00:00:00"/>
    <d v="2002-03-04T00:00:00"/>
    <d v="2002-04-15T00:00:00"/>
    <d v="2002-04-15T00:00:00"/>
    <d v="2002-04-15T00:00:00"/>
    <d v="2002-04-21T00:00:00"/>
    <s v="OTIF FAIL"/>
    <n v="20"/>
    <s v="1210_FG_CRC"/>
    <x v="2"/>
    <n v="1"/>
    <m/>
  </r>
  <r>
    <s v="0558116271-2"/>
    <s v="HRC"/>
    <n v="0.8"/>
    <n v="1250"/>
    <n v="0"/>
    <n v="9"/>
    <n v="9"/>
    <s v="CRAP"/>
    <d v="2001-10-25T00:00:00"/>
    <d v="2002-03-10T00:00:00"/>
    <d v="2002-05-02T00:00:00"/>
    <d v="2002-05-02T00:00:00"/>
    <d v="2002-04-07T00:00:00"/>
    <d v="2002-04-07T00:00:00"/>
    <s v="OTIF FAIL"/>
    <n v="2"/>
    <s v="1210_FG_CRC"/>
    <x v="7"/>
    <n v="1"/>
    <m/>
  </r>
  <r>
    <s v="0558113830-1"/>
    <s v="CST"/>
    <n v="2"/>
    <n v="1250"/>
    <n v="0"/>
    <n v="6"/>
    <n v="6"/>
    <s v="CRAP"/>
    <d v="2001-08-11T00:00:00"/>
    <d v="2002-03-06T00:00:00"/>
    <d v="2002-05-03T00:00:00"/>
    <d v="2002-05-03T00:00:00"/>
    <d v="2002-01-24T00:00:00"/>
    <d v="2002-01-24T00:00:00"/>
    <s v="OTIF FAIL"/>
    <n v="1"/>
    <s v="1210_FG_CRC"/>
    <x v="8"/>
    <n v="1"/>
    <m/>
  </r>
  <r>
    <s v="0558116271-1"/>
    <s v="CST"/>
    <n v="0.6"/>
    <n v="1250"/>
    <n v="0"/>
    <n v="3"/>
    <n v="3"/>
    <s v="CRAP"/>
    <d v="2001-10-25T00:00:00"/>
    <d v="2002-03-10T00:00:00"/>
    <d v="2002-04-14T00:00:00"/>
    <d v="2002-04-14T00:00:00"/>
    <d v="2002-04-14T00:00:00"/>
    <d v="2002-04-16T00:00:00"/>
    <s v="OTIF FAIL"/>
    <n v="1"/>
    <s v="1210_FG_CRC"/>
    <x v="15"/>
    <n v="1"/>
    <m/>
  </r>
  <r>
    <s v="0558114845-2"/>
    <s v="CRC"/>
    <n v="1"/>
    <n v="1250"/>
    <n v="0"/>
    <n v="5"/>
    <n v="5"/>
    <s v="CRAP"/>
    <d v="2001-08-29T00:00:00"/>
    <d v="2002-03-10T00:00:00"/>
    <d v="2002-04-21T00:00:00"/>
    <d v="2002-04-21T00:00:00"/>
    <d v="2002-04-21T00:00:00"/>
    <d v="2002-04-21T00:00:00"/>
    <s v="OTIF FAIL"/>
    <n v="2"/>
    <s v="1210_FG_CRC"/>
    <x v="2"/>
    <n v="1"/>
    <m/>
  </r>
  <r>
    <s v="0569023217-2"/>
    <s v="CST"/>
    <n v="0.8"/>
    <n v="1250"/>
    <n v="0"/>
    <n v="70"/>
    <n v="70"/>
    <s v="CRAP"/>
    <d v="2001-09-28T00:00:00"/>
    <d v="2002-02-27T00:00:00"/>
    <d v="2002-04-02T00:00:00"/>
    <d v="2002-04-02T00:00:00"/>
    <d v="2002-04-02T00:00:00"/>
    <d v="2002-04-02T00:00:00"/>
    <s v="OTIF FAIL"/>
    <n v="2"/>
    <s v="1210_FG_CRC"/>
    <x v="6"/>
    <n v="1"/>
    <m/>
  </r>
  <r>
    <s v="0558114598-2"/>
    <s v="CBL"/>
    <n v="0.6"/>
    <n v="1250"/>
    <n v="0"/>
    <n v="3"/>
    <n v="3"/>
    <s v="CRAP"/>
    <d v="2001-08-23T00:00:00"/>
    <d v="2002-02-26T00:00:00"/>
    <d v="2002-04-14T00:00:00"/>
    <d v="2002-04-14T00:00:00"/>
    <d v="2002-04-14T00:00:00"/>
    <d v="2002-04-16T00:00:00"/>
    <s v="OTIF FAIL"/>
    <n v="2"/>
    <s v="1210_FG_CRC"/>
    <x v="15"/>
    <n v="1"/>
    <m/>
  </r>
  <r>
    <s v="0558113991-2"/>
    <s v="CRC"/>
    <n v="0.8"/>
    <n v="1250"/>
    <n v="0"/>
    <n v="10"/>
    <n v="10"/>
    <s v="CRAP"/>
    <d v="2001-08-16T00:00:00"/>
    <d v="2002-03-06T00:00:00"/>
    <d v="2002-04-23T00:00:00"/>
    <d v="2002-04-23T00:00:00"/>
    <d v="2002-04-16T00:00:00"/>
    <d v="2002-04-16T00:00:00"/>
    <s v="OTIF FAIL"/>
    <n v="2"/>
    <s v="1210_FG_CRC"/>
    <x v="15"/>
    <n v="1"/>
    <m/>
  </r>
  <r>
    <s v="0558116270-2"/>
    <s v="CST"/>
    <n v="0.8"/>
    <n v="1250"/>
    <n v="0"/>
    <n v="9"/>
    <n v="9"/>
    <s v="CRAP"/>
    <d v="2001-10-25T00:00:00"/>
    <d v="2002-03-10T00:00:00"/>
    <d v="2002-05-02T00:00:00"/>
    <d v="2002-05-02T00:00:00"/>
    <d v="2002-04-07T00:00:00"/>
    <d v="2002-04-07T00:00:00"/>
    <s v="OTIF FAIL"/>
    <n v="2"/>
    <s v="1210_FG_CRC"/>
    <x v="7"/>
    <n v="1"/>
    <m/>
  </r>
  <r>
    <s v="0558111102-1"/>
    <s v="HPC"/>
    <n v="0.8"/>
    <n v="1250"/>
    <n v="0"/>
    <n v="5"/>
    <n v="5"/>
    <s v="CRAP"/>
    <d v="2001-09-25T00:00:00"/>
    <d v="2002-03-04T00:00:00"/>
    <d v="2002-02-13T00:00:00"/>
    <d v="2002-03-04T00:00:00"/>
    <d v="2002-01-31T00:00:00"/>
    <d v="2002-01-31T00:00:00"/>
    <s v="OTIF PASS"/>
    <n v="1"/>
    <s v="1210_FG_CRC"/>
    <x v="10"/>
    <n v="1"/>
    <m/>
  </r>
  <r>
    <s v="0558114817-3"/>
    <s v="CST"/>
    <n v="1.2"/>
    <n v="1000"/>
    <n v="0"/>
    <n v="3"/>
    <n v="3"/>
    <s v="CRAP"/>
    <d v="2001-08-25T00:00:00"/>
    <d v="2002-02-25T00:00:00"/>
    <d v="2002-03-15T00:00:00"/>
    <d v="2002-03-15T00:00:00"/>
    <d v="2002-03-15T00:00:00"/>
    <d v="2002-03-15T00:00:00"/>
    <s v="OTIF FAIL"/>
    <n v="3"/>
    <s v="1210_FG_CRC"/>
    <x v="3"/>
    <n v="1"/>
    <m/>
  </r>
  <r>
    <s v="0569022769-1"/>
    <s v="CST"/>
    <n v="0.6"/>
    <n v="1250"/>
    <n v="0"/>
    <n v="35"/>
    <n v="35"/>
    <s v="CRAP"/>
    <d v="2001-09-25T00:00:00"/>
    <d v="2002-03-10T00:00:00"/>
    <s v="-"/>
    <s v="-"/>
    <d v="2002-04-15T00:00:00"/>
    <d v="2002-04-15T00:00:00"/>
    <s v="OTIF FAIL"/>
    <n v="1"/>
    <s v="1210_FG_CRC"/>
    <x v="15"/>
    <n v="1"/>
    <m/>
  </r>
  <r>
    <s v="0558113991-1"/>
    <s v="CST"/>
    <n v="1"/>
    <n v="1250"/>
    <n v="0"/>
    <n v="10"/>
    <n v="10"/>
    <s v="CRAP"/>
    <d v="2001-08-16T00:00:00"/>
    <d v="2002-03-06T00:00:00"/>
    <d v="2002-04-15T00:00:00"/>
    <d v="2002-04-15T00:00:00"/>
    <d v="2002-04-15T00:00:00"/>
    <d v="2002-04-21T00:00:00"/>
    <s v="OTIF FAIL"/>
    <n v="1"/>
    <s v="1210_FG_CRC"/>
    <x v="2"/>
    <n v="1"/>
    <m/>
  </r>
  <r>
    <s v="0558114312-1"/>
    <s v="HRC"/>
    <n v="1"/>
    <n v="1250"/>
    <n v="0"/>
    <n v="3"/>
    <n v="3"/>
    <s v="CRAP"/>
    <d v="2001-08-21T00:00:00"/>
    <d v="2002-02-23T00:00:00"/>
    <d v="2002-04-15T00:00:00"/>
    <d v="2002-04-15T00:00:00"/>
    <d v="2002-04-15T00:00:00"/>
    <d v="2002-04-21T00:00:00"/>
    <s v="OTIF FAIL"/>
    <n v="1"/>
    <s v="1210_FG_CRC"/>
    <x v="2"/>
    <n v="1"/>
    <m/>
  </r>
  <r>
    <s v="0558101371-2"/>
    <s v="CST"/>
    <n v="0.9"/>
    <n v="1000"/>
    <n v="0"/>
    <n v="6"/>
    <n v="6"/>
    <s v="CRAP"/>
    <d v="2001-09-25T00:00:00"/>
    <d v="2002-02-25T00:00:00"/>
    <d v="2002-04-25T00:00:00"/>
    <d v="2002-04-25T00:00:00"/>
    <d v="2002-01-27T00:00:00"/>
    <d v="2002-01-27T00:00:00"/>
    <s v="OTIF FAIL"/>
    <n v="2"/>
    <s v="1210_FG_CRC"/>
    <x v="10"/>
    <n v="1"/>
    <m/>
  </r>
  <r>
    <s v="0558102521-6"/>
    <s v="CST"/>
    <n v="0.9"/>
    <n v="1000"/>
    <n v="0"/>
    <n v="3"/>
    <n v="3"/>
    <s v="CRAP"/>
    <d v="2001-09-25T00:00:00"/>
    <d v="2002-02-25T00:00:00"/>
    <s v="-"/>
    <s v="-"/>
    <d v="2002-01-20T00:00:00"/>
    <d v="2002-01-27T00:00:00"/>
    <s v="OTIF FAIL"/>
    <n v="6"/>
    <s v="1210_FG_CRC"/>
    <x v="10"/>
    <n v="1"/>
    <m/>
  </r>
  <r>
    <s v="0569023217-4"/>
    <s v="HRC"/>
    <n v="1.2"/>
    <n v="1250"/>
    <n v="0"/>
    <n v="60"/>
    <n v="60"/>
    <s v="CRAP"/>
    <d v="2001-09-28T00:00:00"/>
    <d v="2002-02-27T00:00:00"/>
    <d v="2002-03-02T00:00:00"/>
    <d v="2002-03-02T00:00:00"/>
    <d v="2002-03-09T00:00:00"/>
    <d v="2002-03-09T00:00:00"/>
    <s v="OTIF FAIL"/>
    <n v="4"/>
    <s v="1210_FG_CRC"/>
    <x v="1"/>
    <n v="1"/>
    <m/>
  </r>
  <r>
    <s v="0569023218-4"/>
    <s v="CST"/>
    <n v="1.2"/>
    <n v="1250"/>
    <n v="0"/>
    <n v="60"/>
    <n v="60"/>
    <s v="CRAP"/>
    <d v="2001-09-28T00:00:00"/>
    <d v="2002-02-27T00:00:00"/>
    <d v="2002-03-02T00:00:00"/>
    <d v="2002-03-02T00:00:00"/>
    <d v="2002-03-09T00:00:00"/>
    <d v="2002-03-09T00:00:00"/>
    <s v="OTIF FAIL"/>
    <n v="4"/>
    <s v="1210_FG_CRC"/>
    <x v="1"/>
    <n v="1"/>
    <m/>
  </r>
  <r>
    <s v="0558114534-19"/>
    <s v="HPC"/>
    <n v="0.6"/>
    <n v="1250"/>
    <n v="0"/>
    <n v="3"/>
    <n v="3"/>
    <s v="CRAP"/>
    <d v="2001-08-21T00:00:00"/>
    <d v="2002-02-22T00:00:00"/>
    <d v="2002-04-14T00:00:00"/>
    <d v="2002-04-14T00:00:00"/>
    <d v="2002-04-14T00:00:00"/>
    <d v="2002-04-16T00:00:00"/>
    <s v="OTIF FAIL"/>
    <n v="19"/>
    <s v="1210_FG_CRC"/>
    <x v="15"/>
    <n v="1"/>
    <m/>
  </r>
  <r>
    <s v="0569022756-4"/>
    <s v="CRC"/>
    <n v="0.8"/>
    <n v="1250"/>
    <n v="0"/>
    <n v="51"/>
    <n v="51"/>
    <s v="CRAP"/>
    <d v="2001-09-25T00:00:00"/>
    <d v="2002-03-10T00:00:00"/>
    <s v="-"/>
    <s v="-"/>
    <d v="2002-04-16T00:00:00"/>
    <d v="2002-04-16T00:00:00"/>
    <s v="OTIF FAIL"/>
    <n v="4"/>
    <s v="1210_FG_CRC"/>
    <x v="15"/>
    <n v="1"/>
    <m/>
  </r>
  <r>
    <s v="0569023218-2"/>
    <s v="HRC"/>
    <n v="0.8"/>
    <n v="1250"/>
    <n v="0"/>
    <n v="70"/>
    <n v="70"/>
    <s v="CRAP"/>
    <d v="2001-09-28T00:00:00"/>
    <d v="2002-02-27T00:00:00"/>
    <d v="2002-04-02T00:00:00"/>
    <d v="2002-04-02T00:00:00"/>
    <d v="2002-04-02T00:00:00"/>
    <d v="2002-04-02T00:00:00"/>
    <s v="OTIF FAIL"/>
    <n v="2"/>
    <s v="1210_FG_CRC"/>
    <x v="6"/>
    <n v="1"/>
    <m/>
  </r>
  <r>
    <s v="0569022756-1"/>
    <s v="CRC"/>
    <n v="0.6"/>
    <n v="1250"/>
    <n v="0"/>
    <n v="35"/>
    <n v="10.848000000000001"/>
    <s v="CRAP"/>
    <d v="2001-09-25T00:00:00"/>
    <d v="2002-03-10T00:00:00"/>
    <s v="-"/>
    <s v="-"/>
    <d v="2002-04-15T00:00:00"/>
    <d v="2002-04-15T00:00:00"/>
    <s v="OTIF FAIL"/>
    <n v="1"/>
    <s v="1210_FG_CRC"/>
    <x v="15"/>
    <n v="0"/>
    <m/>
  </r>
  <r>
    <s v="0558095455-3"/>
    <s v="HRC"/>
    <n v="2.85"/>
    <n v="1250"/>
    <n v="0"/>
    <n v="60"/>
    <n v="21.724"/>
    <s v="CRAP"/>
    <d v="2001-09-25T00:00:00"/>
    <d v="2002-02-27T00:00:00"/>
    <d v="2002-03-21T00:00:00"/>
    <d v="2002-03-21T00:00:00"/>
    <d v="2002-03-21T00:00:00"/>
    <d v="2002-03-21T00:00:00"/>
    <s v="OTIF FAIL"/>
    <n v="3"/>
    <s v="1210_FG_CRC"/>
    <x v="0"/>
    <n v="0"/>
    <m/>
  </r>
  <r>
    <s v="0558111162-2"/>
    <s v="HRC"/>
    <n v="1.2"/>
    <n v="1000"/>
    <n v="0"/>
    <n v="3"/>
    <n v="3"/>
    <s v="CRAP"/>
    <d v="2001-09-25T00:00:00"/>
    <d v="2002-03-04T00:00:00"/>
    <d v="2002-03-16T00:00:00"/>
    <d v="2002-03-16T00:00:00"/>
    <d v="2002-03-16T00:00:00"/>
    <d v="2002-03-17T00:00:00"/>
    <s v="OTIF FAIL"/>
    <n v="2"/>
    <s v="1210_FG_CRC"/>
    <x v="0"/>
    <n v="1"/>
    <m/>
  </r>
  <r>
    <s v="0558115477-2"/>
    <s v="CST"/>
    <n v="1.5"/>
    <n v="1250"/>
    <n v="0"/>
    <n v="9"/>
    <n v="9"/>
    <s v="CRAP"/>
    <d v="2001-08-29T00:00:00"/>
    <d v="2002-03-08T00:00:00"/>
    <d v="2002-04-23T00:00:00"/>
    <d v="2002-04-23T00:00:00"/>
    <d v="2002-01-14T00:00:00"/>
    <d v="2002-01-31T00:00:00"/>
    <s v="OTIF FAIL"/>
    <n v="2"/>
    <s v="1210_FG_CRC"/>
    <x v="10"/>
    <n v="1"/>
    <m/>
  </r>
  <r>
    <s v="0558116247-2"/>
    <s v="CST"/>
    <n v="1.2"/>
    <n v="1000"/>
    <n v="0"/>
    <n v="3"/>
    <n v="3"/>
    <s v="CRAP"/>
    <d v="2001-10-25T00:00:00"/>
    <d v="2002-03-08T00:00:00"/>
    <d v="2002-03-17T00:00:00"/>
    <d v="2002-03-17T00:00:00"/>
    <d v="2002-03-17T00:00:00"/>
    <d v="2002-03-17T00:00:00"/>
    <s v="OTIF FAIL"/>
    <n v="2"/>
    <s v="1210_FG_CRC"/>
    <x v="0"/>
    <n v="1"/>
    <m/>
  </r>
  <r>
    <s v="0558116248-2"/>
    <s v="HRC"/>
    <n v="1.2"/>
    <n v="1000"/>
    <n v="0"/>
    <n v="3"/>
    <n v="3"/>
    <s v="CRAP"/>
    <d v="2001-10-25T00:00:00"/>
    <d v="2002-03-08T00:00:00"/>
    <d v="2002-03-17T00:00:00"/>
    <d v="2002-03-17T00:00:00"/>
    <d v="2002-03-17T00:00:00"/>
    <d v="2002-03-17T00:00:00"/>
    <s v="OTIF FAIL"/>
    <n v="2"/>
    <s v="1210_FG_CRC"/>
    <x v="0"/>
    <n v="1"/>
    <m/>
  </r>
  <r>
    <s v="0558113219-1"/>
    <s v="CST"/>
    <n v="0.8"/>
    <n v="1250"/>
    <n v="0"/>
    <n v="10"/>
    <n v="10"/>
    <s v="CRAP"/>
    <d v="2001-08-05T00:00:00"/>
    <d v="2002-03-05T00:00:00"/>
    <d v="2002-04-23T00:00:00"/>
    <d v="2002-04-23T00:00:00"/>
    <d v="2002-04-16T00:00:00"/>
    <d v="2002-04-16T00:00:00"/>
    <s v="OTIF FAIL"/>
    <n v="1"/>
    <s v="1210_FG_CRC"/>
    <x v="15"/>
    <n v="1"/>
    <m/>
  </r>
  <r>
    <s v="0558113219-3"/>
    <s v="CST"/>
    <n v="1.2"/>
    <n v="1250"/>
    <n v="0"/>
    <n v="10"/>
    <n v="7.476"/>
    <s v="CRAP"/>
    <d v="2001-08-05T00:00:00"/>
    <d v="2002-03-05T00:00:00"/>
    <d v="2002-03-06T00:00:00"/>
    <d v="2002-03-06T00:00:00"/>
    <d v="2002-01-28T00:00:00"/>
    <d v="2002-01-28T00:00:00"/>
    <s v="OTIF FAIL"/>
    <n v="3"/>
    <s v="1210_FG_CRC"/>
    <x v="10"/>
    <n v="0"/>
    <m/>
  </r>
  <r>
    <s v="0558113137-2"/>
    <s v="CST"/>
    <n v="0.8"/>
    <n v="1000"/>
    <n v="0"/>
    <n v="6"/>
    <n v="6"/>
    <s v="CRAP"/>
    <d v="2001-09-25T00:00:00"/>
    <d v="2002-03-05T00:00:00"/>
    <d v="2002-04-05T00:00:00"/>
    <d v="2002-04-05T00:00:00"/>
    <d v="2002-04-05T00:00:00"/>
    <d v="2002-04-05T00:00:00"/>
    <s v="OTIF FAIL"/>
    <n v="2"/>
    <s v="1210_FG_CRC"/>
    <x v="6"/>
    <n v="1"/>
    <m/>
  </r>
  <r>
    <s v="0558113851-1"/>
    <s v="HRC"/>
    <n v="0.6"/>
    <n v="1250"/>
    <n v="0"/>
    <n v="10"/>
    <n v="10"/>
    <s v="CRAP"/>
    <d v="2001-08-11T00:00:00"/>
    <d v="2002-03-06T00:00:00"/>
    <d v="2002-04-15T00:00:00"/>
    <d v="2002-04-15T00:00:00"/>
    <d v="2002-04-15T00:00:00"/>
    <d v="2002-04-15T00:00:00"/>
    <s v="OTIF FAIL"/>
    <n v="1"/>
    <s v="1210_FG_CRC"/>
    <x v="15"/>
    <n v="1"/>
    <m/>
  </r>
  <r>
    <s v="0558116165-4"/>
    <s v="CST"/>
    <n v="0.8"/>
    <n v="1000"/>
    <n v="0"/>
    <n v="6"/>
    <n v="6"/>
    <s v="CRAP"/>
    <d v="2001-09-25T00:00:00"/>
    <d v="2002-03-08T00:00:00"/>
    <d v="2002-04-05T00:00:00"/>
    <d v="2002-04-05T00:00:00"/>
    <d v="2002-04-05T00:00:00"/>
    <d v="2002-04-05T00:00:00"/>
    <s v="OTIF FAIL"/>
    <n v="4"/>
    <s v="1210_FG_CRC"/>
    <x v="6"/>
    <n v="1"/>
    <m/>
  </r>
  <r>
    <s v="0558115605-3"/>
    <s v="CST"/>
    <n v="1.2"/>
    <n v="1000"/>
    <n v="0"/>
    <n v="3"/>
    <n v="3"/>
    <s v="CRAP"/>
    <d v="2001-08-29T00:00:00"/>
    <d v="2002-03-08T00:00:00"/>
    <d v="2002-04-26T00:00:00"/>
    <d v="2002-04-26T00:00:00"/>
    <d v="2002-01-14T00:00:00"/>
    <d v="2002-01-25T00:00:00"/>
    <s v="OTIF FAIL"/>
    <n v="3"/>
    <s v="1210_FG_CRC"/>
    <x v="8"/>
    <n v="1"/>
    <m/>
  </r>
  <r>
    <s v="0558112001-17"/>
    <s v="HRC"/>
    <n v="0.6"/>
    <n v="1250"/>
    <n v="0"/>
    <n v="3"/>
    <n v="3"/>
    <s v="CRAP"/>
    <d v="2001-09-25T00:00:00"/>
    <d v="2002-03-04T00:00:00"/>
    <d v="2002-04-15T00:00:00"/>
    <d v="2002-04-15T00:00:00"/>
    <d v="2002-04-15T00:00:00"/>
    <d v="2002-04-15T00:00:00"/>
    <s v="OTIF FAIL"/>
    <n v="17"/>
    <s v="1210_FG_CRC"/>
    <x v="15"/>
    <n v="1"/>
    <m/>
  </r>
  <r>
    <s v="0558116126-3"/>
    <s v="CST"/>
    <n v="2"/>
    <n v="1000"/>
    <n v="0"/>
    <n v="3"/>
    <n v="3"/>
    <s v="CRAP"/>
    <d v="2001-09-25T00:00:00"/>
    <d v="2002-03-08T00:00:00"/>
    <d v="2002-02-17T00:00:00"/>
    <d v="2002-03-08T00:00:00"/>
    <d v="2002-01-17T00:00:00"/>
    <d v="2002-01-17T00:00:00"/>
    <s v="OTIF PASS"/>
    <n v="3"/>
    <s v="1210_FG_CRC"/>
    <x v="13"/>
    <n v="1"/>
    <m/>
  </r>
  <r>
    <s v="0558116165-1"/>
    <s v="CRC"/>
    <n v="2"/>
    <n v="1250"/>
    <n v="0"/>
    <n v="3"/>
    <n v="3"/>
    <s v="CRAP"/>
    <d v="2001-09-25T00:00:00"/>
    <d v="2002-03-08T00:00:00"/>
    <d v="2002-04-09T00:00:00"/>
    <d v="2002-04-09T00:00:00"/>
    <d v="2002-04-09T00:00:00"/>
    <d v="2002-04-09T00:00:00"/>
    <s v="OTIF FAIL"/>
    <n v="1"/>
    <s v="1210_FG_CRC"/>
    <x v="7"/>
    <n v="1"/>
    <m/>
  </r>
  <r>
    <s v="0558113850-2"/>
    <s v="JBS"/>
    <n v="0.6"/>
    <n v="1250"/>
    <n v="0"/>
    <n v="10"/>
    <n v="10"/>
    <s v="CRAP"/>
    <d v="2001-08-11T00:00:00"/>
    <d v="2002-03-06T00:00:00"/>
    <d v="2002-04-15T00:00:00"/>
    <d v="2002-04-15T00:00:00"/>
    <d v="2002-04-15T00:00:00"/>
    <d v="2002-04-15T00:00:00"/>
    <s v="OTIF FAIL"/>
    <n v="2"/>
    <s v="1210_FG_CRC"/>
    <x v="15"/>
    <n v="1"/>
    <m/>
  </r>
  <r>
    <s v="0558115782-1"/>
    <s v="CST"/>
    <n v="0.6"/>
    <n v="1250"/>
    <n v="0"/>
    <n v="3"/>
    <n v="3"/>
    <s v="CRAP"/>
    <d v="2001-08-30T00:00:00"/>
    <d v="2002-03-08T00:00:00"/>
    <d v="2002-04-15T00:00:00"/>
    <d v="2002-04-15T00:00:00"/>
    <d v="2002-04-15T00:00:00"/>
    <d v="2002-04-15T00:00:00"/>
    <s v="OTIF FAIL"/>
    <n v="1"/>
    <s v="1210_FG_CRC"/>
    <x v="15"/>
    <n v="1"/>
    <m/>
  </r>
  <r>
    <s v="0558115821-1"/>
    <s v="CRC"/>
    <n v="1.2"/>
    <n v="1000"/>
    <n v="0"/>
    <n v="3"/>
    <n v="3"/>
    <s v="CRAP"/>
    <d v="2001-08-30T00:00:00"/>
    <d v="2002-03-08T00:00:00"/>
    <d v="2002-03-17T00:00:00"/>
    <d v="2002-03-17T00:00:00"/>
    <d v="2002-03-17T00:00:00"/>
    <d v="2002-03-17T00:00:00"/>
    <s v="OTIF FAIL"/>
    <n v="1"/>
    <s v="1210_FG_CRC"/>
    <x v="0"/>
    <n v="1"/>
    <m/>
  </r>
  <r>
    <s v="0558113219-2"/>
    <s v="CST"/>
    <n v="1"/>
    <n v="1250"/>
    <n v="0"/>
    <n v="10"/>
    <n v="10"/>
    <s v="CRAP"/>
    <d v="2001-08-05T00:00:00"/>
    <d v="2002-03-05T00:00:00"/>
    <d v="2002-04-15T00:00:00"/>
    <d v="2002-04-15T00:00:00"/>
    <d v="2002-04-15T00:00:00"/>
    <d v="2002-04-21T00:00:00"/>
    <s v="OTIF FAIL"/>
    <n v="2"/>
    <s v="1210_FG_CRC"/>
    <x v="2"/>
    <n v="1"/>
    <m/>
  </r>
  <r>
    <s v="0558116249-2"/>
    <s v="HRC"/>
    <n v="1.2"/>
    <n v="1000"/>
    <n v="0"/>
    <n v="3"/>
    <n v="3"/>
    <s v="CRAP"/>
    <d v="2001-10-25T00:00:00"/>
    <d v="2002-03-08T00:00:00"/>
    <d v="2002-03-17T00:00:00"/>
    <d v="2002-03-17T00:00:00"/>
    <d v="2002-03-17T00:00:00"/>
    <d v="2002-03-17T00:00:00"/>
    <s v="OTIF FAIL"/>
    <n v="2"/>
    <s v="1210_FG_CRC"/>
    <x v="0"/>
    <n v="1"/>
    <m/>
  </r>
  <r>
    <s v="0558114817-1"/>
    <s v="CST"/>
    <n v="0.8"/>
    <n v="1000"/>
    <n v="0"/>
    <n v="6"/>
    <n v="6"/>
    <s v="CRAP"/>
    <d v="2001-08-25T00:00:00"/>
    <d v="2002-02-20T00:00:00"/>
    <d v="2002-04-05T00:00:00"/>
    <d v="2002-04-05T00:00:00"/>
    <d v="2002-04-05T00:00:00"/>
    <d v="2002-04-05T00:00:00"/>
    <s v="OTIF FAIL"/>
    <n v="1"/>
    <s v="1210_FG_CRC"/>
    <x v="6"/>
    <n v="1"/>
    <m/>
  </r>
  <r>
    <s v="0558109959-8"/>
    <s v="CST"/>
    <n v="0.6"/>
    <n v="1250"/>
    <n v="0"/>
    <n v="6"/>
    <n v="6"/>
    <s v="CRAP"/>
    <d v="2001-09-25T00:00:00"/>
    <d v="2002-02-25T00:00:00"/>
    <d v="2002-04-15T00:00:00"/>
    <d v="2002-04-15T00:00:00"/>
    <d v="2002-04-15T00:00:00"/>
    <d v="2002-04-15T00:00:00"/>
    <s v="OTIF FAIL"/>
    <n v="8"/>
    <s v="1210_FG_CRC"/>
    <x v="15"/>
    <n v="1"/>
    <m/>
  </r>
  <r>
    <s v="0558114546-1"/>
    <s v="CRC"/>
    <n v="1.8"/>
    <n v="1250"/>
    <n v="0"/>
    <n v="44"/>
    <n v="44"/>
    <s v="CRAP"/>
    <d v="2001-08-23T00:00:00"/>
    <d v="2002-02-27T00:00:00"/>
    <d v="2002-03-20T00:00:00"/>
    <d v="2002-03-20T00:00:00"/>
    <d v="2002-03-20T00:00:00"/>
    <d v="2002-03-20T00:00:00"/>
    <s v="OTIF FAIL"/>
    <n v="1"/>
    <s v="1210_FG_CRC"/>
    <x v="0"/>
    <n v="1"/>
    <m/>
  </r>
  <r>
    <s v="0558113548-2"/>
    <s v="CST"/>
    <n v="1.2"/>
    <n v="1000"/>
    <n v="0"/>
    <n v="3"/>
    <n v="3"/>
    <s v="CRAP"/>
    <d v="2001-08-07T00:00:00"/>
    <d v="2002-03-06T00:00:00"/>
    <d v="2002-03-16T00:00:00"/>
    <d v="2002-03-16T00:00:00"/>
    <d v="2002-03-16T00:00:00"/>
    <d v="2002-03-17T00:00:00"/>
    <s v="OTIF FAIL"/>
    <n v="2"/>
    <s v="1210_FG_CRC"/>
    <x v="0"/>
    <n v="1"/>
    <m/>
  </r>
  <r>
    <s v="0558111709-2"/>
    <s v="CST"/>
    <n v="0.8"/>
    <n v="1000"/>
    <n v="0"/>
    <n v="3"/>
    <n v="3"/>
    <s v="CRAP"/>
    <d v="2001-09-25T00:00:00"/>
    <d v="2002-03-04T00:00:00"/>
    <d v="2002-04-05T00:00:00"/>
    <d v="2002-04-05T00:00:00"/>
    <d v="2002-04-05T00:00:00"/>
    <d v="2002-04-05T00:00:00"/>
    <s v="OTIF FAIL"/>
    <n v="2"/>
    <s v="1210_FG_CRC"/>
    <x v="6"/>
    <n v="1"/>
    <m/>
  </r>
  <r>
    <s v="0558115796-5"/>
    <s v="CST"/>
    <n v="1.2"/>
    <n v="1250"/>
    <n v="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5"/>
    <s v="1210_FG_CRC"/>
    <x v="9"/>
    <n v="1"/>
    <m/>
  </r>
  <r>
    <s v="0558113719-1"/>
    <s v="HPC"/>
    <n v="0.8"/>
    <n v="1000"/>
    <n v="0"/>
    <n v="3"/>
    <n v="0.49"/>
    <s v="CRAP"/>
    <d v="2001-08-11T00:00:00"/>
    <d v="2002-03-06T00:00:00"/>
    <d v="2002-04-05T00:00:00"/>
    <d v="2002-04-05T00:00:00"/>
    <d v="2002-04-05T00:00:00"/>
    <d v="2002-04-05T00:00:00"/>
    <s v="OTIF FAIL"/>
    <n v="1"/>
    <s v="1210_FG_CRC"/>
    <x v="6"/>
    <n v="0"/>
    <m/>
  </r>
  <r>
    <s v="0558113126-3"/>
    <s v="CRC"/>
    <n v="1.2"/>
    <n v="1000"/>
    <n v="0"/>
    <n v="3"/>
    <n v="3"/>
    <s v="CRAP"/>
    <d v="2001-08-05T00:00:00"/>
    <d v="2002-03-05T00:00:00"/>
    <d v="2002-03-16T00:00:00"/>
    <d v="2002-03-16T00:00:00"/>
    <d v="2002-03-16T00:00:00"/>
    <d v="2002-03-17T00:00:00"/>
    <s v="OTIF FAIL"/>
    <n v="3"/>
    <s v="1210_FG_CRC"/>
    <x v="0"/>
    <n v="1"/>
    <m/>
  </r>
  <r>
    <s v="0558114224-1"/>
    <s v="CST"/>
    <n v="2"/>
    <n v="1250"/>
    <n v="0"/>
    <n v="3"/>
    <n v="3"/>
    <s v="CRAP"/>
    <d v="2001-08-17T00:00:00"/>
    <d v="2002-03-07T00:00:00"/>
    <d v="2002-04-09T00:00:00"/>
    <d v="2002-04-09T00:00:00"/>
    <d v="2002-04-09T00:00:00"/>
    <d v="2002-04-09T00:00:00"/>
    <s v="OTIF FAIL"/>
    <n v="1"/>
    <s v="1210_FG_CRC"/>
    <x v="7"/>
    <n v="1"/>
    <m/>
  </r>
  <r>
    <s v="0558111777-1"/>
    <s v="CST"/>
    <n v="1.2"/>
    <n v="1000"/>
    <n v="0"/>
    <n v="3"/>
    <n v="3"/>
    <s v="CRAP"/>
    <d v="2001-09-25T00:00:00"/>
    <d v="2002-03-04T00:00:00"/>
    <d v="2002-03-16T00:00:00"/>
    <d v="2002-03-16T00:00:00"/>
    <d v="2002-03-16T00:00:00"/>
    <d v="2002-03-17T00:00:00"/>
    <s v="OTIF FAIL"/>
    <n v="1"/>
    <s v="1210_FG_CRC"/>
    <x v="0"/>
    <n v="1"/>
    <m/>
  </r>
  <r>
    <s v="0558114827-1"/>
    <s v="CST"/>
    <n v="1.2"/>
    <n v="1000"/>
    <n v="0"/>
    <n v="3"/>
    <n v="3"/>
    <s v="CRAP"/>
    <d v="2001-08-25T00:00:00"/>
    <d v="2002-02-24T00:00:00"/>
    <d v="2002-03-15T00:00:00"/>
    <d v="2002-03-15T00:00:00"/>
    <d v="2002-03-15T00:00:00"/>
    <d v="2002-03-17T00:00:00"/>
    <s v="OTIF FAIL"/>
    <n v="1"/>
    <s v="1210_FG_CRC"/>
    <x v="0"/>
    <n v="1"/>
    <m/>
  </r>
  <r>
    <s v="0558116127-4"/>
    <s v="CST"/>
    <n v="1.5"/>
    <n v="1250"/>
    <n v="0"/>
    <n v="3"/>
    <n v="3"/>
    <s v="CRAP"/>
    <d v="2001-09-25T00:00:00"/>
    <d v="2002-03-08T00:00:00"/>
    <d v="2002-03-22T00:00:00"/>
    <d v="2002-03-22T00:00:00"/>
    <d v="2002-03-22T00:00:00"/>
    <d v="2002-03-22T00:00:00"/>
    <s v="OTIF FAIL"/>
    <n v="4"/>
    <s v="1210_FG_CRC"/>
    <x v="0"/>
    <n v="1"/>
    <m/>
  </r>
  <r>
    <s v="0558114409-3"/>
    <s v="CST"/>
    <n v="2"/>
    <n v="1250"/>
    <n v="0"/>
    <n v="3"/>
    <n v="3"/>
    <s v="CRAP"/>
    <d v="2001-08-21T00:00:00"/>
    <d v="2002-02-24T00:00:00"/>
    <d v="2002-04-09T00:00:00"/>
    <d v="2002-04-09T00:00:00"/>
    <d v="2002-04-09T00:00:00"/>
    <d v="2002-04-09T00:00:00"/>
    <s v="OTIF FAIL"/>
    <n v="3"/>
    <s v="1210_FG_CRC"/>
    <x v="7"/>
    <n v="1"/>
    <m/>
  </r>
  <r>
    <s v="0558116165-3"/>
    <s v="CST"/>
    <n v="1.2"/>
    <n v="1000"/>
    <n v="0"/>
    <n v="3"/>
    <n v="3"/>
    <s v="CRAP"/>
    <d v="2001-09-25T00:00:00"/>
    <d v="2002-03-08T00:00:00"/>
    <d v="2002-03-16T00:00:00"/>
    <d v="2002-03-16T00:00:00"/>
    <d v="2002-03-16T00:00:00"/>
    <d v="2002-03-17T00:00:00"/>
    <s v="OTIF FAIL"/>
    <n v="3"/>
    <s v="1210_FG_CRC"/>
    <x v="0"/>
    <n v="1"/>
    <m/>
  </r>
  <r>
    <s v="0558111162-3"/>
    <s v="CST"/>
    <n v="0.8"/>
    <n v="1000"/>
    <n v="0"/>
    <n v="3"/>
    <n v="0.38"/>
    <s v="CRAP"/>
    <d v="2001-09-25T00:00:00"/>
    <d v="2002-03-04T00:00:00"/>
    <d v="2002-04-05T00:00:00"/>
    <d v="2002-04-05T00:00:00"/>
    <d v="2002-04-05T00:00:00"/>
    <d v="2002-04-05T00:00:00"/>
    <s v="OTIF FAIL"/>
    <n v="3"/>
    <s v="1210_FG_CRC"/>
    <x v="6"/>
    <n v="0"/>
    <m/>
  </r>
  <r>
    <s v="0558115796-4"/>
    <s v="CST"/>
    <n v="1"/>
    <n v="1250"/>
    <n v="0"/>
    <n v="6"/>
    <n v="6"/>
    <s v="CRAP"/>
    <d v="2001-09-25T00:00:00"/>
    <d v="2002-03-08T00:00:00"/>
    <d v="2002-04-20T00:00:00"/>
    <d v="2002-04-20T00:00:00"/>
    <d v="2002-04-20T00:00:00"/>
    <d v="2002-04-20T00:00:00"/>
    <s v="OTIF FAIL"/>
    <n v="4"/>
    <s v="1210_FG_CRC"/>
    <x v="15"/>
    <n v="1"/>
    <m/>
  </r>
  <r>
    <s v="0558115412-1"/>
    <s v="CRC"/>
    <n v="0.8"/>
    <n v="1000"/>
    <n v="0"/>
    <n v="3"/>
    <n v="3"/>
    <s v="CRAP"/>
    <d v="2001-08-29T00:00:00"/>
    <d v="2002-03-08T00:00:00"/>
    <d v="2002-04-05T00:00:00"/>
    <d v="2002-04-05T00:00:00"/>
    <d v="2002-04-05T00:00:00"/>
    <d v="2002-04-05T00:00:00"/>
    <s v="OTIF FAIL"/>
    <n v="1"/>
    <s v="1210_FG_CRC"/>
    <x v="6"/>
    <n v="1"/>
    <m/>
  </r>
  <r>
    <s v="0558114207-4"/>
    <s v="HRC"/>
    <n v="1.5"/>
    <n v="1250"/>
    <n v="0"/>
    <n v="6"/>
    <n v="6"/>
    <s v="CRAP"/>
    <d v="2001-08-16T00:00:00"/>
    <d v="2002-03-07T00:00:00"/>
    <d v="2002-04-23T00:00:00"/>
    <d v="2002-04-23T00:00:00"/>
    <d v="2002-01-01T00:00:00"/>
    <d v="2002-01-31T00:00:00"/>
    <s v="OTIF FAIL"/>
    <n v="4"/>
    <s v="1210_FG_CRC"/>
    <x v="10"/>
    <n v="1"/>
    <m/>
  </r>
  <r>
    <s v="0558113335-2"/>
    <s v="CST"/>
    <n v="2"/>
    <n v="1250"/>
    <n v="0"/>
    <n v="3"/>
    <n v="3"/>
    <s v="CRAP"/>
    <d v="2001-08-05T00:00:00"/>
    <d v="2002-03-05T00:00:00"/>
    <d v="2002-05-03T00:00:00"/>
    <d v="2002-05-03T00:00:00"/>
    <d v="2002-01-16T00:00:00"/>
    <d v="2002-04-24T00:00:00"/>
    <s v="OTIF FAIL"/>
    <n v="2"/>
    <s v="1210_FG_CRC"/>
    <x v="2"/>
    <n v="1"/>
    <m/>
  </r>
  <r>
    <s v="0558113353-8"/>
    <s v="CST"/>
    <n v="0.8"/>
    <n v="1250"/>
    <n v="0"/>
    <n v="3"/>
    <n v="3"/>
    <s v="CRAP"/>
    <d v="2001-08-05T00:00:00"/>
    <d v="2002-03-06T00:00:00"/>
    <d v="2002-04-23T00:00:00"/>
    <d v="2002-04-23T00:00:00"/>
    <d v="2002-04-16T00:00:00"/>
    <d v="2002-04-16T00:00:00"/>
    <s v="OTIF FAIL"/>
    <n v="8"/>
    <s v="1210_FG_CRC"/>
    <x v="15"/>
    <n v="1"/>
    <m/>
  </r>
  <r>
    <s v="0569022880-1"/>
    <s v="CST"/>
    <n v="1"/>
    <n v="1250"/>
    <n v="0"/>
    <n v="10"/>
    <n v="10"/>
    <s v="CRAP"/>
    <d v="2001-08-03T00:00:00"/>
    <d v="2002-03-09T00:00:00"/>
    <d v="2002-04-15T00:00:00"/>
    <d v="2002-04-15T00:00:00"/>
    <d v="2002-04-15T00:00:00"/>
    <d v="2002-04-21T00:00:00"/>
    <s v="OTIF FAIL"/>
    <n v="1"/>
    <s v="1210_FG_CRC"/>
    <x v="2"/>
    <n v="1"/>
    <m/>
  </r>
  <r>
    <s v="0569022880-8"/>
    <s v="CST"/>
    <n v="1.5"/>
    <n v="1250"/>
    <n v="0"/>
    <n v="33"/>
    <n v="12.151999999999999"/>
    <s v="CRAP"/>
    <d v="2001-08-03T00:00:00"/>
    <d v="2002-03-09T00:00:00"/>
    <s v="-"/>
    <s v="-"/>
    <d v="2002-01-31T00:00:00"/>
    <d v="2002-01-31T00:00:00"/>
    <s v="OTIF FAIL"/>
    <n v="8"/>
    <s v="1210_FG_CRC"/>
    <x v="10"/>
    <n v="0"/>
    <m/>
  </r>
  <r>
    <s v="0558113636-2"/>
    <s v="HRC"/>
    <n v="2"/>
    <n v="1250"/>
    <n v="0"/>
    <n v="12"/>
    <n v="12"/>
    <s v="CRAP"/>
    <d v="2001-08-31T00:00:00"/>
    <d v="2002-02-27T00:00:00"/>
    <d v="2002-02-21T00:00:00"/>
    <d v="2002-02-27T00:00:00"/>
    <d v="2001-11-05T00:00:00"/>
    <d v="2001-11-05T00:00:00"/>
    <s v="OTIF PASS"/>
    <n v="2"/>
    <s v="1210_FG_CRC"/>
    <x v="22"/>
    <n v="1"/>
    <m/>
  </r>
  <r>
    <s v="0558116076-1"/>
    <s v="CST"/>
    <n v="1.5"/>
    <n v="1250"/>
    <n v="0"/>
    <n v="6"/>
    <n v="6"/>
    <s v="CRAP"/>
    <d v="2001-09-25T00:00:00"/>
    <d v="2002-03-08T00:00:00"/>
    <d v="2002-03-22T00:00:00"/>
    <d v="2002-03-22T00:00:00"/>
    <d v="2002-03-22T00:00:00"/>
    <d v="2002-03-22T00:00:00"/>
    <s v="OTIF FAIL"/>
    <n v="1"/>
    <s v="1210_FG_CRC"/>
    <x v="0"/>
    <n v="1"/>
    <m/>
  </r>
  <r>
    <s v="0558114816-1"/>
    <s v="HRC"/>
    <n v="0.8"/>
    <n v="1000"/>
    <n v="0"/>
    <n v="6"/>
    <n v="6"/>
    <s v="CRAP"/>
    <d v="2001-08-25T00:00:00"/>
    <d v="2002-02-22T00:00:00"/>
    <d v="2002-04-24T00:00:00"/>
    <d v="2002-04-24T00:00:00"/>
    <d v="2002-01-10T00:00:00"/>
    <d v="2002-01-14T00:00:00"/>
    <s v="OTIF FAIL"/>
    <n v="1"/>
    <s v="1210_FG_CRC"/>
    <x v="13"/>
    <n v="1"/>
    <m/>
  </r>
  <r>
    <s v="0558114816-3"/>
    <s v="CST"/>
    <n v="1.5"/>
    <n v="1000"/>
    <n v="0"/>
    <n v="6"/>
    <n v="6"/>
    <s v="CRAP"/>
    <d v="2001-08-25T00:00:00"/>
    <d v="2002-02-21T00:00:00"/>
    <d v="2002-04-26T00:00:00"/>
    <d v="2002-04-26T00:00:00"/>
    <d v="2002-04-15T00:00:00"/>
    <d v="2002-04-15T00:00:00"/>
    <s v="OTIF FAIL"/>
    <n v="3"/>
    <s v="1210_FG_CRC"/>
    <x v="15"/>
    <n v="1"/>
    <m/>
  </r>
  <r>
    <s v="0558111102-2"/>
    <s v="HPC"/>
    <n v="1"/>
    <n v="1250"/>
    <n v="0"/>
    <n v="5"/>
    <n v="5"/>
    <s v="CRAP"/>
    <d v="2001-09-25T00:00:00"/>
    <d v="2002-03-04T00:00:00"/>
    <d v="2002-02-21T00:00:00"/>
    <d v="2002-03-04T00:00:00"/>
    <d v="2002-01-31T00:00:00"/>
    <d v="2002-01-31T00:00:00"/>
    <s v="OTIF PASS"/>
    <n v="2"/>
    <s v="1210_FG_CRC"/>
    <x v="10"/>
    <n v="1"/>
    <m/>
  </r>
  <r>
    <s v="0558112730-3"/>
    <s v="HRC"/>
    <n v="0.8"/>
    <n v="1000"/>
    <n v="0"/>
    <n v="3"/>
    <n v="0.45"/>
    <s v="CRAP"/>
    <d v="2001-09-25T00:00:00"/>
    <d v="2002-03-05T00:00:00"/>
    <d v="2002-04-05T00:00:00"/>
    <d v="2002-04-05T00:00:00"/>
    <d v="2002-04-05T00:00:00"/>
    <d v="2002-04-05T00:00:00"/>
    <s v="OTIF FAIL"/>
    <n v="3"/>
    <s v="1210_FG_CRC"/>
    <x v="6"/>
    <n v="0"/>
    <m/>
  </r>
  <r>
    <s v="0558111642-2"/>
    <s v="CST"/>
    <n v="1.2"/>
    <n v="1000"/>
    <n v="0"/>
    <n v="3"/>
    <n v="3"/>
    <s v="CRAP"/>
    <d v="2001-09-25T00:00:00"/>
    <d v="2002-03-04T00:00:00"/>
    <d v="2002-03-16T00:00:00"/>
    <d v="2002-03-16T00:00:00"/>
    <d v="2002-03-16T00:00:00"/>
    <d v="2002-03-17T00:00:00"/>
    <s v="OTIF FAIL"/>
    <n v="2"/>
    <s v="1210_FG_CRC"/>
    <x v="0"/>
    <n v="1"/>
    <m/>
  </r>
  <r>
    <s v="0558115972-1"/>
    <s v="CST"/>
    <n v="2"/>
    <n v="1250"/>
    <n v="0"/>
    <n v="3"/>
    <n v="3"/>
    <s v="CRAP"/>
    <d v="2001-09-25T00:00:00"/>
    <d v="2002-03-08T00:00:00"/>
    <d v="2002-04-09T00:00:00"/>
    <d v="2002-04-09T00:00:00"/>
    <d v="2002-04-09T00:00:00"/>
    <d v="2002-04-09T00:00:00"/>
    <s v="OTIF FAIL"/>
    <n v="1"/>
    <s v="1210_FG_CRC"/>
    <x v="7"/>
    <n v="1"/>
    <m/>
  </r>
  <r>
    <s v="0558114845-4"/>
    <s v="CST"/>
    <n v="1"/>
    <n v="1250"/>
    <n v="0"/>
    <n v="6"/>
    <n v="6"/>
    <s v="CRAP"/>
    <d v="2001-08-25T00:00:00"/>
    <d v="2002-03-07T00:00:00"/>
    <d v="2002-04-15T00:00:00"/>
    <d v="2002-04-15T00:00:00"/>
    <d v="2002-04-15T00:00:00"/>
    <d v="2002-04-21T00:00:00"/>
    <s v="OTIF FAIL"/>
    <n v="4"/>
    <s v="1210_FG_CRC"/>
    <x v="2"/>
    <n v="1"/>
    <m/>
  </r>
  <r>
    <s v="0558115837-1"/>
    <s v="CST"/>
    <n v="1.2"/>
    <n v="1000"/>
    <n v="0"/>
    <n v="3"/>
    <n v="3"/>
    <s v="CRAP"/>
    <d v="2001-08-30T00:00:00"/>
    <d v="2002-03-08T00:00:00"/>
    <d v="2002-03-17T00:00:00"/>
    <d v="2002-03-17T00:00:00"/>
    <d v="2002-03-17T00:00:00"/>
    <d v="2002-03-17T00:00:00"/>
    <s v="OTIF FAIL"/>
    <n v="1"/>
    <s v="1210_FG_CRC"/>
    <x v="0"/>
    <n v="1"/>
    <m/>
  </r>
  <r>
    <s v="0558114845-5"/>
    <s v="CST"/>
    <n v="1.2"/>
    <n v="1250"/>
    <n v="0"/>
    <n v="3"/>
    <n v="3"/>
    <s v="CRAP"/>
    <d v="2001-08-25T00:00:00"/>
    <d v="2002-03-07T00:00:00"/>
    <d v="2002-03-07T00:00:00"/>
    <d v="2002-03-07T00:00:00"/>
    <d v="2002-01-10T00:00:00"/>
    <d v="2002-01-28T00:00:00"/>
    <s v="OTIF FAIL"/>
    <n v="5"/>
    <s v="1210_FG_CRC"/>
    <x v="10"/>
    <n v="1"/>
    <m/>
  </r>
  <r>
    <s v="0558114642-3"/>
    <s v="CRC"/>
    <n v="1.2"/>
    <n v="1250"/>
    <n v="0"/>
    <n v="12"/>
    <n v="12"/>
    <s v="CRAP"/>
    <d v="2001-08-23T00:00:00"/>
    <d v="2002-03-07T00:00:00"/>
    <d v="2002-04-09T00:00:00"/>
    <d v="2002-04-09T00:00:00"/>
    <d v="2002-04-09T00:00:00"/>
    <d v="2002-04-09T00:00:00"/>
    <s v="OTIF FAIL"/>
    <n v="3"/>
    <s v="1210_FG_CRC"/>
    <x v="7"/>
    <n v="1"/>
    <m/>
  </r>
  <r>
    <s v="0569022756-3"/>
    <s v="HRC"/>
    <n v="1"/>
    <n v="1250"/>
    <n v="0"/>
    <n v="39"/>
    <n v="39"/>
    <s v="CRAP"/>
    <d v="2001-09-25T00:00:00"/>
    <d v="2002-03-10T00:00:00"/>
    <d v="2002-03-12T00:00:00"/>
    <d v="2002-03-12T00:00:00"/>
    <d v="2002-03-19T00:00:00"/>
    <d v="2002-04-21T00:00:00"/>
    <s v="OTIF FAIL"/>
    <n v="3"/>
    <s v="1210_FG_CRC"/>
    <x v="2"/>
    <n v="1"/>
    <m/>
  </r>
  <r>
    <s v="0558112751-2"/>
    <s v="HPC"/>
    <n v="0.8"/>
    <n v="1000"/>
    <n v="0"/>
    <n v="6"/>
    <n v="6"/>
    <s v="CRAP"/>
    <d v="2001-09-25T00:00:00"/>
    <d v="2002-03-05T00:00:00"/>
    <d v="2002-04-05T00:00:00"/>
    <d v="2002-04-05T00:00:00"/>
    <d v="2002-04-05T00:00:00"/>
    <d v="2002-04-05T00:00:00"/>
    <s v="OTIF FAIL"/>
    <n v="2"/>
    <s v="1210_FG_CRC"/>
    <x v="6"/>
    <n v="1"/>
    <m/>
  </r>
  <r>
    <s v="0558113806-1"/>
    <s v="HPC"/>
    <n v="1.2"/>
    <n v="1000"/>
    <n v="0"/>
    <n v="6"/>
    <n v="6"/>
    <s v="CRAP"/>
    <d v="2001-08-11T00:00:00"/>
    <d v="2002-03-06T00:00:00"/>
    <d v="2002-03-16T00:00:00"/>
    <d v="2002-03-16T00:00:00"/>
    <d v="2002-03-16T00:00:00"/>
    <d v="2002-03-17T00:00:00"/>
    <s v="OTIF FAIL"/>
    <n v="1"/>
    <s v="1210_FG_CRC"/>
    <x v="0"/>
    <n v="1"/>
    <m/>
  </r>
  <r>
    <s v="0558114036-4"/>
    <s v="CST"/>
    <n v="0.8"/>
    <n v="1250"/>
    <n v="0"/>
    <n v="12"/>
    <n v="12"/>
    <s v="CRAP"/>
    <d v="2001-08-16T00:00:00"/>
    <d v="2002-03-06T00:00:00"/>
    <d v="2002-05-02T00:00:00"/>
    <d v="2002-05-02T00:00:00"/>
    <d v="2002-04-06T00:00:00"/>
    <d v="2002-04-07T00:00:00"/>
    <s v="OTIF FAIL"/>
    <n v="4"/>
    <s v="1210_FG_CRC"/>
    <x v="7"/>
    <n v="1"/>
    <m/>
  </r>
  <r>
    <s v="0558116270-1"/>
    <s v="HRC"/>
    <n v="0.6"/>
    <n v="1250"/>
    <n v="0"/>
    <n v="3"/>
    <n v="3"/>
    <s v="CRAP"/>
    <d v="2001-10-25T00:00:00"/>
    <d v="2002-03-10T00:00:00"/>
    <d v="2002-04-14T00:00:00"/>
    <d v="2002-04-14T00:00:00"/>
    <d v="2002-04-14T00:00:00"/>
    <d v="2002-04-16T00:00:00"/>
    <s v="OTIF FAIL"/>
    <n v="1"/>
    <s v="1210_FG_CRC"/>
    <x v="15"/>
    <n v="1"/>
    <m/>
  </r>
  <r>
    <s v="0558114032-6"/>
    <s v="CST"/>
    <n v="2"/>
    <n v="1250"/>
    <n v="0"/>
    <n v="3"/>
    <n v="3"/>
    <s v="CRAP"/>
    <d v="2001-08-16T00:00:00"/>
    <d v="2002-03-06T00:00:00"/>
    <d v="2002-05-03T00:00:00"/>
    <d v="2002-05-03T00:00:00"/>
    <d v="2002-01-29T00:00:00"/>
    <d v="2002-04-24T00:00:00"/>
    <s v="OTIF FAIL"/>
    <n v="6"/>
    <s v="1210_FG_CRC"/>
    <x v="2"/>
    <n v="1"/>
    <m/>
  </r>
  <r>
    <s v="0558116250-2"/>
    <s v="CST"/>
    <n v="1.2"/>
    <n v="1000"/>
    <n v="0"/>
    <n v="3"/>
    <n v="3"/>
    <s v="CRAP"/>
    <d v="2001-10-25T00:00:00"/>
    <d v="2002-03-08T00:00:00"/>
    <d v="2002-03-16T00:00:00"/>
    <d v="2002-03-16T00:00:00"/>
    <d v="2002-03-16T00:00:00"/>
    <d v="2002-03-17T00:00:00"/>
    <s v="OTIF FAIL"/>
    <n v="2"/>
    <s v="1210_FG_CRC"/>
    <x v="0"/>
    <n v="1"/>
    <m/>
  </r>
  <r>
    <s v="0558113599-1"/>
    <s v="CST"/>
    <n v="1.2"/>
    <n v="1000"/>
    <n v="0"/>
    <n v="6"/>
    <n v="6"/>
    <s v="CRAP"/>
    <d v="2001-08-07T00:00:00"/>
    <d v="2002-03-06T00:00:00"/>
    <d v="2002-03-16T00:00:00"/>
    <d v="2002-03-16T00:00:00"/>
    <d v="2002-03-16T00:00:00"/>
    <d v="2002-03-17T00:00:00"/>
    <s v="OTIF FAIL"/>
    <n v="1"/>
    <s v="1210_FG_CRC"/>
    <x v="0"/>
    <n v="1"/>
    <m/>
  </r>
  <r>
    <s v="0558116126-1"/>
    <s v="HRC"/>
    <n v="1.2"/>
    <n v="1250"/>
    <n v="0"/>
    <n v="10"/>
    <n v="10"/>
    <s v="CRAP"/>
    <d v="2001-09-25T00:00:00"/>
    <d v="2002-03-08T00:00:00"/>
    <d v="2002-03-07T00:00:00"/>
    <d v="2002-03-08T00:00:00"/>
    <d v="2002-01-17T00:00:00"/>
    <d v="2002-01-28T00:00:00"/>
    <s v="OTIF PASS"/>
    <n v="1"/>
    <s v="1210_FG_CRC"/>
    <x v="10"/>
    <n v="1"/>
    <m/>
  </r>
  <r>
    <s v="0558109959-17"/>
    <s v="CST"/>
    <n v="1.2"/>
    <n v="1000"/>
    <n v="0"/>
    <n v="3"/>
    <n v="3"/>
    <s v="CRAP"/>
    <d v="2001-09-25T00:00:00"/>
    <d v="2002-02-25T00:00:00"/>
    <s v="-"/>
    <s v="-"/>
    <d v="2002-01-25T00:00:00"/>
    <d v="2002-01-25T00:00:00"/>
    <s v="OTIF FAIL"/>
    <n v="17"/>
    <s v="1210_FG_CRC"/>
    <x v="8"/>
    <n v="1"/>
    <m/>
  </r>
  <r>
    <s v="0558115804-1"/>
    <s v="CST"/>
    <n v="0.6"/>
    <n v="1000"/>
    <n v="0"/>
    <n v="3"/>
    <n v="3"/>
    <s v="CRAP"/>
    <d v="2001-08-30T00:00:00"/>
    <d v="2002-03-08T00:00:00"/>
    <d v="2002-04-25T00:00:00"/>
    <d v="2002-04-25T00:00:00"/>
    <d v="2002-03-31T00:00:00"/>
    <d v="2002-03-31T00:00:00"/>
    <s v="OTIF FAIL"/>
    <n v="1"/>
    <s v="1210_FG_CRC"/>
    <x v="6"/>
    <n v="1"/>
    <m/>
  </r>
  <r>
    <s v="0558114421-2"/>
    <s v="CST"/>
    <n v="0.7"/>
    <n v="1250"/>
    <n v="0"/>
    <n v="3"/>
    <n v="3"/>
    <s v="CRAP"/>
    <d v="2001-09-25T00:00:00"/>
    <d v="2002-03-07T00:00:00"/>
    <s v="-"/>
    <s v="-"/>
    <d v="2002-04-22T00:00:00"/>
    <d v="2002-04-22T00:00:00"/>
    <s v="OTIF FAIL"/>
    <n v="2"/>
    <s v="1210_FG_CRC"/>
    <x v="2"/>
    <n v="1"/>
    <m/>
  </r>
  <r>
    <s v="0558107411-5"/>
    <s v="HRC"/>
    <n v="0.9"/>
    <n v="1250"/>
    <n v="0"/>
    <n v="6"/>
    <n v="6"/>
    <s v="CRAP"/>
    <d v="2001-09-25T00:00:00"/>
    <d v="2002-02-25T00:00:00"/>
    <d v="2002-03-04T00:00:00"/>
    <d v="2002-03-04T00:00:00"/>
    <d v="2002-01-16T00:00:00"/>
    <d v="2002-01-16T00:00:00"/>
    <s v="OTIF FAIL"/>
    <n v="5"/>
    <s v="1210_FG_CRC"/>
    <x v="13"/>
    <n v="1"/>
    <m/>
  </r>
  <r>
    <s v="0558113290-5"/>
    <s v="CST"/>
    <n v="0.6"/>
    <n v="1250"/>
    <n v="0"/>
    <n v="3"/>
    <n v="3"/>
    <s v="CRAP"/>
    <d v="2001-08-05T00:00:00"/>
    <d v="2002-03-05T00:00:00"/>
    <d v="2002-02-22T00:00:00"/>
    <d v="2002-03-05T00:00:00"/>
    <d v="2002-01-16T00:00:00"/>
    <d v="2002-01-16T00:00:00"/>
    <s v="OTIF PASS"/>
    <n v="5"/>
    <s v="1210_FG_CRC"/>
    <x v="13"/>
    <n v="1"/>
    <m/>
  </r>
  <r>
    <s v="0569022769-3"/>
    <s v="CRC"/>
    <n v="0.8"/>
    <n v="1250"/>
    <n v="0"/>
    <n v="30"/>
    <n v="30"/>
    <s v="CRAP"/>
    <d v="2001-09-25T00:00:00"/>
    <d v="2002-03-10T00:00:00"/>
    <d v="2002-04-01T00:00:00"/>
    <d v="2002-04-01T00:00:00"/>
    <d v="2002-04-08T00:00:00"/>
    <d v="2002-04-16T00:00:00"/>
    <s v="OTIF FAIL"/>
    <n v="3"/>
    <s v="1210_FG_CRC"/>
    <x v="15"/>
    <n v="1"/>
    <m/>
  </r>
  <r>
    <s v="0558115826-4"/>
    <s v="HRC"/>
    <n v="0.5"/>
    <n v="1250"/>
    <n v="0"/>
    <n v="5"/>
    <n v="5"/>
    <s v="CRAP"/>
    <d v="2001-08-30T00:00:00"/>
    <d v="2002-03-08T00:00:00"/>
    <d v="2002-04-08T00:00:00"/>
    <d v="2002-04-08T00:00:00"/>
    <d v="2002-03-29T00:00:00"/>
    <d v="2002-03-29T00:00:00"/>
    <s v="OTIF FAIL"/>
    <n v="4"/>
    <s v="1210_FG_CRC"/>
    <x v="9"/>
    <n v="1"/>
    <m/>
  </r>
  <r>
    <s v="0558114897-1"/>
    <s v="CST"/>
    <n v="2"/>
    <n v="1250"/>
    <n v="0"/>
    <n v="3"/>
    <n v="3"/>
    <s v="CRAP"/>
    <d v="2001-09-25T00:00:00"/>
    <d v="2002-03-08T00:00:00"/>
    <s v="-"/>
    <s v="-"/>
    <d v="2002-01-11T00:00:00"/>
    <d v="2002-04-24T00:00:00"/>
    <s v="OTIF FAIL"/>
    <n v="1"/>
    <s v="1210_FG_CRC"/>
    <x v="2"/>
    <n v="1"/>
    <m/>
  </r>
  <r>
    <s v="0558115291-4"/>
    <s v="CST"/>
    <n v="0.6"/>
    <n v="1250"/>
    <n v="0"/>
    <n v="3"/>
    <n v="3"/>
    <s v="CRAP"/>
    <d v="2001-08-29T00:00:00"/>
    <d v="2002-03-08T00:00:00"/>
    <d v="2002-04-15T00:00:00"/>
    <d v="2002-04-15T00:00:00"/>
    <d v="2002-04-15T00:00:00"/>
    <d v="2002-04-15T00:00:00"/>
    <s v="OTIF FAIL"/>
    <n v="4"/>
    <s v="1210_FG_CRC"/>
    <x v="15"/>
    <n v="1"/>
    <m/>
  </r>
  <r>
    <s v="0558114417-2"/>
    <s v="CST"/>
    <n v="1.5"/>
    <n v="1250"/>
    <n v="0"/>
    <n v="3"/>
    <n v="3"/>
    <s v="CRAP"/>
    <d v="2001-08-21T00:00:00"/>
    <d v="2002-02-21T00:00:00"/>
    <d v="2002-04-23T00:00:00"/>
    <d v="2002-04-23T00:00:00"/>
    <d v="2002-01-05T00:00:00"/>
    <d v="2002-01-31T00:00:00"/>
    <s v="OTIF FAIL"/>
    <n v="2"/>
    <s v="1210_FG_CRC"/>
    <x v="10"/>
    <n v="1"/>
    <m/>
  </r>
  <r>
    <s v="0558115291-3"/>
    <s v="HRC"/>
    <n v="1.5"/>
    <n v="1000"/>
    <n v="0"/>
    <n v="3"/>
    <n v="3"/>
    <s v="CRAP"/>
    <d v="2001-08-29T00:00:00"/>
    <d v="2002-03-08T00:00:00"/>
    <d v="2002-04-26T00:00:00"/>
    <d v="2002-04-26T00:00:00"/>
    <d v="2002-04-15T00:00:00"/>
    <d v="2002-04-15T00:00:00"/>
    <s v="OTIF FAIL"/>
    <n v="3"/>
    <s v="1210_FG_CRC"/>
    <x v="15"/>
    <n v="1"/>
    <m/>
  </r>
  <r>
    <s v="0569023218-5"/>
    <s v="CRC"/>
    <n v="1.5"/>
    <n v="1250"/>
    <n v="0"/>
    <n v="55"/>
    <n v="55"/>
    <s v="CRAP"/>
    <d v="2001-09-28T00:00:00"/>
    <d v="2002-02-27T00:00:00"/>
    <d v="2002-03-24T00:00:00"/>
    <d v="2002-03-24T00:00:00"/>
    <d v="2002-03-24T00:00:00"/>
    <d v="2002-03-24T00:00:00"/>
    <s v="OTIF FAIL"/>
    <n v="5"/>
    <s v="1210_FG_CRC"/>
    <x v="9"/>
    <n v="1"/>
    <m/>
  </r>
  <r>
    <s v="0569023217-5"/>
    <s v="HPC"/>
    <n v="1.5"/>
    <n v="1250"/>
    <n v="0"/>
    <n v="55"/>
    <n v="55"/>
    <s v="CRAP"/>
    <d v="2001-09-28T00:00:00"/>
    <d v="2002-02-27T00:00:00"/>
    <d v="2002-03-18T00:00:00"/>
    <d v="2002-03-18T00:00:00"/>
    <d v="2002-03-18T00:00:00"/>
    <d v="2002-03-24T00:00:00"/>
    <s v="OTIF FAIL"/>
    <n v="5"/>
    <s v="1210_FG_CRC"/>
    <x v="9"/>
    <n v="1"/>
    <m/>
  </r>
  <r>
    <s v="0558114678-3"/>
    <s v="HPC"/>
    <n v="5"/>
    <n v="367"/>
    <n v="0"/>
    <n v="9"/>
    <n v="9"/>
    <s v="CRAP"/>
    <d v="2001-08-23T00:00:00"/>
    <d v="2002-02-26T00:00:00"/>
    <d v="2002-03-26T00:00:00"/>
    <d v="2002-03-26T00:00:00"/>
    <d v="2002-03-19T00:00:00"/>
    <d v="2002-03-19T00:00:00"/>
    <s v="OTIF FAIL"/>
    <n v="3"/>
    <s v="1210_FG_CRC"/>
    <x v="0"/>
    <n v="1"/>
    <m/>
  </r>
  <r>
    <s v="0558113636-3"/>
    <s v="HRC"/>
    <n v="1"/>
    <n v="1134"/>
    <n v="0"/>
    <n v="8"/>
    <n v="8"/>
    <s v="CRAP"/>
    <d v="2001-08-16T00:00:00"/>
    <d v="2002-02-27T00:00:00"/>
    <d v="2002-02-25T00:00:00"/>
    <d v="2002-02-27T00:00:00"/>
    <d v="2002-01-22T00:00:00"/>
    <d v="2002-01-22T00:00:00"/>
    <s v="OTIF PASS"/>
    <n v="3"/>
    <s v="1210_FG_CRC"/>
    <x v="8"/>
    <n v="1"/>
    <m/>
  </r>
  <r>
    <s v="0558113636-6"/>
    <s v="CST"/>
    <n v="1"/>
    <n v="943"/>
    <n v="0"/>
    <n v="8"/>
    <n v="8"/>
    <s v="CRAP"/>
    <d v="2001-08-31T00:00:00"/>
    <d v="2002-03-10T00:00:00"/>
    <d v="2002-02-25T00:00:00"/>
    <d v="2002-03-10T00:00:00"/>
    <d v="2001-11-11T00:00:00"/>
    <d v="2001-11-11T00:00:00"/>
    <s v="OTIF PASS"/>
    <n v="6"/>
    <s v="1210_FG_CRC"/>
    <x v="23"/>
    <n v="1"/>
    <m/>
  </r>
  <r>
    <s v="0558113636-5"/>
    <s v="HPC"/>
    <n v="1"/>
    <n v="1026"/>
    <n v="0"/>
    <n v="8"/>
    <n v="8"/>
    <s v="CRAP"/>
    <d v="2001-08-31T00:00:00"/>
    <d v="2002-03-10T00:00:00"/>
    <d v="2002-02-25T00:00:00"/>
    <d v="2002-03-10T00:00:00"/>
    <d v="2001-11-09T00:00:00"/>
    <d v="2001-11-09T00:00:00"/>
    <s v="OTIF PASS"/>
    <n v="5"/>
    <s v="1210_FG_CRC"/>
    <x v="22"/>
    <n v="1"/>
    <m/>
  </r>
  <r>
    <s v="0558114255-3"/>
    <s v="HRC"/>
    <n v="5"/>
    <n v="1250"/>
    <n v="0"/>
    <n v="10"/>
    <n v="10"/>
    <s v="CRAP"/>
    <d v="2001-08-17T00:00:00"/>
    <d v="2002-02-27T00:00:00"/>
    <d v="2002-03-17T00:00:00"/>
    <d v="2002-03-17T00:00:00"/>
    <d v="2002-03-17T00:00:00"/>
    <d v="2002-03-17T00:00:00"/>
    <s v="OTIF FAIL"/>
    <n v="3"/>
    <s v="1210_FG_CRC"/>
    <x v="0"/>
    <n v="1"/>
    <m/>
  </r>
  <r>
    <s v="0558108416-6"/>
    <s v="HRC"/>
    <n v="2.5"/>
    <n v="1250"/>
    <n v="2500"/>
    <n v="3"/>
    <n v="3"/>
    <s v="CRAP"/>
    <d v="2001-09-25T00:00:00"/>
    <d v="2002-02-25T00:00:00"/>
    <d v="2002-03-19T00:00:00"/>
    <d v="2002-03-19T00:00:00"/>
    <d v="2002-03-19T00:00:00"/>
    <d v="2002-03-20T00:00:00"/>
    <s v="OTIF FAIL"/>
    <n v="6"/>
    <s v="1210_FG_CRC"/>
    <x v="0"/>
    <n v="1"/>
    <m/>
  </r>
  <r>
    <s v="0558114589-1"/>
    <s v="HRC"/>
    <n v="1.6"/>
    <n v="1250"/>
    <n v="2500"/>
    <n v="6"/>
    <n v="6"/>
    <s v="CRAP"/>
    <d v="2001-08-23T00:00:00"/>
    <d v="2002-03-07T00:00:00"/>
    <d v="2002-03-30T00:00:00"/>
    <d v="2002-03-30T00:00:00"/>
    <d v="2002-03-29T00:00:00"/>
    <d v="2002-03-29T00:00:00"/>
    <s v="OTIF FAIL"/>
    <n v="1"/>
    <s v="1210_FG_CRC"/>
    <x v="9"/>
    <n v="1"/>
    <m/>
  </r>
  <r>
    <s v="0558116139-2"/>
    <s v="CST"/>
    <n v="1"/>
    <n v="1250"/>
    <n v="2500"/>
    <n v="3"/>
    <n v="3"/>
    <s v="CRAP"/>
    <d v="2001-09-25T00:00:00"/>
    <d v="2002-03-08T00:00:00"/>
    <d v="2002-03-29T00:00:00"/>
    <d v="2002-03-29T00:00:00"/>
    <d v="2002-03-29T00:00:00"/>
    <d v="2002-03-29T00:00:00"/>
    <s v="OTIF FAIL"/>
    <n v="2"/>
    <s v="1210_FG_CRC"/>
    <x v="9"/>
    <n v="1"/>
    <m/>
  </r>
  <r>
    <s v="0558114480-4"/>
    <s v="CST"/>
    <n v="3"/>
    <n v="1250"/>
    <n v="2500"/>
    <n v="3"/>
    <n v="3"/>
    <s v="CRAP"/>
    <d v="2001-09-25T00:00:00"/>
    <d v="2002-03-10T00:00:00"/>
    <d v="2002-03-29T00:00:00"/>
    <d v="2002-03-29T00:00:00"/>
    <d v="2002-03-29T00:00:00"/>
    <d v="2002-03-29T00:00:00"/>
    <s v="OTIF FAIL"/>
    <n v="4"/>
    <s v="1210_FG_CRC"/>
    <x v="9"/>
    <n v="1"/>
    <m/>
  </r>
  <r>
    <s v="0558111428-4"/>
    <s v="HRC"/>
    <n v="2"/>
    <n v="1250"/>
    <n v="2500"/>
    <n v="3"/>
    <n v="3"/>
    <s v="CRAP"/>
    <d v="2001-09-25T00:00:00"/>
    <d v="2002-03-04T00:00:00"/>
    <d v="2002-03-29T00:00:00"/>
    <d v="2002-03-29T00:00:00"/>
    <d v="2002-03-29T00:00:00"/>
    <d v="2002-03-29T00:00:00"/>
    <s v="OTIF FAIL"/>
    <n v="4"/>
    <s v="1210_FG_CRC"/>
    <x v="9"/>
    <n v="1"/>
    <m/>
  </r>
  <r>
    <s v="0569022903-1"/>
    <s v="CST"/>
    <n v="0.5"/>
    <n v="350"/>
    <n v="1614"/>
    <n v="20"/>
    <n v="20"/>
    <s v="CRAP"/>
    <d v="2001-08-07T00:00:00"/>
    <d v="2002-03-04T00:00:00"/>
    <d v="2002-04-12T00:00:00"/>
    <d v="2002-04-12T00:00:00"/>
    <d v="2002-04-05T00:00:00"/>
    <d v="2002-04-05T00:00:00"/>
    <s v="OTIF FAIL"/>
    <n v="1"/>
    <s v="1210_FG_CRC"/>
    <x v="6"/>
    <n v="1"/>
    <m/>
  </r>
  <r>
    <s v="0558109312-1"/>
    <s v="CRC"/>
    <n v="0.5"/>
    <n v="1250"/>
    <n v="2100"/>
    <n v="30"/>
    <n v="4.17"/>
    <s v="CRAP"/>
    <d v="2001-09-25T00:00:00"/>
    <d v="2002-02-27T00:00:00"/>
    <d v="2002-03-30T00:00:00"/>
    <d v="2002-03-30T00:00:00"/>
    <d v="2002-03-23T00:00:00"/>
    <d v="2002-03-23T00:00:00"/>
    <s v="OTIF FAIL"/>
    <n v="1"/>
    <s v="1210_FG_CRC"/>
    <x v="0"/>
    <n v="0"/>
    <m/>
  </r>
  <r>
    <s v="0558112037-1"/>
    <s v="CRC"/>
    <n v="0.5"/>
    <n v="1250"/>
    <n v="2500"/>
    <n v="30"/>
    <n v="20.603999999999999"/>
    <s v="CRAP"/>
    <d v="2001-09-25T00:00:00"/>
    <d v="2002-03-10T00:00:00"/>
    <d v="2002-03-25T00:00:00"/>
    <d v="2002-03-25T00:00:00"/>
    <d v="2002-03-25T00:00:00"/>
    <d v="2002-03-25T00:00:00"/>
    <s v="OTIF FAIL"/>
    <n v="1"/>
    <s v="1210_FG_CRC"/>
    <x v="9"/>
    <n v="0"/>
    <m/>
  </r>
  <r>
    <s v="0558116115-1"/>
    <s v="HPC"/>
    <n v="2.5"/>
    <n v="1250"/>
    <n v="2500"/>
    <n v="12"/>
    <n v="12"/>
    <s v="CRAP"/>
    <d v="2001-09-25T00:00:00"/>
    <d v="2002-03-08T00:00:00"/>
    <d v="2002-03-14T00:00:00"/>
    <d v="2002-03-14T00:00:00"/>
    <d v="2002-03-14T00:00:00"/>
    <d v="2002-03-14T00:00:00"/>
    <s v="OTIF FAIL"/>
    <n v="1"/>
    <s v="1210_FG_CRC"/>
    <x v="3"/>
    <n v="1"/>
    <m/>
  </r>
  <r>
    <s v="0558115970-3"/>
    <s v="PSS"/>
    <n v="2"/>
    <n v="1250"/>
    <n v="2500"/>
    <n v="3"/>
    <n v="3"/>
    <s v="CRAP"/>
    <d v="2001-09-25T00:00:00"/>
    <d v="2002-03-08T00:00:00"/>
    <d v="2002-03-29T00:00:00"/>
    <d v="2002-03-29T00:00:00"/>
    <d v="2002-03-29T00:00:00"/>
    <d v="2002-03-29T00:00:00"/>
    <s v="OTIF FAIL"/>
    <n v="3"/>
    <s v="1210_FG_CRC"/>
    <x v="9"/>
    <n v="1"/>
    <m/>
  </r>
  <r>
    <s v="0558115983-1"/>
    <s v="PSS"/>
    <n v="2"/>
    <n v="1250"/>
    <n v="2500"/>
    <n v="12"/>
    <n v="12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58113567-2"/>
    <s v="HPC"/>
    <n v="2.5"/>
    <n v="1250"/>
    <n v="2500"/>
    <n v="12"/>
    <n v="12"/>
    <s v="CRAP"/>
    <d v="2001-08-11T00:00:00"/>
    <d v="2002-02-26T00:00:00"/>
    <d v="2002-03-13T00:00:00"/>
    <d v="2002-03-13T00:00:00"/>
    <d v="2002-03-12T00:00:00"/>
    <d v="2002-03-12T00:00:00"/>
    <s v="OTIF FAIL"/>
    <n v="2"/>
    <s v="1210_FG_CRC"/>
    <x v="3"/>
    <n v="1"/>
    <m/>
  </r>
  <r>
    <s v="0569022901-8"/>
    <s v="CRC"/>
    <n v="0.6"/>
    <n v="387"/>
    <n v="1610"/>
    <n v="175"/>
    <n v="175"/>
    <s v="CRAP"/>
    <d v="2001-08-07T00:00:00"/>
    <d v="2002-03-04T00:00:00"/>
    <d v="2002-04-19T00:00:00"/>
    <d v="2002-04-19T00:00:00"/>
    <d v="2002-04-12T00:00:00"/>
    <d v="2002-04-12T00:00:00"/>
    <s v="OTIF FAIL"/>
    <n v="8"/>
    <s v="1210_FG_CRC"/>
    <x v="7"/>
    <n v="1"/>
    <m/>
  </r>
  <r>
    <s v="0558114480-5"/>
    <s v="CST"/>
    <n v="2"/>
    <n v="1250"/>
    <n v="2500"/>
    <n v="3"/>
    <n v="3"/>
    <s v="CRAP"/>
    <d v="2001-09-25T00:00:00"/>
    <d v="2002-03-07T00:00:00"/>
    <d v="2002-03-29T00:00:00"/>
    <d v="2002-03-29T00:00:00"/>
    <d v="2002-03-29T00:00:00"/>
    <d v="2002-03-29T00:00:00"/>
    <s v="OTIF FAIL"/>
    <n v="5"/>
    <s v="1210_FG_CRC"/>
    <x v="9"/>
    <n v="1"/>
    <m/>
  </r>
  <r>
    <s v="0569022899-2"/>
    <s v="CRC"/>
    <n v="0.4"/>
    <n v="387.2"/>
    <n v="1542.8"/>
    <n v="35"/>
    <n v="35"/>
    <s v="CRAP"/>
    <d v="2001-08-07T00:00:00"/>
    <d v="2002-03-03T00:00:00"/>
    <d v="2002-03-24T00:00:00"/>
    <d v="2002-03-24T00:00:00"/>
    <d v="2002-03-16T00:00:00"/>
    <d v="2002-03-16T00:00:00"/>
    <s v="OTIF FAIL"/>
    <n v="2"/>
    <s v="1210_FG_CRC"/>
    <x v="3"/>
    <n v="1"/>
    <m/>
  </r>
  <r>
    <s v="0558113567-1"/>
    <s v="PSS"/>
    <n v="3"/>
    <n v="1250"/>
    <n v="2500"/>
    <n v="12"/>
    <n v="12"/>
    <s v="CRAP"/>
    <d v="2001-08-11T00:00:00"/>
    <d v="2002-02-26T00:00:00"/>
    <s v="-"/>
    <s v="-"/>
    <d v="2002-03-13T00:00:00"/>
    <d v="2002-03-13T00:00:00"/>
    <s v="OTIF FAIL"/>
    <n v="1"/>
    <s v="1210_FG_CRC"/>
    <x v="3"/>
    <n v="1"/>
    <m/>
  </r>
  <r>
    <s v="0558116006-1"/>
    <s v="CST"/>
    <n v="2"/>
    <n v="1250"/>
    <n v="2500"/>
    <n v="6"/>
    <n v="6"/>
    <s v="CRAP"/>
    <d v="2001-08-31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58116118-1"/>
    <s v="CST"/>
    <n v="2"/>
    <n v="1250"/>
    <n v="250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58116139-1"/>
    <s v="CST"/>
    <n v="2"/>
    <n v="1250"/>
    <n v="250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58111296-1"/>
    <s v="CST"/>
    <n v="2.5"/>
    <n v="1250"/>
    <n v="2500"/>
    <n v="9"/>
    <n v="9"/>
    <s v="CRAP"/>
    <d v="2001-09-25T00:00:00"/>
    <d v="2002-02-26T00:00:00"/>
    <d v="2002-03-13T00:00:00"/>
    <d v="2002-03-13T00:00:00"/>
    <d v="2002-03-11T00:00:00"/>
    <d v="2002-03-12T00:00:00"/>
    <s v="OTIF FAIL"/>
    <n v="1"/>
    <s v="1210_FG_CRC"/>
    <x v="3"/>
    <n v="1"/>
    <m/>
  </r>
  <r>
    <s v="0558116164-1"/>
    <s v="CST"/>
    <n v="2"/>
    <n v="1250"/>
    <n v="250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58110940-2"/>
    <s v="HRC"/>
    <n v="2.5"/>
    <n v="1250"/>
    <n v="2500"/>
    <n v="15"/>
    <n v="13.07"/>
    <s v="CRAP"/>
    <d v="2001-09-25T00:00:00"/>
    <d v="2002-03-04T00:00:00"/>
    <d v="2002-03-12T00:00:00"/>
    <d v="2002-03-12T00:00:00"/>
    <d v="2002-03-14T00:00:00"/>
    <d v="2002-03-14T00:00:00"/>
    <s v="OTIF FAIL"/>
    <n v="2"/>
    <s v="1210_FG_CRC"/>
    <x v="3"/>
    <n v="0"/>
    <m/>
  </r>
  <r>
    <s v="0558110940-1"/>
    <s v="PSS"/>
    <n v="3"/>
    <n v="1250"/>
    <n v="2500"/>
    <n v="9"/>
    <n v="9"/>
    <s v="CRAP"/>
    <d v="2001-09-25T00:00:00"/>
    <d v="2002-03-10T00:00:00"/>
    <d v="2002-03-13T00:00:00"/>
    <d v="2002-03-13T00:00:00"/>
    <d v="2002-03-13T00:00:00"/>
    <d v="2002-03-15T00:00:00"/>
    <s v="OTIF FAIL"/>
    <n v="1"/>
    <s v="1210_FG_CRC"/>
    <x v="3"/>
    <n v="1"/>
    <m/>
  </r>
  <r>
    <s v="0558110939-4"/>
    <s v="PSS"/>
    <n v="3"/>
    <n v="1250"/>
    <n v="2500"/>
    <n v="9"/>
    <n v="9"/>
    <s v="CRAP"/>
    <d v="2001-09-25T00:00:00"/>
    <d v="2002-03-04T00:00:00"/>
    <d v="2002-03-13T00:00:00"/>
    <d v="2002-03-13T00:00:00"/>
    <d v="2002-03-13T00:00:00"/>
    <d v="2002-03-15T00:00:00"/>
    <s v="OTIF FAIL"/>
    <n v="4"/>
    <s v="1210_FG_CRC"/>
    <x v="3"/>
    <n v="1"/>
    <m/>
  </r>
  <r>
    <s v="0558116089-1"/>
    <s v="CRC"/>
    <n v="2"/>
    <n v="1250"/>
    <n v="2500"/>
    <n v="9"/>
    <n v="9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69022517-1"/>
    <s v="HRC"/>
    <n v="2.5"/>
    <n v="1250"/>
    <n v="2500"/>
    <n v="4"/>
    <n v="4"/>
    <s v="CRAP"/>
    <d v="2001-09-25T00:00:00"/>
    <d v="2002-02-25T00:00:00"/>
    <d v="2002-04-15T00:00:00"/>
    <d v="2002-04-15T00:00:00"/>
    <d v="2002-03-15T00:00:00"/>
    <d v="2002-03-15T00:00:00"/>
    <s v="OTIF FAIL"/>
    <n v="1"/>
    <s v="1210_FG_CRC"/>
    <x v="3"/>
    <n v="1"/>
    <m/>
  </r>
  <r>
    <s v="0558113535-1"/>
    <s v="JBS"/>
    <n v="3"/>
    <n v="1250"/>
    <n v="2500"/>
    <n v="3"/>
    <n v="3"/>
    <s v="CRAP"/>
    <d v="2001-08-07T00:00:00"/>
    <d v="2002-03-06T00:00:00"/>
    <d v="2002-03-29T00:00:00"/>
    <d v="2002-03-29T00:00:00"/>
    <d v="2002-03-29T00:00:00"/>
    <d v="2002-03-29T00:00:00"/>
    <s v="OTIF FAIL"/>
    <n v="1"/>
    <s v="1210_FG_CRC"/>
    <x v="9"/>
    <n v="1"/>
    <m/>
  </r>
  <r>
    <s v="0558111358-7"/>
    <s v="HRC"/>
    <n v="3"/>
    <n v="1250"/>
    <n v="2500"/>
    <n v="5"/>
    <n v="5"/>
    <s v="CRAP"/>
    <d v="2001-09-25T00:00:00"/>
    <d v="2002-03-21T00:00:00"/>
    <s v="-"/>
    <s v="-"/>
    <d v="2002-04-06T00:00:00"/>
    <d v="2002-04-06T00:00:00"/>
    <s v="OTIF FAIL"/>
    <n v="7"/>
    <s v="1210_FG_CRC"/>
    <x v="6"/>
    <n v="1"/>
    <m/>
  </r>
  <r>
    <s v="0558113816-2"/>
    <s v="CST"/>
    <n v="3"/>
    <n v="1250"/>
    <n v="2500"/>
    <n v="3"/>
    <n v="3"/>
    <s v="CRAP"/>
    <d v="2001-08-11T00:00:00"/>
    <d v="2002-03-06T00:00:00"/>
    <d v="2002-03-29T00:00:00"/>
    <d v="2002-03-29T00:00:00"/>
    <d v="2002-03-29T00:00:00"/>
    <d v="2002-03-29T00:00:00"/>
    <s v="OTIF FAIL"/>
    <n v="2"/>
    <s v="1210_FG_CRC"/>
    <x v="9"/>
    <n v="1"/>
    <m/>
  </r>
  <r>
    <s v="0558113838-5"/>
    <s v="CST"/>
    <n v="1.6"/>
    <n v="1250"/>
    <n v="2500"/>
    <n v="6"/>
    <n v="6"/>
    <s v="CRAP"/>
    <d v="2001-08-11T00:00:00"/>
    <d v="2002-03-06T00:00:00"/>
    <d v="2002-03-30T00:00:00"/>
    <d v="2002-03-30T00:00:00"/>
    <d v="2002-03-29T00:00:00"/>
    <d v="2002-03-29T00:00:00"/>
    <s v="OTIF FAIL"/>
    <n v="5"/>
    <s v="1210_FG_CRC"/>
    <x v="9"/>
    <n v="1"/>
    <m/>
  </r>
  <r>
    <s v="0558113838-2"/>
    <s v="HPC"/>
    <n v="1"/>
    <n v="1250"/>
    <n v="2500"/>
    <n v="6"/>
    <n v="6"/>
    <s v="CRAP"/>
    <d v="2001-08-11T00:00:00"/>
    <d v="2002-03-06T00:00:00"/>
    <d v="2002-03-29T00:00:00"/>
    <d v="2002-03-29T00:00:00"/>
    <d v="2002-03-29T00:00:00"/>
    <d v="2002-03-29T00:00:00"/>
    <s v="OTIF FAIL"/>
    <n v="2"/>
    <s v="1210_FG_CRC"/>
    <x v="9"/>
    <n v="1"/>
    <m/>
  </r>
  <r>
    <s v="0558109036-6"/>
    <s v="HRC"/>
    <n v="3"/>
    <n v="1250"/>
    <n v="2500"/>
    <n v="9"/>
    <n v="9"/>
    <s v="CRAP"/>
    <d v="2001-08-19T00:00:00"/>
    <d v="2002-02-25T00:00:00"/>
    <d v="2002-03-13T00:00:00"/>
    <d v="2002-03-13T00:00:00"/>
    <d v="2002-03-11T00:00:00"/>
    <d v="2002-03-15T00:00:00"/>
    <s v="OTIF FAIL"/>
    <n v="6"/>
    <s v="1210_FG_CRC"/>
    <x v="3"/>
    <n v="1"/>
    <m/>
  </r>
  <r>
    <s v="0558110067-1"/>
    <s v="CRC"/>
    <n v="3"/>
    <n v="1250"/>
    <n v="2500"/>
    <n v="20"/>
    <n v="20"/>
    <s v="CRAP"/>
    <d v="2001-09-25T00:00:00"/>
    <d v="2002-02-25T00:00:00"/>
    <d v="2002-03-11T00:00:00"/>
    <d v="2002-03-11T00:00:00"/>
    <d v="2002-03-15T00:00:00"/>
    <d v="2002-03-15T00:00:00"/>
    <s v="OTIF FAIL"/>
    <n v="1"/>
    <s v="1210_FG_CRC"/>
    <x v="3"/>
    <n v="1"/>
    <m/>
  </r>
  <r>
    <s v="0558110067-2"/>
    <s v="HRC"/>
    <n v="2"/>
    <n v="1250"/>
    <n v="2500"/>
    <n v="6"/>
    <n v="6"/>
    <s v="CRAP"/>
    <d v="2001-09-25T00:00:00"/>
    <d v="2002-02-25T00:00:00"/>
    <d v="2002-03-18T00:00:00"/>
    <d v="2002-03-18T00:00:00"/>
    <d v="2002-03-18T00:00:00"/>
    <d v="2002-03-18T00:00:00"/>
    <s v="OTIF FAIL"/>
    <n v="2"/>
    <s v="1210_FG_CRC"/>
    <x v="0"/>
    <n v="1"/>
    <m/>
  </r>
  <r>
    <s v="0558114003-1"/>
    <s v="HRC"/>
    <n v="2"/>
    <n v="1250"/>
    <n v="2500"/>
    <n v="9"/>
    <n v="6.0759999999999996"/>
    <s v="CRAP"/>
    <d v="2001-08-16T00:00:00"/>
    <d v="2002-03-06T00:00:00"/>
    <d v="2002-03-29T00:00:00"/>
    <d v="2002-03-29T00:00:00"/>
    <d v="2002-03-29T00:00:00"/>
    <d v="2002-03-29T00:00:00"/>
    <s v="OTIF FAIL"/>
    <n v="1"/>
    <s v="1210_FG_CRC"/>
    <x v="9"/>
    <n v="0"/>
    <m/>
  </r>
  <r>
    <s v="0558114152-2"/>
    <s v="HRC"/>
    <n v="2.5"/>
    <n v="1250"/>
    <n v="2500"/>
    <n v="3"/>
    <n v="3"/>
    <s v="CRAP"/>
    <d v="2001-08-16T00:00:00"/>
    <d v="2002-03-07T00:00:00"/>
    <s v="-"/>
    <s v="-"/>
    <d v="2002-03-20T00:00:00"/>
    <d v="2002-03-20T00:00:00"/>
    <s v="OTIF FAIL"/>
    <n v="2"/>
    <s v="1210_FG_CRC"/>
    <x v="0"/>
    <n v="1"/>
    <m/>
  </r>
  <r>
    <s v="0558114097-1"/>
    <s v="HPC"/>
    <n v="2"/>
    <n v="1250"/>
    <n v="2900"/>
    <n v="13"/>
    <n v="2.2160000000000002"/>
    <s v="CRAP"/>
    <d v="2001-08-16T00:00:00"/>
    <d v="2002-02-26T00:00:00"/>
    <d v="2002-04-16T00:00:00"/>
    <d v="2002-04-16T00:00:00"/>
    <d v="2002-03-23T00:00:00"/>
    <d v="2002-03-23T00:00:00"/>
    <s v="OTIF FAIL"/>
    <n v="1"/>
    <s v="1210_FG_CRC"/>
    <x v="0"/>
    <n v="0"/>
    <m/>
  </r>
  <r>
    <s v="0558110479-1"/>
    <s v="HRC"/>
    <n v="2.5"/>
    <n v="1250"/>
    <n v="2500"/>
    <n v="4"/>
    <n v="4"/>
    <s v="CRAP"/>
    <d v="2001-09-25T00:00:00"/>
    <d v="2002-02-26T00:00:00"/>
    <d v="2002-04-15T00:00:00"/>
    <d v="2002-04-15T00:00:00"/>
    <d v="2002-03-22T00:00:00"/>
    <d v="2002-03-22T00:00:00"/>
    <s v="OTIF FAIL"/>
    <n v="1"/>
    <s v="1210_FG_CRC"/>
    <x v="0"/>
    <n v="1"/>
    <m/>
  </r>
  <r>
    <s v="0558109966-3"/>
    <s v="CST"/>
    <n v="3"/>
    <n v="1250"/>
    <n v="2500"/>
    <n v="6"/>
    <n v="6"/>
    <s v="CRAP"/>
    <d v="2001-08-19T00:00:00"/>
    <d v="2002-02-25T00:00:00"/>
    <d v="2002-03-22T00:00:00"/>
    <d v="2002-03-22T00:00:00"/>
    <d v="2002-03-22T00:00:00"/>
    <d v="2002-03-29T00:00:00"/>
    <s v="OTIF FAIL"/>
    <n v="3"/>
    <s v="1210_FG_CRC"/>
    <x v="9"/>
    <n v="1"/>
    <m/>
  </r>
  <r>
    <s v="0558104451-1"/>
    <s v="HRC"/>
    <n v="2"/>
    <n v="1250"/>
    <n v="2100"/>
    <n v="250"/>
    <n v="2.0819999999999999"/>
    <s v="CRAP"/>
    <d v="2001-09-25T00:00:00"/>
    <d v="2002-03-10T00:00:00"/>
    <s v="-"/>
    <s v="-"/>
    <d v="2002-04-23T00:00:00"/>
    <d v="2002-04-23T00:00:00"/>
    <s v="OTIF FAIL"/>
    <n v="1"/>
    <s v="1210_FG_CRC"/>
    <x v="2"/>
    <n v="0"/>
    <m/>
  </r>
  <r>
    <s v="0558111175-1"/>
    <s v="CST"/>
    <n v="2"/>
    <n v="1250"/>
    <n v="2100"/>
    <n v="181.60400000000001"/>
    <n v="85.174999999999997"/>
    <s v="CRAP"/>
    <d v="2001-09-25T00:00:00"/>
    <d v="2002-03-21T00:00:00"/>
    <d v="2002-03-18T00:00:00"/>
    <d v="2002-03-21T00:00:00"/>
    <d v="2002-03-25T00:00:00"/>
    <d v="2002-04-23T00:00:00"/>
    <s v="OTIF PASS"/>
    <n v="1"/>
    <s v="1210_FG_CRC"/>
    <x v="2"/>
    <n v="0"/>
    <m/>
  </r>
  <r>
    <s v="0558112741-1"/>
    <s v="CST"/>
    <n v="2"/>
    <n v="1250"/>
    <n v="4000"/>
    <n v="80"/>
    <n v="41.968000000000004"/>
    <s v="CRAP"/>
    <d v="2001-09-25T00:00:00"/>
    <d v="2002-03-22T00:00:00"/>
    <d v="2002-03-25T00:00:00"/>
    <d v="2002-03-25T00:00:00"/>
    <d v="2002-03-25T00:00:00"/>
    <d v="2002-03-25T00:00:00"/>
    <s v="OTIF FAIL"/>
    <n v="1"/>
    <s v="1210_FG_CRC"/>
    <x v="9"/>
    <n v="0"/>
    <m/>
  </r>
  <r>
    <s v="0558111180-1"/>
    <s v="HPC"/>
    <n v="4"/>
    <n v="1250"/>
    <n v="3100"/>
    <n v="88.176000000000002"/>
    <n v="88.176000000000002"/>
    <s v="CRAP"/>
    <d v="2001-09-25T00:00:00"/>
    <d v="2002-03-10T00:00:00"/>
    <d v="2002-03-10T00:00:00"/>
    <d v="2002-03-10T00:00:00"/>
    <d v="2002-03-10T00:00:00"/>
    <d v="2002-03-10T00:00:00"/>
    <s v="OTIF PASS"/>
    <n v="1"/>
    <s v="1210_FG_CRC"/>
    <x v="3"/>
    <n v="1"/>
    <m/>
  </r>
  <r>
    <s v="0558111181-1"/>
    <s v="CST"/>
    <n v="3"/>
    <n v="1250"/>
    <n v="3100"/>
    <n v="13.576000000000001"/>
    <n v="9.5459999999999994"/>
    <s v="CRAP"/>
    <d v="2001-09-25T00:00:00"/>
    <d v="2002-03-21T00:00:00"/>
    <d v="2002-04-08T00:00:00"/>
    <d v="2002-04-08T00:00:00"/>
    <d v="2002-04-08T00:00:00"/>
    <d v="2002-04-08T00:00:00"/>
    <s v="OTIF FAIL"/>
    <n v="1"/>
    <s v="1210_FG_CRC"/>
    <x v="7"/>
    <n v="0"/>
    <m/>
  </r>
  <r>
    <s v="0558115824-1"/>
    <s v="HRC"/>
    <n v="3"/>
    <n v="1250"/>
    <n v="3100"/>
    <n v="40"/>
    <n v="40"/>
    <s v="CRAP"/>
    <d v="2001-08-30T00:00:00"/>
    <d v="2002-03-22T00:00:00"/>
    <d v="2002-04-08T00:00:00"/>
    <d v="2002-04-08T00:00:00"/>
    <d v="2002-04-08T00:00:00"/>
    <d v="2002-04-08T00:00:00"/>
    <s v="OTIF FAIL"/>
    <n v="1"/>
    <s v="1210_FG_CRC"/>
    <x v="7"/>
    <n v="1"/>
    <m/>
  </r>
  <r>
    <s v="0558108334-1"/>
    <s v="HRC"/>
    <n v="2.5"/>
    <n v="1250"/>
    <n v="4000"/>
    <n v="50"/>
    <n v="2.5859999999999999"/>
    <s v="CRAP"/>
    <d v="2001-09-25T00:00:00"/>
    <d v="2002-03-10T00:00:00"/>
    <d v="2002-04-08T00:00:00"/>
    <d v="2002-04-08T00:00:00"/>
    <d v="2002-04-08T00:00:00"/>
    <d v="2002-04-08T00:00:00"/>
    <s v="OTIF FAIL"/>
    <n v="1"/>
    <s v="1210_FG_CRC"/>
    <x v="7"/>
    <n v="0"/>
    <m/>
  </r>
  <r>
    <s v="0558108333-1"/>
    <s v="HRC"/>
    <n v="3"/>
    <n v="1250"/>
    <n v="4000"/>
    <n v="50"/>
    <n v="27.754999999999999"/>
    <s v="CRAP"/>
    <d v="2001-09-25T00:00:00"/>
    <d v="2002-03-10T00:00:00"/>
    <d v="2002-04-08T00:00:00"/>
    <d v="2002-04-08T00:00:00"/>
    <d v="2002-04-08T00:00:00"/>
    <d v="2002-04-08T00:00:00"/>
    <s v="OTIF FAIL"/>
    <n v="1"/>
    <s v="1210_FG_CRC"/>
    <x v="7"/>
    <n v="0"/>
    <m/>
  </r>
  <r>
    <s v="0558111184-1"/>
    <s v="HRC"/>
    <n v="2.5"/>
    <n v="1250"/>
    <n v="4000"/>
    <n v="40"/>
    <n v="23.248000000000001"/>
    <s v="CRAP"/>
    <d v="2001-09-25T00:00:00"/>
    <d v="2002-03-21T00:00:00"/>
    <d v="2002-04-08T00:00:00"/>
    <d v="2002-04-08T00:00:00"/>
    <d v="2002-04-08T00:00:00"/>
    <d v="2002-04-08T00:00:00"/>
    <s v="OTIF FAIL"/>
    <n v="1"/>
    <s v="1210_FG_CRC"/>
    <x v="7"/>
    <n v="0"/>
    <m/>
  </r>
  <r>
    <s v="0558109455-1"/>
    <s v="CRC"/>
    <n v="2"/>
    <n v="296"/>
    <n v="346"/>
    <n v="13.836"/>
    <n v="13.836"/>
    <s v="CRAP"/>
    <d v="2001-08-01T00:00:00"/>
    <d v="2002-02-27T00:00:00"/>
    <d v="2002-03-29T00:00:00"/>
    <d v="2002-03-29T00:00:00"/>
    <d v="2002-03-22T00:00:00"/>
    <d v="2002-03-22T00:00:00"/>
    <s v="OTIF FAIL"/>
    <n v="1"/>
    <s v="1110_FG_CRC"/>
    <x v="0"/>
    <n v="1"/>
    <m/>
  </r>
  <r>
    <s v="0558114865-1"/>
    <s v="CST"/>
    <n v="1.2"/>
    <n v="1250"/>
    <n v="2500"/>
    <n v="5"/>
    <n v="5"/>
    <s v="CRAP"/>
    <d v="2001-08-29T00:00:00"/>
    <d v="2002-02-28T00:00:00"/>
    <d v="2002-03-13T00:00:00"/>
    <d v="2002-03-13T00:00:00"/>
    <d v="2002-03-12T00:00:00"/>
    <d v="2002-03-12T00:00:00"/>
    <s v="OTIF FAIL"/>
    <n v="1"/>
    <s v="1210_FG_CRC"/>
    <x v="3"/>
    <n v="1"/>
    <m/>
  </r>
  <r>
    <s v="0558114864-2"/>
    <s v="CRC"/>
    <n v="1.2"/>
    <n v="1250"/>
    <n v="2500"/>
    <n v="5"/>
    <n v="5"/>
    <s v="CRAP"/>
    <d v="2001-08-25T00:00:00"/>
    <d v="2002-02-27T00:00:00"/>
    <d v="2002-03-13T00:00:00"/>
    <d v="2002-03-13T00:00:00"/>
    <d v="2002-03-12T00:00:00"/>
    <d v="2002-03-12T00:00:00"/>
    <s v="OTIF FAIL"/>
    <n v="2"/>
    <s v="1210_FG_CRC"/>
    <x v="3"/>
    <n v="1"/>
    <m/>
  </r>
  <r>
    <s v="0558113975-3"/>
    <s v="CST"/>
    <n v="1.5"/>
    <n v="85"/>
    <n v="1250"/>
    <n v="2"/>
    <n v="2"/>
    <s v="CRAP"/>
    <d v="2001-08-16T00:00:00"/>
    <d v="2002-02-28T00:00:00"/>
    <d v="2002-03-31T00:00:00"/>
    <d v="2002-03-31T00:00:00"/>
    <d v="2002-03-31T00:00:00"/>
    <d v="2002-03-31T00:00:00"/>
    <s v="OTIF FAIL"/>
    <n v="3"/>
    <s v="1210_FG_CRC"/>
    <x v="6"/>
    <n v="1"/>
    <m/>
  </r>
  <r>
    <s v="0558113975-5"/>
    <s v="CST"/>
    <n v="2"/>
    <n v="101"/>
    <n v="1250"/>
    <n v="2"/>
    <n v="2"/>
    <s v="CRAP"/>
    <d v="2001-08-16T00:00:00"/>
    <d v="2002-02-28T00:00:00"/>
    <s v="-"/>
    <s v="-"/>
    <d v="2002-03-13T00:00:00"/>
    <d v="2002-03-13T00:00:00"/>
    <s v="OTIF FAIL"/>
    <n v="5"/>
    <s v="1210_FG_CRC"/>
    <x v="3"/>
    <n v="1"/>
    <m/>
  </r>
  <r>
    <s v="0558115465-2"/>
    <s v="HRC"/>
    <n v="1.2"/>
    <n v="188"/>
    <n v="1188"/>
    <n v="2"/>
    <n v="2"/>
    <s v="CRAP"/>
    <d v="2001-08-29T00:00:00"/>
    <d v="2002-02-28T00:00:00"/>
    <d v="2002-03-11T00:00:00"/>
    <d v="2002-03-11T00:00:00"/>
    <d v="2002-03-10T00:00:00"/>
    <d v="2002-03-10T00:00:00"/>
    <s v="OTIF FAIL"/>
    <n v="2"/>
    <s v="1210_FG_CRC"/>
    <x v="3"/>
    <n v="1"/>
    <m/>
  </r>
  <r>
    <s v="0558108407-1"/>
    <s v="CST"/>
    <n v="1"/>
    <n v="410"/>
    <n v="1250"/>
    <n v="5"/>
    <n v="5"/>
    <s v="CRAP"/>
    <d v="2001-09-25T00:00:00"/>
    <d v="2002-02-28T00:00:00"/>
    <s v="-"/>
    <s v="-"/>
    <d v="2002-01-07T00:00:00"/>
    <d v="2002-01-07T00:00:00"/>
    <s v="OTIF FAIL"/>
    <n v="1"/>
    <s v="1210_FG_CRC"/>
    <x v="17"/>
    <n v="1"/>
    <m/>
  </r>
  <r>
    <s v="0558113975-2"/>
    <s v="CST"/>
    <n v="1"/>
    <n v="177"/>
    <n v="1250"/>
    <n v="7"/>
    <n v="7"/>
    <s v="CRAP"/>
    <d v="2001-08-16T00:00:00"/>
    <d v="2002-02-28T00:00:00"/>
    <d v="2002-02-16T00:00:00"/>
    <d v="2002-02-28T00:00:00"/>
    <d v="2001-11-18T00:00:00"/>
    <d v="2002-01-06T00:00:00"/>
    <s v="OTIF PASS"/>
    <n v="2"/>
    <s v="1210_FG_CRC"/>
    <x v="17"/>
    <n v="1"/>
    <m/>
  </r>
  <r>
    <s v="0558110614-3"/>
    <s v="CST"/>
    <n v="2"/>
    <n v="108"/>
    <n v="1226"/>
    <n v="3"/>
    <n v="2.2040000000000002"/>
    <s v="CRAP"/>
    <d v="2001-09-25T00:00:00"/>
    <d v="2002-03-10T00:00:00"/>
    <d v="2002-03-29T00:00:00"/>
    <d v="2002-03-29T00:00:00"/>
    <d v="2002-03-29T00:00:00"/>
    <d v="2002-03-29T00:00:00"/>
    <s v="OTIF FAIL"/>
    <n v="3"/>
    <s v="1210_FG_CRC"/>
    <x v="9"/>
    <n v="0"/>
    <m/>
  </r>
  <r>
    <s v="0558110614-2"/>
    <s v="HPC"/>
    <n v="1.5"/>
    <n v="113"/>
    <n v="1195"/>
    <n v="2"/>
    <n v="2"/>
    <s v="CRAP"/>
    <d v="2001-09-25T00:00:00"/>
    <d v="2002-03-10T00:00:00"/>
    <s v="-"/>
    <s v="-"/>
    <d v="2002-05-10T00:00:00"/>
    <d v="2002-05-10T00:00:00"/>
    <s v="OTIF FAIL"/>
    <n v="2"/>
    <s v="1210_FG_CRC"/>
    <x v="19"/>
    <n v="1"/>
    <m/>
  </r>
  <r>
    <s v="0558113975-4"/>
    <s v="HRC"/>
    <n v="2"/>
    <n v="106"/>
    <n v="1250"/>
    <n v="8"/>
    <n v="8"/>
    <s v="CRAP"/>
    <d v="2001-08-16T00:00:00"/>
    <d v="2002-02-28T00:00:00"/>
    <s v="-"/>
    <s v="-"/>
    <d v="2002-03-13T00:00:00"/>
    <d v="2002-03-13T00:00:00"/>
    <s v="OTIF FAIL"/>
    <n v="4"/>
    <s v="1210_FG_CRC"/>
    <x v="3"/>
    <n v="1"/>
    <m/>
  </r>
  <r>
    <s v="0558113975-1"/>
    <s v="CST"/>
    <n v="1"/>
    <n v="410"/>
    <n v="1250"/>
    <n v="9"/>
    <n v="9"/>
    <s v="CRAP"/>
    <d v="2001-08-16T00:00:00"/>
    <d v="2002-02-28T00:00:00"/>
    <d v="2002-02-14T00:00:00"/>
    <d v="2002-02-28T00:00:00"/>
    <d v="2001-11-18T00:00:00"/>
    <d v="2002-01-07T00:00:00"/>
    <s v="OTIF PASS"/>
    <n v="1"/>
    <s v="1210_FG_CRC"/>
    <x v="17"/>
    <n v="1"/>
    <m/>
  </r>
  <r>
    <s v="0558113976-3"/>
    <s v="HRC"/>
    <n v="2"/>
    <n v="108"/>
    <n v="1226"/>
    <n v="2"/>
    <n v="2"/>
    <s v="CRAP"/>
    <d v="2001-08-16T00:00:00"/>
    <d v="2002-02-28T00:00:00"/>
    <d v="2002-03-23T00:00:00"/>
    <d v="2002-03-23T00:00:00"/>
    <d v="2002-03-13T00:00:00"/>
    <d v="2002-03-29T00:00:00"/>
    <s v="OTIF FAIL"/>
    <n v="3"/>
    <s v="1210_FG_CRC"/>
    <x v="9"/>
    <n v="1"/>
    <m/>
  </r>
  <r>
    <s v="0558110612-4"/>
    <s v="CRC"/>
    <n v="2"/>
    <n v="101"/>
    <n v="1250"/>
    <n v="4"/>
    <n v="4"/>
    <s v="CRAP"/>
    <d v="2001-09-25T00:00:00"/>
    <d v="2002-02-28T00:00:00"/>
    <d v="2002-03-16T00:00:00"/>
    <d v="2002-03-16T00:00:00"/>
    <d v="2002-03-13T00:00:00"/>
    <d v="2002-03-13T00:00:00"/>
    <s v="OTIF FAIL"/>
    <n v="4"/>
    <s v="1210_FG_CRC"/>
    <x v="3"/>
    <n v="1"/>
    <m/>
  </r>
  <r>
    <s v="0558110612-3"/>
    <s v="HPC"/>
    <n v="2"/>
    <n v="106"/>
    <n v="1250"/>
    <n v="10"/>
    <n v="10"/>
    <s v="CRAP"/>
    <d v="2001-09-25T00:00:00"/>
    <d v="2002-02-28T00:00:00"/>
    <d v="2002-03-16T00:00:00"/>
    <d v="2002-03-16T00:00:00"/>
    <d v="2002-03-13T00:00:00"/>
    <d v="2002-03-13T00:00:00"/>
    <s v="OTIF FAIL"/>
    <n v="3"/>
    <s v="1210_FG_CRC"/>
    <x v="3"/>
    <n v="1"/>
    <m/>
  </r>
  <r>
    <s v="0558110612-1"/>
    <s v="CST"/>
    <n v="1"/>
    <n v="410"/>
    <n v="1250"/>
    <n v="9"/>
    <n v="9"/>
    <s v="CRAP"/>
    <d v="2001-09-25T00:00:00"/>
    <d v="2002-02-28T00:00:00"/>
    <s v="-"/>
    <s v="-"/>
    <d v="2002-01-06T00:00:00"/>
    <d v="2002-01-07T00:00:00"/>
    <s v="OTIF FAIL"/>
    <n v="1"/>
    <s v="1210_FG_CRC"/>
    <x v="17"/>
    <n v="1"/>
    <m/>
  </r>
  <r>
    <s v="0558110612-2"/>
    <s v="CST"/>
    <n v="1"/>
    <n v="177"/>
    <n v="1250"/>
    <n v="10"/>
    <n v="10"/>
    <s v="CRAP"/>
    <d v="2001-09-25T00:00:00"/>
    <d v="2002-02-28T00:00:00"/>
    <d v="2002-02-15T00:00:00"/>
    <d v="2002-02-28T00:00:00"/>
    <d v="2002-01-06T00:00:00"/>
    <d v="2002-01-06T00:00:00"/>
    <s v="OTIF PASS"/>
    <n v="2"/>
    <s v="1210_FG_CRC"/>
    <x v="17"/>
    <n v="1"/>
    <m/>
  </r>
  <r>
    <s v="0558113976-2"/>
    <s v="HRC"/>
    <n v="1.5"/>
    <n v="113"/>
    <n v="1195"/>
    <n v="2"/>
    <n v="2"/>
    <s v="CRAP"/>
    <d v="2001-08-16T00:00:00"/>
    <d v="2002-02-28T00:00:00"/>
    <d v="2002-03-31T00:00:00"/>
    <d v="2002-03-31T00:00:00"/>
    <d v="2002-03-31T00:00:00"/>
    <d v="2002-05-10T00:00:00"/>
    <s v="OTIF FAIL"/>
    <n v="2"/>
    <s v="1210_FG_CRC"/>
    <x v="19"/>
    <n v="1"/>
    <m/>
  </r>
  <r>
    <s v="0558110614-1"/>
    <s v="HRC"/>
    <n v="1"/>
    <n v="120"/>
    <n v="1078"/>
    <n v="9"/>
    <n v="9"/>
    <s v="CRAP"/>
    <d v="2001-09-25T00:00:00"/>
    <d v="2002-02-28T00:00:00"/>
    <d v="2002-02-16T00:00:00"/>
    <d v="2002-02-28T00:00:00"/>
    <d v="2002-01-06T00:00:00"/>
    <d v="2002-01-06T00:00:00"/>
    <s v="OTIF PASS"/>
    <n v="1"/>
    <s v="1210_FG_CRC"/>
    <x v="17"/>
    <n v="1"/>
    <m/>
  </r>
  <r>
    <s v="0558113976-1"/>
    <s v="CST"/>
    <n v="1"/>
    <n v="120"/>
    <n v="1078"/>
    <n v="13"/>
    <n v="13"/>
    <s v="CRAP"/>
    <d v="2001-08-16T00:00:00"/>
    <d v="2002-02-28T00:00:00"/>
    <d v="2002-02-16T00:00:00"/>
    <d v="2002-02-28T00:00:00"/>
    <d v="2001-11-18T00:00:00"/>
    <d v="2002-01-06T00:00:00"/>
    <s v="OTIF PASS"/>
    <n v="1"/>
    <s v="1210_FG_CRC"/>
    <x v="17"/>
    <n v="1"/>
    <m/>
  </r>
  <r>
    <s v="0558112522-2"/>
    <s v="HPC"/>
    <n v="1.5"/>
    <n v="1250"/>
    <n v="2500"/>
    <n v="10"/>
    <n v="4.0270000000000001"/>
    <s v="CRAP"/>
    <d v="2001-09-25T00:00:00"/>
    <d v="2002-02-26T00:00:00"/>
    <d v="2002-03-13T00:00:00"/>
    <d v="2002-03-13T00:00:00"/>
    <d v="2002-03-10T00:00:00"/>
    <d v="2002-03-10T00:00:00"/>
    <s v="OTIF FAIL"/>
    <n v="2"/>
    <s v="1210_FG_CRC"/>
    <x v="3"/>
    <n v="0"/>
    <m/>
  </r>
  <r>
    <s v="0558111304-1"/>
    <s v="PSS"/>
    <n v="3"/>
    <n v="1250"/>
    <n v="2500"/>
    <n v="18"/>
    <n v="13.553000000000001"/>
    <s v="CRAP"/>
    <d v="2001-09-25T00:00:00"/>
    <d v="2002-03-10T00:00:00"/>
    <d v="2002-03-17T00:00:00"/>
    <d v="2002-03-17T00:00:00"/>
    <d v="2002-03-17T00:00:00"/>
    <d v="2002-03-17T00:00:00"/>
    <s v="OTIF FAIL"/>
    <n v="1"/>
    <s v="1210_FG_CRC"/>
    <x v="0"/>
    <n v="0"/>
    <m/>
  </r>
  <r>
    <s v="0558111247-7"/>
    <s v="CRC"/>
    <n v="0.8"/>
    <n v="1250"/>
    <n v="2500"/>
    <n v="3"/>
    <n v="3"/>
    <s v="CRAP"/>
    <d v="2001-08-13T00:00:00"/>
    <d v="2002-03-04T00:00:00"/>
    <d v="2002-03-29T00:00:00"/>
    <d v="2002-03-29T00:00:00"/>
    <d v="2002-03-29T00:00:00"/>
    <d v="2002-03-29T00:00:00"/>
    <s v="OTIF FAIL"/>
    <n v="7"/>
    <s v="1210_FG_CRC"/>
    <x v="9"/>
    <n v="1"/>
    <m/>
  </r>
  <r>
    <s v="0558109007-1"/>
    <s v="HRC"/>
    <n v="0.8"/>
    <n v="1250"/>
    <n v="2500"/>
    <n v="3"/>
    <n v="3"/>
    <s v="CRAP"/>
    <d v="2001-08-19T00:00:00"/>
    <d v="2002-02-25T00:00:00"/>
    <d v="2002-03-29T00:00:00"/>
    <d v="2002-03-29T00:00:00"/>
    <d v="2002-03-29T00:00:00"/>
    <d v="2002-03-29T00:00:00"/>
    <s v="OTIF FAIL"/>
    <n v="1"/>
    <s v="1210_FG_CRC"/>
    <x v="9"/>
    <n v="1"/>
    <m/>
  </r>
  <r>
    <s v="0558114188-2"/>
    <s v="CST"/>
    <n v="3"/>
    <n v="1250"/>
    <n v="4000"/>
    <n v="4.7939999999999996"/>
    <n v="4.7939999999999996"/>
    <s v="CRAP"/>
    <d v="2001-08-16T00:00:00"/>
    <d v="2002-02-27T00:00:00"/>
    <d v="2002-04-28T00:00:00"/>
    <d v="2002-04-28T00:00:00"/>
    <d v="2002-03-12T00:00:00"/>
    <d v="2002-03-12T00:00:00"/>
    <s v="OTIF FAIL"/>
    <n v="2"/>
    <s v="1210_FG_CRC"/>
    <x v="3"/>
    <n v="1"/>
    <m/>
  </r>
  <r>
    <s v="0558114188-1"/>
    <s v="CST"/>
    <n v="3"/>
    <n v="1250"/>
    <n v="2870"/>
    <n v="15.388"/>
    <n v="15.388"/>
    <s v="CRAP"/>
    <d v="2001-08-16T00:00:00"/>
    <d v="2002-02-27T00:00:00"/>
    <d v="2002-03-11T00:00:00"/>
    <d v="2002-03-11T00:00:00"/>
    <d v="2002-03-13T00:00:00"/>
    <d v="2002-03-13T00:00:00"/>
    <s v="OTIF FAIL"/>
    <n v="1"/>
    <s v="1210_FG_CRC"/>
    <x v="3"/>
    <n v="1"/>
    <m/>
  </r>
  <r>
    <s v="0558113946-2"/>
    <s v="HRC"/>
    <n v="1.5"/>
    <n v="1250"/>
    <n v="2140"/>
    <n v="3.21"/>
    <n v="3.21"/>
    <s v="CRAP"/>
    <d v="2001-08-11T00:00:00"/>
    <d v="2002-02-27T00:00:00"/>
    <d v="2002-04-28T00:00:00"/>
    <d v="2002-04-28T00:00:00"/>
    <d v="2002-03-08T00:00:00"/>
    <d v="2002-03-08T00:00:00"/>
    <s v="OTIF FAIL"/>
    <n v="2"/>
    <s v="1210_FG_CRC"/>
    <x v="1"/>
    <n v="1"/>
    <m/>
  </r>
  <r>
    <s v="0558113946-1"/>
    <s v="CST"/>
    <n v="1.5"/>
    <n v="1250"/>
    <n v="4750"/>
    <n v="16.030999999999999"/>
    <n v="16.030999999999999"/>
    <s v="CRAP"/>
    <d v="2001-08-11T00:00:00"/>
    <d v="2002-02-27T00:00:00"/>
    <d v="2002-03-01T00:00:00"/>
    <d v="2002-03-01T00:00:00"/>
    <d v="2002-03-08T00:00:00"/>
    <d v="2002-03-08T00:00:00"/>
    <s v="OTIF FAIL"/>
    <n v="1"/>
    <s v="1210_FG_CRC"/>
    <x v="1"/>
    <n v="1"/>
    <m/>
  </r>
  <r>
    <s v="0558114149-1"/>
    <s v="CRC"/>
    <n v="2"/>
    <n v="1250"/>
    <n v="2700"/>
    <n v="19.010000000000002"/>
    <n v="19.010000000000002"/>
    <s v="CRAP"/>
    <d v="2001-08-16T00:00:00"/>
    <d v="2002-02-27T00:00:00"/>
    <d v="2002-03-04T00:00:00"/>
    <d v="2002-03-04T00:00:00"/>
    <d v="2002-03-11T00:00:00"/>
    <d v="2002-03-11T00:00:00"/>
    <s v="OTIF FAIL"/>
    <n v="1"/>
    <s v="1210_FG_CRC"/>
    <x v="3"/>
    <n v="1"/>
    <m/>
  </r>
  <r>
    <s v="0558110344-11"/>
    <s v="CST"/>
    <n v="2.5"/>
    <n v="1250"/>
    <n v="2500"/>
    <n v="3"/>
    <n v="3"/>
    <s v="CRAP"/>
    <d v="2001-09-25T00:00:00"/>
    <d v="2002-03-04T00:00:00"/>
    <d v="2002-03-19T00:00:00"/>
    <d v="2002-03-19T00:00:00"/>
    <d v="2002-03-19T00:00:00"/>
    <d v="2002-03-20T00:00:00"/>
    <s v="OTIF FAIL"/>
    <n v="11"/>
    <s v="1210_FG_CRC"/>
    <x v="0"/>
    <n v="1"/>
    <m/>
  </r>
  <r>
    <s v="0558115783-4"/>
    <s v="CST"/>
    <n v="1"/>
    <n v="1250"/>
    <n v="2500"/>
    <n v="6"/>
    <n v="6"/>
    <s v="CRAP"/>
    <d v="2001-08-30T00:00:00"/>
    <d v="2002-03-08T00:00:00"/>
    <d v="2002-03-29T00:00:00"/>
    <d v="2002-03-29T00:00:00"/>
    <d v="2002-03-29T00:00:00"/>
    <d v="2002-03-29T00:00:00"/>
    <s v="OTIF FAIL"/>
    <n v="4"/>
    <s v="1210_FG_CRC"/>
    <x v="9"/>
    <n v="1"/>
    <m/>
  </r>
  <r>
    <s v="0558108954-1"/>
    <s v="CST"/>
    <n v="0.8"/>
    <n v="1250"/>
    <n v="2500"/>
    <n v="3"/>
    <n v="3"/>
    <s v="CRAP"/>
    <d v="2001-08-19T00:00:00"/>
    <d v="2002-02-25T00:00:00"/>
    <d v="2002-03-29T00:00:00"/>
    <d v="2002-03-29T00:00:00"/>
    <d v="2002-03-29T00:00:00"/>
    <d v="2002-03-29T00:00:00"/>
    <s v="OTIF FAIL"/>
    <n v="1"/>
    <s v="1210_FG_CRC"/>
    <x v="9"/>
    <n v="1"/>
    <m/>
  </r>
  <r>
    <s v="0558108818-2"/>
    <s v="CST"/>
    <n v="0.8"/>
    <n v="1250"/>
    <n v="2500"/>
    <n v="3"/>
    <n v="3"/>
    <s v="CRAP"/>
    <d v="2001-08-19T00:00:00"/>
    <d v="2002-02-25T00:00:00"/>
    <d v="2002-03-29T00:00:00"/>
    <d v="2002-03-29T00:00:00"/>
    <d v="2002-03-29T00:00:00"/>
    <d v="2002-03-29T00:00:00"/>
    <s v="OTIF FAIL"/>
    <n v="2"/>
    <s v="1210_FG_CRC"/>
    <x v="9"/>
    <n v="1"/>
    <m/>
  </r>
  <r>
    <s v="0558108796-1"/>
    <s v="CST"/>
    <n v="0.8"/>
    <n v="1250"/>
    <n v="2500"/>
    <n v="3"/>
    <n v="3"/>
    <s v="CRAP"/>
    <d v="2001-08-19T00:00:00"/>
    <d v="2002-02-25T00:00:00"/>
    <d v="2002-03-29T00:00:00"/>
    <d v="2002-03-29T00:00:00"/>
    <d v="2002-03-29T00:00:00"/>
    <d v="2002-03-29T00:00:00"/>
    <s v="OTIF FAIL"/>
    <n v="1"/>
    <s v="1210_FG_CRC"/>
    <x v="9"/>
    <n v="1"/>
    <m/>
  </r>
  <r>
    <s v="0558105691-1"/>
    <s v="HRC"/>
    <n v="3"/>
    <n v="1250"/>
    <n v="3300"/>
    <n v="8.5310000000000006"/>
    <n v="8.5310000000000006"/>
    <s v="CRAP"/>
    <d v="2001-09-25T00:00:00"/>
    <d v="2002-03-21T00:00:00"/>
    <d v="2002-04-06T00:00:00"/>
    <d v="2002-04-06T00:00:00"/>
    <d v="2002-04-06T00:00:00"/>
    <d v="2002-04-06T00:00:00"/>
    <s v="OTIF FAIL"/>
    <n v="1"/>
    <s v="1210_FG_CRC"/>
    <x v="6"/>
    <n v="1"/>
    <m/>
  </r>
  <r>
    <s v="0568012699-2"/>
    <s v="CST"/>
    <n v="2.5"/>
    <n v="1250"/>
    <n v="2500"/>
    <n v="18"/>
    <n v="18"/>
    <s v="CRAP"/>
    <d v="2001-08-07T00:00:00"/>
    <d v="2002-02-27T00:00:00"/>
    <d v="2002-03-22T00:00:00"/>
    <d v="2002-03-22T00:00:00"/>
    <d v="2002-03-22T00:00:00"/>
    <d v="2002-03-22T00:00:00"/>
    <s v="OTIF FAIL"/>
    <n v="2"/>
    <s v="1210_FG_CRC"/>
    <x v="0"/>
    <n v="1"/>
    <m/>
  </r>
  <r>
    <s v="0558114674-1"/>
    <s v="HRC"/>
    <n v="0.5"/>
    <n v="1250"/>
    <n v="2750"/>
    <n v="20"/>
    <n v="20"/>
    <s v="CRAP"/>
    <d v="2001-08-23T00:00:00"/>
    <d v="2002-03-07T00:00:00"/>
    <d v="2002-03-16T00:00:00"/>
    <d v="2002-03-16T00:00:00"/>
    <d v="2002-03-20T00:00:00"/>
    <d v="2002-03-20T00:00:00"/>
    <s v="OTIF FAIL"/>
    <n v="1"/>
    <s v="1210_FG_CRC"/>
    <x v="0"/>
    <n v="1"/>
    <m/>
  </r>
  <r>
    <s v="0558113290-3"/>
    <s v="HPC"/>
    <n v="0.7"/>
    <n v="1250"/>
    <n v="2500"/>
    <n v="3"/>
    <n v="3"/>
    <s v="CRAP"/>
    <d v="2001-08-05T00:00:00"/>
    <d v="2002-03-05T00:00:00"/>
    <d v="2002-04-26T00:00:00"/>
    <d v="2002-04-26T00:00:00"/>
    <d v="2002-04-19T00:00:00"/>
    <d v="2002-04-19T00:00:00"/>
    <s v="OTIF FAIL"/>
    <n v="3"/>
    <s v="1210_FG_CRC"/>
    <x v="15"/>
    <n v="1"/>
    <m/>
  </r>
  <r>
    <s v="0558116147-1"/>
    <s v="HPC"/>
    <n v="0.5"/>
    <n v="1250"/>
    <n v="2500"/>
    <n v="3"/>
    <n v="3"/>
    <s v="CRAP"/>
    <d v="2001-09-25T00:00:00"/>
    <d v="2002-03-08T00:00:00"/>
    <d v="2002-04-06T00:00:00"/>
    <d v="2002-04-06T00:00:00"/>
    <d v="2002-04-05T00:00:00"/>
    <d v="2002-04-05T00:00:00"/>
    <s v="OTIF FAIL"/>
    <n v="1"/>
    <s v="1210_FG_CRC"/>
    <x v="6"/>
    <n v="1"/>
    <m/>
  </r>
  <r>
    <s v="0558112757-2"/>
    <s v="HPC"/>
    <n v="0.7"/>
    <n v="1250"/>
    <n v="2500"/>
    <n v="6"/>
    <n v="6"/>
    <s v="CRAP"/>
    <d v="2001-09-25T00:00:00"/>
    <d v="2002-03-05T00:00:00"/>
    <d v="2002-04-26T00:00:00"/>
    <d v="2002-04-26T00:00:00"/>
    <d v="2002-04-19T00:00:00"/>
    <d v="2002-04-19T00:00:00"/>
    <s v="OTIF FAIL"/>
    <n v="2"/>
    <s v="1210_FG_CRC"/>
    <x v="15"/>
    <n v="1"/>
    <m/>
  </r>
  <r>
    <s v="0558113306-2"/>
    <s v="CRC"/>
    <n v="0.6"/>
    <n v="1250"/>
    <n v="2500"/>
    <n v="6"/>
    <n v="6"/>
    <s v="CRAP"/>
    <d v="2001-08-05T00:00:00"/>
    <d v="2002-03-05T00:00:00"/>
    <d v="2002-04-06T00:00:00"/>
    <d v="2002-04-06T00:00:00"/>
    <d v="2002-04-05T00:00:00"/>
    <d v="2002-04-06T00:00:00"/>
    <s v="OTIF FAIL"/>
    <n v="2"/>
    <s v="1210_FG_CRC"/>
    <x v="6"/>
    <n v="1"/>
    <m/>
  </r>
  <r>
    <s v="0558096736-1"/>
    <s v="CST"/>
    <n v="3"/>
    <n v="1250"/>
    <n v="3000"/>
    <n v="16"/>
    <n v="3.8940000000000001"/>
    <s v="CRAP"/>
    <d v="2001-09-25T00:00:00"/>
    <d v="2002-02-27T00:00:00"/>
    <d v="2002-03-20T00:00:00"/>
    <d v="2002-03-20T00:00:00"/>
    <d v="2002-03-20T00:00:00"/>
    <d v="2002-03-20T00:00:00"/>
    <s v="OTIF FAIL"/>
    <n v="1"/>
    <s v="1210_FG_CRC"/>
    <x v="0"/>
    <n v="0"/>
    <m/>
  </r>
  <r>
    <s v="0558110428-3"/>
    <s v="CST"/>
    <n v="2.7"/>
    <n v="1250"/>
    <n v="3000"/>
    <n v="38.08"/>
    <n v="38.08"/>
    <s v="CRAP"/>
    <d v="2001-09-25T00:00:00"/>
    <d v="2002-02-27T00:00:00"/>
    <d v="2002-03-24T00:00:00"/>
    <d v="2002-03-24T00:00:00"/>
    <d v="2002-03-24T00:00:00"/>
    <d v="2002-04-14T00:00:00"/>
    <s v="OTIF FAIL"/>
    <n v="3"/>
    <s v="1210_FG_CRC"/>
    <x v="15"/>
    <n v="1"/>
    <m/>
  </r>
  <r>
    <s v="0558114406-3"/>
    <s v="CST"/>
    <n v="2.7"/>
    <n v="1250"/>
    <n v="3000"/>
    <n v="38.4"/>
    <n v="38.4"/>
    <s v="CRAP"/>
    <d v="2001-08-21T00:00:00"/>
    <d v="2002-02-27T00:00:00"/>
    <d v="2002-04-07T00:00:00"/>
    <d v="2002-04-07T00:00:00"/>
    <d v="2002-04-14T00:00:00"/>
    <d v="2002-04-14T00:00:00"/>
    <s v="OTIF FAIL"/>
    <n v="3"/>
    <s v="1210_FG_CRC"/>
    <x v="15"/>
    <n v="1"/>
    <m/>
  </r>
  <r>
    <s v="0558114326-2"/>
    <s v="CRC"/>
    <n v="0.6"/>
    <n v="1250"/>
    <n v="2500"/>
    <n v="3"/>
    <n v="3"/>
    <s v="CRAP"/>
    <d v="2001-08-21T00:00:00"/>
    <d v="2002-03-07T00:00:00"/>
    <d v="2002-04-06T00:00:00"/>
    <d v="2002-04-06T00:00:00"/>
    <d v="2002-04-05T00:00:00"/>
    <d v="2002-04-06T00:00:00"/>
    <s v="OTIF FAIL"/>
    <n v="2"/>
    <s v="1210_FG_CRC"/>
    <x v="6"/>
    <n v="1"/>
    <m/>
  </r>
  <r>
    <s v="0558110428-1"/>
    <s v="HRC"/>
    <n v="2.7"/>
    <n v="1250"/>
    <n v="3000"/>
    <n v="61.76"/>
    <n v="40.741"/>
    <s v="CRAP"/>
    <d v="2001-09-25T00:00:00"/>
    <d v="2002-02-27T00:00:00"/>
    <d v="2002-04-14T00:00:00"/>
    <d v="2002-04-14T00:00:00"/>
    <d v="2002-04-14T00:00:00"/>
    <d v="2002-04-14T00:00:00"/>
    <s v="OTIF FAIL"/>
    <n v="1"/>
    <s v="1210_FG_CRC"/>
    <x v="15"/>
    <n v="0"/>
    <m/>
  </r>
  <r>
    <s v="0558110428-2"/>
    <s v="CST"/>
    <n v="2.7"/>
    <n v="1250"/>
    <n v="3000"/>
    <n v="38.08"/>
    <n v="38.08"/>
    <s v="CRAP"/>
    <d v="2001-09-25T00:00:00"/>
    <d v="2002-02-27T00:00:00"/>
    <d v="2002-04-14T00:00:00"/>
    <d v="2002-04-14T00:00:00"/>
    <d v="2002-04-14T00:00:00"/>
    <d v="2002-04-14T00:00:00"/>
    <s v="OTIF FAIL"/>
    <n v="2"/>
    <s v="1210_FG_CRC"/>
    <x v="15"/>
    <n v="1"/>
    <m/>
  </r>
  <r>
    <s v="0558114406-9"/>
    <s v="CRC"/>
    <n v="2.7"/>
    <n v="1250"/>
    <n v="3000"/>
    <n v="35.76"/>
    <n v="35.76"/>
    <s v="CRAP"/>
    <d v="2001-08-21T00:00:00"/>
    <d v="2002-02-27T00:00:00"/>
    <d v="2002-03-24T00:00:00"/>
    <d v="2002-03-24T00:00:00"/>
    <d v="2002-03-24T00:00:00"/>
    <d v="2002-04-14T00:00:00"/>
    <s v="OTIF FAIL"/>
    <n v="9"/>
    <s v="1210_FG_CRC"/>
    <x v="15"/>
    <n v="1"/>
    <m/>
  </r>
  <r>
    <s v="0558114406-7"/>
    <s v="CST"/>
    <n v="2.7"/>
    <n v="1250"/>
    <n v="3000"/>
    <n v="38.4"/>
    <n v="38.4"/>
    <s v="CRAP"/>
    <d v="2001-08-21T00:00:00"/>
    <d v="2002-02-27T00:00:00"/>
    <d v="2002-03-24T00:00:00"/>
    <d v="2002-03-24T00:00:00"/>
    <d v="2002-03-24T00:00:00"/>
    <d v="2002-04-14T00:00:00"/>
    <s v="OTIF FAIL"/>
    <n v="7"/>
    <s v="1210_FG_CRC"/>
    <x v="15"/>
    <n v="1"/>
    <m/>
  </r>
  <r>
    <s v="0558110242-1"/>
    <s v="CST"/>
    <n v="2.7"/>
    <n v="1250"/>
    <n v="3000"/>
    <n v="15.5"/>
    <n v="6.8129999999999997"/>
    <s v="CRAP"/>
    <d v="2001-09-25T00:00:00"/>
    <d v="2002-02-27T00:00:00"/>
    <d v="2002-04-19T00:00:00"/>
    <d v="2002-04-19T00:00:00"/>
    <d v="2002-04-19T00:00:00"/>
    <d v="2002-04-19T00:00:00"/>
    <s v="OTIF FAIL"/>
    <n v="1"/>
    <s v="1110_FG_CRC"/>
    <x v="15"/>
    <n v="0"/>
    <m/>
  </r>
  <r>
    <s v="0558110428-4"/>
    <s v="CST"/>
    <n v="2.7"/>
    <n v="1250"/>
    <n v="3000"/>
    <n v="38.08"/>
    <n v="38.08"/>
    <s v="CRAP"/>
    <d v="2001-09-25T00:00:00"/>
    <d v="2002-02-27T00:00:00"/>
    <d v="2002-03-19T00:00:00"/>
    <d v="2002-03-19T00:00:00"/>
    <d v="2002-03-19T00:00:00"/>
    <d v="2002-04-14T00:00:00"/>
    <s v="OTIF FAIL"/>
    <n v="4"/>
    <s v="1210_FG_CRC"/>
    <x v="15"/>
    <n v="1"/>
    <m/>
  </r>
  <r>
    <s v="0558107558-7"/>
    <s v="CST"/>
    <n v="3"/>
    <n v="1250"/>
    <n v="2500"/>
    <n v="9"/>
    <n v="9"/>
    <s v="CRAP"/>
    <d v="2001-08-19T00:00:00"/>
    <d v="2002-02-25T00:00:00"/>
    <d v="2002-03-13T00:00:00"/>
    <d v="2002-03-13T00:00:00"/>
    <d v="2002-03-11T00:00:00"/>
    <d v="2002-03-15T00:00:00"/>
    <s v="OTIF FAIL"/>
    <n v="7"/>
    <s v="1210_FG_CRC"/>
    <x v="3"/>
    <n v="1"/>
    <m/>
  </r>
  <r>
    <s v="0558114406-5"/>
    <s v="HRC"/>
    <n v="2.7"/>
    <n v="1250"/>
    <n v="3000"/>
    <n v="38.4"/>
    <n v="38.4"/>
    <s v="CRAP"/>
    <d v="2001-08-21T00:00:00"/>
    <d v="2002-02-27T00:00:00"/>
    <d v="2002-03-11T00:00:00"/>
    <d v="2002-03-11T00:00:00"/>
    <d v="2002-03-12T00:00:00"/>
    <d v="2002-04-14T00:00:00"/>
    <s v="OTIF FAIL"/>
    <n v="5"/>
    <s v="1210_FG_CRC"/>
    <x v="15"/>
    <n v="1"/>
    <m/>
  </r>
  <r>
    <s v="0558114406-2"/>
    <s v="CST"/>
    <n v="2.7"/>
    <n v="1250"/>
    <n v="3000"/>
    <n v="38.4"/>
    <n v="38.4"/>
    <s v="CRAP"/>
    <d v="2001-08-21T00:00:00"/>
    <d v="2002-02-27T00:00:00"/>
    <d v="2002-04-14T00:00:00"/>
    <d v="2002-04-14T00:00:00"/>
    <d v="2002-04-14T00:00:00"/>
    <d v="2002-04-14T00:00:00"/>
    <s v="OTIF FAIL"/>
    <n v="2"/>
    <s v="1210_FG_CRC"/>
    <x v="15"/>
    <n v="1"/>
    <m/>
  </r>
  <r>
    <s v="0558114406-6"/>
    <s v="CST"/>
    <n v="2.7"/>
    <n v="1250"/>
    <n v="3000"/>
    <n v="38.4"/>
    <n v="38.4"/>
    <s v="CRAP"/>
    <d v="2001-08-21T00:00:00"/>
    <d v="2002-02-27T00:00:00"/>
    <s v="-"/>
    <s v="-"/>
    <d v="2002-03-24T00:00:00"/>
    <d v="2002-04-14T00:00:00"/>
    <s v="OTIF FAIL"/>
    <n v="6"/>
    <s v="1210_FG_CRC"/>
    <x v="15"/>
    <n v="1"/>
    <m/>
  </r>
  <r>
    <s v="0558114406-1"/>
    <s v="CRC"/>
    <n v="2.7"/>
    <n v="1250"/>
    <n v="3000"/>
    <n v="38.4"/>
    <n v="38.4"/>
    <s v="CRAP"/>
    <d v="2001-08-21T00:00:00"/>
    <d v="2002-02-27T00:00:00"/>
    <d v="2002-04-14T00:00:00"/>
    <d v="2002-04-14T00:00:00"/>
    <d v="2002-04-14T00:00:00"/>
    <d v="2002-04-14T00:00:00"/>
    <s v="OTIF FAIL"/>
    <n v="1"/>
    <s v="1210_FG_CRC"/>
    <x v="15"/>
    <n v="1"/>
    <m/>
  </r>
  <r>
    <s v="0558112837-4"/>
    <s v="CRC"/>
    <n v="3"/>
    <n v="1250"/>
    <n v="2500"/>
    <n v="6"/>
    <n v="6"/>
    <s v="CRAP"/>
    <d v="2001-09-25T00:00:00"/>
    <d v="2002-03-05T00:00:00"/>
    <d v="2002-04-08T00:00:00"/>
    <d v="2002-04-08T00:00:00"/>
    <d v="2002-03-30T00:00:00"/>
    <d v="2002-03-30T00:00:00"/>
    <s v="OTIF FAIL"/>
    <n v="4"/>
    <s v="1210_FG_CRC"/>
    <x v="9"/>
    <n v="1"/>
    <m/>
  </r>
  <r>
    <s v="0558111411-1"/>
    <s v="CST"/>
    <n v="3"/>
    <n v="1250"/>
    <n v="3000"/>
    <n v="7"/>
    <n v="7"/>
    <s v="CRAP"/>
    <d v="2001-08-06T00:00:00"/>
    <d v="2002-02-27T00:00:00"/>
    <d v="2002-04-15T00:00:00"/>
    <d v="2002-04-15T00:00:00"/>
    <d v="2001-11-16T00:00:00"/>
    <d v="2001-11-16T00:00:00"/>
    <s v="OTIF FAIL"/>
    <n v="1"/>
    <s v="1210_FG_CRC"/>
    <x v="23"/>
    <n v="1"/>
    <m/>
  </r>
  <r>
    <s v="0558113102-1"/>
    <s v="CST"/>
    <n v="0.6"/>
    <n v="1250"/>
    <n v="2500"/>
    <n v="3"/>
    <n v="3"/>
    <s v="CRAP"/>
    <d v="2001-08-05T00:00:00"/>
    <d v="2002-03-05T00:00:00"/>
    <s v="-"/>
    <s v="-"/>
    <d v="2002-04-06T00:00:00"/>
    <d v="2002-04-06T00:00:00"/>
    <s v="OTIF FAIL"/>
    <n v="1"/>
    <s v="1210_FG_CRC"/>
    <x v="6"/>
    <n v="1"/>
    <m/>
  </r>
  <r>
    <s v="0558111291-3"/>
    <s v="CST"/>
    <n v="3"/>
    <n v="1250"/>
    <n v="2500"/>
    <n v="9"/>
    <n v="3.9620000000000002"/>
    <s v="CRAP"/>
    <d v="2001-09-25T00:00:00"/>
    <d v="2002-03-10T00:00:00"/>
    <s v="-"/>
    <s v="-"/>
    <d v="2002-03-30T00:00:00"/>
    <d v="2002-03-30T00:00:00"/>
    <s v="OTIF FAIL"/>
    <n v="3"/>
    <s v="1210_FG_CRC"/>
    <x v="9"/>
    <n v="0"/>
    <m/>
  </r>
  <r>
    <s v="0558113676-3"/>
    <s v="HRC"/>
    <n v="0.6"/>
    <n v="1250"/>
    <n v="2500"/>
    <n v="3"/>
    <n v="3"/>
    <s v="CRAP"/>
    <d v="2001-08-07T00:00:00"/>
    <d v="2002-03-06T00:00:00"/>
    <d v="2002-04-06T00:00:00"/>
    <d v="2002-04-06T00:00:00"/>
    <d v="2002-04-05T00:00:00"/>
    <d v="2002-04-06T00:00:00"/>
    <s v="OTIF FAIL"/>
    <n v="3"/>
    <s v="1210_FG_CRC"/>
    <x v="6"/>
    <n v="1"/>
    <m/>
  </r>
  <r>
    <s v="0558109207-3"/>
    <s v="CST"/>
    <n v="2"/>
    <n v="1250"/>
    <n v="2500"/>
    <n v="9"/>
    <n v="9"/>
    <s v="CRAP"/>
    <d v="2001-08-19T00:00:00"/>
    <d v="2002-02-25T00:00:00"/>
    <d v="2002-03-30T00:00:00"/>
    <d v="2002-03-30T00:00:00"/>
    <d v="2002-03-29T00:00:00"/>
    <d v="2002-03-29T00:00:00"/>
    <s v="OTIF FAIL"/>
    <n v="3"/>
    <s v="1210_FG_CRC"/>
    <x v="9"/>
    <n v="1"/>
    <m/>
  </r>
  <r>
    <s v="0558110682-1"/>
    <s v="CST"/>
    <n v="0.6"/>
    <n v="1250"/>
    <n v="2500"/>
    <n v="3"/>
    <n v="3"/>
    <s v="CRAP"/>
    <d v="2001-09-25T00:00:00"/>
    <d v="2002-03-04T00:00:00"/>
    <d v="2002-04-06T00:00:00"/>
    <d v="2002-04-06T00:00:00"/>
    <d v="2002-04-05T00:00:00"/>
    <d v="2002-04-05T00:00:00"/>
    <s v="OTIF FAIL"/>
    <n v="1"/>
    <s v="1210_FG_CRC"/>
    <x v="6"/>
    <n v="1"/>
    <m/>
  </r>
  <r>
    <s v="0569022440-2"/>
    <s v="CST"/>
    <n v="1.5"/>
    <n v="1250"/>
    <n v="2300"/>
    <n v="18"/>
    <n v="18"/>
    <s v="CRAP"/>
    <d v="2001-09-25T00:00:00"/>
    <d v="2002-02-25T00:00:00"/>
    <d v="2002-03-11T00:00:00"/>
    <d v="2002-03-11T00:00:00"/>
    <d v="2002-03-18T00:00:00"/>
    <d v="2002-03-18T00:00:00"/>
    <s v="OTIF FAIL"/>
    <n v="2"/>
    <s v="1210_FG_CRC"/>
    <x v="0"/>
    <n v="1"/>
    <m/>
  </r>
  <r>
    <s v="0558110627-7"/>
    <s v="NFA"/>
    <n v="0.5"/>
    <n v="1250"/>
    <n v="2500"/>
    <n v="3"/>
    <n v="3"/>
    <s v="CRAP"/>
    <d v="2001-09-25T00:00:00"/>
    <d v="2002-03-10T00:00:00"/>
    <d v="2002-04-06T00:00:00"/>
    <d v="2002-04-06T00:00:00"/>
    <d v="2002-04-05T00:00:00"/>
    <d v="2002-04-05T00:00:00"/>
    <s v="OTIF FAIL"/>
    <n v="7"/>
    <s v="1210_FG_CRC"/>
    <x v="6"/>
    <n v="1"/>
    <m/>
  </r>
  <r>
    <s v="0558111416-3"/>
    <s v="CST"/>
    <n v="3"/>
    <n v="1250"/>
    <n v="2500"/>
    <n v="3"/>
    <n v="3"/>
    <s v="CRAP"/>
    <d v="2001-09-25T00:00:00"/>
    <d v="2002-03-04T00:00:00"/>
    <d v="2002-03-29T00:00:00"/>
    <d v="2002-03-29T00:00:00"/>
    <d v="2002-03-29T00:00:00"/>
    <d v="2002-03-29T00:00:00"/>
    <s v="OTIF FAIL"/>
    <n v="3"/>
    <s v="1210_FG_CRC"/>
    <x v="9"/>
    <n v="1"/>
    <m/>
  </r>
  <r>
    <s v="0558111228-1"/>
    <s v="CRC"/>
    <n v="3"/>
    <n v="1250"/>
    <n v="2500"/>
    <n v="3"/>
    <n v="3"/>
    <s v="CRAP"/>
    <d v="2001-08-28T00:00:00"/>
    <d v="2002-02-25T00:00:00"/>
    <s v="-"/>
    <s v="-"/>
    <d v="2002-03-22T00:00:00"/>
    <d v="2002-03-22T00:00:00"/>
    <s v="OTIF FAIL"/>
    <n v="1"/>
    <s v="1210_FG_CRC"/>
    <x v="0"/>
    <n v="1"/>
    <m/>
  </r>
  <r>
    <s v="0558108634-3"/>
    <s v="CRC"/>
    <n v="2"/>
    <n v="1250"/>
    <n v="2500"/>
    <n v="6"/>
    <n v="6"/>
    <s v="CRAP"/>
    <d v="2001-08-19T00:00:00"/>
    <d v="2002-02-25T00:00:00"/>
    <d v="2002-03-30T00:00:00"/>
    <d v="2002-03-30T00:00:00"/>
    <d v="2002-03-29T00:00:00"/>
    <d v="2002-03-29T00:00:00"/>
    <s v="OTIF FAIL"/>
    <n v="3"/>
    <s v="1210_FG_CRC"/>
    <x v="9"/>
    <n v="1"/>
    <m/>
  </r>
  <r>
    <s v="0558111053-7"/>
    <s v="HPC"/>
    <n v="2.5"/>
    <n v="1250"/>
    <n v="2500"/>
    <n v="3"/>
    <n v="3"/>
    <s v="CRAP"/>
    <d v="2001-09-25T00:00:00"/>
    <d v="2002-03-04T00:00:00"/>
    <d v="2002-03-15T00:00:00"/>
    <d v="2002-03-15T00:00:00"/>
    <d v="2002-03-15T00:00:00"/>
    <d v="2002-03-15T00:00:00"/>
    <s v="OTIF FAIL"/>
    <n v="7"/>
    <s v="1210_FG_CRC"/>
    <x v="3"/>
    <n v="1"/>
    <m/>
  </r>
  <r>
    <s v="0558114921-4"/>
    <s v="HRC"/>
    <n v="0.7"/>
    <n v="1250"/>
    <n v="2500"/>
    <n v="3"/>
    <n v="3"/>
    <s v="CRAP"/>
    <d v="2001-09-25T00:00:00"/>
    <d v="2002-03-08T00:00:00"/>
    <d v="2002-04-26T00:00:00"/>
    <d v="2002-04-26T00:00:00"/>
    <d v="2002-04-19T00:00:00"/>
    <d v="2002-04-19T00:00:00"/>
    <s v="OTIF FAIL"/>
    <n v="4"/>
    <s v="1210_FG_CRC"/>
    <x v="15"/>
    <n v="1"/>
    <m/>
  </r>
  <r>
    <s v="0558111358-4"/>
    <s v="CRC"/>
    <n v="1.6"/>
    <n v="1250"/>
    <n v="2500"/>
    <n v="20"/>
    <n v="20"/>
    <s v="CRAP"/>
    <d v="2001-09-25T00:00:00"/>
    <d v="2002-03-10T00:00:00"/>
    <d v="2002-03-12T00:00:00"/>
    <d v="2002-03-12T00:00:00"/>
    <d v="2002-03-16T00:00:00"/>
    <d v="2002-03-16T00:00:00"/>
    <s v="OTIF FAIL"/>
    <n v="4"/>
    <s v="1210_FG_CRC"/>
    <x v="3"/>
    <n v="1"/>
    <m/>
  </r>
  <r>
    <s v="0558113277-3"/>
    <s v="CRC"/>
    <n v="0.7"/>
    <n v="1250"/>
    <n v="2500"/>
    <n v="3"/>
    <n v="3"/>
    <s v="CRAP"/>
    <d v="2001-09-25T00:00:00"/>
    <d v="2002-03-05T00:00:00"/>
    <d v="2002-04-26T00:00:00"/>
    <d v="2002-04-26T00:00:00"/>
    <d v="2002-04-19T00:00:00"/>
    <d v="2002-04-19T00:00:00"/>
    <s v="OTIF FAIL"/>
    <n v="3"/>
    <s v="1210_FG_CRC"/>
    <x v="15"/>
    <n v="1"/>
    <m/>
  </r>
  <r>
    <s v="0558114563-7"/>
    <s v="HPC"/>
    <n v="2.5"/>
    <n v="1250"/>
    <n v="2500"/>
    <n v="3"/>
    <n v="3"/>
    <s v="CRAP"/>
    <d v="2001-09-25T00:00:00"/>
    <d v="2002-03-07T00:00:00"/>
    <s v="-"/>
    <s v="-"/>
    <d v="2002-03-20T00:00:00"/>
    <d v="2002-03-20T00:00:00"/>
    <s v="OTIF FAIL"/>
    <n v="7"/>
    <s v="1210_FG_CRC"/>
    <x v="0"/>
    <n v="1"/>
    <m/>
  </r>
  <r>
    <s v="0558114211-1"/>
    <s v="CRC"/>
    <n v="0.5"/>
    <n v="1250"/>
    <n v="2750"/>
    <n v="20"/>
    <n v="20"/>
    <s v="CRAP"/>
    <d v="2001-08-25T00:00:00"/>
    <d v="2002-02-28T00:00:00"/>
    <d v="2002-03-15T00:00:00"/>
    <d v="2002-03-15T00:00:00"/>
    <d v="2002-03-19T00:00:00"/>
    <d v="2002-03-20T00:00:00"/>
    <s v="OTIF FAIL"/>
    <n v="1"/>
    <s v="1210_FG_CRC"/>
    <x v="0"/>
    <n v="1"/>
    <m/>
  </r>
  <r>
    <s v="0558115285-3"/>
    <s v="CST"/>
    <n v="0.5"/>
    <n v="1250"/>
    <n v="2500"/>
    <n v="3"/>
    <n v="3"/>
    <s v="CRAP"/>
    <d v="2001-08-29T00:00:00"/>
    <d v="2002-02-21T00:00:00"/>
    <d v="2002-04-06T00:00:00"/>
    <d v="2002-04-06T00:00:00"/>
    <d v="2002-04-05T00:00:00"/>
    <d v="2002-04-05T00:00:00"/>
    <s v="OTIF FAIL"/>
    <n v="3"/>
    <s v="1210_FG_CRC"/>
    <x v="6"/>
    <n v="1"/>
    <m/>
  </r>
  <r>
    <s v="0558114211-2"/>
    <s v="CST"/>
    <n v="1"/>
    <n v="1250"/>
    <n v="2500"/>
    <n v="3"/>
    <n v="3"/>
    <s v="CRAP"/>
    <d v="2001-08-16T00:00:00"/>
    <d v="2002-03-07T00:00:00"/>
    <d v="2002-04-21T00:00:00"/>
    <d v="2002-04-21T00:00:00"/>
    <d v="2002-04-21T00:00:00"/>
    <d v="2002-04-21T00:00:00"/>
    <s v="OTIF FAIL"/>
    <n v="2"/>
    <s v="1210_FG_CRC"/>
    <x v="2"/>
    <n v="1"/>
    <m/>
  </r>
  <r>
    <s v="0558114326-3"/>
    <s v="HRC"/>
    <n v="0.5"/>
    <n v="1250"/>
    <n v="2500"/>
    <n v="3"/>
    <n v="3"/>
    <s v="CRAP"/>
    <d v="2001-08-21T00:00:00"/>
    <d v="2002-03-07T00:00:00"/>
    <d v="2002-04-06T00:00:00"/>
    <d v="2002-04-06T00:00:00"/>
    <d v="2002-04-05T00:00:00"/>
    <d v="2002-04-05T00:00:00"/>
    <s v="OTIF FAIL"/>
    <n v="3"/>
    <s v="1210_FG_CRC"/>
    <x v="6"/>
    <n v="1"/>
    <m/>
  </r>
  <r>
    <s v="0558114406-4"/>
    <s v="HRC"/>
    <n v="2.7"/>
    <n v="1250"/>
    <n v="3000"/>
    <n v="38.4"/>
    <n v="16.297999999999998"/>
    <s v="CRAP"/>
    <d v="2001-08-21T00:00:00"/>
    <d v="2002-02-27T00:00:00"/>
    <s v="-"/>
    <s v="-"/>
    <d v="2002-03-21T00:00:00"/>
    <d v="2002-04-14T00:00:00"/>
    <s v="OTIF FAIL"/>
    <n v="4"/>
    <s v="1210_FG_CRC"/>
    <x v="15"/>
    <n v="0"/>
    <m/>
  </r>
  <r>
    <s v="0558116167-3"/>
    <s v="CST"/>
    <n v="0.8"/>
    <n v="1000"/>
    <n v="2500"/>
    <n v="3"/>
    <n v="3"/>
    <s v="CRAP"/>
    <d v="2001-09-25T00:00:00"/>
    <d v="2002-03-08T00:00:00"/>
    <s v="-"/>
    <s v="-"/>
    <d v="2002-03-20T00:00:00"/>
    <d v="2002-03-20T00:00:00"/>
    <s v="OTIF FAIL"/>
    <n v="3"/>
    <s v="1210_FG_CRC"/>
    <x v="0"/>
    <n v="1"/>
    <m/>
  </r>
  <r>
    <s v="0558115796-11"/>
    <s v="CST"/>
    <n v="2"/>
    <n v="1250"/>
    <n v="2500"/>
    <n v="3"/>
    <n v="3"/>
    <s v="CRAP"/>
    <d v="2001-09-25T00:00:00"/>
    <d v="2002-03-08T00:00:00"/>
    <d v="2002-03-29T00:00:00"/>
    <d v="2002-03-29T00:00:00"/>
    <d v="2002-03-29T00:00:00"/>
    <d v="2002-03-29T00:00:00"/>
    <s v="OTIF FAIL"/>
    <n v="11"/>
    <s v="1210_FG_CRC"/>
    <x v="9"/>
    <n v="1"/>
    <m/>
  </r>
  <r>
    <s v="0558115796-8"/>
    <s v="CST"/>
    <n v="1"/>
    <n v="1250"/>
    <n v="2500"/>
    <n v="6"/>
    <n v="6"/>
    <s v="CRAP"/>
    <d v="2001-09-25T00:00:00"/>
    <d v="2002-03-08T00:00:00"/>
    <d v="2002-03-29T00:00:00"/>
    <d v="2002-03-29T00:00:00"/>
    <d v="2002-03-29T00:00:00"/>
    <d v="2002-03-29T00:00:00"/>
    <s v="OTIF FAIL"/>
    <n v="8"/>
    <s v="1210_FG_CRC"/>
    <x v="9"/>
    <n v="1"/>
    <m/>
  </r>
  <r>
    <s v="0558116587-2"/>
    <s v="HRC"/>
    <n v="0.8"/>
    <n v="1250"/>
    <n v="2500"/>
    <n v="6"/>
    <n v="3"/>
    <s v="CRAP"/>
    <d v="2002-03-10T00:00:00"/>
    <d v="2002-04-08T00:00:00"/>
    <d v="2002-04-08T00:00:00"/>
    <d v="2002-04-08T00:00:00"/>
    <d v="2002-04-08T00:00:00"/>
    <d v="2002-04-08T00:00:00"/>
    <s v="OTIF PASS"/>
    <n v="2"/>
    <s v="1210_FG_CRC"/>
    <x v="7"/>
    <n v="0"/>
    <m/>
  </r>
  <r>
    <s v="0558114470-1"/>
    <s v="HRC"/>
    <n v="0.7"/>
    <n v="1250"/>
    <n v="2500"/>
    <n v="3"/>
    <n v="3"/>
    <s v="CRAP"/>
    <d v="2001-08-21T00:00:00"/>
    <d v="2002-03-07T00:00:00"/>
    <d v="2002-04-26T00:00:00"/>
    <d v="2002-04-26T00:00:00"/>
    <d v="2002-04-19T00:00:00"/>
    <d v="2002-04-19T00:00:00"/>
    <s v="OTIF FAIL"/>
    <n v="1"/>
    <s v="1210_FG_CRC"/>
    <x v="15"/>
    <n v="1"/>
    <m/>
  </r>
  <r>
    <s v="0558110819-1"/>
    <s v="HRC"/>
    <n v="2"/>
    <n v="1250"/>
    <n v="2500"/>
    <n v="3"/>
    <n v="3"/>
    <s v="CRAP"/>
    <d v="2001-09-25T00:00:00"/>
    <d v="2002-03-10T00:00:00"/>
    <d v="2002-03-29T00:00:00"/>
    <d v="2002-03-29T00:00:00"/>
    <d v="2002-03-29T00:00:00"/>
    <d v="2002-03-29T00:00:00"/>
    <s v="OTIF FAIL"/>
    <n v="1"/>
    <s v="1210_FG_CRC"/>
    <x v="9"/>
    <n v="1"/>
    <m/>
  </r>
  <r>
    <s v="0558113306-1"/>
    <s v="CST"/>
    <n v="0.5"/>
    <n v="1250"/>
    <n v="2500"/>
    <n v="6"/>
    <n v="6"/>
    <s v="CRAP"/>
    <d v="2001-08-05T00:00:00"/>
    <d v="2002-03-05T00:00:00"/>
    <d v="2002-04-06T00:00:00"/>
    <d v="2002-04-06T00:00:00"/>
    <d v="2002-04-05T00:00:00"/>
    <d v="2002-04-05T00:00:00"/>
    <s v="OTIF FAIL"/>
    <n v="1"/>
    <s v="1210_FG_CRC"/>
    <x v="6"/>
    <n v="1"/>
    <m/>
  </r>
  <r>
    <s v="0558114210-1"/>
    <s v="CST"/>
    <n v="0.5"/>
    <n v="1250"/>
    <n v="2500"/>
    <n v="3"/>
    <n v="3"/>
    <s v="CRAP"/>
    <d v="2001-08-16T00:00:00"/>
    <d v="2002-03-07T00:00:00"/>
    <d v="2002-04-06T00:00:00"/>
    <d v="2002-04-06T00:00:00"/>
    <d v="2002-04-05T00:00:00"/>
    <d v="2002-04-05T00:00:00"/>
    <s v="OTIF FAIL"/>
    <n v="1"/>
    <s v="1210_FG_CRC"/>
    <x v="6"/>
    <n v="1"/>
    <m/>
  </r>
  <r>
    <s v="0558113315-2"/>
    <s v="CRC"/>
    <n v="0.7"/>
    <n v="1250"/>
    <n v="2500"/>
    <n v="5"/>
    <n v="5"/>
    <s v="CRAP"/>
    <d v="2001-09-25T00:00:00"/>
    <d v="2002-03-05T00:00:00"/>
    <d v="2002-04-13T00:00:00"/>
    <d v="2002-04-13T00:00:00"/>
    <d v="2002-04-05T00:00:00"/>
    <d v="2002-04-05T00:00:00"/>
    <s v="OTIF FAIL"/>
    <n v="2"/>
    <s v="1210_FG_CRC"/>
    <x v="6"/>
    <n v="1"/>
    <m/>
  </r>
  <r>
    <s v="0558113315-1"/>
    <s v="HPC"/>
    <n v="0.6"/>
    <n v="1250"/>
    <n v="2500"/>
    <n v="5"/>
    <n v="5"/>
    <s v="CRAP"/>
    <d v="2001-09-25T00:00:00"/>
    <d v="2002-03-10T00:00:00"/>
    <d v="2002-04-06T00:00:00"/>
    <d v="2002-04-06T00:00:00"/>
    <d v="2002-04-05T00:00:00"/>
    <d v="2002-04-05T00:00:00"/>
    <s v="OTIF FAIL"/>
    <n v="1"/>
    <s v="1210_FG_CRC"/>
    <x v="6"/>
    <n v="1"/>
    <m/>
  </r>
  <r>
    <s v="0558110055-1"/>
    <s v="HRC"/>
    <n v="0.5"/>
    <n v="1250"/>
    <n v="2750"/>
    <n v="15"/>
    <n v="15"/>
    <s v="CRAP"/>
    <d v="2001-09-25T00:00:00"/>
    <d v="2002-02-25T00:00:00"/>
    <d v="2002-03-12T00:00:00"/>
    <d v="2002-03-12T00:00:00"/>
    <d v="2002-03-16T00:00:00"/>
    <d v="2002-03-20T00:00:00"/>
    <s v="OTIF FAIL"/>
    <n v="1"/>
    <s v="1210_FG_CRC"/>
    <x v="0"/>
    <n v="1"/>
    <m/>
  </r>
  <r>
    <s v="0558110344-1"/>
    <s v="CRC"/>
    <n v="0.5"/>
    <n v="1250"/>
    <n v="2500"/>
    <n v="3"/>
    <n v="3"/>
    <s v="CRAP"/>
    <d v="2001-09-25T00:00:00"/>
    <d v="2002-03-04T00:00:00"/>
    <d v="2002-04-06T00:00:00"/>
    <d v="2002-04-06T00:00:00"/>
    <d v="2002-04-05T00:00:00"/>
    <d v="2002-04-05T00:00:00"/>
    <s v="OTIF FAIL"/>
    <n v="1"/>
    <s v="1210_FG_CRC"/>
    <x v="6"/>
    <n v="1"/>
    <m/>
  </r>
  <r>
    <s v="0558114480-2"/>
    <s v="CST"/>
    <n v="1.5"/>
    <n v="1250"/>
    <n v="2500"/>
    <n v="3"/>
    <n v="3"/>
    <s v="CRAP"/>
    <d v="2001-09-25T00:00:00"/>
    <d v="2002-03-07T00:00:00"/>
    <d v="2002-03-21T00:00:00"/>
    <d v="2002-03-21T00:00:00"/>
    <d v="2002-03-21T00:00:00"/>
    <d v="2002-03-21T00:00:00"/>
    <s v="OTIF FAIL"/>
    <n v="2"/>
    <s v="1210_FG_CRC"/>
    <x v="0"/>
    <n v="1"/>
    <m/>
  </r>
  <r>
    <s v="0558113344-1"/>
    <s v="HRC"/>
    <n v="0.6"/>
    <n v="1250"/>
    <n v="2500"/>
    <n v="3"/>
    <n v="3"/>
    <s v="CRAP"/>
    <d v="2001-08-05T00:00:00"/>
    <d v="2002-03-06T00:00:00"/>
    <d v="2002-04-06T00:00:00"/>
    <d v="2002-04-06T00:00:00"/>
    <d v="2002-04-05T00:00:00"/>
    <d v="2002-04-06T00:00:00"/>
    <s v="OTIF FAIL"/>
    <n v="1"/>
    <s v="1210_FG_CRC"/>
    <x v="6"/>
    <n v="1"/>
    <m/>
  </r>
  <r>
    <s v="0569022899-1"/>
    <s v="HPC"/>
    <n v="0.4"/>
    <n v="363"/>
    <n v="1366"/>
    <n v="25"/>
    <n v="25"/>
    <s v="CRAP"/>
    <d v="2001-08-07T00:00:00"/>
    <d v="2002-03-03T00:00:00"/>
    <d v="2002-03-13T00:00:00"/>
    <d v="2002-03-13T00:00:00"/>
    <d v="2002-03-11T00:00:00"/>
    <d v="2002-03-11T00:00:00"/>
    <s v="OTIF FAIL"/>
    <n v="1"/>
    <s v="1210_FG_CRC"/>
    <x v="3"/>
    <n v="1"/>
    <m/>
  </r>
  <r>
    <s v="0558111090-1"/>
    <s v="CRC"/>
    <n v="0.8"/>
    <n v="1250"/>
    <n v="2500"/>
    <n v="3"/>
    <n v="3"/>
    <s v="CRAP"/>
    <d v="2001-09-25T00:00:00"/>
    <d v="2002-03-10T00:00:00"/>
    <d v="2002-04-06T00:00:00"/>
    <d v="2002-04-06T00:00:00"/>
    <d v="2002-04-11T00:00:00"/>
    <d v="2002-04-11T00:00:00"/>
    <s v="OTIF FAIL"/>
    <n v="1"/>
    <s v="1210_FG_CRC"/>
    <x v="7"/>
    <n v="1"/>
    <m/>
  </r>
  <r>
    <s v="0558114807-2"/>
    <s v="PSS"/>
    <n v="1"/>
    <n v="1250"/>
    <n v="2500"/>
    <n v="3"/>
    <n v="3"/>
    <s v="CRAP"/>
    <d v="2001-08-25T00:00:00"/>
    <d v="2002-02-26T00:00:00"/>
    <d v="2002-04-15T00:00:00"/>
    <d v="2002-04-15T00:00:00"/>
    <d v="2002-04-08T00:00:00"/>
    <d v="2002-04-29T00:00:00"/>
    <s v="OTIF FAIL"/>
    <n v="2"/>
    <s v="1210_FG_CRC"/>
    <x v="16"/>
    <n v="1"/>
    <m/>
  </r>
  <r>
    <s v="0558114068-2"/>
    <s v="HRC"/>
    <n v="0.5"/>
    <n v="1250"/>
    <n v="2500"/>
    <n v="3"/>
    <n v="3"/>
    <s v="CRAP"/>
    <d v="2001-08-16T00:00:00"/>
    <d v="2002-03-07T00:00:00"/>
    <d v="2002-04-06T00:00:00"/>
    <d v="2002-04-06T00:00:00"/>
    <d v="2002-04-05T00:00:00"/>
    <d v="2002-04-05T00:00:00"/>
    <s v="OTIF FAIL"/>
    <n v="2"/>
    <s v="1210_FG_CRC"/>
    <x v="6"/>
    <n v="1"/>
    <m/>
  </r>
  <r>
    <s v="0558110917-1"/>
    <s v="CST"/>
    <n v="0.5"/>
    <n v="1000"/>
    <n v="1013"/>
    <n v="20"/>
    <n v="20"/>
    <s v="CRAP"/>
    <d v="2001-08-02T00:00:00"/>
    <d v="2002-02-27T00:00:00"/>
    <d v="2002-03-12T00:00:00"/>
    <d v="2002-03-12T00:00:00"/>
    <d v="2002-03-14T00:00:00"/>
    <d v="2002-03-14T00:00:00"/>
    <s v="OTIF FAIL"/>
    <n v="1"/>
    <s v="1210_FG_CRC"/>
    <x v="3"/>
    <n v="1"/>
    <m/>
  </r>
  <r>
    <s v="0558115783-1"/>
    <s v="CST"/>
    <n v="1"/>
    <n v="1000"/>
    <n v="2500"/>
    <n v="3"/>
    <n v="3"/>
    <s v="CRAP"/>
    <d v="2001-08-30T00:00:00"/>
    <d v="2002-03-08T00:00:00"/>
    <d v="2002-03-31T00:00:00"/>
    <d v="2002-03-31T00:00:00"/>
    <d v="2002-03-31T00:00:00"/>
    <d v="2002-03-31T00:00:00"/>
    <s v="OTIF FAIL"/>
    <n v="1"/>
    <s v="1210_FG_CRC"/>
    <x v="6"/>
    <n v="1"/>
    <m/>
  </r>
  <r>
    <s v="0558110991-7"/>
    <s v="CRC"/>
    <n v="2.5"/>
    <n v="1250"/>
    <n v="2500"/>
    <n v="3"/>
    <n v="3"/>
    <s v="CRAP"/>
    <d v="2001-09-25T00:00:00"/>
    <d v="2002-03-04T00:00:00"/>
    <d v="2002-03-19T00:00:00"/>
    <d v="2002-03-19T00:00:00"/>
    <d v="2002-03-19T00:00:00"/>
    <d v="2002-03-20T00:00:00"/>
    <s v="OTIF FAIL"/>
    <n v="7"/>
    <s v="1210_FG_CRC"/>
    <x v="0"/>
    <n v="1"/>
    <m/>
  </r>
  <r>
    <s v="0558111358-2"/>
    <s v="HRC"/>
    <n v="1.6"/>
    <n v="1250"/>
    <n v="2100"/>
    <n v="15"/>
    <n v="15"/>
    <s v="CRAP"/>
    <d v="2001-09-25T00:00:00"/>
    <d v="2002-03-21T00:00:00"/>
    <d v="2002-03-23T00:00:00"/>
    <d v="2002-03-23T00:00:00"/>
    <d v="2002-03-23T00:00:00"/>
    <d v="2002-03-23T00:00:00"/>
    <s v="OTIF FAIL"/>
    <n v="2"/>
    <s v="1210_FG_CRC"/>
    <x v="0"/>
    <n v="1"/>
    <m/>
  </r>
  <r>
    <s v="0558110086-1"/>
    <s v="HRC"/>
    <n v="1.2"/>
    <n v="1250"/>
    <n v="2500"/>
    <n v="6"/>
    <n v="3.226"/>
    <s v="CRAP"/>
    <d v="2001-08-07T00:00:00"/>
    <d v="2002-03-04T00:00:00"/>
    <d v="2002-03-29T00:00:00"/>
    <d v="2002-03-29T00:00:00"/>
    <d v="2002-03-29T00:00:00"/>
    <d v="2002-03-29T00:00:00"/>
    <s v="OTIF FAIL"/>
    <n v="1"/>
    <s v="1210_FG_CRC"/>
    <x v="9"/>
    <n v="0"/>
    <m/>
  </r>
  <r>
    <s v="0558109601-1"/>
    <s v="CST"/>
    <n v="2"/>
    <n v="1250"/>
    <n v="2500"/>
    <n v="3"/>
    <n v="3"/>
    <s v="CRAP"/>
    <d v="2001-09-25T00:00:00"/>
    <d v="2002-02-25T00:00:00"/>
    <d v="2002-03-30T00:00:00"/>
    <d v="2002-03-30T00:00:00"/>
    <d v="2002-03-29T00:00:00"/>
    <d v="2002-03-29T00:00:00"/>
    <s v="OTIF FAIL"/>
    <n v="1"/>
    <s v="1210_FG_CRC"/>
    <x v="9"/>
    <n v="1"/>
    <m/>
  </r>
  <r>
    <s v="0558111085-1"/>
    <s v="HRC"/>
    <n v="0.5"/>
    <n v="1250"/>
    <n v="2500"/>
    <n v="6"/>
    <n v="6"/>
    <s v="CRAP"/>
    <d v="2001-09-25T00:00:00"/>
    <d v="2002-03-04T00:00:00"/>
    <d v="2002-04-06T00:00:00"/>
    <d v="2002-04-06T00:00:00"/>
    <d v="2002-04-05T00:00:00"/>
    <d v="2002-04-05T00:00:00"/>
    <s v="OTIF FAIL"/>
    <n v="1"/>
    <s v="1210_FG_CRC"/>
    <x v="6"/>
    <n v="1"/>
    <m/>
  </r>
  <r>
    <s v="0558112918-4"/>
    <s v="HPC"/>
    <n v="3"/>
    <n v="1250"/>
    <n v="2500"/>
    <n v="3"/>
    <n v="3"/>
    <s v="CRAP"/>
    <d v="2001-09-25T00:00:00"/>
    <d v="2002-03-05T00:00:00"/>
    <d v="2002-04-08T00:00:00"/>
    <d v="2002-04-08T00:00:00"/>
    <d v="2002-03-30T00:00:00"/>
    <d v="2002-03-30T00:00:00"/>
    <s v="OTIF FAIL"/>
    <n v="4"/>
    <s v="1210_FG_CRC"/>
    <x v="9"/>
    <n v="1"/>
    <m/>
  </r>
  <r>
    <s v="0558110917-2"/>
    <s v="JBS"/>
    <n v="0.5"/>
    <n v="1000"/>
    <n v="1495"/>
    <n v="20"/>
    <n v="20"/>
    <s v="CRAP"/>
    <d v="2001-08-02T00:00:00"/>
    <d v="2002-02-27T00:00:00"/>
    <d v="2002-03-10T00:00:00"/>
    <d v="2002-03-10T00:00:00"/>
    <d v="2002-03-13T00:00:00"/>
    <d v="2002-03-13T00:00:00"/>
    <s v="OTIF FAIL"/>
    <n v="2"/>
    <s v="1210_FG_CRC"/>
    <x v="3"/>
    <n v="1"/>
    <m/>
  </r>
  <r>
    <s v="0558114899-2"/>
    <s v="CRC"/>
    <n v="1"/>
    <n v="1250"/>
    <n v="2500"/>
    <n v="3"/>
    <n v="3"/>
    <s v="CRAP"/>
    <d v="2001-08-29T00:00:00"/>
    <d v="2002-03-08T00:00:00"/>
    <d v="2002-03-29T00:00:00"/>
    <d v="2002-03-29T00:00:00"/>
    <d v="2002-03-29T00:00:00"/>
    <d v="2002-03-29T00:00:00"/>
    <s v="OTIF FAIL"/>
    <n v="2"/>
    <s v="1210_FG_CRC"/>
    <x v="9"/>
    <n v="1"/>
    <m/>
  </r>
  <r>
    <s v="0569022712-1"/>
    <s v="CRC"/>
    <n v="0.9"/>
    <n v="1250"/>
    <n v="2300"/>
    <n v="18"/>
    <n v="18"/>
    <s v="CRAP"/>
    <d v="2001-09-25T00:00:00"/>
    <d v="2002-02-25T00:00:00"/>
    <d v="2002-03-11T00:00:00"/>
    <d v="2002-03-11T00:00:00"/>
    <d v="2002-03-16T00:00:00"/>
    <d v="2002-03-16T00:00:00"/>
    <s v="OTIF FAIL"/>
    <n v="1"/>
    <s v="1210_FG_CRC"/>
    <x v="3"/>
    <n v="1"/>
    <m/>
  </r>
  <r>
    <s v="0558111073-4"/>
    <s v="CST"/>
    <n v="0.5"/>
    <n v="1250"/>
    <n v="2500"/>
    <n v="3"/>
    <n v="3"/>
    <s v="CRAP"/>
    <d v="2001-09-25T00:00:00"/>
    <d v="2002-03-04T00:00:00"/>
    <d v="2002-04-06T00:00:00"/>
    <d v="2002-04-06T00:00:00"/>
    <d v="2002-04-05T00:00:00"/>
    <d v="2002-04-05T00:00:00"/>
    <s v="OTIF FAIL"/>
    <n v="4"/>
    <s v="1210_FG_CRC"/>
    <x v="6"/>
    <n v="1"/>
    <m/>
  </r>
  <r>
    <s v="0558113824-3"/>
    <s v="CRC"/>
    <n v="0.6"/>
    <n v="1250"/>
    <n v="2500"/>
    <n v="3"/>
    <n v="3"/>
    <s v="CRAP"/>
    <d v="2001-08-11T00:00:00"/>
    <d v="2002-03-06T00:00:00"/>
    <d v="2002-04-06T00:00:00"/>
    <d v="2002-04-06T00:00:00"/>
    <d v="2002-04-05T00:00:00"/>
    <d v="2002-04-06T00:00:00"/>
    <s v="OTIF FAIL"/>
    <n v="3"/>
    <s v="1210_FG_CRC"/>
    <x v="6"/>
    <n v="1"/>
    <m/>
  </r>
  <r>
    <s v="0558112400-1"/>
    <s v="CST"/>
    <n v="0.6"/>
    <n v="1250"/>
    <n v="2500"/>
    <n v="3"/>
    <n v="3"/>
    <s v="CRAP"/>
    <d v="2001-09-25T00:00:00"/>
    <d v="2002-03-05T00:00:00"/>
    <d v="2002-04-06T00:00:00"/>
    <d v="2002-04-06T00:00:00"/>
    <d v="2002-04-05T00:00:00"/>
    <d v="2002-04-06T00:00:00"/>
    <s v="OTIF FAIL"/>
    <n v="1"/>
    <s v="1210_FG_CRC"/>
    <x v="6"/>
    <n v="1"/>
    <m/>
  </r>
  <r>
    <s v="0558114159-1"/>
    <s v="CRC"/>
    <n v="0.6"/>
    <n v="1250"/>
    <n v="2500"/>
    <n v="6"/>
    <n v="6"/>
    <s v="CRAP"/>
    <d v="2001-08-16T00:00:00"/>
    <d v="2002-03-07T00:00:00"/>
    <d v="2002-04-06T00:00:00"/>
    <d v="2002-04-06T00:00:00"/>
    <d v="2002-04-05T00:00:00"/>
    <d v="2002-04-06T00:00:00"/>
    <s v="OTIF FAIL"/>
    <n v="1"/>
    <s v="1210_FG_CRC"/>
    <x v="6"/>
    <n v="1"/>
    <m/>
  </r>
  <r>
    <s v="0569022529-3"/>
    <s v="NFA"/>
    <n v="0.5"/>
    <n v="350"/>
    <n v="1614"/>
    <n v="40"/>
    <n v="40"/>
    <s v="CRAP"/>
    <d v="2001-09-25T00:00:00"/>
    <d v="2002-03-02T00:00:00"/>
    <d v="2002-04-12T00:00:00"/>
    <d v="2002-04-12T00:00:00"/>
    <d v="2002-04-05T00:00:00"/>
    <d v="2002-04-05T00:00:00"/>
    <s v="OTIF FAIL"/>
    <n v="3"/>
    <s v="1210_FG_CRC"/>
    <x v="6"/>
    <n v="1"/>
    <m/>
  </r>
  <r>
    <s v="0558114440-4"/>
    <s v="CST"/>
    <n v="0.9"/>
    <n v="1250"/>
    <n v="2500"/>
    <n v="3"/>
    <n v="3"/>
    <s v="CRAP"/>
    <d v="2001-08-21T00:00:00"/>
    <d v="2002-03-07T00:00:00"/>
    <d v="2002-04-15T00:00:00"/>
    <d v="2002-04-15T00:00:00"/>
    <d v="2002-04-08T00:00:00"/>
    <d v="2002-04-08T00:00:00"/>
    <s v="OTIF FAIL"/>
    <n v="4"/>
    <s v="1210_FG_CRC"/>
    <x v="7"/>
    <n v="1"/>
    <m/>
  </r>
  <r>
    <s v="0569023160-1"/>
    <s v="CST"/>
    <n v="0.5"/>
    <n v="350"/>
    <n v="1614"/>
    <n v="50"/>
    <n v="50"/>
    <s v="CRAP"/>
    <d v="2001-08-29T00:00:00"/>
    <d v="2002-03-11T00:00:00"/>
    <d v="2002-04-05T00:00:00"/>
    <d v="2002-04-05T00:00:00"/>
    <d v="2002-04-05T00:00:00"/>
    <d v="2002-04-05T00:00:00"/>
    <s v="OTIF FAIL"/>
    <n v="1"/>
    <s v="1210_FG_CRC"/>
    <x v="6"/>
    <n v="1"/>
    <m/>
  </r>
  <r>
    <s v="0558113824-2"/>
    <s v="HRC"/>
    <n v="0.5"/>
    <n v="1250"/>
    <n v="2500"/>
    <n v="6"/>
    <n v="6"/>
    <s v="CRAP"/>
    <d v="2001-08-11T00:00:00"/>
    <d v="2002-03-06T00:00:00"/>
    <d v="2002-04-06T00:00:00"/>
    <d v="2002-04-06T00:00:00"/>
    <d v="2002-04-05T00:00:00"/>
    <d v="2002-04-05T00:00:00"/>
    <s v="OTIF FAIL"/>
    <n v="2"/>
    <s v="1210_FG_CRC"/>
    <x v="6"/>
    <n v="1"/>
    <m/>
  </r>
  <r>
    <s v="0558112499-1"/>
    <s v="CST"/>
    <n v="0.5"/>
    <n v="1000"/>
    <n v="1013"/>
    <n v="20"/>
    <n v="20"/>
    <s v="CRAP"/>
    <d v="2001-09-25T00:00:00"/>
    <d v="2002-02-27T00:00:00"/>
    <d v="2002-03-10T00:00:00"/>
    <d v="2002-03-10T00:00:00"/>
    <d v="2002-03-13T00:00:00"/>
    <d v="2002-03-13T00:00:00"/>
    <s v="OTIF FAIL"/>
    <n v="1"/>
    <s v="1210_FG_CRC"/>
    <x v="3"/>
    <n v="1"/>
    <m/>
  </r>
  <r>
    <s v="0558112499-2"/>
    <s v="CST"/>
    <n v="0.5"/>
    <n v="1000"/>
    <n v="1977"/>
    <n v="20"/>
    <n v="20"/>
    <s v="CRAP"/>
    <d v="2001-09-25T00:00:00"/>
    <d v="2002-03-10T00:00:00"/>
    <d v="2002-03-11T00:00:00"/>
    <d v="2002-03-11T00:00:00"/>
    <d v="2002-03-14T00:00:00"/>
    <d v="2002-03-14T00:00:00"/>
    <s v="OTIF FAIL"/>
    <n v="2"/>
    <s v="1210_FG_CRC"/>
    <x v="3"/>
    <n v="1"/>
    <m/>
  </r>
  <r>
    <s v="0558113511-3"/>
    <s v="HPC"/>
    <n v="0.5"/>
    <n v="560"/>
    <n v="559"/>
    <n v="35"/>
    <n v="35"/>
    <s v="CRAP"/>
    <d v="2001-08-07T00:00:00"/>
    <d v="2002-03-01T00:00:00"/>
    <d v="2002-03-29T00:00:00"/>
    <d v="2002-03-29T00:00:00"/>
    <d v="2002-03-29T00:00:00"/>
    <d v="2002-03-29T00:00:00"/>
    <s v="OTIF FAIL"/>
    <n v="3"/>
    <s v="1210_FG_CRC"/>
    <x v="9"/>
    <n v="1"/>
    <m/>
  </r>
  <r>
    <s v="0568012907-2"/>
    <s v="CST"/>
    <n v="1.2"/>
    <n v="1250"/>
    <n v="3048"/>
    <n v="100"/>
    <n v="100"/>
    <s v="CRAP"/>
    <d v="2002-04-22T00:00:00"/>
    <d v="2002-05-07T00:00:00"/>
    <s v="-"/>
    <s v="-"/>
    <s v="-"/>
    <d v="2002-04-05T00:00:00"/>
    <s v="OTIF FAIL"/>
    <n v="2"/>
    <s v="1210_FG_CRC"/>
    <x v="6"/>
    <n v="0"/>
    <m/>
  </r>
  <r>
    <s v="0569022440-1"/>
    <s v="CST"/>
    <n v="1.2"/>
    <n v="1250"/>
    <n v="2300"/>
    <n v="46"/>
    <n v="46"/>
    <s v="CRAP"/>
    <d v="2001-09-25T00:00:00"/>
    <d v="2002-02-25T00:00:00"/>
    <d v="2002-03-25T00:00:00"/>
    <d v="2002-03-25T00:00:00"/>
    <d v="2002-03-25T00:00:00"/>
    <d v="2002-03-25T00:00:00"/>
    <s v="OTIF FAIL"/>
    <n v="1"/>
    <s v="1210_FG_CRC"/>
    <x v="9"/>
    <n v="1"/>
    <m/>
  </r>
  <r>
    <s v="0558114547-1"/>
    <s v="HRC"/>
    <n v="0.8"/>
    <n v="1250"/>
    <n v="2500"/>
    <n v="3"/>
    <n v="3"/>
    <s v="CRAP"/>
    <d v="2001-08-23T00:00:00"/>
    <d v="2002-03-07T00:00:00"/>
    <d v="2002-04-06T00:00:00"/>
    <d v="2002-04-06T00:00:00"/>
    <d v="2002-04-05T00:00:00"/>
    <d v="2002-04-11T00:00:00"/>
    <s v="OTIF FAIL"/>
    <n v="1"/>
    <s v="1210_FG_CRC"/>
    <x v="7"/>
    <n v="1"/>
    <m/>
  </r>
  <r>
    <s v="0558114542-1"/>
    <s v="CST"/>
    <n v="0.5"/>
    <n v="1250"/>
    <n v="2500"/>
    <n v="3"/>
    <n v="3"/>
    <s v="CRAP"/>
    <d v="2001-08-23T00:00:00"/>
    <d v="2002-03-07T00:00:00"/>
    <d v="2002-04-06T00:00:00"/>
    <d v="2002-04-06T00:00:00"/>
    <d v="2002-04-05T00:00:00"/>
    <d v="2002-04-05T00:00:00"/>
    <s v="OTIF FAIL"/>
    <n v="1"/>
    <s v="1210_FG_CRC"/>
    <x v="6"/>
    <n v="1"/>
    <m/>
  </r>
  <r>
    <s v="0558111358-3"/>
    <s v="CST"/>
    <n v="1.6"/>
    <n v="1250"/>
    <n v="2300"/>
    <n v="5"/>
    <n v="5"/>
    <s v="CRAP"/>
    <d v="2001-09-25T00:00:00"/>
    <d v="2002-03-21T00:00:00"/>
    <s v="-"/>
    <s v="-"/>
    <d v="2002-04-06T00:00:00"/>
    <d v="2002-04-06T00:00:00"/>
    <s v="OTIF FAIL"/>
    <n v="3"/>
    <s v="1210_FG_CRC"/>
    <x v="6"/>
    <n v="1"/>
    <m/>
  </r>
  <r>
    <s v="0558105303-3"/>
    <s v="CST"/>
    <n v="3"/>
    <n v="1250"/>
    <n v="3000"/>
    <n v="15"/>
    <n v="15"/>
    <s v="CRAP"/>
    <d v="2001-09-25T00:00:00"/>
    <d v="2002-02-27T00:00:00"/>
    <d v="2002-03-12T00:00:00"/>
    <d v="2002-03-12T00:00:00"/>
    <d v="2002-03-13T00:00:00"/>
    <d v="2002-03-13T00:00:00"/>
    <s v="OTIF FAIL"/>
    <n v="3"/>
    <s v="1210_FG_CRC"/>
    <x v="3"/>
    <n v="1"/>
    <m/>
  </r>
  <r>
    <s v="0558111034-1"/>
    <s v="CST"/>
    <n v="0.7"/>
    <n v="1250"/>
    <n v="2500"/>
    <n v="3"/>
    <n v="3"/>
    <s v="CRAP"/>
    <d v="2001-09-25T00:00:00"/>
    <d v="2002-03-04T00:00:00"/>
    <d v="2002-04-26T00:00:00"/>
    <d v="2002-04-26T00:00:00"/>
    <d v="2002-04-19T00:00:00"/>
    <d v="2002-04-19T00:00:00"/>
    <s v="OTIF FAIL"/>
    <n v="1"/>
    <s v="1210_FG_CRC"/>
    <x v="15"/>
    <n v="1"/>
    <m/>
  </r>
  <r>
    <s v="0558110359-1"/>
    <s v="CST"/>
    <n v="0.6"/>
    <n v="1250"/>
    <n v="2500"/>
    <n v="2.5"/>
    <n v="2.5"/>
    <s v="CRAP"/>
    <d v="2001-09-25T00:00:00"/>
    <d v="2002-03-10T00:00:00"/>
    <d v="2002-04-06T00:00:00"/>
    <d v="2002-04-06T00:00:00"/>
    <d v="2002-04-05T00:00:00"/>
    <d v="2002-04-06T00:00:00"/>
    <s v="OTIF FAIL"/>
    <n v="1"/>
    <s v="1210_FG_CRC"/>
    <x v="6"/>
    <n v="1"/>
    <m/>
  </r>
  <r>
    <s v="0558115979-2"/>
    <s v="CST"/>
    <n v="0.6"/>
    <n v="1250"/>
    <n v="2500"/>
    <n v="12"/>
    <n v="12"/>
    <s v="CRAP"/>
    <d v="2001-09-25T00:00:00"/>
    <d v="2002-03-08T00:00:00"/>
    <d v="2002-04-06T00:00:00"/>
    <d v="2002-04-06T00:00:00"/>
    <d v="2002-04-05T00:00:00"/>
    <d v="2002-04-06T00:00:00"/>
    <s v="OTIF FAIL"/>
    <n v="2"/>
    <s v="1210_FG_CRC"/>
    <x v="6"/>
    <n v="1"/>
    <m/>
  </r>
  <r>
    <s v="0558111085-2"/>
    <s v="HRC"/>
    <n v="0.6"/>
    <n v="1250"/>
    <n v="2500"/>
    <n v="6"/>
    <n v="6"/>
    <s v="CRAP"/>
    <d v="2001-09-25T00:00:00"/>
    <d v="2002-03-04T00:00:00"/>
    <d v="2002-04-06T00:00:00"/>
    <d v="2002-04-06T00:00:00"/>
    <d v="2002-04-05T00:00:00"/>
    <d v="2002-04-06T00:00:00"/>
    <s v="OTIF FAIL"/>
    <n v="2"/>
    <s v="1210_FG_CRC"/>
    <x v="6"/>
    <n v="1"/>
    <m/>
  </r>
  <r>
    <s v="0558115979-1"/>
    <s v="CST"/>
    <n v="0.5"/>
    <n v="1250"/>
    <n v="2500"/>
    <n v="12"/>
    <n v="12"/>
    <s v="CRAP"/>
    <d v="2001-09-25T00:00:00"/>
    <d v="2002-03-08T00:00:00"/>
    <d v="2002-04-06T00:00:00"/>
    <d v="2002-04-06T00:00:00"/>
    <d v="2002-04-05T00:00:00"/>
    <d v="2002-04-05T00:00:00"/>
    <s v="OTIF FAIL"/>
    <n v="1"/>
    <s v="1210_FG_CRC"/>
    <x v="6"/>
    <n v="1"/>
    <m/>
  </r>
  <r>
    <s v="0558113843-1"/>
    <s v="HRC"/>
    <n v="0.7"/>
    <n v="1250"/>
    <n v="2500"/>
    <n v="3"/>
    <n v="3"/>
    <s v="CRAP"/>
    <d v="2001-09-25T00:00:00"/>
    <d v="2002-03-10T00:00:00"/>
    <d v="2002-04-26T00:00:00"/>
    <d v="2002-04-26T00:00:00"/>
    <d v="2002-04-19T00:00:00"/>
    <d v="2002-04-19T00:00:00"/>
    <s v="OTIF FAIL"/>
    <n v="1"/>
    <s v="1210_FG_CRC"/>
    <x v="15"/>
    <n v="1"/>
    <m/>
  </r>
  <r>
    <s v="0558115783-2"/>
    <s v="HRC"/>
    <n v="1.2"/>
    <n v="1000"/>
    <n v="2500"/>
    <n v="3"/>
    <n v="3"/>
    <s v="CRAP"/>
    <d v="2001-08-30T00:00:00"/>
    <d v="2002-03-08T00:00:00"/>
    <d v="2002-03-31T00:00:00"/>
    <d v="2002-03-31T00:00:00"/>
    <d v="2002-03-31T00:00:00"/>
    <d v="2002-03-31T00:00:00"/>
    <s v="OTIF FAIL"/>
    <n v="2"/>
    <s v="1210_FG_CRC"/>
    <x v="6"/>
    <n v="1"/>
    <m/>
  </r>
  <r>
    <s v="0569022124-3"/>
    <s v="CST"/>
    <n v="0.4"/>
    <n v="360"/>
    <n v="1265"/>
    <n v="20"/>
    <n v="20"/>
    <s v="CRAP"/>
    <d v="2001-09-25T00:00:00"/>
    <d v="2002-03-02T00:00:00"/>
    <d v="2002-03-09T00:00:00"/>
    <d v="2002-03-09T00:00:00"/>
    <d v="2002-03-10T00:00:00"/>
    <d v="2002-03-10T00:00:00"/>
    <s v="OTIF FAIL"/>
    <n v="3"/>
    <s v="1210_FG_CRC"/>
    <x v="3"/>
    <n v="1"/>
    <m/>
  </r>
  <r>
    <s v="0558110273-5"/>
    <s v="HRC"/>
    <n v="2"/>
    <n v="1250"/>
    <n v="2500"/>
    <n v="6"/>
    <n v="6"/>
    <s v="CRAP"/>
    <d v="2001-09-25T00:00:00"/>
    <d v="2002-03-04T00:00:00"/>
    <d v="2002-03-30T00:00:00"/>
    <d v="2002-03-30T00:00:00"/>
    <d v="2002-03-29T00:00:00"/>
    <d v="2002-03-29T00:00:00"/>
    <s v="OTIF FAIL"/>
    <n v="5"/>
    <s v="1210_FG_CRC"/>
    <x v="9"/>
    <n v="1"/>
    <m/>
  </r>
  <r>
    <s v="0558111010-6"/>
    <s v="CST"/>
    <n v="0.8"/>
    <n v="1250"/>
    <n v="2500"/>
    <n v="3"/>
    <n v="3"/>
    <s v="CRAP"/>
    <d v="2001-09-25T00:00:00"/>
    <d v="2002-03-10T00:00:00"/>
    <d v="2002-04-06T00:00:00"/>
    <d v="2002-04-06T00:00:00"/>
    <d v="2002-04-11T00:00:00"/>
    <d v="2002-04-11T00:00:00"/>
    <s v="OTIF FAIL"/>
    <n v="6"/>
    <s v="1210_FG_CRC"/>
    <x v="7"/>
    <n v="1"/>
    <m/>
  </r>
  <r>
    <s v="0569022124-1"/>
    <s v="CRC"/>
    <n v="0.4"/>
    <n v="387.2"/>
    <n v="1542.8"/>
    <n v="15"/>
    <n v="9.6069999999999993"/>
    <s v="CRAP"/>
    <d v="2001-09-25T00:00:00"/>
    <d v="2002-03-10T00:00:00"/>
    <d v="2002-03-24T00:00:00"/>
    <d v="2002-03-24T00:00:00"/>
    <d v="2002-03-16T00:00:00"/>
    <d v="2002-03-16T00:00:00"/>
    <s v="OTIF FAIL"/>
    <n v="1"/>
    <s v="1210_FG_CRC"/>
    <x v="3"/>
    <n v="0"/>
    <m/>
  </r>
  <r>
    <s v="0569022528-2"/>
    <s v="CRC"/>
    <n v="0.4"/>
    <n v="363"/>
    <n v="1366"/>
    <n v="25"/>
    <n v="25"/>
    <s v="CRAP"/>
    <d v="2001-09-25T00:00:00"/>
    <d v="2002-03-02T00:00:00"/>
    <d v="2002-03-13T00:00:00"/>
    <d v="2002-03-13T00:00:00"/>
    <d v="2002-03-11T00:00:00"/>
    <d v="2002-03-11T00:00:00"/>
    <s v="OTIF FAIL"/>
    <n v="2"/>
    <s v="1210_FG_CRC"/>
    <x v="3"/>
    <n v="1"/>
    <m/>
  </r>
  <r>
    <s v="0558114276-3"/>
    <s v="HRC"/>
    <n v="3"/>
    <n v="1250"/>
    <n v="2500"/>
    <n v="12"/>
    <n v="12"/>
    <s v="CRAP"/>
    <d v="2001-08-17T00:00:00"/>
    <d v="2002-03-07T00:00:00"/>
    <d v="2002-04-08T00:00:00"/>
    <d v="2002-04-08T00:00:00"/>
    <d v="2002-03-30T00:00:00"/>
    <d v="2002-03-30T00:00:00"/>
    <s v="OTIF FAIL"/>
    <n v="3"/>
    <s v="1210_FG_CRC"/>
    <x v="9"/>
    <n v="1"/>
    <m/>
  </r>
  <r>
    <s v="0558107864-1"/>
    <s v="HPC"/>
    <n v="2.5"/>
    <n v="1250"/>
    <n v="2500"/>
    <n v="6"/>
    <n v="6"/>
    <s v="CRAP"/>
    <d v="2001-09-25T00:00:00"/>
    <d v="2002-03-10T00:00:00"/>
    <d v="2002-03-20T00:00:00"/>
    <d v="2002-03-20T00:00:00"/>
    <d v="2002-03-20T00:00:00"/>
    <d v="2002-03-20T00:00:00"/>
    <s v="OTIF FAIL"/>
    <n v="1"/>
    <s v="1210_FG_CRC"/>
    <x v="0"/>
    <n v="1"/>
    <m/>
  </r>
  <r>
    <s v="0569022528-1"/>
    <s v="CST"/>
    <n v="0.4"/>
    <n v="387.2"/>
    <n v="1542.8"/>
    <n v="20"/>
    <n v="20"/>
    <s v="CRAP"/>
    <d v="2001-09-25T00:00:00"/>
    <d v="2002-03-02T00:00:00"/>
    <d v="2002-03-31T00:00:00"/>
    <d v="2002-03-31T00:00:00"/>
    <d v="2002-03-15T00:00:00"/>
    <d v="2002-03-16T00:00:00"/>
    <s v="OTIF FAIL"/>
    <n v="1"/>
    <s v="1210_FG_CRC"/>
    <x v="3"/>
    <n v="1"/>
    <m/>
  </r>
  <r>
    <s v="0558113511-4"/>
    <s v="HRC"/>
    <n v="0.4"/>
    <n v="590"/>
    <n v="589"/>
    <n v="26"/>
    <n v="26"/>
    <s v="CRAP"/>
    <d v="2001-08-07T00:00:00"/>
    <d v="2002-03-02T00:00:00"/>
    <d v="2002-04-05T00:00:00"/>
    <d v="2002-04-05T00:00:00"/>
    <d v="2002-04-05T00:00:00"/>
    <d v="2002-04-05T00:00:00"/>
    <s v="OTIF FAIL"/>
    <n v="4"/>
    <s v="1210_FG_CRC"/>
    <x v="6"/>
    <n v="1"/>
    <m/>
  </r>
  <r>
    <s v="0558116122-3"/>
    <s v="CRC"/>
    <n v="1.5"/>
    <n v="1250"/>
    <n v="2500"/>
    <n v="6"/>
    <n v="6"/>
    <s v="CRAP"/>
    <d v="2001-09-25T00:00:00"/>
    <d v="2002-03-08T00:00:00"/>
    <d v="2002-04-08T00:00:00"/>
    <d v="2002-04-08T00:00:00"/>
    <d v="2002-03-29T00:00:00"/>
    <d v="2002-03-29T00:00:00"/>
    <s v="OTIF FAIL"/>
    <n v="3"/>
    <s v="1210_FG_CRC"/>
    <x v="9"/>
    <n v="1"/>
    <m/>
  </r>
  <r>
    <s v="0558110255-1"/>
    <s v="HRC"/>
    <n v="0.5"/>
    <n v="1250"/>
    <n v="2500"/>
    <n v="6"/>
    <n v="6"/>
    <s v="CRAP"/>
    <d v="2001-09-25T00:00:00"/>
    <d v="2002-03-04T00:00:00"/>
    <d v="2002-04-06T00:00:00"/>
    <d v="2002-04-06T00:00:00"/>
    <d v="2002-04-05T00:00:00"/>
    <d v="2002-04-05T00:00:00"/>
    <s v="OTIF FAIL"/>
    <n v="1"/>
    <s v="1210_FG_CRC"/>
    <x v="6"/>
    <n v="1"/>
    <m/>
  </r>
  <r>
    <s v="0558113332-1"/>
    <s v="CRC"/>
    <n v="0.7"/>
    <n v="1250"/>
    <n v="2500"/>
    <n v="6"/>
    <n v="6"/>
    <s v="CRAP"/>
    <d v="2001-09-25T00:00:00"/>
    <d v="2002-03-05T00:00:00"/>
    <d v="2002-04-26T00:00:00"/>
    <d v="2002-04-26T00:00:00"/>
    <d v="2002-04-19T00:00:00"/>
    <d v="2002-04-19T00:00:00"/>
    <s v="OTIF FAIL"/>
    <n v="1"/>
    <s v="1210_FG_CRC"/>
    <x v="15"/>
    <n v="1"/>
    <m/>
  </r>
  <r>
    <s v="0558111787-5"/>
    <s v="CST"/>
    <n v="3"/>
    <n v="1250"/>
    <n v="2500"/>
    <n v="3"/>
    <n v="3"/>
    <s v="CRAP"/>
    <d v="2001-09-25T00:00:00"/>
    <d v="2002-03-04T00:00:00"/>
    <s v="-"/>
    <s v="-"/>
    <d v="2002-03-30T00:00:00"/>
    <d v="2002-03-30T00:00:00"/>
    <s v="OTIF FAIL"/>
    <n v="5"/>
    <s v="1210_FG_CRC"/>
    <x v="9"/>
    <n v="1"/>
    <m/>
  </r>
  <r>
    <s v="0558114899-1"/>
    <s v="HRC"/>
    <n v="2.5"/>
    <n v="1250"/>
    <n v="2500"/>
    <n v="3"/>
    <n v="3"/>
    <s v="CRAP"/>
    <d v="2001-08-29T00:00:00"/>
    <d v="2002-02-20T00:00:00"/>
    <d v="2002-03-19T00:00:00"/>
    <d v="2002-03-19T00:00:00"/>
    <d v="2002-03-19T00:00:00"/>
    <d v="2002-03-20T00:00:00"/>
    <s v="OTIF FAIL"/>
    <n v="1"/>
    <s v="1210_FG_CRC"/>
    <x v="0"/>
    <n v="1"/>
    <m/>
  </r>
  <r>
    <s v="0558114853-1"/>
    <s v="CST"/>
    <n v="1"/>
    <n v="1250"/>
    <n v="2500"/>
    <n v="3"/>
    <n v="3"/>
    <s v="CRAP"/>
    <d v="2001-08-29T00:00:00"/>
    <d v="2002-02-24T00:00:00"/>
    <d v="2002-04-15T00:00:00"/>
    <d v="2002-04-15T00:00:00"/>
    <d v="2002-04-08T00:00:00"/>
    <d v="2002-04-29T00:00:00"/>
    <s v="OTIF FAIL"/>
    <n v="1"/>
    <s v="1210_FG_CRC"/>
    <x v="16"/>
    <n v="1"/>
    <m/>
  </r>
  <r>
    <s v="0558115430-6"/>
    <s v="HRC"/>
    <n v="0.5"/>
    <n v="1250"/>
    <n v="2500"/>
    <n v="3"/>
    <n v="3"/>
    <s v="CRAP"/>
    <d v="2001-08-29T00:00:00"/>
    <d v="2002-02-25T00:00:00"/>
    <d v="2002-04-06T00:00:00"/>
    <d v="2002-04-06T00:00:00"/>
    <d v="2002-04-05T00:00:00"/>
    <d v="2002-04-05T00:00:00"/>
    <s v="OTIF FAIL"/>
    <n v="6"/>
    <s v="1210_FG_CRC"/>
    <x v="6"/>
    <n v="1"/>
    <m/>
  </r>
  <r>
    <s v="0558111073-5"/>
    <s v="CST"/>
    <n v="0.6"/>
    <n v="1250"/>
    <n v="2500"/>
    <n v="3"/>
    <n v="3"/>
    <s v="CRAP"/>
    <d v="2001-09-25T00:00:00"/>
    <d v="2002-03-04T00:00:00"/>
    <d v="2002-04-06T00:00:00"/>
    <d v="2002-04-06T00:00:00"/>
    <d v="2002-04-05T00:00:00"/>
    <d v="2002-04-06T00:00:00"/>
    <s v="OTIF FAIL"/>
    <n v="5"/>
    <s v="1210_FG_CRC"/>
    <x v="6"/>
    <n v="1"/>
    <m/>
  </r>
  <r>
    <s v="0558114873-3"/>
    <s v="CRC"/>
    <n v="1"/>
    <n v="1250"/>
    <n v="2500"/>
    <n v="3"/>
    <n v="3"/>
    <s v="CRAP"/>
    <d v="2001-08-29T00:00:00"/>
    <d v="2002-02-21T00:00:00"/>
    <s v="-"/>
    <s v="-"/>
    <d v="2002-04-29T00:00:00"/>
    <d v="2002-04-29T00:00:00"/>
    <s v="OTIF FAIL"/>
    <n v="3"/>
    <s v="1210_FG_CRC"/>
    <x v="16"/>
    <n v="1"/>
    <m/>
  </r>
  <r>
    <s v="0558112943-1"/>
    <s v="CST"/>
    <n v="0.7"/>
    <n v="1250"/>
    <n v="2500"/>
    <n v="3"/>
    <n v="3"/>
    <s v="CRAP"/>
    <d v="2001-09-25T00:00:00"/>
    <d v="2002-03-05T00:00:00"/>
    <d v="2002-04-26T00:00:00"/>
    <d v="2002-04-26T00:00:00"/>
    <d v="2002-04-19T00:00:00"/>
    <d v="2002-04-19T00:00:00"/>
    <s v="OTIF FAIL"/>
    <n v="1"/>
    <s v="1210_FG_CRC"/>
    <x v="15"/>
    <n v="1"/>
    <m/>
  </r>
  <r>
    <s v="0568012699-3"/>
    <s v="HRC"/>
    <n v="2.75"/>
    <n v="1250"/>
    <n v="2500"/>
    <n v="18"/>
    <n v="18"/>
    <s v="CRAP"/>
    <d v="2001-08-07T00:00:00"/>
    <d v="2002-02-27T00:00:00"/>
    <d v="2002-03-08T00:00:00"/>
    <d v="2002-03-08T00:00:00"/>
    <d v="2002-03-10T00:00:00"/>
    <d v="2002-03-10T00:00:00"/>
    <s v="OTIF FAIL"/>
    <n v="3"/>
    <s v="1210_FG_CRC"/>
    <x v="3"/>
    <n v="1"/>
    <m/>
  </r>
  <r>
    <s v="0568012699-4"/>
    <s v="HRC"/>
    <n v="3"/>
    <n v="1250"/>
    <n v="2500"/>
    <n v="18"/>
    <n v="18"/>
    <s v="CRAP"/>
    <d v="2001-08-07T00:00:00"/>
    <d v="2002-02-27T00:00:00"/>
    <d v="2002-03-22T00:00:00"/>
    <d v="2002-03-22T00:00:00"/>
    <d v="2002-03-22T00:00:00"/>
    <d v="2002-03-22T00:00:00"/>
    <s v="OTIF FAIL"/>
    <n v="4"/>
    <s v="1210_FG_CRC"/>
    <x v="0"/>
    <n v="1"/>
    <m/>
  </r>
  <r>
    <s v="0569022529-6"/>
    <s v="HRC"/>
    <n v="0.6"/>
    <n v="387"/>
    <n v="1610"/>
    <n v="100"/>
    <n v="77.004999999999995"/>
    <s v="CRAP"/>
    <d v="2001-09-25T00:00:00"/>
    <d v="2002-03-10T00:00:00"/>
    <d v="2002-05-03T00:00:00"/>
    <d v="2002-05-03T00:00:00"/>
    <d v="2002-04-12T00:00:00"/>
    <d v="2002-04-12T00:00:00"/>
    <s v="OTIF FAIL"/>
    <n v="6"/>
    <s v="1210_FG_CRC"/>
    <x v="7"/>
    <n v="0"/>
    <m/>
  </r>
  <r>
    <s v="0558111416-4"/>
    <s v="HRC"/>
    <n v="0.5"/>
    <n v="1250"/>
    <n v="2500"/>
    <n v="6"/>
    <n v="6"/>
    <s v="CRAP"/>
    <d v="2001-09-25T00:00:00"/>
    <d v="2002-03-04T00:00:00"/>
    <d v="2002-04-06T00:00:00"/>
    <d v="2002-04-06T00:00:00"/>
    <d v="2002-04-05T00:00:00"/>
    <d v="2002-04-05T00:00:00"/>
    <s v="OTIF FAIL"/>
    <n v="4"/>
    <s v="1210_FG_CRC"/>
    <x v="6"/>
    <n v="1"/>
    <m/>
  </r>
  <r>
    <s v="0568012699-1"/>
    <s v="HRC"/>
    <n v="2"/>
    <n v="1250"/>
    <n v="2500"/>
    <n v="18"/>
    <n v="18"/>
    <s v="CRAP"/>
    <d v="2001-08-07T00:00:00"/>
    <d v="2002-02-27T00:00:00"/>
    <d v="2002-03-22T00:00:00"/>
    <d v="2002-03-22T00:00:00"/>
    <d v="2002-03-22T00:00:00"/>
    <d v="2002-03-22T00:00:00"/>
    <s v="OTIF FAIL"/>
    <n v="1"/>
    <s v="1210_FG_CRC"/>
    <x v="0"/>
    <n v="1"/>
    <m/>
  </r>
  <r>
    <s v="0558114873-2"/>
    <s v="CST"/>
    <n v="3"/>
    <n v="1250"/>
    <n v="2500"/>
    <n v="3"/>
    <n v="3"/>
    <s v="CRAP"/>
    <d v="2001-08-29T00:00:00"/>
    <d v="2002-02-22T00:00:00"/>
    <d v="2002-04-08T00:00:00"/>
    <d v="2002-04-08T00:00:00"/>
    <d v="2002-03-30T00:00:00"/>
    <d v="2002-03-30T00:00:00"/>
    <s v="OTIF FAIL"/>
    <n v="2"/>
    <s v="1210_FG_CRC"/>
    <x v="9"/>
    <n v="1"/>
    <m/>
  </r>
  <r>
    <s v="0558113444-1"/>
    <s v="HRC"/>
    <n v="0.7"/>
    <n v="1250"/>
    <n v="2500"/>
    <n v="3"/>
    <n v="3"/>
    <s v="CRAP"/>
    <d v="2001-09-25T00:00:00"/>
    <d v="2002-03-06T00:00:00"/>
    <d v="2002-04-26T00:00:00"/>
    <d v="2002-04-26T00:00:00"/>
    <d v="2002-04-19T00:00:00"/>
    <d v="2002-04-19T00:00:00"/>
    <s v="OTIF FAIL"/>
    <n v="1"/>
    <s v="1210_FG_CRC"/>
    <x v="15"/>
    <n v="1"/>
    <m/>
  </r>
  <r>
    <s v="0569021810-4"/>
    <s v="HRC"/>
    <n v="0.8"/>
    <n v="592"/>
    <n v="2114"/>
    <n v="2"/>
    <n v="2"/>
    <s v="CRAP"/>
    <d v="2001-09-25T00:00:00"/>
    <d v="2002-02-26T00:00:00"/>
    <s v="-"/>
    <s v="-"/>
    <d v="2002-03-20T00:00:00"/>
    <d v="2002-03-20T00:00:00"/>
    <s v="OTIF FAIL"/>
    <n v="4"/>
    <s v="1210_FG_CRC"/>
    <x v="0"/>
    <n v="1"/>
    <m/>
  </r>
  <r>
    <s v="0569023009-1"/>
    <s v="CST"/>
    <n v="1"/>
    <n v="1250"/>
    <n v="2155"/>
    <n v="10"/>
    <n v="10"/>
    <s v="CRAP"/>
    <d v="2001-08-21T00:00:00"/>
    <d v="2002-02-26T00:00:00"/>
    <s v="-"/>
    <s v="-"/>
    <d v="2002-03-29T00:00:00"/>
    <d v="2002-03-29T00:00:00"/>
    <s v="OTIF FAIL"/>
    <n v="1"/>
    <s v="1210_FG_CRC"/>
    <x v="9"/>
    <n v="1"/>
    <m/>
  </r>
  <r>
    <s v="0569023002-8"/>
    <s v="HPC"/>
    <n v="1"/>
    <n v="1004"/>
    <n v="2160"/>
    <n v="4"/>
    <n v="4"/>
    <s v="CRAP"/>
    <d v="2001-08-17T00:00:00"/>
    <d v="2002-02-26T00:00:00"/>
    <s v="-"/>
    <s v="-"/>
    <d v="2002-03-22T00:00:00"/>
    <d v="2002-03-22T00:00:00"/>
    <s v="OTIF FAIL"/>
    <n v="8"/>
    <s v="1210_FG_CRC"/>
    <x v="0"/>
    <n v="1"/>
    <m/>
  </r>
  <r>
    <s v="0569023167-2"/>
    <s v="CST"/>
    <n v="2"/>
    <n v="1220"/>
    <n v="2120"/>
    <n v="2"/>
    <n v="2"/>
    <s v="CRAP"/>
    <d v="2001-09-25T00:00:00"/>
    <d v="2002-03-10T00:00:00"/>
    <d v="2002-03-29T00:00:00"/>
    <d v="2002-03-29T00:00:00"/>
    <d v="2002-03-29T00:00:00"/>
    <d v="2002-03-29T00:00:00"/>
    <s v="OTIF FAIL"/>
    <n v="2"/>
    <s v="1210_FG_CRC"/>
    <x v="9"/>
    <n v="1"/>
    <m/>
  </r>
  <r>
    <s v="0569023002-1"/>
    <s v="CST"/>
    <n v="1"/>
    <n v="1220"/>
    <n v="2486"/>
    <n v="42"/>
    <n v="42"/>
    <s v="CRAP"/>
    <d v="2001-08-17T00:00:00"/>
    <d v="2002-02-26T00:00:00"/>
    <d v="2002-03-02T00:00:00"/>
    <d v="2002-03-02T00:00:00"/>
    <d v="2002-03-09T00:00:00"/>
    <d v="2002-03-09T00:00:00"/>
    <s v="OTIF FAIL"/>
    <n v="1"/>
    <s v="1210_FG_CRC"/>
    <x v="1"/>
    <n v="1"/>
    <m/>
  </r>
  <r>
    <s v="0569022960-3"/>
    <s v="CST"/>
    <n v="1"/>
    <n v="1250"/>
    <n v="2195"/>
    <n v="6"/>
    <n v="6"/>
    <s v="CRAP"/>
    <d v="2001-08-16T00:00:00"/>
    <d v="2002-02-26T00:00:00"/>
    <d v="2002-04-06T00:00:00"/>
    <d v="2002-04-06T00:00:00"/>
    <d v="2002-03-30T00:00:00"/>
    <d v="2002-03-30T00:00:00"/>
    <s v="OTIF FAIL"/>
    <n v="3"/>
    <s v="1210_FG_CRC"/>
    <x v="9"/>
    <n v="1"/>
    <m/>
  </r>
  <r>
    <s v="0569023002-7"/>
    <s v="CST"/>
    <n v="1"/>
    <n v="1004"/>
    <n v="2139"/>
    <n v="35"/>
    <n v="35"/>
    <s v="CRAP"/>
    <d v="2001-08-17T00:00:00"/>
    <d v="2002-02-26T00:00:00"/>
    <d v="2002-03-21T00:00:00"/>
    <d v="2002-03-21T00:00:00"/>
    <d v="2002-03-21T00:00:00"/>
    <d v="2002-03-21T00:00:00"/>
    <s v="OTIF FAIL"/>
    <n v="7"/>
    <s v="1210_FG_CRC"/>
    <x v="0"/>
    <n v="1"/>
    <m/>
  </r>
  <r>
    <s v="0569023115-1"/>
    <s v="CRC"/>
    <n v="0.8"/>
    <n v="1134"/>
    <n v="2189"/>
    <n v="12"/>
    <n v="12"/>
    <s v="CRAP"/>
    <d v="2001-08-29T00:00:00"/>
    <d v="2002-02-26T00:00:00"/>
    <d v="2002-03-20T00:00:00"/>
    <d v="2002-03-20T00:00:00"/>
    <d v="2002-03-20T00:00:00"/>
    <d v="2002-03-20T00:00:00"/>
    <s v="OTIF FAIL"/>
    <n v="1"/>
    <s v="1210_FG_CRC"/>
    <x v="0"/>
    <n v="1"/>
    <m/>
  </r>
  <r>
    <s v="0569022399-2"/>
    <s v="CRC"/>
    <n v="0.8"/>
    <n v="1134"/>
    <n v="2289"/>
    <n v="2"/>
    <n v="2"/>
    <s v="CRAP"/>
    <d v="2001-09-25T00:00:00"/>
    <d v="2002-02-26T00:00:00"/>
    <d v="2002-04-01T00:00:00"/>
    <d v="2002-04-01T00:00:00"/>
    <d v="2002-03-18T00:00:00"/>
    <d v="2002-03-19T00:00:00"/>
    <s v="OTIF FAIL"/>
    <n v="2"/>
    <s v="1210_FG_CRC"/>
    <x v="0"/>
    <n v="1"/>
    <m/>
  </r>
  <r>
    <s v="0569022400-1"/>
    <s v="HRC"/>
    <n v="0.8"/>
    <n v="1250"/>
    <n v="2189"/>
    <n v="18"/>
    <n v="18"/>
    <s v="CRAP"/>
    <d v="2001-09-25T00:00:00"/>
    <d v="2002-03-10T00:00:00"/>
    <s v="-"/>
    <s v="-"/>
    <d v="2002-03-18T00:00:00"/>
    <d v="2002-03-20T00:00:00"/>
    <s v="OTIF FAIL"/>
    <n v="1"/>
    <s v="1210_FG_CRC"/>
    <x v="0"/>
    <n v="1"/>
    <m/>
  </r>
  <r>
    <s v="0569022667-3"/>
    <s v="CST"/>
    <n v="1"/>
    <n v="1250"/>
    <n v="2500"/>
    <n v="4"/>
    <n v="4"/>
    <s v="CRAP"/>
    <d v="2001-09-25T00:00:00"/>
    <d v="2002-02-26T00:00:00"/>
    <s v="-"/>
    <s v="-"/>
    <d v="2002-03-22T00:00:00"/>
    <d v="2002-03-22T00:00:00"/>
    <s v="OTIF FAIL"/>
    <n v="3"/>
    <s v="1210_FG_CRC"/>
    <x v="0"/>
    <n v="1"/>
    <m/>
  </r>
  <r>
    <s v="0569023002-5"/>
    <s v="HRC"/>
    <n v="1"/>
    <n v="1068"/>
    <n v="2386"/>
    <n v="8"/>
    <n v="8"/>
    <s v="CRAP"/>
    <d v="2001-08-17T00:00:00"/>
    <d v="2002-02-26T00:00:00"/>
    <s v="-"/>
    <s v="-"/>
    <d v="2002-03-22T00:00:00"/>
    <d v="2002-03-22T00:00:00"/>
    <s v="OTIF FAIL"/>
    <n v="5"/>
    <s v="1210_FG_CRC"/>
    <x v="0"/>
    <n v="1"/>
    <m/>
  </r>
  <r>
    <s v="0569022909-3"/>
    <s v="HRC"/>
    <n v="0.8"/>
    <n v="592"/>
    <n v="2114"/>
    <n v="2"/>
    <n v="2"/>
    <s v="CRAP"/>
    <d v="2001-08-07T00:00:00"/>
    <d v="2002-02-26T00:00:00"/>
    <s v="-"/>
    <s v="-"/>
    <d v="2002-03-20T00:00:00"/>
    <d v="2002-03-20T00:00:00"/>
    <s v="OTIF FAIL"/>
    <n v="3"/>
    <s v="1210_FG_CRC"/>
    <x v="0"/>
    <n v="1"/>
    <m/>
  </r>
  <r>
    <s v="0569023002-13"/>
    <s v="HPC"/>
    <n v="2"/>
    <n v="1220"/>
    <n v="2120"/>
    <n v="8"/>
    <n v="8"/>
    <s v="CRAP"/>
    <d v="2001-08-17T00:00:00"/>
    <d v="2002-02-26T00:00:00"/>
    <d v="2002-03-29T00:00:00"/>
    <d v="2002-03-29T00:00:00"/>
    <d v="2002-03-29T00:00:00"/>
    <d v="2002-03-29T00:00:00"/>
    <s v="OTIF FAIL"/>
    <n v="13"/>
    <s v="1210_FG_CRC"/>
    <x v="9"/>
    <n v="1"/>
    <m/>
  </r>
  <r>
    <s v="0569022911-1"/>
    <s v="HRC"/>
    <n v="0.8"/>
    <n v="1134"/>
    <n v="2189"/>
    <n v="12"/>
    <n v="12"/>
    <s v="CRAP"/>
    <d v="2001-08-07T00:00:00"/>
    <d v="2002-02-26T00:00:00"/>
    <d v="2002-03-20T00:00:00"/>
    <d v="2002-03-20T00:00:00"/>
    <d v="2002-03-20T00:00:00"/>
    <d v="2002-03-20T00:00:00"/>
    <s v="OTIF FAIL"/>
    <n v="1"/>
    <s v="1210_FG_CRC"/>
    <x v="0"/>
    <n v="1"/>
    <m/>
  </r>
  <r>
    <s v="0569022912-1"/>
    <s v="HPC"/>
    <n v="1"/>
    <n v="1250"/>
    <n v="2155"/>
    <n v="12"/>
    <n v="12"/>
    <s v="CRAP"/>
    <d v="2001-08-07T00:00:00"/>
    <d v="2002-02-26T00:00:00"/>
    <s v="-"/>
    <s v="-"/>
    <d v="2002-03-29T00:00:00"/>
    <d v="2002-03-29T00:00:00"/>
    <s v="OTIF FAIL"/>
    <n v="1"/>
    <s v="1210_FG_CRC"/>
    <x v="9"/>
    <n v="1"/>
    <m/>
  </r>
  <r>
    <s v="0569023002-11"/>
    <s v="CST"/>
    <n v="1.5"/>
    <n v="1220"/>
    <n v="2334"/>
    <n v="2"/>
    <n v="2"/>
    <s v="CRAP"/>
    <d v="2001-08-17T00:00:00"/>
    <d v="2002-02-26T00:00:00"/>
    <d v="2002-03-15T00:00:00"/>
    <d v="2002-03-15T00:00:00"/>
    <d v="2002-03-15T00:00:00"/>
    <d v="2002-03-15T00:00:00"/>
    <s v="OTIF FAIL"/>
    <n v="11"/>
    <s v="1210_FG_CRC"/>
    <x v="3"/>
    <n v="1"/>
    <m/>
  </r>
  <r>
    <s v="0569022912-2"/>
    <s v="HRC"/>
    <n v="1"/>
    <n v="1250"/>
    <n v="2255"/>
    <n v="4"/>
    <n v="4"/>
    <s v="CRAP"/>
    <d v="2001-08-07T00:00:00"/>
    <d v="2002-02-26T00:00:00"/>
    <s v="-"/>
    <s v="-"/>
    <d v="2002-03-22T00:00:00"/>
    <d v="2002-03-29T00:00:00"/>
    <s v="OTIF FAIL"/>
    <n v="2"/>
    <s v="1210_FG_CRC"/>
    <x v="9"/>
    <n v="1"/>
    <m/>
  </r>
  <r>
    <s v="0569022668-1"/>
    <s v="CRC"/>
    <n v="1.2"/>
    <n v="1250"/>
    <n v="2500"/>
    <n v="10"/>
    <n v="8.02"/>
    <s v="CRAP"/>
    <d v="2001-09-25T00:00:00"/>
    <d v="2002-03-10T00:00:00"/>
    <s v="-"/>
    <s v="-"/>
    <d v="2002-03-13T00:00:00"/>
    <d v="2002-03-13T00:00:00"/>
    <s v="OTIF FAIL"/>
    <n v="1"/>
    <s v="1210_FG_CRC"/>
    <x v="3"/>
    <n v="0"/>
    <m/>
  </r>
  <r>
    <s v="0569022912-3"/>
    <s v="HPC"/>
    <n v="1"/>
    <n v="1250"/>
    <n v="2500"/>
    <n v="4"/>
    <n v="4"/>
    <s v="CRAP"/>
    <d v="2001-08-07T00:00:00"/>
    <d v="2002-02-26T00:00:00"/>
    <s v="-"/>
    <s v="-"/>
    <d v="2002-03-22T00:00:00"/>
    <d v="2002-03-22T00:00:00"/>
    <s v="OTIF FAIL"/>
    <n v="3"/>
    <s v="1210_FG_CRC"/>
    <x v="0"/>
    <n v="1"/>
    <m/>
  </r>
  <r>
    <s v="0569022667-2"/>
    <s v="HRC"/>
    <n v="1"/>
    <n v="1250"/>
    <n v="2255"/>
    <n v="10"/>
    <n v="10"/>
    <s v="CRAP"/>
    <d v="2001-09-25T00:00:00"/>
    <d v="2002-02-26T00:00:00"/>
    <s v="-"/>
    <s v="-"/>
    <d v="2002-03-29T00:00:00"/>
    <d v="2002-03-29T00:00:00"/>
    <s v="OTIF FAIL"/>
    <n v="2"/>
    <s v="1210_FG_CRC"/>
    <x v="9"/>
    <n v="1"/>
    <m/>
  </r>
  <r>
    <s v="0569022665-1"/>
    <s v="CST"/>
    <n v="0.8"/>
    <n v="1134"/>
    <n v="2189"/>
    <n v="6"/>
    <n v="6"/>
    <s v="CRAP"/>
    <d v="2001-09-25T00:00:00"/>
    <d v="2002-02-26T00:00:00"/>
    <d v="2002-03-25T00:00:00"/>
    <d v="2002-03-25T00:00:00"/>
    <d v="2002-03-18T00:00:00"/>
    <d v="2002-03-20T00:00:00"/>
    <s v="OTIF FAIL"/>
    <n v="1"/>
    <s v="1210_FG_CRC"/>
    <x v="0"/>
    <n v="1"/>
    <m/>
  </r>
  <r>
    <s v="0569022960-2"/>
    <s v="NFA"/>
    <n v="1"/>
    <n v="1250"/>
    <n v="2095"/>
    <n v="10"/>
    <n v="10"/>
    <s v="CRAP"/>
    <d v="2001-08-16T00:00:00"/>
    <d v="2002-02-26T00:00:00"/>
    <d v="2002-03-30T00:00:00"/>
    <d v="2002-03-30T00:00:00"/>
    <d v="2002-03-30T00:00:00"/>
    <d v="2002-03-30T00:00:00"/>
    <s v="OTIF FAIL"/>
    <n v="2"/>
    <s v="1210_FG_CRC"/>
    <x v="9"/>
    <n v="1"/>
    <m/>
  </r>
  <r>
    <s v="0569023002-6"/>
    <s v="CST"/>
    <n v="1"/>
    <n v="1099"/>
    <n v="2139"/>
    <n v="48"/>
    <n v="38.042999999999999"/>
    <s v="CRAP"/>
    <d v="2001-08-17T00:00:00"/>
    <d v="2002-02-26T00:00:00"/>
    <d v="2002-03-22T00:00:00"/>
    <d v="2002-03-22T00:00:00"/>
    <d v="2002-03-22T00:00:00"/>
    <d v="2002-03-22T00:00:00"/>
    <s v="OTIF FAIL"/>
    <n v="6"/>
    <s v="1210_FG_CRC"/>
    <x v="0"/>
    <n v="0"/>
    <m/>
  </r>
  <r>
    <s v="0569023009-2"/>
    <s v="HRC"/>
    <n v="1"/>
    <n v="1250"/>
    <n v="2255"/>
    <n v="8"/>
    <n v="8"/>
    <s v="CRAP"/>
    <d v="2001-08-21T00:00:00"/>
    <d v="2002-02-26T00:00:00"/>
    <s v="-"/>
    <s v="-"/>
    <d v="2002-03-22T00:00:00"/>
    <d v="2002-03-29T00:00:00"/>
    <s v="OTIF FAIL"/>
    <n v="2"/>
    <s v="1210_FG_CRC"/>
    <x v="9"/>
    <n v="1"/>
    <m/>
  </r>
  <r>
    <s v="0569023117-2"/>
    <s v="CST"/>
    <n v="1.2"/>
    <n v="1250"/>
    <n v="3000"/>
    <n v="4"/>
    <n v="4"/>
    <s v="CRAP"/>
    <d v="2001-08-29T00:00:00"/>
    <d v="2002-02-26T00:00:00"/>
    <s v="-"/>
    <s v="-"/>
    <d v="2002-03-13T00:00:00"/>
    <d v="2002-03-13T00:00:00"/>
    <s v="OTIF FAIL"/>
    <n v="2"/>
    <s v="1210_FG_CRC"/>
    <x v="3"/>
    <n v="1"/>
    <m/>
  </r>
  <r>
    <s v="0568012711-1"/>
    <s v="HRC"/>
    <n v="1.8029999999999999"/>
    <n v="1219.2"/>
    <n v="2870.2"/>
    <n v="18.169"/>
    <n v="18.169"/>
    <s v="CRAP"/>
    <d v="2001-08-07T00:00:00"/>
    <d v="2002-02-27T00:00:00"/>
    <d v="2002-03-09T00:00:00"/>
    <d v="2002-03-09T00:00:00"/>
    <d v="2002-03-10T00:00:00"/>
    <d v="2002-03-10T00:00:00"/>
    <s v="OTIF FAIL"/>
    <n v="1"/>
    <s v="1210_FG_CRC"/>
    <x v="3"/>
    <n v="1"/>
    <m/>
  </r>
  <r>
    <s v="0569022909-2"/>
    <s v="CRC"/>
    <n v="0.8"/>
    <n v="592"/>
    <n v="2014"/>
    <n v="6"/>
    <n v="6"/>
    <s v="CRAP"/>
    <d v="2001-08-07T00:00:00"/>
    <d v="2002-02-26T00:00:00"/>
    <s v="-"/>
    <s v="-"/>
    <d v="2002-03-20T00:00:00"/>
    <d v="2002-03-20T00:00:00"/>
    <s v="OTIF FAIL"/>
    <n v="2"/>
    <s v="1210_FG_CRC"/>
    <x v="0"/>
    <n v="1"/>
    <m/>
  </r>
  <r>
    <s v="0569023117-3"/>
    <s v="HRC"/>
    <n v="1.2"/>
    <n v="1250"/>
    <n v="2400"/>
    <n v="8"/>
    <n v="8"/>
    <s v="CRAP"/>
    <d v="2001-08-29T00:00:00"/>
    <d v="2002-02-26T00:00:00"/>
    <s v="-"/>
    <s v="-"/>
    <d v="2002-03-13T00:00:00"/>
    <d v="2002-03-13T00:00:00"/>
    <s v="OTIF FAIL"/>
    <n v="3"/>
    <s v="1210_FG_CRC"/>
    <x v="3"/>
    <n v="1"/>
    <m/>
  </r>
  <r>
    <s v="0569023002-3"/>
    <s v="CBL"/>
    <n v="1"/>
    <n v="1220"/>
    <n v="2139"/>
    <n v="16"/>
    <n v="16"/>
    <s v="CRAP"/>
    <d v="2001-08-17T00:00:00"/>
    <d v="2002-02-26T00:00:00"/>
    <d v="2002-03-03T00:00:00"/>
    <d v="2002-03-03T00:00:00"/>
    <d v="2002-03-10T00:00:00"/>
    <d v="2002-03-10T00:00:00"/>
    <s v="OTIF FAIL"/>
    <n v="3"/>
    <s v="1210_FG_CRC"/>
    <x v="3"/>
    <n v="1"/>
    <m/>
  </r>
  <r>
    <s v="0569022911-2"/>
    <s v="CST"/>
    <n v="0.8"/>
    <n v="1134"/>
    <n v="2289"/>
    <n v="4"/>
    <n v="4"/>
    <s v="CRAP"/>
    <d v="2001-08-07T00:00:00"/>
    <d v="2002-02-26T00:00:00"/>
    <d v="2002-03-25T00:00:00"/>
    <d v="2002-03-25T00:00:00"/>
    <d v="2002-03-18T00:00:00"/>
    <d v="2002-03-19T00:00:00"/>
    <s v="OTIF FAIL"/>
    <n v="2"/>
    <s v="1210_FG_CRC"/>
    <x v="0"/>
    <n v="1"/>
    <m/>
  </r>
  <r>
    <s v="0569021810-3"/>
    <s v="HRC"/>
    <n v="0.8"/>
    <n v="592"/>
    <n v="2014"/>
    <n v="6"/>
    <n v="4.3010000000000002"/>
    <s v="CRAP"/>
    <d v="2001-09-25T00:00:00"/>
    <d v="2002-03-10T00:00:00"/>
    <s v="-"/>
    <s v="-"/>
    <d v="2002-03-20T00:00:00"/>
    <d v="2002-03-20T00:00:00"/>
    <s v="OTIF FAIL"/>
    <n v="3"/>
    <s v="1210_FG_CRC"/>
    <x v="0"/>
    <n v="0"/>
    <m/>
  </r>
  <r>
    <s v="0569022910-1"/>
    <s v="HRC"/>
    <n v="0.8"/>
    <n v="1250"/>
    <n v="2189"/>
    <n v="16"/>
    <n v="1.77"/>
    <s v="CRAP"/>
    <d v="2001-08-07T00:00:00"/>
    <d v="2002-02-26T00:00:00"/>
    <s v="-"/>
    <s v="-"/>
    <d v="2002-03-20T00:00:00"/>
    <d v="2002-03-20T00:00:00"/>
    <s v="OTIF FAIL"/>
    <n v="1"/>
    <s v="1210_FG_CRC"/>
    <x v="0"/>
    <n v="0"/>
    <m/>
  </r>
  <r>
    <s v="0569023002-12"/>
    <s v="HRC"/>
    <n v="2"/>
    <n v="1220"/>
    <n v="2550"/>
    <n v="10"/>
    <n v="10"/>
    <s v="CRAP"/>
    <d v="2001-08-17T00:00:00"/>
    <d v="2002-02-26T00:00:00"/>
    <d v="2002-03-29T00:00:00"/>
    <d v="2002-03-29T00:00:00"/>
    <d v="2002-03-29T00:00:00"/>
    <d v="2002-03-29T00:00:00"/>
    <s v="OTIF FAIL"/>
    <n v="12"/>
    <s v="1210_FG_CRC"/>
    <x v="9"/>
    <n v="1"/>
    <m/>
  </r>
  <r>
    <s v="0569023115-2"/>
    <s v="CST"/>
    <n v="0.8"/>
    <n v="1134"/>
    <n v="2289"/>
    <n v="4"/>
    <n v="4"/>
    <s v="CRAP"/>
    <d v="2001-08-29T00:00:00"/>
    <d v="2002-02-26T00:00:00"/>
    <d v="2002-03-25T00:00:00"/>
    <d v="2002-03-25T00:00:00"/>
    <d v="2002-03-18T00:00:00"/>
    <d v="2002-03-19T00:00:00"/>
    <s v="OTIF FAIL"/>
    <n v="2"/>
    <s v="1210_FG_CRC"/>
    <x v="0"/>
    <n v="1"/>
    <m/>
  </r>
  <r>
    <s v="0569023002-2"/>
    <s v="HRC"/>
    <n v="1"/>
    <n v="1220"/>
    <n v="2239"/>
    <n v="88"/>
    <n v="88"/>
    <s v="CRAP"/>
    <d v="2001-08-17T00:00:00"/>
    <d v="2002-02-26T00:00:00"/>
    <d v="2002-03-04T00:00:00"/>
    <d v="2002-03-04T00:00:00"/>
    <d v="2002-03-11T00:00:00"/>
    <d v="2002-03-11T00:00:00"/>
    <s v="OTIF FAIL"/>
    <n v="2"/>
    <s v="1210_FG_CRC"/>
    <x v="3"/>
    <n v="1"/>
    <m/>
  </r>
  <r>
    <s v="0569023116-2"/>
    <s v="HRC"/>
    <n v="1"/>
    <n v="1250"/>
    <n v="2255"/>
    <n v="8"/>
    <n v="8"/>
    <s v="CRAP"/>
    <d v="2001-08-29T00:00:00"/>
    <d v="2002-02-27T00:00:00"/>
    <s v="-"/>
    <s v="-"/>
    <d v="2002-03-29T00:00:00"/>
    <d v="2002-03-29T00:00:00"/>
    <s v="OTIF FAIL"/>
    <n v="2"/>
    <s v="1210_FG_CRC"/>
    <x v="9"/>
    <n v="1"/>
    <m/>
  </r>
  <r>
    <s v="0569022668-2"/>
    <s v="CRC"/>
    <n v="1.2"/>
    <n v="1250"/>
    <n v="2400"/>
    <n v="8"/>
    <n v="4.0270000000000001"/>
    <s v="CRAP"/>
    <d v="2001-09-25T00:00:00"/>
    <d v="2002-03-10T00:00:00"/>
    <s v="-"/>
    <s v="-"/>
    <d v="2002-03-13T00:00:00"/>
    <d v="2002-03-13T00:00:00"/>
    <s v="OTIF FAIL"/>
    <n v="2"/>
    <s v="1210_FG_CRC"/>
    <x v="3"/>
    <n v="0"/>
    <m/>
  </r>
  <r>
    <s v="0569023116-1"/>
    <s v="CST"/>
    <n v="1"/>
    <n v="1250"/>
    <n v="2155"/>
    <n v="12"/>
    <n v="12"/>
    <s v="CRAP"/>
    <d v="2001-08-29T00:00:00"/>
    <d v="2002-02-26T00:00:00"/>
    <s v="-"/>
    <s v="-"/>
    <d v="2002-03-29T00:00:00"/>
    <d v="2002-03-29T00:00:00"/>
    <s v="OTIF FAIL"/>
    <n v="1"/>
    <s v="1210_FG_CRC"/>
    <x v="9"/>
    <n v="1"/>
    <m/>
  </r>
  <r>
    <s v="0569023167-1"/>
    <s v="CST"/>
    <n v="2"/>
    <n v="1220"/>
    <n v="2220"/>
    <n v="2"/>
    <n v="2"/>
    <s v="CRAP"/>
    <d v="2001-09-25T00:00:00"/>
    <d v="2002-02-26T00:00:00"/>
    <d v="2002-03-29T00:00:00"/>
    <d v="2002-03-29T00:00:00"/>
    <d v="2002-03-29T00:00:00"/>
    <d v="2002-03-29T00:00:00"/>
    <s v="OTIF FAIL"/>
    <n v="1"/>
    <s v="1210_FG_CRC"/>
    <x v="9"/>
    <n v="1"/>
    <m/>
  </r>
  <r>
    <s v="0569023117-1"/>
    <s v="CRC"/>
    <n v="1.2"/>
    <n v="1250"/>
    <n v="2500"/>
    <n v="6"/>
    <n v="6"/>
    <s v="CRAP"/>
    <d v="2001-08-29T00:00:00"/>
    <d v="2002-02-26T00:00:00"/>
    <s v="-"/>
    <s v="-"/>
    <d v="2002-03-13T00:00:00"/>
    <d v="2002-03-13T00:00:00"/>
    <s v="OTIF FAIL"/>
    <n v="1"/>
    <s v="1210_FG_CRC"/>
    <x v="3"/>
    <n v="1"/>
    <m/>
  </r>
  <r>
    <s v="0558114925-2"/>
    <s v="HRC"/>
    <n v="1"/>
    <n v="1250"/>
    <n v="2500"/>
    <n v="6"/>
    <n v="6"/>
    <s v="CRAP"/>
    <d v="2001-08-29T00:00:00"/>
    <d v="2002-03-08T00:00:00"/>
    <d v="2002-04-05T00:00:00"/>
    <d v="2002-04-05T00:00:00"/>
    <d v="2002-04-05T00:00:00"/>
    <d v="2002-04-05T00:00:00"/>
    <s v="OTIF FAIL"/>
    <n v="2"/>
    <s v="1210_FG_CRC"/>
    <x v="6"/>
    <n v="1"/>
    <m/>
  </r>
  <r>
    <s v="0558107594-2"/>
    <s v="CST"/>
    <n v="2.5"/>
    <n v="1020"/>
    <n v="3300"/>
    <n v="25"/>
    <n v="25"/>
    <s v="CRAP"/>
    <d v="2001-09-25T00:00:00"/>
    <d v="2002-02-27T00:00:00"/>
    <d v="2002-03-21T00:00:00"/>
    <d v="2002-03-21T00:00:00"/>
    <d v="2002-03-21T00:00:00"/>
    <d v="2002-03-21T00:00:00"/>
    <s v="OTIF FAIL"/>
    <n v="2"/>
    <s v="1210_FG_CRC"/>
    <x v="0"/>
    <n v="1"/>
    <m/>
  </r>
  <r>
    <s v="0558113191-1"/>
    <s v="CST"/>
    <n v="1"/>
    <n v="1250"/>
    <n v="2500"/>
    <n v="9"/>
    <n v="9"/>
    <s v="CRAP"/>
    <d v="2001-08-05T00:00:00"/>
    <d v="2002-03-05T00:00:00"/>
    <d v="2002-04-05T00:00:00"/>
    <d v="2002-04-05T00:00:00"/>
    <d v="2002-04-05T00:00:00"/>
    <d v="2002-04-05T00:00:00"/>
    <s v="OTIF FAIL"/>
    <n v="1"/>
    <s v="1210_FG_CRC"/>
    <x v="6"/>
    <n v="1"/>
    <m/>
  </r>
  <r>
    <s v="0558112291-3"/>
    <s v="PSS"/>
    <n v="1.2"/>
    <n v="1250"/>
    <n v="2350"/>
    <n v="6"/>
    <n v="6"/>
    <s v="CRAP"/>
    <d v="2001-09-25T00:00:00"/>
    <d v="2002-03-05T00:00:00"/>
    <s v="-"/>
    <s v="-"/>
    <d v="2002-03-22T00:00:00"/>
    <d v="2002-03-22T00:00:00"/>
    <s v="OTIF FAIL"/>
    <n v="3"/>
    <s v="1210_FG_CRC"/>
    <x v="0"/>
    <n v="1"/>
    <m/>
  </r>
  <r>
    <s v="0568012538-2"/>
    <s v="HRC"/>
    <n v="1"/>
    <n v="1250"/>
    <n v="3000"/>
    <n v="20.010000000000002"/>
    <n v="20.010000000000002"/>
    <s v="CRAP"/>
    <d v="2001-09-25T00:00:00"/>
    <d v="2002-03-10T00:00:00"/>
    <d v="2002-03-13T00:00:00"/>
    <d v="2002-03-13T00:00:00"/>
    <d v="2002-03-20T00:00:00"/>
    <d v="2002-03-20T00:00:00"/>
    <s v="OTIF FAIL"/>
    <n v="2"/>
    <s v="1210_FG_CRC"/>
    <x v="0"/>
    <n v="1"/>
    <m/>
  </r>
  <r>
    <s v="0558107594-1"/>
    <s v="HRC"/>
    <n v="2.5"/>
    <n v="1020"/>
    <n v="2500"/>
    <n v="20"/>
    <n v="3.9790000000000001"/>
    <s v="CRAP"/>
    <d v="2001-09-25T00:00:00"/>
    <d v="2002-03-10T00:00:00"/>
    <d v="2002-03-22T00:00:00"/>
    <d v="2002-03-22T00:00:00"/>
    <d v="2002-03-22T00:00:00"/>
    <d v="2002-03-22T00:00:00"/>
    <s v="OTIF FAIL"/>
    <n v="1"/>
    <s v="1210_FG_CRC"/>
    <x v="0"/>
    <n v="0"/>
    <m/>
  </r>
  <r>
    <s v="0568012538-1"/>
    <s v="CST"/>
    <n v="0.8"/>
    <n v="1250"/>
    <n v="3000"/>
    <n v="60"/>
    <n v="57.985999999999997"/>
    <s v="CRAP"/>
    <d v="2001-09-25T00:00:00"/>
    <d v="2002-02-27T00:00:00"/>
    <d v="2002-02-28T00:00:00"/>
    <d v="2002-02-28T00:00:00"/>
    <d v="2002-03-07T00:00:00"/>
    <d v="2002-03-07T00:00:00"/>
    <s v="OTIF FAIL"/>
    <n v="1"/>
    <s v="1210_FG_CRC"/>
    <x v="1"/>
    <n v="0"/>
    <m/>
  </r>
  <r>
    <s v="0558111052-5"/>
    <s v="CST"/>
    <n v="1.2"/>
    <n v="1250"/>
    <n v="2050"/>
    <n v="6"/>
    <n v="6"/>
    <s v="CRAP"/>
    <d v="2001-09-25T00:00:00"/>
    <d v="2002-03-04T00:00:00"/>
    <s v="-"/>
    <s v="-"/>
    <d v="2002-03-22T00:00:00"/>
    <d v="2002-03-22T00:00:00"/>
    <s v="OTIF FAIL"/>
    <n v="5"/>
    <s v="1210_FG_CRC"/>
    <x v="0"/>
    <n v="1"/>
    <m/>
  </r>
  <r>
    <s v="0558113188-8"/>
    <s v="CRC"/>
    <n v="1.5"/>
    <n v="1250"/>
    <n v="2500"/>
    <n v="3"/>
    <n v="3"/>
    <s v="CRAP"/>
    <d v="2001-09-25T00:00:00"/>
    <d v="2002-03-05T00:00:00"/>
    <d v="2002-04-09T00:00:00"/>
    <d v="2002-04-09T00:00:00"/>
    <d v="2002-04-09T00:00:00"/>
    <d v="2002-04-09T00:00:00"/>
    <s v="OTIF FAIL"/>
    <n v="8"/>
    <s v="1210_FG_CRC"/>
    <x v="7"/>
    <n v="1"/>
    <m/>
  </r>
  <r>
    <s v="0558111093-3"/>
    <s v="HPC"/>
    <n v="1.2"/>
    <n v="1250"/>
    <n v="2500"/>
    <n v="3"/>
    <n v="3"/>
    <s v="CRAP"/>
    <d v="2001-09-25T00:00:00"/>
    <d v="2002-03-04T00:00:00"/>
    <s v="-"/>
    <s v="-"/>
    <d v="2002-03-22T00:00:00"/>
    <d v="2002-03-22T00:00:00"/>
    <s v="OTIF FAIL"/>
    <n v="3"/>
    <s v="1210_FG_CRC"/>
    <x v="0"/>
    <n v="1"/>
    <m/>
  </r>
  <r>
    <s v="0558111093-2"/>
    <s v="CST"/>
    <n v="1"/>
    <n v="1250"/>
    <n v="2500"/>
    <n v="6"/>
    <n v="6"/>
    <s v="CRAP"/>
    <d v="2001-09-25T00:00:00"/>
    <d v="2002-03-04T00:00:00"/>
    <d v="2002-04-05T00:00:00"/>
    <d v="2002-04-05T00:00:00"/>
    <d v="2002-04-05T00:00:00"/>
    <d v="2002-04-05T00:00:00"/>
    <s v="OTIF FAIL"/>
    <n v="2"/>
    <s v="1210_FG_CRC"/>
    <x v="6"/>
    <n v="1"/>
    <m/>
  </r>
  <r>
    <s v="0558116137-2"/>
    <s v="CRC"/>
    <n v="2"/>
    <n v="1020"/>
    <n v="2500"/>
    <n v="25"/>
    <n v="25"/>
    <s v="CRAP"/>
    <d v="2001-09-25T00:00:00"/>
    <d v="2002-03-08T00:00:00"/>
    <d v="2002-03-08T00:00:00"/>
    <d v="2002-03-08T00:00:00"/>
    <d v="2002-03-12T00:00:00"/>
    <d v="2002-03-12T00:00:00"/>
    <s v="OTIF PASS"/>
    <n v="2"/>
    <s v="1210_FG_CRC"/>
    <x v="3"/>
    <n v="1"/>
    <m/>
  </r>
  <r>
    <s v="0558108074-1"/>
    <s v="CST"/>
    <n v="1"/>
    <n v="1250"/>
    <n v="2300"/>
    <n v="6"/>
    <n v="6"/>
    <s v="CRAP"/>
    <d v="2001-09-25T00:00:00"/>
    <d v="2002-02-25T00:00:00"/>
    <d v="2002-04-05T00:00:00"/>
    <d v="2002-04-05T00:00:00"/>
    <d v="2002-04-05T00:00:00"/>
    <d v="2002-04-05T00:00:00"/>
    <s v="OTIF FAIL"/>
    <n v="1"/>
    <s v="1210_FG_CRC"/>
    <x v="6"/>
    <n v="1"/>
    <m/>
  </r>
  <r>
    <s v="0568012538-3"/>
    <s v="HRC"/>
    <n v="1.2"/>
    <n v="1250"/>
    <n v="3000"/>
    <n v="20.015999999999998"/>
    <n v="20.015999999999998"/>
    <s v="CRAP"/>
    <d v="2001-09-25T00:00:00"/>
    <d v="2002-02-27T00:00:00"/>
    <d v="2002-03-17T00:00:00"/>
    <d v="2002-03-17T00:00:00"/>
    <d v="2002-03-17T00:00:00"/>
    <d v="2002-03-17T00:00:00"/>
    <s v="OTIF FAIL"/>
    <n v="3"/>
    <s v="1210_FG_CRC"/>
    <x v="0"/>
    <n v="1"/>
    <m/>
  </r>
  <r>
    <s v="0558112503-2"/>
    <s v="CST"/>
    <n v="2.5"/>
    <n v="1020"/>
    <n v="2500"/>
    <n v="25"/>
    <n v="25"/>
    <s v="CRAP"/>
    <d v="2001-09-25T00:00:00"/>
    <d v="2002-03-05T00:00:00"/>
    <d v="2002-03-12T00:00:00"/>
    <d v="2002-03-12T00:00:00"/>
    <d v="2002-03-13T00:00:00"/>
    <d v="2002-03-13T00:00:00"/>
    <s v="OTIF FAIL"/>
    <n v="2"/>
    <s v="1210_FG_CRC"/>
    <x v="3"/>
    <n v="1"/>
    <m/>
  </r>
  <r>
    <s v="0558112503-3"/>
    <s v="HRC"/>
    <n v="2"/>
    <n v="1020"/>
    <n v="2500"/>
    <n v="25"/>
    <n v="25"/>
    <s v="CRAP"/>
    <d v="2001-09-25T00:00:00"/>
    <d v="2002-03-05T00:00:00"/>
    <d v="2002-03-08T00:00:00"/>
    <d v="2002-03-08T00:00:00"/>
    <d v="2002-03-12T00:00:00"/>
    <d v="2002-03-12T00:00:00"/>
    <s v="OTIF FAIL"/>
    <n v="3"/>
    <s v="1210_FG_CRC"/>
    <x v="3"/>
    <n v="1"/>
    <m/>
  </r>
  <r>
    <s v="0558115746-1"/>
    <s v="HRC"/>
    <n v="1"/>
    <n v="1250"/>
    <n v="2500"/>
    <n v="5"/>
    <n v="5"/>
    <s v="CRAP"/>
    <d v="2001-09-25T00:00:00"/>
    <d v="2002-03-08T00:00:00"/>
    <d v="2002-04-05T00:00:00"/>
    <d v="2002-04-05T00:00:00"/>
    <d v="2002-04-05T00:00:00"/>
    <d v="2002-04-05T00:00:00"/>
    <s v="OTIF FAIL"/>
    <n v="1"/>
    <s v="1210_FG_CRC"/>
    <x v="6"/>
    <n v="1"/>
    <m/>
  </r>
  <r>
    <s v="0558113509-1"/>
    <s v="CST"/>
    <n v="1.2"/>
    <n v="1250"/>
    <n v="2350"/>
    <n v="6"/>
    <n v="6"/>
    <s v="CRAP"/>
    <d v="2001-08-07T00:00:00"/>
    <d v="2002-03-06T00:00:00"/>
    <s v="-"/>
    <s v="-"/>
    <d v="2002-03-22T00:00:00"/>
    <d v="2002-03-22T00:00:00"/>
    <s v="OTIF FAIL"/>
    <n v="1"/>
    <s v="1210_FG_CRC"/>
    <x v="0"/>
    <n v="1"/>
    <m/>
  </r>
  <r>
    <s v="0558110733-2"/>
    <s v="HPC"/>
    <n v="2"/>
    <n v="1020"/>
    <n v="2500"/>
    <n v="25"/>
    <n v="25"/>
    <s v="CRAP"/>
    <d v="2001-08-01T00:00:00"/>
    <d v="2002-03-04T00:00:00"/>
    <d v="2002-03-08T00:00:00"/>
    <d v="2002-03-08T00:00:00"/>
    <d v="2002-03-11T00:00:00"/>
    <d v="2002-03-11T00:00:00"/>
    <s v="OTIF FAIL"/>
    <n v="2"/>
    <s v="1210_FG_CRC"/>
    <x v="3"/>
    <n v="1"/>
    <m/>
  </r>
  <r>
    <s v="0558115746-4"/>
    <s v="HRC"/>
    <n v="1.2"/>
    <n v="1250"/>
    <n v="2500"/>
    <n v="3"/>
    <n v="3"/>
    <s v="CRAP"/>
    <d v="2001-09-25T00:00:00"/>
    <d v="2002-03-08T00:00:00"/>
    <s v="-"/>
    <s v="-"/>
    <d v="2002-03-22T00:00:00"/>
    <d v="2002-03-22T00:00:00"/>
    <s v="OTIF FAIL"/>
    <n v="4"/>
    <s v="1210_FG_CRC"/>
    <x v="0"/>
    <n v="1"/>
    <m/>
  </r>
  <r>
    <s v="0558111247-4"/>
    <s v="CRC"/>
    <n v="1"/>
    <n v="1250"/>
    <n v="2500"/>
    <n v="6"/>
    <n v="6"/>
    <s v="CRAP"/>
    <d v="2001-08-13T00:00:00"/>
    <d v="2002-03-04T00:00:00"/>
    <d v="2002-04-05T00:00:00"/>
    <d v="2002-04-05T00:00:00"/>
    <d v="2002-04-05T00:00:00"/>
    <d v="2002-04-05T00:00:00"/>
    <s v="OTIF FAIL"/>
    <n v="4"/>
    <s v="1210_FG_CRC"/>
    <x v="6"/>
    <n v="1"/>
    <m/>
  </r>
  <r>
    <s v="0558114925-1"/>
    <s v="HRC"/>
    <n v="1"/>
    <n v="1250"/>
    <n v="2300"/>
    <n v="6"/>
    <n v="6"/>
    <s v="CRAP"/>
    <d v="2001-08-29T00:00:00"/>
    <d v="2002-03-08T00:00:00"/>
    <d v="2002-04-05T00:00:00"/>
    <d v="2002-04-05T00:00:00"/>
    <d v="2002-04-05T00:00:00"/>
    <d v="2002-04-05T00:00:00"/>
    <s v="OTIF FAIL"/>
    <n v="1"/>
    <s v="1210_FG_CRC"/>
    <x v="6"/>
    <n v="1"/>
    <m/>
  </r>
  <r>
    <s v="0558115985-3"/>
    <s v="CST"/>
    <n v="0.8"/>
    <n v="1000"/>
    <n v="2080"/>
    <n v="15"/>
    <n v="15"/>
    <s v="CRAP"/>
    <d v="2001-09-25T00:00:00"/>
    <d v="2002-03-08T00:00:00"/>
    <d v="2002-03-16T00:00:00"/>
    <d v="2002-03-16T00:00:00"/>
    <d v="2002-03-16T00:00:00"/>
    <d v="2002-03-16T00:00:00"/>
    <s v="OTIF FAIL"/>
    <n v="3"/>
    <s v="1210_FG_CRC"/>
    <x v="3"/>
    <n v="1"/>
    <m/>
  </r>
  <r>
    <s v="0558116269-1"/>
    <s v="CRC"/>
    <n v="2"/>
    <n v="1250"/>
    <n v="2500"/>
    <n v="6"/>
    <n v="6"/>
    <s v="CRAP"/>
    <d v="2001-10-25T00:00:00"/>
    <d v="2002-03-10T00:00:00"/>
    <d v="2002-04-10T00:00:00"/>
    <d v="2002-04-10T00:00:00"/>
    <d v="2002-04-10T00:00:00"/>
    <d v="2002-04-10T00:00:00"/>
    <s v="OTIF FAIL"/>
    <n v="1"/>
    <s v="1210_FG_CRC"/>
    <x v="7"/>
    <n v="1"/>
    <m/>
  </r>
  <r>
    <s v="0558115268-1"/>
    <s v="CRC"/>
    <n v="0.8"/>
    <n v="1250"/>
    <n v="2500"/>
    <n v="9"/>
    <n v="9"/>
    <s v="CRAP"/>
    <d v="2001-08-27T00:00:00"/>
    <d v="2002-02-25T00:00:00"/>
    <d v="2002-04-01T00:00:00"/>
    <d v="2002-04-01T00:00:00"/>
    <d v="2002-04-01T00:00:00"/>
    <d v="2002-04-07T00:00:00"/>
    <s v="OTIF FAIL"/>
    <n v="1"/>
    <s v="1210_FG_CRC"/>
    <x v="7"/>
    <n v="1"/>
    <m/>
  </r>
  <r>
    <s v="0558116167-1"/>
    <s v="CST"/>
    <n v="1.2"/>
    <n v="1250"/>
    <n v="2280"/>
    <n v="26"/>
    <n v="26"/>
    <s v="CRAP"/>
    <d v="2001-09-25T00:00:00"/>
    <d v="2002-03-08T00:00:00"/>
    <d v="2002-03-29T00:00:00"/>
    <d v="2002-03-29T00:00:00"/>
    <d v="2002-03-29T00:00:00"/>
    <d v="2002-03-29T00:00:00"/>
    <s v="OTIF FAIL"/>
    <n v="1"/>
    <s v="1210_FG_CRC"/>
    <x v="9"/>
    <n v="1"/>
    <m/>
  </r>
  <r>
    <s v="0569022880-5"/>
    <s v="CST"/>
    <n v="0.8"/>
    <n v="1250"/>
    <n v="2500"/>
    <n v="4"/>
    <n v="4"/>
    <s v="CRAP"/>
    <d v="2001-08-03T00:00:00"/>
    <d v="2002-03-09T00:00:00"/>
    <d v="2002-04-01T00:00:00"/>
    <d v="2002-04-01T00:00:00"/>
    <d v="2002-04-07T00:00:00"/>
    <d v="2002-04-07T00:00:00"/>
    <s v="OTIF FAIL"/>
    <n v="5"/>
    <s v="1210_FG_CRC"/>
    <x v="7"/>
    <n v="1"/>
    <m/>
  </r>
  <r>
    <s v="0558116162-2"/>
    <s v="HRC"/>
    <n v="0.8"/>
    <n v="1250"/>
    <n v="2500"/>
    <n v="3"/>
    <n v="3"/>
    <s v="CRAP"/>
    <d v="2001-09-25T00:00:00"/>
    <d v="2002-03-08T00:00:00"/>
    <d v="2002-03-30T00:00:00"/>
    <d v="2002-03-30T00:00:00"/>
    <d v="2002-03-30T00:00:00"/>
    <d v="2002-03-30T00:00:00"/>
    <s v="OTIF FAIL"/>
    <n v="2"/>
    <s v="1210_FG_CRC"/>
    <x v="9"/>
    <n v="1"/>
    <m/>
  </r>
  <r>
    <s v="0558116148-1"/>
    <s v="HRC"/>
    <n v="1.8"/>
    <n v="1250"/>
    <n v="2500"/>
    <n v="20"/>
    <n v="20"/>
    <s v="CRAP"/>
    <d v="2001-09-25T00:00:00"/>
    <d v="2002-03-08T00:00:00"/>
    <d v="2002-03-22T00:00:00"/>
    <d v="2002-03-22T00:00:00"/>
    <d v="2002-03-22T00:00:00"/>
    <d v="2002-03-22T00:00:00"/>
    <s v="OTIF FAIL"/>
    <n v="1"/>
    <s v="1210_FG_CRC"/>
    <x v="0"/>
    <n v="1"/>
    <m/>
  </r>
  <r>
    <s v="0558116137-1"/>
    <s v="CST"/>
    <n v="1.5"/>
    <n v="1250"/>
    <n v="2500"/>
    <n v="20"/>
    <n v="20"/>
    <s v="CRAP"/>
    <d v="2001-09-25T00:00:00"/>
    <d v="2002-03-08T00:00:00"/>
    <d v="2002-04-01T00:00:00"/>
    <d v="2002-04-01T00:00:00"/>
    <d v="2002-04-01T00:00:00"/>
    <d v="2002-04-01T00:00:00"/>
    <s v="OTIF FAIL"/>
    <n v="1"/>
    <s v="1210_FG_CRC"/>
    <x v="6"/>
    <n v="1"/>
    <m/>
  </r>
  <r>
    <s v="0569022772-6"/>
    <s v="CST"/>
    <n v="0.8"/>
    <n v="1250"/>
    <n v="2500"/>
    <n v="75"/>
    <n v="59.566000000000003"/>
    <s v="CRAP"/>
    <d v="2001-09-25T00:00:00"/>
    <d v="2002-03-10T00:00:00"/>
    <d v="2002-04-02T00:00:00"/>
    <d v="2002-04-02T00:00:00"/>
    <d v="2002-04-02T00:00:00"/>
    <d v="2002-04-07T00:00:00"/>
    <s v="OTIF FAIL"/>
    <n v="6"/>
    <s v="1210_FG_CRC"/>
    <x v="7"/>
    <n v="0"/>
    <m/>
  </r>
  <r>
    <s v="0558115985-2"/>
    <s v="HRC"/>
    <n v="0.8"/>
    <n v="1250"/>
    <n v="2030"/>
    <n v="15"/>
    <n v="15"/>
    <s v="CRAP"/>
    <d v="2001-09-25T00:00:00"/>
    <d v="2002-03-08T00:00:00"/>
    <d v="2002-04-02T00:00:00"/>
    <d v="2002-04-02T00:00:00"/>
    <d v="2002-04-02T00:00:00"/>
    <d v="2002-04-02T00:00:00"/>
    <s v="OTIF FAIL"/>
    <n v="2"/>
    <s v="1210_FG_CRC"/>
    <x v="6"/>
    <n v="1"/>
    <m/>
  </r>
  <r>
    <s v="0558116167-2"/>
    <s v="CST"/>
    <n v="2"/>
    <n v="1250"/>
    <n v="2500"/>
    <n v="30"/>
    <n v="30"/>
    <s v="CRAP"/>
    <d v="2001-09-25T00:00:00"/>
    <d v="2002-03-08T00:00:00"/>
    <d v="2002-04-10T00:00:00"/>
    <d v="2002-04-10T00:00:00"/>
    <d v="2002-04-10T00:00:00"/>
    <d v="2002-04-10T00:00:00"/>
    <s v="OTIF FAIL"/>
    <n v="2"/>
    <s v="1210_FG_CRC"/>
    <x v="7"/>
    <n v="1"/>
    <m/>
  </r>
  <r>
    <s v="0558115801-4"/>
    <s v="HRC"/>
    <n v="1.2"/>
    <n v="1250"/>
    <n v="2280"/>
    <n v="6"/>
    <n v="6"/>
    <s v="CRAP"/>
    <d v="2001-08-30T00:00:00"/>
    <d v="2002-03-08T00:00:00"/>
    <d v="2002-03-29T00:00:00"/>
    <d v="2002-03-29T00:00:00"/>
    <d v="2002-03-29T00:00:00"/>
    <d v="2002-03-29T00:00:00"/>
    <s v="OTIF FAIL"/>
    <n v="4"/>
    <s v="1210_FG_CRC"/>
    <x v="9"/>
    <n v="1"/>
    <m/>
  </r>
  <r>
    <s v="0558115970-4"/>
    <s v="HRC"/>
    <n v="0.8"/>
    <n v="1250"/>
    <n v="2500"/>
    <n v="3"/>
    <n v="3"/>
    <s v="CRAP"/>
    <d v="2001-09-25T00:00:00"/>
    <d v="2002-03-08T00:00:00"/>
    <d v="2002-03-30T00:00:00"/>
    <d v="2002-03-30T00:00:00"/>
    <d v="2002-03-30T00:00:00"/>
    <d v="2002-03-30T00:00:00"/>
    <s v="OTIF FAIL"/>
    <n v="4"/>
    <s v="1210_FG_CRC"/>
    <x v="9"/>
    <n v="1"/>
    <m/>
  </r>
  <r>
    <s v="0558114369-1"/>
    <s v="CST"/>
    <n v="0.8"/>
    <n v="1250"/>
    <n v="2510"/>
    <n v="32"/>
    <n v="32"/>
    <s v="CRAP"/>
    <d v="2001-08-21T00:00:00"/>
    <d v="2002-03-07T00:00:00"/>
    <d v="2002-04-02T00:00:00"/>
    <d v="2002-04-02T00:00:00"/>
    <d v="2002-04-02T00:00:00"/>
    <d v="2002-04-02T00:00:00"/>
    <s v="OTIF FAIL"/>
    <n v="1"/>
    <s v="1210_FG_CRC"/>
    <x v="6"/>
    <n v="1"/>
    <m/>
  </r>
  <r>
    <s v="0558115325-2"/>
    <s v="CRC"/>
    <n v="1.2"/>
    <n v="1250"/>
    <n v="2280"/>
    <n v="3"/>
    <n v="3"/>
    <s v="CRAP"/>
    <d v="2001-08-29T00:00:00"/>
    <d v="2002-03-08T00:00:00"/>
    <d v="2002-03-29T00:00:00"/>
    <d v="2002-03-29T00:00:00"/>
    <d v="2002-03-29T00:00:00"/>
    <d v="2002-03-29T00:00:00"/>
    <s v="OTIF FAIL"/>
    <n v="2"/>
    <s v="1210_FG_CRC"/>
    <x v="9"/>
    <n v="1"/>
    <m/>
  </r>
  <r>
    <s v="0558113702-3"/>
    <s v="HRC"/>
    <n v="0.8"/>
    <n v="1250"/>
    <n v="2500"/>
    <n v="3"/>
    <n v="3"/>
    <s v="CRAP"/>
    <d v="2001-08-11T00:00:00"/>
    <d v="2002-03-06T00:00:00"/>
    <d v="2002-03-30T00:00:00"/>
    <d v="2002-03-30T00:00:00"/>
    <d v="2002-03-30T00:00:00"/>
    <d v="2002-03-30T00:00:00"/>
    <s v="OTIF FAIL"/>
    <n v="3"/>
    <s v="1210_FG_CRC"/>
    <x v="9"/>
    <n v="1"/>
    <m/>
  </r>
  <r>
    <s v="0558112473-3"/>
    <s v="CST"/>
    <n v="0.8"/>
    <n v="1000"/>
    <n v="2500"/>
    <n v="12"/>
    <n v="4.8179999999999996"/>
    <s v="CRAP"/>
    <d v="2001-09-25T00:00:00"/>
    <d v="2002-03-10T00:00:00"/>
    <d v="2002-04-05T00:00:00"/>
    <d v="2002-04-05T00:00:00"/>
    <d v="2002-04-05T00:00:00"/>
    <d v="2002-04-05T00:00:00"/>
    <s v="OTIF FAIL"/>
    <n v="3"/>
    <s v="1210_FG_CRC"/>
    <x v="6"/>
    <n v="0"/>
    <m/>
  </r>
  <r>
    <s v="0558112539-6"/>
    <s v="HRC"/>
    <n v="0.8"/>
    <n v="1250"/>
    <n v="2500"/>
    <n v="3"/>
    <n v="3"/>
    <s v="CRAP"/>
    <d v="2001-09-25T00:00:00"/>
    <d v="2002-03-10T00:00:00"/>
    <d v="2002-03-30T00:00:00"/>
    <d v="2002-03-30T00:00:00"/>
    <d v="2002-03-30T00:00:00"/>
    <d v="2002-03-30T00:00:00"/>
    <s v="OTIF FAIL"/>
    <n v="6"/>
    <s v="1210_FG_CRC"/>
    <x v="9"/>
    <n v="1"/>
    <m/>
  </r>
  <r>
    <s v="0558115276-2"/>
    <s v="CST"/>
    <n v="0.8"/>
    <n v="1250"/>
    <n v="2500"/>
    <n v="9"/>
    <n v="9"/>
    <s v="CRAP"/>
    <d v="2001-08-27T00:00:00"/>
    <d v="2002-02-26T00:00:00"/>
    <d v="2002-04-01T00:00:00"/>
    <d v="2002-04-01T00:00:00"/>
    <d v="2002-04-01T00:00:00"/>
    <d v="2002-04-07T00:00:00"/>
    <s v="OTIF FAIL"/>
    <n v="2"/>
    <s v="1210_FG_CRC"/>
    <x v="7"/>
    <n v="1"/>
    <m/>
  </r>
  <r>
    <s v="0569022882-2"/>
    <s v="CRC"/>
    <n v="1.2"/>
    <n v="1250"/>
    <n v="2500"/>
    <n v="28"/>
    <n v="20.262"/>
    <s v="CRAP"/>
    <d v="2001-08-03T00:00:00"/>
    <d v="2002-03-09T00:00:00"/>
    <d v="2002-03-20T00:00:00"/>
    <d v="2002-03-20T00:00:00"/>
    <d v="2002-03-27T00:00:00"/>
    <d v="2002-03-29T00:00:00"/>
    <s v="OTIF FAIL"/>
    <n v="2"/>
    <s v="1210_FG_CRC"/>
    <x v="9"/>
    <n v="0"/>
    <m/>
  </r>
  <r>
    <s v="0569022881-5"/>
    <s v="CST"/>
    <n v="0.8"/>
    <n v="1250"/>
    <n v="2500"/>
    <n v="7"/>
    <n v="7"/>
    <s v="CRAP"/>
    <d v="2001-08-03T00:00:00"/>
    <d v="2002-02-27T00:00:00"/>
    <d v="2002-03-25T00:00:00"/>
    <d v="2002-03-25T00:00:00"/>
    <d v="2002-03-18T00:00:00"/>
    <d v="2002-03-18T00:00:00"/>
    <s v="OTIF FAIL"/>
    <n v="5"/>
    <s v="1210_FG_CRC"/>
    <x v="0"/>
    <n v="1"/>
    <m/>
  </r>
  <r>
    <s v="0558114721-1"/>
    <s v="HPC"/>
    <n v="0.8"/>
    <n v="1250"/>
    <n v="2500"/>
    <n v="12"/>
    <n v="12"/>
    <s v="CRAP"/>
    <d v="2001-08-23T00:00:00"/>
    <d v="2002-03-07T00:00:00"/>
    <d v="2002-04-08T00:00:00"/>
    <d v="2002-04-08T00:00:00"/>
    <d v="2002-04-07T00:00:00"/>
    <d v="2002-04-07T00:00:00"/>
    <s v="OTIF FAIL"/>
    <n v="1"/>
    <s v="1210_FG_CRC"/>
    <x v="7"/>
    <n v="1"/>
    <m/>
  </r>
  <r>
    <s v="0558113648-2"/>
    <s v="CRC"/>
    <n v="0.8"/>
    <n v="1250"/>
    <n v="2500"/>
    <n v="5"/>
    <n v="5"/>
    <s v="CRAP"/>
    <d v="2001-08-07T00:00:00"/>
    <d v="2002-03-06T00:00:00"/>
    <d v="2002-03-30T00:00:00"/>
    <d v="2002-03-30T00:00:00"/>
    <d v="2002-03-30T00:00:00"/>
    <d v="2002-03-30T00:00:00"/>
    <s v="OTIF FAIL"/>
    <n v="2"/>
    <s v="1210_FG_CRC"/>
    <x v="9"/>
    <n v="1"/>
    <m/>
  </r>
  <r>
    <s v="0569022880-3"/>
    <s v="CST"/>
    <n v="1.2"/>
    <n v="1250"/>
    <n v="2500"/>
    <n v="12"/>
    <n v="2.6539999999999999"/>
    <s v="CRAP"/>
    <d v="2001-08-03T00:00:00"/>
    <d v="2002-03-09T00:00:00"/>
    <d v="2002-03-29T00:00:00"/>
    <d v="2002-03-29T00:00:00"/>
    <d v="2002-03-29T00:00:00"/>
    <d v="2002-03-29T00:00:00"/>
    <s v="OTIF FAIL"/>
    <n v="3"/>
    <s v="1210_FG_CRC"/>
    <x v="9"/>
    <n v="0"/>
    <m/>
  </r>
  <r>
    <s v="0558111004-1"/>
    <s v="CST"/>
    <n v="1.2"/>
    <n v="1000"/>
    <n v="2500"/>
    <n v="10"/>
    <n v="10"/>
    <s v="CRAP"/>
    <d v="2001-09-25T00:00:00"/>
    <d v="2002-03-04T00:00:00"/>
    <d v="2002-03-13T00:00:00"/>
    <d v="2002-03-13T00:00:00"/>
    <d v="2002-03-12T00:00:00"/>
    <d v="2002-03-12T00:00:00"/>
    <s v="OTIF FAIL"/>
    <n v="1"/>
    <s v="1210_FG_CRC"/>
    <x v="3"/>
    <n v="1"/>
    <m/>
  </r>
  <r>
    <s v="0558113685-1"/>
    <s v="CST"/>
    <n v="0.8"/>
    <n v="1250"/>
    <n v="2510"/>
    <n v="40"/>
    <n v="40"/>
    <s v="CRAP"/>
    <d v="2001-08-07T00:00:00"/>
    <d v="2002-03-06T00:00:00"/>
    <d v="2002-03-26T00:00:00"/>
    <d v="2002-04-01T00:00:00"/>
    <d v="2002-04-02T00:00:00"/>
    <d v="2002-04-02T00:00:00"/>
    <s v="OTIF FAIL"/>
    <n v="1"/>
    <s v="1210_FG_CRC"/>
    <x v="6"/>
    <n v="1"/>
    <m/>
  </r>
  <r>
    <s v="0558114105-1"/>
    <s v="CST"/>
    <n v="0.8"/>
    <n v="1250"/>
    <n v="2500"/>
    <n v="30"/>
    <n v="30"/>
    <s v="CRAP"/>
    <d v="2001-08-16T00:00:00"/>
    <d v="2002-03-07T00:00:00"/>
    <d v="2002-04-01T00:00:00"/>
    <d v="2002-04-01T00:00:00"/>
    <d v="2002-04-01T00:00:00"/>
    <d v="2002-04-08T00:00:00"/>
    <s v="OTIF FAIL"/>
    <n v="1"/>
    <s v="1210_FG_CRC"/>
    <x v="7"/>
    <n v="1"/>
    <m/>
  </r>
  <r>
    <s v="0558114102-1"/>
    <s v="CRC"/>
    <n v="1"/>
    <n v="1250"/>
    <n v="2350"/>
    <n v="6"/>
    <n v="6"/>
    <s v="CRAP"/>
    <d v="2001-08-16T00:00:00"/>
    <d v="2002-03-07T00:00:00"/>
    <d v="2002-04-19T00:00:00"/>
    <d v="2002-04-19T00:00:00"/>
    <d v="2002-04-15T00:00:00"/>
    <d v="2002-04-16T00:00:00"/>
    <s v="OTIF FAIL"/>
    <n v="1"/>
    <s v="1210_FG_CRC"/>
    <x v="15"/>
    <n v="1"/>
    <m/>
  </r>
  <r>
    <s v="0558113804-3"/>
    <s v="CST"/>
    <n v="1.2"/>
    <n v="1250"/>
    <n v="2500"/>
    <n v="15"/>
    <n v="15"/>
    <s v="CRAP"/>
    <d v="2001-08-11T00:00:00"/>
    <d v="2002-03-06T00:00:00"/>
    <s v="-"/>
    <s v="-"/>
    <d v="2002-03-24T00:00:00"/>
    <d v="2002-03-24T00:00:00"/>
    <s v="OTIF FAIL"/>
    <n v="3"/>
    <s v="1210_FG_CRC"/>
    <x v="9"/>
    <n v="1"/>
    <m/>
  </r>
  <r>
    <s v="0558113745-1"/>
    <s v="HRC"/>
    <n v="0.6"/>
    <n v="1250"/>
    <n v="2500"/>
    <n v="3"/>
    <n v="3"/>
    <s v="CRAP"/>
    <d v="2001-08-11T00:00:00"/>
    <d v="2002-03-06T00:00:00"/>
    <d v="2002-04-29T00:00:00"/>
    <d v="2002-04-29T00:00:00"/>
    <d v="2002-04-22T00:00:00"/>
    <d v="2002-04-22T00:00:00"/>
    <s v="OTIF FAIL"/>
    <n v="1"/>
    <s v="1210_FG_CRC"/>
    <x v="2"/>
    <n v="1"/>
    <m/>
  </r>
  <r>
    <s v="0558110642-2"/>
    <s v="HRC"/>
    <n v="0.6"/>
    <n v="1250"/>
    <n v="2500"/>
    <n v="3"/>
    <n v="3"/>
    <s v="CRAP"/>
    <d v="2001-09-25T00:00:00"/>
    <d v="2002-03-04T00:00:00"/>
    <s v="-"/>
    <s v="-"/>
    <d v="2002-03-22T00:00:00"/>
    <d v="2002-03-22T00:00:00"/>
    <s v="OTIF FAIL"/>
    <n v="2"/>
    <s v="1210_FG_CRC"/>
    <x v="0"/>
    <n v="1"/>
    <m/>
  </r>
  <r>
    <s v="0558113749-1"/>
    <s v="CST"/>
    <n v="0.6"/>
    <n v="1250"/>
    <n v="2500"/>
    <n v="3"/>
    <n v="3"/>
    <s v="CRAP"/>
    <d v="2001-08-11T00:00:00"/>
    <d v="2002-03-06T00:00:00"/>
    <d v="2002-04-29T00:00:00"/>
    <d v="2002-04-29T00:00:00"/>
    <d v="2002-04-22T00:00:00"/>
    <d v="2002-04-22T00:00:00"/>
    <s v="OTIF FAIL"/>
    <n v="1"/>
    <s v="1210_FG_CRC"/>
    <x v="2"/>
    <n v="1"/>
    <m/>
  </r>
  <r>
    <s v="0558113804-1"/>
    <s v="CRC"/>
    <n v="1"/>
    <n v="1250"/>
    <n v="2500"/>
    <n v="15"/>
    <n v="15"/>
    <s v="CRAP"/>
    <d v="2001-08-11T00:00:00"/>
    <d v="2002-03-06T00:00:00"/>
    <s v="-"/>
    <s v="-"/>
    <d v="2002-03-24T00:00:00"/>
    <d v="2002-03-24T00:00:00"/>
    <s v="OTIF FAIL"/>
    <n v="1"/>
    <s v="1210_FG_CRC"/>
    <x v="9"/>
    <n v="1"/>
    <m/>
  </r>
  <r>
    <s v="0558113585-1"/>
    <s v="HRC"/>
    <n v="0.6"/>
    <n v="1250"/>
    <n v="2500"/>
    <n v="3"/>
    <n v="3"/>
    <s v="CRAP"/>
    <d v="2001-08-07T00:00:00"/>
    <d v="2002-03-06T00:00:00"/>
    <d v="2002-04-29T00:00:00"/>
    <d v="2002-04-29T00:00:00"/>
    <d v="2002-04-22T00:00:00"/>
    <d v="2002-04-22T00:00:00"/>
    <s v="OTIF FAIL"/>
    <n v="1"/>
    <s v="1210_FG_CRC"/>
    <x v="2"/>
    <n v="1"/>
    <m/>
  </r>
  <r>
    <s v="0558113595-3"/>
    <s v="CST"/>
    <n v="1"/>
    <n v="1250"/>
    <n v="2350"/>
    <n v="3"/>
    <n v="3"/>
    <s v="CRAP"/>
    <d v="2001-08-07T00:00:00"/>
    <d v="2002-03-06T00:00:00"/>
    <d v="2002-04-19T00:00:00"/>
    <d v="2002-04-19T00:00:00"/>
    <d v="2002-04-15T00:00:00"/>
    <d v="2002-04-16T00:00:00"/>
    <s v="OTIF FAIL"/>
    <n v="3"/>
    <s v="1210_FG_CRC"/>
    <x v="15"/>
    <n v="1"/>
    <m/>
  </r>
  <r>
    <s v="0558115601-1"/>
    <s v="CRC"/>
    <n v="1.2"/>
    <n v="1000"/>
    <n v="2000"/>
    <n v="3"/>
    <n v="3"/>
    <s v="CRAP"/>
    <d v="2001-08-29T00:00:00"/>
    <d v="2002-03-08T00:00:00"/>
    <s v="-"/>
    <s v="-"/>
    <d v="2002-03-20T00:00:00"/>
    <d v="2002-03-20T00:00:00"/>
    <s v="OTIF FAIL"/>
    <n v="1"/>
    <s v="1210_FG_CRC"/>
    <x v="0"/>
    <n v="1"/>
    <m/>
  </r>
  <r>
    <s v="0558112001-19"/>
    <s v="HPC"/>
    <n v="1.2"/>
    <n v="1250"/>
    <n v="2350"/>
    <n v="9"/>
    <n v="9"/>
    <s v="CRAP"/>
    <d v="2001-09-25T00:00:00"/>
    <d v="2002-03-10T00:00:00"/>
    <d v="2002-04-23T00:00:00"/>
    <d v="2002-04-23T00:00:00"/>
    <d v="2002-03-22T00:00:00"/>
    <d v="2002-03-31T00:00:00"/>
    <s v="OTIF FAIL"/>
    <n v="19"/>
    <s v="1210_FG_CRC"/>
    <x v="6"/>
    <n v="1"/>
    <m/>
  </r>
  <r>
    <s v="0569022772-2"/>
    <s v="HRC"/>
    <n v="1.5"/>
    <n v="1250"/>
    <n v="2500"/>
    <n v="248"/>
    <n v="248"/>
    <s v="CRAP"/>
    <d v="2001-09-25T00:00:00"/>
    <d v="2002-03-10T00:00:00"/>
    <d v="2002-04-24T00:00:00"/>
    <d v="2002-04-24T00:00:00"/>
    <d v="2002-04-21T00:00:00"/>
    <d v="2002-04-21T00:00:00"/>
    <s v="OTIF FAIL"/>
    <n v="2"/>
    <s v="1210_FG_CRC"/>
    <x v="2"/>
    <n v="1"/>
    <m/>
  </r>
  <r>
    <s v="0558115430-3"/>
    <s v="CST"/>
    <n v="1.2"/>
    <n v="1250"/>
    <n v="2050"/>
    <n v="3"/>
    <n v="3"/>
    <s v="CRAP"/>
    <d v="2001-08-29T00:00:00"/>
    <d v="2002-03-08T00:00:00"/>
    <s v="-"/>
    <s v="-"/>
    <d v="2002-03-22T00:00:00"/>
    <d v="2002-03-22T00:00:00"/>
    <s v="OTIF FAIL"/>
    <n v="3"/>
    <s v="1210_FG_CRC"/>
    <x v="0"/>
    <n v="1"/>
    <m/>
  </r>
  <r>
    <s v="0558115427-1"/>
    <s v="CST"/>
    <n v="1.2"/>
    <n v="1250"/>
    <n v="2350"/>
    <n v="6"/>
    <n v="6"/>
    <s v="CRAP"/>
    <d v="2001-08-29T00:00:00"/>
    <d v="2002-02-20T00:00:00"/>
    <d v="2002-04-23T00:00:00"/>
    <d v="2002-04-23T00:00:00"/>
    <d v="2002-03-21T00:00:00"/>
    <d v="2002-03-31T00:00:00"/>
    <s v="OTIF FAIL"/>
    <n v="1"/>
    <s v="1210_FG_CRC"/>
    <x v="6"/>
    <n v="1"/>
    <m/>
  </r>
  <r>
    <s v="0558115327-1"/>
    <s v="CST"/>
    <n v="1.2"/>
    <n v="1250"/>
    <n v="2280"/>
    <n v="3"/>
    <n v="3"/>
    <s v="CRAP"/>
    <d v="2001-08-29T00:00:00"/>
    <d v="2002-03-08T00:00:00"/>
    <s v="-"/>
    <s v="-"/>
    <d v="2002-03-22T00:00:00"/>
    <d v="2002-03-22T00:00:00"/>
    <s v="OTIF FAIL"/>
    <n v="1"/>
    <s v="1210_FG_CRC"/>
    <x v="0"/>
    <n v="1"/>
    <m/>
  </r>
  <r>
    <s v="0558115316-4"/>
    <s v="CST"/>
    <n v="3"/>
    <n v="1250"/>
    <n v="2500"/>
    <n v="3"/>
    <n v="3"/>
    <s v="CRAP"/>
    <d v="2001-08-29T00:00:00"/>
    <d v="2002-02-26T00:00:00"/>
    <d v="2002-04-16T00:00:00"/>
    <d v="2002-04-16T00:00:00"/>
    <d v="2002-04-16T00:00:00"/>
    <d v="2002-04-16T00:00:00"/>
    <s v="OTIF FAIL"/>
    <n v="4"/>
    <s v="1210_FG_CRC"/>
    <x v="15"/>
    <n v="1"/>
    <m/>
  </r>
  <r>
    <s v="0558115253-1"/>
    <s v="CST"/>
    <n v="1.2"/>
    <n v="1250"/>
    <n v="2500"/>
    <n v="6"/>
    <n v="6"/>
    <s v="CRAP"/>
    <d v="2001-08-27T00:00:00"/>
    <d v="2002-02-23T00:00:00"/>
    <d v="2002-04-23T00:00:00"/>
    <d v="2002-04-23T00:00:00"/>
    <d v="2002-03-21T00:00:00"/>
    <d v="2002-05-09T00:00:00"/>
    <s v="OTIF FAIL"/>
    <n v="1"/>
    <s v="1210_FG_CRC"/>
    <x v="19"/>
    <n v="1"/>
    <m/>
  </r>
  <r>
    <s v="0558114963-1"/>
    <s v="HRC"/>
    <n v="0.6"/>
    <n v="1250"/>
    <n v="2500"/>
    <n v="3"/>
    <n v="3"/>
    <s v="CRAP"/>
    <d v="2001-08-29T00:00:00"/>
    <d v="2002-03-08T00:00:00"/>
    <d v="2002-04-29T00:00:00"/>
    <d v="2002-04-29T00:00:00"/>
    <d v="2002-04-22T00:00:00"/>
    <d v="2002-04-22T00:00:00"/>
    <s v="OTIF FAIL"/>
    <n v="1"/>
    <s v="1210_FG_CRC"/>
    <x v="2"/>
    <n v="1"/>
    <m/>
  </r>
  <r>
    <s v="0558114830-1"/>
    <s v="HPC"/>
    <n v="1.2"/>
    <n v="1000"/>
    <n v="2000"/>
    <n v="3"/>
    <n v="3"/>
    <s v="CRAP"/>
    <d v="2001-08-25T00:00:00"/>
    <d v="2002-03-07T00:00:00"/>
    <d v="2002-04-26T00:00:00"/>
    <d v="2002-04-26T00:00:00"/>
    <d v="2002-03-19T00:00:00"/>
    <d v="2002-03-20T00:00:00"/>
    <s v="OTIF FAIL"/>
    <n v="1"/>
    <s v="1210_FG_CRC"/>
    <x v="0"/>
    <n v="1"/>
    <m/>
  </r>
  <r>
    <s v="0558114829-3"/>
    <s v="HRC"/>
    <n v="1"/>
    <n v="1250"/>
    <n v="2350"/>
    <n v="6"/>
    <n v="6"/>
    <s v="CRAP"/>
    <d v="2001-08-25T00:00:00"/>
    <d v="2002-03-07T00:00:00"/>
    <d v="2002-04-19T00:00:00"/>
    <d v="2002-04-19T00:00:00"/>
    <d v="2002-04-15T00:00:00"/>
    <d v="2002-04-16T00:00:00"/>
    <s v="OTIF FAIL"/>
    <n v="3"/>
    <s v="1210_FG_CRC"/>
    <x v="15"/>
    <n v="1"/>
    <m/>
  </r>
  <r>
    <s v="0558114827-3"/>
    <s v="CRC"/>
    <n v="1"/>
    <n v="1250"/>
    <n v="2350"/>
    <n v="3"/>
    <n v="3"/>
    <s v="CRAP"/>
    <d v="2001-08-25T00:00:00"/>
    <d v="2002-03-07T00:00:00"/>
    <d v="2002-04-19T00:00:00"/>
    <d v="2002-04-19T00:00:00"/>
    <d v="2002-04-15T00:00:00"/>
    <d v="2002-04-16T00:00:00"/>
    <s v="OTIF FAIL"/>
    <n v="3"/>
    <s v="1210_FG_CRC"/>
    <x v="15"/>
    <n v="1"/>
    <m/>
  </r>
  <r>
    <s v="0558114816-4"/>
    <s v="HRC"/>
    <n v="0.6"/>
    <n v="1250"/>
    <n v="2500"/>
    <n v="6"/>
    <n v="6"/>
    <s v="CRAP"/>
    <d v="2001-08-25T00:00:00"/>
    <d v="2002-03-07T00:00:00"/>
    <s v="-"/>
    <s v="-"/>
    <d v="2002-04-22T00:00:00"/>
    <d v="2002-04-22T00:00:00"/>
    <s v="OTIF FAIL"/>
    <n v="4"/>
    <s v="1210_FG_CRC"/>
    <x v="2"/>
    <n v="1"/>
    <m/>
  </r>
  <r>
    <s v="0558114014-1"/>
    <s v="CST"/>
    <n v="2"/>
    <n v="1250"/>
    <n v="2500"/>
    <n v="3"/>
    <n v="3"/>
    <s v="CRAP"/>
    <d v="2001-08-16T00:00:00"/>
    <d v="2002-03-06T00:00:00"/>
    <d v="2002-05-03T00:00:00"/>
    <d v="2002-05-03T00:00:00"/>
    <d v="2002-04-15T00:00:00"/>
    <d v="2002-04-15T00:00:00"/>
    <s v="OTIF FAIL"/>
    <n v="1"/>
    <s v="1210_FG_CRC"/>
    <x v="15"/>
    <n v="1"/>
    <m/>
  </r>
  <r>
    <s v="0558113329-2"/>
    <s v="CST"/>
    <n v="1.2"/>
    <n v="1250"/>
    <n v="2350"/>
    <n v="9"/>
    <n v="9"/>
    <s v="CRAP"/>
    <d v="2001-08-05T00:00:00"/>
    <d v="2002-03-05T00:00:00"/>
    <d v="2002-04-23T00:00:00"/>
    <d v="2002-04-23T00:00:00"/>
    <d v="2002-03-22T00:00:00"/>
    <d v="2002-03-31T00:00:00"/>
    <s v="OTIF FAIL"/>
    <n v="2"/>
    <s v="1210_FG_CRC"/>
    <x v="6"/>
    <n v="1"/>
    <m/>
  </r>
  <r>
    <s v="0558113305-1"/>
    <s v="CST"/>
    <n v="2"/>
    <n v="1250"/>
    <n v="2500"/>
    <n v="3"/>
    <n v="3"/>
    <s v="CRAP"/>
    <d v="2001-08-05T00:00:00"/>
    <d v="2002-03-05T00:00:00"/>
    <d v="2002-05-03T00:00:00"/>
    <d v="2002-05-03T00:00:00"/>
    <d v="2002-04-15T00:00:00"/>
    <d v="2002-04-15T00:00:00"/>
    <s v="OTIF FAIL"/>
    <n v="1"/>
    <s v="1210_FG_CRC"/>
    <x v="15"/>
    <n v="1"/>
    <m/>
  </r>
  <r>
    <s v="0558113305-2"/>
    <s v="CRC"/>
    <n v="3"/>
    <n v="1250"/>
    <n v="2500"/>
    <n v="6"/>
    <n v="6"/>
    <s v="CRAP"/>
    <d v="2001-08-05T00:00:00"/>
    <d v="2002-03-05T00:00:00"/>
    <d v="2002-04-16T00:00:00"/>
    <d v="2002-04-16T00:00:00"/>
    <d v="2002-04-16T00:00:00"/>
    <d v="2002-04-16T00:00:00"/>
    <s v="OTIF FAIL"/>
    <n v="2"/>
    <s v="1210_FG_CRC"/>
    <x v="15"/>
    <n v="1"/>
    <m/>
  </r>
  <r>
    <s v="0558113279-3"/>
    <s v="CRC"/>
    <n v="1"/>
    <n v="1250"/>
    <n v="2350"/>
    <n v="6"/>
    <n v="6"/>
    <s v="CRAP"/>
    <d v="2001-08-05T00:00:00"/>
    <d v="2002-03-05T00:00:00"/>
    <d v="2002-04-19T00:00:00"/>
    <d v="2002-04-19T00:00:00"/>
    <d v="2002-04-15T00:00:00"/>
    <d v="2002-04-16T00:00:00"/>
    <s v="OTIF FAIL"/>
    <n v="3"/>
    <s v="1210_FG_CRC"/>
    <x v="15"/>
    <n v="1"/>
    <m/>
  </r>
  <r>
    <s v="0558113279-2"/>
    <s v="NFA"/>
    <n v="0.6"/>
    <n v="1250"/>
    <n v="2500"/>
    <n v="6"/>
    <n v="6"/>
    <s v="CRAP"/>
    <d v="2001-08-05T00:00:00"/>
    <d v="2002-03-05T00:00:00"/>
    <d v="2002-04-29T00:00:00"/>
    <d v="2002-04-29T00:00:00"/>
    <d v="2002-04-22T00:00:00"/>
    <d v="2002-04-22T00:00:00"/>
    <s v="OTIF FAIL"/>
    <n v="2"/>
    <s v="1210_FG_CRC"/>
    <x v="2"/>
    <n v="1"/>
    <m/>
  </r>
  <r>
    <s v="0558113277-4"/>
    <s v="CST"/>
    <n v="0.6"/>
    <n v="1250"/>
    <n v="2500"/>
    <n v="3"/>
    <n v="3"/>
    <s v="CRAP"/>
    <d v="2001-09-25T00:00:00"/>
    <d v="2002-03-10T00:00:00"/>
    <d v="2002-04-29T00:00:00"/>
    <d v="2002-04-29T00:00:00"/>
    <d v="2002-04-22T00:00:00"/>
    <d v="2002-04-22T00:00:00"/>
    <s v="OTIF FAIL"/>
    <n v="4"/>
    <s v="1210_FG_CRC"/>
    <x v="2"/>
    <n v="1"/>
    <m/>
  </r>
  <r>
    <s v="0558113277-5"/>
    <s v="PSS"/>
    <n v="1.2"/>
    <n v="1250"/>
    <n v="2500"/>
    <n v="3"/>
    <n v="3"/>
    <s v="CRAP"/>
    <d v="2001-09-25T00:00:00"/>
    <d v="2002-03-05T00:00:00"/>
    <d v="2002-04-23T00:00:00"/>
    <d v="2002-04-23T00:00:00"/>
    <d v="2002-03-22T00:00:00"/>
    <d v="2002-03-24T00:00:00"/>
    <s v="OTIF FAIL"/>
    <n v="5"/>
    <s v="1210_FG_CRC"/>
    <x v="9"/>
    <n v="1"/>
    <m/>
  </r>
  <r>
    <s v="0558113274-2"/>
    <s v="HRC"/>
    <n v="0.8"/>
    <n v="1250"/>
    <n v="2030"/>
    <n v="6"/>
    <n v="6"/>
    <s v="CRAP"/>
    <d v="2001-08-05T00:00:00"/>
    <d v="2002-03-05T00:00:00"/>
    <d v="2002-04-10T00:00:00"/>
    <d v="2002-04-10T00:00:00"/>
    <d v="2002-04-08T00:00:00"/>
    <d v="2002-04-08T00:00:00"/>
    <s v="OTIF FAIL"/>
    <n v="2"/>
    <s v="1210_FG_CRC"/>
    <x v="7"/>
    <n v="1"/>
    <m/>
  </r>
  <r>
    <s v="0558113115-6"/>
    <s v="CRC"/>
    <n v="0.6"/>
    <n v="1250"/>
    <n v="2500"/>
    <n v="3"/>
    <n v="3"/>
    <s v="CRAP"/>
    <d v="2001-08-05T00:00:00"/>
    <d v="2002-03-05T00:00:00"/>
    <d v="2002-04-29T00:00:00"/>
    <d v="2002-04-29T00:00:00"/>
    <d v="2002-04-22T00:00:00"/>
    <d v="2002-04-22T00:00:00"/>
    <s v="OTIF FAIL"/>
    <n v="6"/>
    <s v="1210_FG_CRC"/>
    <x v="2"/>
    <n v="1"/>
    <m/>
  </r>
  <r>
    <s v="0569022772-8"/>
    <s v="HPC"/>
    <n v="1"/>
    <n v="1250"/>
    <n v="2300"/>
    <n v="51"/>
    <n v="51"/>
    <s v="CRAP"/>
    <d v="2001-09-25T00:00:00"/>
    <d v="2002-03-10T00:00:00"/>
    <d v="2002-03-20T00:00:00"/>
    <d v="2002-03-20T00:00:00"/>
    <d v="2002-03-27T00:00:00"/>
    <d v="2002-03-27T00:00:00"/>
    <s v="OTIF FAIL"/>
    <n v="8"/>
    <s v="1210_FG_CRC"/>
    <x v="9"/>
    <n v="1"/>
    <m/>
  </r>
  <r>
    <s v="0568012907-1"/>
    <s v="NFA"/>
    <n v="1.2"/>
    <n v="1250"/>
    <n v="3048"/>
    <n v="20"/>
    <n v="20"/>
    <s v="CRAP"/>
    <d v="2002-04-22T00:00:00"/>
    <d v="2002-05-07T00:00:00"/>
    <s v="-"/>
    <s v="-"/>
    <s v="-"/>
    <d v="2002-03-13T00:00:00"/>
    <s v="OTIF FAIL"/>
    <n v="1"/>
    <s v="1210_FG_CRC"/>
    <x v="3"/>
    <n v="0"/>
    <m/>
  </r>
  <r>
    <s v="0558111251-1"/>
    <s v="HPC"/>
    <n v="1.2"/>
    <n v="1250"/>
    <n v="2050"/>
    <n v="6"/>
    <n v="6"/>
    <s v="CRAP"/>
    <d v="2001-09-25T00:00:00"/>
    <d v="2002-03-04T00:00:00"/>
    <s v="-"/>
    <s v="-"/>
    <d v="2002-03-22T00:00:00"/>
    <d v="2002-03-22T00:00:00"/>
    <s v="OTIF FAIL"/>
    <n v="1"/>
    <s v="1210_FG_CRC"/>
    <x v="0"/>
    <n v="1"/>
    <m/>
  </r>
  <r>
    <s v="0558112933-3"/>
    <s v="HRC"/>
    <n v="0.6"/>
    <n v="1250"/>
    <n v="2500"/>
    <n v="3"/>
    <n v="3"/>
    <s v="CRAP"/>
    <d v="2001-09-25T00:00:00"/>
    <d v="2002-03-05T00:00:00"/>
    <d v="2002-04-29T00:00:00"/>
    <d v="2002-04-29T00:00:00"/>
    <d v="2002-04-22T00:00:00"/>
    <d v="2002-04-22T00:00:00"/>
    <s v="OTIF FAIL"/>
    <n v="3"/>
    <s v="1210_FG_CRC"/>
    <x v="2"/>
    <n v="1"/>
    <m/>
  </r>
  <r>
    <s v="0558112961-1"/>
    <s v="CRC"/>
    <n v="0.8"/>
    <n v="1250"/>
    <n v="2500"/>
    <n v="6"/>
    <n v="6"/>
    <s v="CRAP"/>
    <d v="2001-09-25T00:00:00"/>
    <d v="2002-03-05T00:00:00"/>
    <d v="2002-04-08T00:00:00"/>
    <d v="2002-04-08T00:00:00"/>
    <d v="2002-04-08T00:00:00"/>
    <d v="2002-04-08T00:00:00"/>
    <s v="OTIF FAIL"/>
    <n v="1"/>
    <s v="1210_FG_CRC"/>
    <x v="7"/>
    <n v="1"/>
    <m/>
  </r>
  <r>
    <s v="0558112925-1"/>
    <s v="CRC"/>
    <n v="1"/>
    <n v="1250"/>
    <n v="2350"/>
    <n v="3"/>
    <n v="3"/>
    <s v="CRAP"/>
    <d v="2001-09-25T00:00:00"/>
    <d v="2002-03-05T00:00:00"/>
    <d v="2002-04-19T00:00:00"/>
    <d v="2002-04-19T00:00:00"/>
    <d v="2002-04-15T00:00:00"/>
    <d v="2002-04-16T00:00:00"/>
    <s v="OTIF FAIL"/>
    <n v="1"/>
    <s v="1210_FG_CRC"/>
    <x v="15"/>
    <n v="1"/>
    <m/>
  </r>
  <r>
    <s v="0558112473-4"/>
    <s v="HRC"/>
    <n v="0.6"/>
    <n v="1250"/>
    <n v="2500"/>
    <n v="6"/>
    <n v="6"/>
    <s v="CRAP"/>
    <d v="2001-09-25T00:00:00"/>
    <d v="2002-03-05T00:00:00"/>
    <s v="-"/>
    <s v="-"/>
    <d v="2002-03-22T00:00:00"/>
    <d v="2002-03-22T00:00:00"/>
    <s v="OTIF FAIL"/>
    <n v="4"/>
    <s v="1210_FG_CRC"/>
    <x v="0"/>
    <n v="1"/>
    <m/>
  </r>
  <r>
    <s v="0558112395-8"/>
    <s v="CST"/>
    <n v="1.2"/>
    <n v="1250"/>
    <n v="2350"/>
    <n v="9"/>
    <n v="9"/>
    <s v="CRAP"/>
    <d v="2001-09-25T00:00:00"/>
    <d v="2002-03-05T00:00:00"/>
    <d v="2002-04-23T00:00:00"/>
    <d v="2002-04-23T00:00:00"/>
    <d v="2002-03-22T00:00:00"/>
    <d v="2002-03-31T00:00:00"/>
    <s v="OTIF FAIL"/>
    <n v="8"/>
    <s v="1210_FG_CRC"/>
    <x v="6"/>
    <n v="1"/>
    <m/>
  </r>
  <r>
    <s v="0558113828-6"/>
    <s v="CST"/>
    <n v="1.2"/>
    <n v="1250"/>
    <n v="2300"/>
    <n v="6"/>
    <n v="6"/>
    <s v="CRAP"/>
    <d v="2001-08-11T00:00:00"/>
    <d v="2002-03-06T00:00:00"/>
    <s v="-"/>
    <s v="-"/>
    <d v="2002-03-22T00:00:00"/>
    <d v="2002-03-22T00:00:00"/>
    <s v="OTIF FAIL"/>
    <n v="6"/>
    <s v="1210_FG_CRC"/>
    <x v="0"/>
    <n v="1"/>
    <m/>
  </r>
  <r>
    <s v="0558112313-2"/>
    <s v="CST"/>
    <n v="1"/>
    <n v="1250"/>
    <n v="2350"/>
    <n v="9"/>
    <n v="9"/>
    <s v="CRAP"/>
    <d v="2001-09-25T00:00:00"/>
    <d v="2002-03-05T00:00:00"/>
    <d v="2002-04-19T00:00:00"/>
    <d v="2002-04-19T00:00:00"/>
    <d v="2002-04-15T00:00:00"/>
    <d v="2002-04-16T00:00:00"/>
    <s v="OTIF FAIL"/>
    <n v="2"/>
    <s v="1210_FG_CRC"/>
    <x v="15"/>
    <n v="1"/>
    <m/>
  </r>
  <r>
    <s v="0569022773-3"/>
    <s v="CST"/>
    <n v="1"/>
    <n v="1250"/>
    <n v="2280"/>
    <n v="68"/>
    <n v="68"/>
    <s v="CRAP"/>
    <d v="2001-09-25T00:00:00"/>
    <d v="2002-03-10T00:00:00"/>
    <d v="2002-04-09T00:00:00"/>
    <d v="2002-04-09T00:00:00"/>
    <d v="2002-04-16T00:00:00"/>
    <d v="2002-04-16T00:00:00"/>
    <s v="OTIF FAIL"/>
    <n v="3"/>
    <s v="1210_FG_CRC"/>
    <x v="15"/>
    <n v="1"/>
    <m/>
  </r>
  <r>
    <s v="0558113617-1"/>
    <s v="CST"/>
    <n v="0.6"/>
    <n v="1250"/>
    <n v="2500"/>
    <n v="3"/>
    <n v="3"/>
    <s v="CRAP"/>
    <d v="2001-08-07T00:00:00"/>
    <d v="2002-03-06T00:00:00"/>
    <d v="2002-04-29T00:00:00"/>
    <d v="2002-04-29T00:00:00"/>
    <d v="2002-04-22T00:00:00"/>
    <d v="2002-04-22T00:00:00"/>
    <s v="OTIF FAIL"/>
    <n v="1"/>
    <s v="1210_FG_CRC"/>
    <x v="2"/>
    <n v="1"/>
    <m/>
  </r>
  <r>
    <s v="0558113774-3"/>
    <s v="CST"/>
    <n v="1.2"/>
    <n v="1250"/>
    <n v="2350"/>
    <n v="3"/>
    <n v="3"/>
    <s v="CRAP"/>
    <d v="2001-08-11T00:00:00"/>
    <d v="2002-03-06T00:00:00"/>
    <d v="2002-04-23T00:00:00"/>
    <d v="2002-04-23T00:00:00"/>
    <d v="2002-03-22T00:00:00"/>
    <d v="2002-03-31T00:00:00"/>
    <s v="OTIF FAIL"/>
    <n v="3"/>
    <s v="1210_FG_CRC"/>
    <x v="6"/>
    <n v="1"/>
    <m/>
  </r>
  <r>
    <s v="0558112291-1"/>
    <s v="CRC"/>
    <n v="1"/>
    <n v="1250"/>
    <n v="2350"/>
    <n v="3"/>
    <n v="3"/>
    <s v="CRAP"/>
    <d v="2001-09-25T00:00:00"/>
    <d v="2002-03-10T00:00:00"/>
    <d v="2002-04-19T00:00:00"/>
    <d v="2002-04-19T00:00:00"/>
    <d v="2002-04-15T00:00:00"/>
    <d v="2002-04-16T00:00:00"/>
    <s v="OTIF FAIL"/>
    <n v="1"/>
    <s v="1210_FG_CRC"/>
    <x v="15"/>
    <n v="1"/>
    <m/>
  </r>
  <r>
    <s v="0558112081-1"/>
    <s v="CST"/>
    <n v="1"/>
    <n v="1250"/>
    <n v="2350"/>
    <n v="3"/>
    <n v="3"/>
    <s v="CRAP"/>
    <d v="2001-09-25T00:00:00"/>
    <d v="2002-03-10T00:00:00"/>
    <d v="2002-04-19T00:00:00"/>
    <d v="2002-04-19T00:00:00"/>
    <d v="2002-04-15T00:00:00"/>
    <d v="2002-04-16T00:00:00"/>
    <s v="OTIF FAIL"/>
    <n v="1"/>
    <s v="1210_FG_CRC"/>
    <x v="15"/>
    <n v="1"/>
    <m/>
  </r>
  <r>
    <s v="0558112078-1"/>
    <s v="CST"/>
    <n v="1"/>
    <n v="1250"/>
    <n v="2350"/>
    <n v="3"/>
    <n v="3"/>
    <s v="CRAP"/>
    <d v="2001-09-25T00:00:00"/>
    <d v="2002-03-05T00:00:00"/>
    <d v="2002-04-19T00:00:00"/>
    <d v="2002-04-19T00:00:00"/>
    <d v="2002-04-15T00:00:00"/>
    <d v="2002-04-16T00:00:00"/>
    <s v="OTIF FAIL"/>
    <n v="1"/>
    <s v="1210_FG_CRC"/>
    <x v="15"/>
    <n v="1"/>
    <m/>
  </r>
  <r>
    <s v="0558111251-2"/>
    <s v="CST"/>
    <n v="1"/>
    <n v="1250"/>
    <n v="2050"/>
    <n v="6"/>
    <n v="6"/>
    <s v="CRAP"/>
    <d v="2001-09-25T00:00:00"/>
    <d v="2002-03-04T00:00:00"/>
    <d v="2002-04-19T00:00:00"/>
    <d v="2002-04-19T00:00:00"/>
    <d v="2002-04-15T00:00:00"/>
    <d v="2002-04-15T00:00:00"/>
    <s v="OTIF FAIL"/>
    <n v="2"/>
    <s v="1210_FG_CRC"/>
    <x v="15"/>
    <n v="1"/>
    <m/>
  </r>
  <r>
    <s v="0558111168-1"/>
    <s v="CST"/>
    <n v="1"/>
    <n v="1250"/>
    <n v="2350"/>
    <n v="3"/>
    <n v="3"/>
    <s v="CRAP"/>
    <d v="2001-09-25T00:00:00"/>
    <d v="2002-03-10T00:00:00"/>
    <d v="2002-04-19T00:00:00"/>
    <d v="2002-04-19T00:00:00"/>
    <d v="2002-04-15T00:00:00"/>
    <d v="2002-04-16T00:00:00"/>
    <s v="OTIF FAIL"/>
    <n v="1"/>
    <s v="1210_FG_CRC"/>
    <x v="15"/>
    <n v="1"/>
    <m/>
  </r>
  <r>
    <s v="0558109225-1"/>
    <s v="CRC"/>
    <n v="0.6"/>
    <n v="1250"/>
    <n v="2500"/>
    <n v="6"/>
    <n v="6"/>
    <s v="CRAP"/>
    <d v="2001-08-19T00:00:00"/>
    <d v="2002-02-25T00:00:00"/>
    <d v="2002-04-23T00:00:00"/>
    <d v="2002-04-23T00:00:00"/>
    <d v="2002-03-22T00:00:00"/>
    <d v="2002-03-22T00:00:00"/>
    <s v="OTIF FAIL"/>
    <n v="1"/>
    <s v="1210_FG_CRC"/>
    <x v="0"/>
    <n v="1"/>
    <m/>
  </r>
  <r>
    <s v="0558111155-1"/>
    <s v="CST"/>
    <n v="0.8"/>
    <n v="1250"/>
    <n v="2500"/>
    <n v="9"/>
    <n v="6.31"/>
    <s v="CRAP"/>
    <d v="2001-09-25T00:00:00"/>
    <d v="2002-03-10T00:00:00"/>
    <d v="2002-04-08T00:00:00"/>
    <d v="2002-04-08T00:00:00"/>
    <d v="2002-04-08T00:00:00"/>
    <d v="2002-04-08T00:00:00"/>
    <s v="OTIF FAIL"/>
    <n v="1"/>
    <s v="1210_FG_CRC"/>
    <x v="7"/>
    <n v="0"/>
    <m/>
  </r>
  <r>
    <s v="0558111069-4"/>
    <s v="JBS"/>
    <n v="0.8"/>
    <n v="1250"/>
    <n v="2050"/>
    <n v="6"/>
    <n v="6"/>
    <s v="CRAP"/>
    <d v="2001-09-25T00:00:00"/>
    <d v="2002-03-04T00:00:00"/>
    <d v="2002-04-10T00:00:00"/>
    <d v="2002-04-10T00:00:00"/>
    <d v="2002-04-08T00:00:00"/>
    <d v="2002-04-08T00:00:00"/>
    <s v="OTIF FAIL"/>
    <n v="4"/>
    <s v="1210_FG_CRC"/>
    <x v="7"/>
    <n v="1"/>
    <m/>
  </r>
  <r>
    <s v="0558111052-3"/>
    <s v="CRC"/>
    <n v="1"/>
    <n v="1250"/>
    <n v="2350"/>
    <n v="6"/>
    <n v="6"/>
    <s v="CRAP"/>
    <d v="2001-09-25T00:00:00"/>
    <d v="2002-03-04T00:00:00"/>
    <d v="2002-04-15T00:00:00"/>
    <d v="2002-04-15T00:00:00"/>
    <d v="2002-04-15T00:00:00"/>
    <d v="2002-04-15T00:00:00"/>
    <s v="OTIF FAIL"/>
    <n v="3"/>
    <s v="1210_FG_CRC"/>
    <x v="15"/>
    <n v="1"/>
    <m/>
  </r>
  <r>
    <s v="0569022772-5"/>
    <s v="CST"/>
    <n v="0.8"/>
    <n v="1250"/>
    <n v="2500"/>
    <n v="10"/>
    <n v="10"/>
    <s v="CRAP"/>
    <d v="2001-09-25T00:00:00"/>
    <d v="2002-03-10T00:00:00"/>
    <d v="2002-04-24T00:00:00"/>
    <d v="2002-04-24T00:00:00"/>
    <d v="2002-04-08T00:00:00"/>
    <d v="2002-04-09T00:00:00"/>
    <s v="OTIF FAIL"/>
    <n v="5"/>
    <s v="1210_FG_CRC"/>
    <x v="7"/>
    <n v="1"/>
    <m/>
  </r>
  <r>
    <s v="0558111251-3"/>
    <s v="HRC"/>
    <n v="1"/>
    <n v="1250"/>
    <n v="2350"/>
    <n v="9"/>
    <n v="9"/>
    <s v="CRAP"/>
    <d v="2001-09-25T00:00:00"/>
    <d v="2002-03-04T00:00:00"/>
    <d v="2002-04-19T00:00:00"/>
    <d v="2002-04-19T00:00:00"/>
    <d v="2002-04-15T00:00:00"/>
    <d v="2002-04-16T00:00:00"/>
    <s v="OTIF FAIL"/>
    <n v="3"/>
    <s v="1210_FG_CRC"/>
    <x v="15"/>
    <n v="1"/>
    <m/>
  </r>
  <r>
    <s v="0568012874-1"/>
    <s v="HRC"/>
    <n v="1.2"/>
    <n v="1250"/>
    <n v="3048"/>
    <n v="20"/>
    <n v="20"/>
    <s v="CRAP"/>
    <d v="2001-08-31T00:00:00"/>
    <d v="2002-02-27T00:00:00"/>
    <d v="2002-03-06T00:00:00"/>
    <d v="2002-03-06T00:00:00"/>
    <d v="2002-03-13T00:00:00"/>
    <d v="2002-03-13T00:00:00"/>
    <s v="OTIF FAIL"/>
    <n v="1"/>
    <s v="1210_FG_CRC"/>
    <x v="3"/>
    <n v="1"/>
    <m/>
  </r>
  <r>
    <s v="0558116120-1"/>
    <s v="CST"/>
    <n v="0.9"/>
    <n v="1250"/>
    <n v="2500"/>
    <n v="6"/>
    <n v="6"/>
    <s v="CRAP"/>
    <d v="2001-09-25T00:00:00"/>
    <d v="2002-03-08T00:00:00"/>
    <d v="2002-04-26T00:00:00"/>
    <d v="2002-04-26T00:00:00"/>
    <d v="2002-04-12T00:00:00"/>
    <d v="2002-04-12T00:00:00"/>
    <s v="OTIF FAIL"/>
    <n v="1"/>
    <s v="1210_FG_CRC"/>
    <x v="7"/>
    <n v="1"/>
    <m/>
  </r>
  <r>
    <s v="0558113620-8"/>
    <s v="PSS"/>
    <n v="1"/>
    <n v="1250"/>
    <n v="2350"/>
    <n v="3"/>
    <n v="3"/>
    <s v="CRAP"/>
    <d v="2001-08-07T00:00:00"/>
    <d v="2002-03-06T00:00:00"/>
    <d v="2002-04-19T00:00:00"/>
    <d v="2002-04-19T00:00:00"/>
    <d v="2002-04-15T00:00:00"/>
    <d v="2002-04-16T00:00:00"/>
    <s v="OTIF FAIL"/>
    <n v="8"/>
    <s v="1210_FG_CRC"/>
    <x v="15"/>
    <n v="1"/>
    <m/>
  </r>
  <r>
    <s v="0558114644-1"/>
    <s v="HRC"/>
    <n v="1"/>
    <n v="1250"/>
    <n v="2350"/>
    <n v="3"/>
    <n v="3"/>
    <s v="CRAP"/>
    <d v="2001-08-23T00:00:00"/>
    <d v="2002-03-07T00:00:00"/>
    <d v="2002-04-19T00:00:00"/>
    <d v="2002-04-19T00:00:00"/>
    <d v="2002-04-15T00:00:00"/>
    <d v="2002-04-16T00:00:00"/>
    <s v="OTIF FAIL"/>
    <n v="1"/>
    <s v="1210_FG_CRC"/>
    <x v="15"/>
    <n v="1"/>
    <m/>
  </r>
  <r>
    <s v="0558114578-1"/>
    <s v="CST"/>
    <n v="3"/>
    <n v="1250"/>
    <n v="2500"/>
    <n v="6"/>
    <n v="6"/>
    <s v="CRAP"/>
    <d v="2001-08-23T00:00:00"/>
    <d v="2002-03-07T00:00:00"/>
    <d v="2002-04-16T00:00:00"/>
    <d v="2002-04-16T00:00:00"/>
    <d v="2002-04-16T00:00:00"/>
    <d v="2002-04-16T00:00:00"/>
    <s v="OTIF FAIL"/>
    <n v="1"/>
    <s v="1210_FG_CRC"/>
    <x v="15"/>
    <n v="1"/>
    <m/>
  </r>
  <r>
    <s v="0558112473-1"/>
    <s v="CST"/>
    <n v="1.2"/>
    <n v="1250"/>
    <n v="2280"/>
    <n v="12"/>
    <n v="12"/>
    <s v="CRAP"/>
    <d v="2001-09-25T00:00:00"/>
    <d v="2002-03-05T00:00:00"/>
    <s v="-"/>
    <s v="-"/>
    <d v="2002-03-22T00:00:00"/>
    <d v="2002-03-22T00:00:00"/>
    <s v="OTIF FAIL"/>
    <n v="1"/>
    <s v="1210_FG_CRC"/>
    <x v="0"/>
    <n v="1"/>
    <m/>
  </r>
  <r>
    <s v="0558113620-7"/>
    <s v="HPC"/>
    <n v="1.2"/>
    <n v="1250"/>
    <n v="2350"/>
    <n v="6"/>
    <n v="6"/>
    <s v="CRAP"/>
    <d v="2001-08-07T00:00:00"/>
    <d v="2002-03-06T00:00:00"/>
    <d v="2002-04-23T00:00:00"/>
    <d v="2002-04-23T00:00:00"/>
    <d v="2002-03-22T00:00:00"/>
    <d v="2002-03-31T00:00:00"/>
    <s v="OTIF FAIL"/>
    <n v="7"/>
    <s v="1210_FG_CRC"/>
    <x v="6"/>
    <n v="1"/>
    <m/>
  </r>
  <r>
    <s v="0558114474-1"/>
    <s v="CST"/>
    <n v="3"/>
    <n v="1250"/>
    <n v="2500"/>
    <n v="3"/>
    <n v="3"/>
    <s v="CRAP"/>
    <d v="2001-08-21T00:00:00"/>
    <d v="2002-03-07T00:00:00"/>
    <d v="2002-04-16T00:00:00"/>
    <d v="2002-04-16T00:00:00"/>
    <d v="2002-04-16T00:00:00"/>
    <d v="2002-04-16T00:00:00"/>
    <s v="OTIF FAIL"/>
    <n v="1"/>
    <s v="1210_FG_CRC"/>
    <x v="15"/>
    <n v="1"/>
    <m/>
  </r>
  <r>
    <s v="0558115257-1"/>
    <s v="HRC"/>
    <n v="1.2"/>
    <n v="1250"/>
    <n v="2500"/>
    <n v="3"/>
    <n v="3"/>
    <s v="CRAP"/>
    <d v="2001-08-27T00:00:00"/>
    <d v="2002-02-24T00:00:00"/>
    <d v="2002-04-23T00:00:00"/>
    <d v="2002-04-23T00:00:00"/>
    <d v="2002-03-21T00:00:00"/>
    <d v="2002-05-09T00:00:00"/>
    <s v="OTIF FAIL"/>
    <n v="1"/>
    <s v="1210_FG_CRC"/>
    <x v="19"/>
    <n v="1"/>
    <m/>
  </r>
  <r>
    <s v="0558114822-1"/>
    <s v="HRC"/>
    <n v="1"/>
    <n v="1250"/>
    <n v="2350"/>
    <n v="15"/>
    <n v="15"/>
    <s v="CRAP"/>
    <d v="2001-08-25T00:00:00"/>
    <d v="2002-03-07T00:00:00"/>
    <d v="2002-04-12T00:00:00"/>
    <d v="2002-04-12T00:00:00"/>
    <d v="2002-04-16T00:00:00"/>
    <d v="2002-04-16T00:00:00"/>
    <s v="OTIF FAIL"/>
    <n v="1"/>
    <s v="1210_FG_CRC"/>
    <x v="15"/>
    <n v="1"/>
    <m/>
  </r>
  <r>
    <s v="0558111002-4"/>
    <s v="CRC"/>
    <n v="1.2"/>
    <n v="1250"/>
    <n v="2350"/>
    <n v="9"/>
    <n v="9"/>
    <s v="CRAP"/>
    <d v="2001-09-25T00:00:00"/>
    <d v="2002-03-10T00:00:00"/>
    <d v="2002-04-23T00:00:00"/>
    <d v="2002-04-23T00:00:00"/>
    <d v="2002-03-22T00:00:00"/>
    <d v="2002-03-31T00:00:00"/>
    <s v="OTIF FAIL"/>
    <n v="4"/>
    <s v="1210_FG_CRC"/>
    <x v="6"/>
    <n v="1"/>
    <m/>
  </r>
  <r>
    <s v="0558113177-1"/>
    <s v="CST"/>
    <n v="0.6"/>
    <n v="1250"/>
    <n v="2500"/>
    <n v="6"/>
    <n v="6"/>
    <s v="CRAP"/>
    <d v="2001-08-05T00:00:00"/>
    <d v="2002-03-05T00:00:00"/>
    <d v="2002-04-29T00:00:00"/>
    <d v="2002-04-29T00:00:00"/>
    <d v="2002-04-22T00:00:00"/>
    <d v="2002-04-22T00:00:00"/>
    <s v="OTIF FAIL"/>
    <n v="1"/>
    <s v="1210_FG_CRC"/>
    <x v="2"/>
    <n v="1"/>
    <m/>
  </r>
  <r>
    <s v="0558110938-1"/>
    <s v="CST"/>
    <n v="1"/>
    <n v="1250"/>
    <n v="2350"/>
    <n v="9"/>
    <n v="9"/>
    <s v="CRAP"/>
    <d v="2001-09-25T00:00:00"/>
    <d v="2002-03-04T00:00:00"/>
    <d v="2002-04-19T00:00:00"/>
    <d v="2002-04-19T00:00:00"/>
    <d v="2002-04-15T00:00:00"/>
    <d v="2002-04-16T00:00:00"/>
    <s v="OTIF FAIL"/>
    <n v="1"/>
    <s v="1210_FG_CRC"/>
    <x v="15"/>
    <n v="1"/>
    <m/>
  </r>
  <r>
    <s v="0558110886-1"/>
    <s v="CRC"/>
    <n v="0.6"/>
    <n v="1250"/>
    <n v="2500"/>
    <n v="6"/>
    <n v="6"/>
    <s v="CRAP"/>
    <d v="2001-09-25T00:00:00"/>
    <d v="2002-03-04T00:00:00"/>
    <d v="2002-04-29T00:00:00"/>
    <d v="2002-04-29T00:00:00"/>
    <d v="2002-04-22T00:00:00"/>
    <d v="2002-04-22T00:00:00"/>
    <s v="OTIF FAIL"/>
    <n v="1"/>
    <s v="1210_FG_CRC"/>
    <x v="2"/>
    <n v="1"/>
    <m/>
  </r>
  <r>
    <s v="0558111069-5"/>
    <s v="HRC"/>
    <n v="0.8"/>
    <n v="1250"/>
    <n v="3000"/>
    <n v="6"/>
    <n v="6"/>
    <s v="CRAP"/>
    <d v="2001-09-25T00:00:00"/>
    <d v="2002-03-04T00:00:00"/>
    <d v="2002-04-10T00:00:00"/>
    <d v="2002-04-10T00:00:00"/>
    <d v="2002-04-08T00:00:00"/>
    <d v="2002-04-08T00:00:00"/>
    <s v="OTIF FAIL"/>
    <n v="5"/>
    <s v="1210_FG_CRC"/>
    <x v="7"/>
    <n v="1"/>
    <m/>
  </r>
  <r>
    <s v="0558110865-1"/>
    <s v="CST"/>
    <n v="0.6"/>
    <n v="1250"/>
    <n v="2500"/>
    <n v="6"/>
    <n v="6"/>
    <s v="CRAP"/>
    <d v="2001-09-25T00:00:00"/>
    <d v="2002-03-04T00:00:00"/>
    <d v="2002-04-29T00:00:00"/>
    <d v="2002-04-29T00:00:00"/>
    <d v="2002-04-22T00:00:00"/>
    <d v="2002-04-22T00:00:00"/>
    <s v="OTIF FAIL"/>
    <n v="1"/>
    <s v="1210_FG_CRC"/>
    <x v="2"/>
    <n v="1"/>
    <m/>
  </r>
  <r>
    <s v="0558114512-1"/>
    <s v="CST"/>
    <n v="0.6"/>
    <n v="1250"/>
    <n v="2500"/>
    <n v="3"/>
    <n v="3"/>
    <s v="CRAP"/>
    <d v="2001-08-21T00:00:00"/>
    <d v="2002-03-07T00:00:00"/>
    <s v="-"/>
    <s v="-"/>
    <d v="2002-04-22T00:00:00"/>
    <d v="2002-04-22T00:00:00"/>
    <s v="OTIF FAIL"/>
    <n v="1"/>
    <s v="1210_FG_CRC"/>
    <x v="2"/>
    <n v="1"/>
    <m/>
  </r>
  <r>
    <s v="0569023270-2"/>
    <s v="CST"/>
    <n v="1.2"/>
    <n v="1250"/>
    <n v="2500"/>
    <n v="50"/>
    <n v="50"/>
    <s v="CRAP"/>
    <d v="2002-02-17T00:00:00"/>
    <d v="2002-02-27T00:00:00"/>
    <d v="2002-03-29T00:00:00"/>
    <d v="2002-03-29T00:00:00"/>
    <d v="2002-03-29T00:00:00"/>
    <d v="2002-03-29T00:00:00"/>
    <s v="OTIF FAIL"/>
    <n v="2"/>
    <s v="1210_FG_CRC"/>
    <x v="9"/>
    <n v="1"/>
    <m/>
  </r>
  <r>
    <s v="0558113804-2"/>
    <s v="CST"/>
    <n v="1.5"/>
    <n v="1250"/>
    <n v="2500"/>
    <n v="15"/>
    <n v="15"/>
    <s v="CRAP"/>
    <d v="2001-08-11T00:00:00"/>
    <d v="2002-03-06T00:00:00"/>
    <s v="-"/>
    <s v="-"/>
    <d v="2002-03-25T00:00:00"/>
    <d v="2002-03-25T00:00:00"/>
    <s v="OTIF FAIL"/>
    <n v="2"/>
    <s v="1210_FG_CRC"/>
    <x v="9"/>
    <n v="1"/>
    <m/>
  </r>
  <r>
    <s v="0558110505-1"/>
    <s v="CST"/>
    <n v="0.6"/>
    <n v="1250"/>
    <n v="2500"/>
    <n v="6"/>
    <n v="6"/>
    <s v="CRAP"/>
    <d v="2001-09-25T00:00:00"/>
    <d v="2002-03-04T00:00:00"/>
    <d v="2002-04-29T00:00:00"/>
    <d v="2002-04-29T00:00:00"/>
    <d v="2002-04-22T00:00:00"/>
    <d v="2002-04-22T00:00:00"/>
    <s v="OTIF FAIL"/>
    <n v="1"/>
    <s v="1210_FG_CRC"/>
    <x v="2"/>
    <n v="1"/>
    <m/>
  </r>
  <r>
    <s v="0558110350-3"/>
    <s v="CRC"/>
    <n v="0.8"/>
    <n v="1250"/>
    <n v="2500"/>
    <n v="3"/>
    <n v="3"/>
    <s v="CRAP"/>
    <d v="2001-09-25T00:00:00"/>
    <d v="2002-03-04T00:00:00"/>
    <d v="2002-04-08T00:00:00"/>
    <d v="2002-04-08T00:00:00"/>
    <d v="2002-04-08T00:00:00"/>
    <d v="2002-04-08T00:00:00"/>
    <s v="OTIF FAIL"/>
    <n v="3"/>
    <s v="1210_FG_CRC"/>
    <x v="7"/>
    <n v="1"/>
    <m/>
  </r>
  <r>
    <s v="0558110350-2"/>
    <s v="CRC"/>
    <n v="0.6"/>
    <n v="1250"/>
    <n v="2500"/>
    <n v="3"/>
    <n v="3"/>
    <s v="CRAP"/>
    <d v="2001-09-25T00:00:00"/>
    <d v="2002-03-10T00:00:00"/>
    <d v="2002-04-29T00:00:00"/>
    <d v="2002-04-29T00:00:00"/>
    <d v="2002-04-22T00:00:00"/>
    <d v="2002-04-22T00:00:00"/>
    <s v="OTIF FAIL"/>
    <n v="2"/>
    <s v="1210_FG_CRC"/>
    <x v="2"/>
    <n v="1"/>
    <m/>
  </r>
  <r>
    <s v="0558113772-1"/>
    <s v="CST"/>
    <n v="2"/>
    <n v="1250"/>
    <n v="2500"/>
    <n v="3"/>
    <n v="3"/>
    <s v="CRAP"/>
    <d v="2001-08-11T00:00:00"/>
    <d v="2002-03-06T00:00:00"/>
    <d v="2002-05-03T00:00:00"/>
    <d v="2002-05-03T00:00:00"/>
    <d v="2002-04-15T00:00:00"/>
    <d v="2002-04-15T00:00:00"/>
    <s v="OTIF FAIL"/>
    <n v="1"/>
    <s v="1210_FG_CRC"/>
    <x v="15"/>
    <n v="1"/>
    <m/>
  </r>
  <r>
    <s v="0558106953-1"/>
    <s v="HRC"/>
    <n v="1.6"/>
    <n v="1250"/>
    <n v="2500"/>
    <n v="20"/>
    <n v="2.4449999999999998"/>
    <s v="CRAP"/>
    <d v="2001-09-25T00:00:00"/>
    <d v="2002-03-10T00:00:00"/>
    <d v="2002-04-22T00:00:00"/>
    <d v="2002-04-22T00:00:00"/>
    <d v="2002-03-20T00:00:00"/>
    <d v="2002-03-20T00:00:00"/>
    <s v="OTIF FAIL"/>
    <n v="1"/>
    <s v="1210_FG_CRC"/>
    <x v="0"/>
    <n v="0"/>
    <m/>
  </r>
  <r>
    <s v="0569022883-4"/>
    <s v="CST"/>
    <n v="0.8"/>
    <n v="1250"/>
    <n v="2500"/>
    <n v="5"/>
    <n v="5"/>
    <s v="CRAP"/>
    <d v="2001-08-03T00:00:00"/>
    <d v="2002-03-09T00:00:00"/>
    <d v="2002-04-10T00:00:00"/>
    <d v="2002-04-10T00:00:00"/>
    <d v="2002-04-08T00:00:00"/>
    <d v="2002-04-08T00:00:00"/>
    <s v="OTIF FAIL"/>
    <n v="4"/>
    <s v="1210_FG_CRC"/>
    <x v="7"/>
    <n v="1"/>
    <m/>
  </r>
  <r>
    <s v="0558111069-2"/>
    <s v="CST"/>
    <n v="1.2"/>
    <n v="1250"/>
    <n v="2350"/>
    <n v="6"/>
    <n v="6"/>
    <s v="CRAP"/>
    <d v="2001-09-25T00:00:00"/>
    <d v="2002-03-04T00:00:00"/>
    <s v="-"/>
    <s v="-"/>
    <d v="2002-03-22T00:00:00"/>
    <d v="2002-03-22T00:00:00"/>
    <s v="OTIF FAIL"/>
    <n v="2"/>
    <s v="1210_FG_CRC"/>
    <x v="0"/>
    <n v="1"/>
    <m/>
  </r>
  <r>
    <s v="0569022068-1"/>
    <s v="CST"/>
    <n v="0.8"/>
    <n v="1250"/>
    <n v="2114"/>
    <n v="20"/>
    <n v="16.536999999999999"/>
    <s v="CRAP"/>
    <d v="2001-09-25T00:00:00"/>
    <d v="2002-03-10T00:00:00"/>
    <d v="2002-03-26T00:00:00"/>
    <d v="2002-03-26T00:00:00"/>
    <d v="2002-03-26T00:00:00"/>
    <d v="2002-03-26T00:00:00"/>
    <s v="OTIF FAIL"/>
    <n v="1"/>
    <s v="1210_FG_CRC"/>
    <x v="9"/>
    <n v="0"/>
    <m/>
  </r>
  <r>
    <s v="0558115792-1"/>
    <s v="CST"/>
    <n v="1"/>
    <n v="1250"/>
    <n v="2050"/>
    <n v="15"/>
    <n v="15"/>
    <s v="CRAP"/>
    <d v="2001-08-30T00:00:00"/>
    <d v="2002-03-08T00:00:00"/>
    <d v="2002-04-15T00:00:00"/>
    <d v="2002-04-15T00:00:00"/>
    <d v="2002-04-15T00:00:00"/>
    <d v="2002-04-15T00:00:00"/>
    <s v="OTIF FAIL"/>
    <n v="1"/>
    <s v="1210_FG_CRC"/>
    <x v="15"/>
    <n v="1"/>
    <m/>
  </r>
  <r>
    <s v="0558113648-3"/>
    <s v="HPC"/>
    <n v="1.5"/>
    <n v="1250"/>
    <n v="2500"/>
    <n v="5"/>
    <n v="2.6520000000000001"/>
    <s v="CRAP"/>
    <d v="2001-08-07T00:00:00"/>
    <d v="2002-03-06T00:00:00"/>
    <s v="-"/>
    <s v="-"/>
    <d v="2002-03-25T00:00:00"/>
    <d v="2002-03-25T00:00:00"/>
    <s v="OTIF FAIL"/>
    <n v="3"/>
    <s v="1210_FG_CRC"/>
    <x v="9"/>
    <n v="0"/>
    <m/>
  </r>
  <r>
    <s v="0558113824-4"/>
    <s v="JBS"/>
    <n v="0.5"/>
    <n v="1250"/>
    <n v="2500"/>
    <n v="3"/>
    <n v="3"/>
    <s v="CRAP"/>
    <d v="2001-08-11T00:00:00"/>
    <d v="2002-03-06T00:00:00"/>
    <d v="2002-04-13T00:00:00"/>
    <d v="2002-04-13T00:00:00"/>
    <d v="2002-04-13T00:00:00"/>
    <d v="2002-04-13T00:00:00"/>
    <s v="OTIF FAIL"/>
    <n v="4"/>
    <s v="1210_FG_CRC"/>
    <x v="7"/>
    <n v="1"/>
    <m/>
  </r>
  <r>
    <s v="0558113828-5"/>
    <s v="CRC"/>
    <n v="1"/>
    <n v="1250"/>
    <n v="2350"/>
    <n v="6"/>
    <n v="6"/>
    <s v="CRAP"/>
    <d v="2001-08-11T00:00:00"/>
    <d v="2002-03-06T00:00:00"/>
    <d v="2002-04-19T00:00:00"/>
    <d v="2002-04-19T00:00:00"/>
    <d v="2002-04-15T00:00:00"/>
    <d v="2002-04-16T00:00:00"/>
    <s v="OTIF FAIL"/>
    <n v="5"/>
    <s v="1210_FG_CRC"/>
    <x v="15"/>
    <n v="1"/>
    <m/>
  </r>
  <r>
    <s v="0558115985-1"/>
    <s v="HPC"/>
    <n v="0.8"/>
    <n v="1000"/>
    <n v="2080"/>
    <n v="15"/>
    <n v="15"/>
    <s v="CRAP"/>
    <d v="2001-09-25T00:00:00"/>
    <d v="2002-03-08T00:00:00"/>
    <d v="2002-04-01T00:00:00"/>
    <d v="2002-04-01T00:00:00"/>
    <d v="2002-04-02T00:00:00"/>
    <d v="2002-04-02T00:00:00"/>
    <s v="OTIF FAIL"/>
    <n v="1"/>
    <s v="1210_FG_CRC"/>
    <x v="6"/>
    <n v="1"/>
    <m/>
  </r>
  <r>
    <s v="0569022669-1"/>
    <s v="HRC"/>
    <n v="0.8"/>
    <n v="1250"/>
    <n v="2289"/>
    <n v="20"/>
    <n v="20"/>
    <s v="CRAP"/>
    <d v="2001-09-25T00:00:00"/>
    <d v="2002-02-26T00:00:00"/>
    <d v="2002-04-01T00:00:00"/>
    <d v="2002-04-01T00:00:00"/>
    <d v="2002-04-01T00:00:00"/>
    <d v="2002-04-01T00:00:00"/>
    <s v="OTIF FAIL"/>
    <n v="1"/>
    <s v="1210_FG_CRC"/>
    <x v="6"/>
    <n v="1"/>
    <m/>
  </r>
  <r>
    <s v="0558113674-4"/>
    <s v="HRC"/>
    <n v="1.2"/>
    <n v="1250"/>
    <n v="2350"/>
    <n v="6"/>
    <n v="6"/>
    <s v="CRAP"/>
    <d v="2001-08-07T00:00:00"/>
    <d v="2002-03-06T00:00:00"/>
    <d v="2002-04-23T00:00:00"/>
    <d v="2002-04-23T00:00:00"/>
    <d v="2002-03-22T00:00:00"/>
    <d v="2002-03-31T00:00:00"/>
    <s v="OTIF FAIL"/>
    <n v="4"/>
    <s v="1210_FG_CRC"/>
    <x v="6"/>
    <n v="1"/>
    <m/>
  </r>
  <r>
    <s v="0558113676-1"/>
    <s v="HRC"/>
    <n v="2"/>
    <n v="1250"/>
    <n v="2500"/>
    <n v="3"/>
    <n v="3"/>
    <s v="CRAP"/>
    <d v="2001-08-07T00:00:00"/>
    <d v="2002-03-06T00:00:00"/>
    <d v="2002-05-03T00:00:00"/>
    <d v="2002-05-03T00:00:00"/>
    <d v="2002-04-15T00:00:00"/>
    <d v="2002-04-15T00:00:00"/>
    <s v="OTIF FAIL"/>
    <n v="1"/>
    <s v="1210_FG_CRC"/>
    <x v="15"/>
    <n v="1"/>
    <m/>
  </r>
  <r>
    <s v="0558113824-5"/>
    <s v="CRC"/>
    <n v="0.6"/>
    <n v="1250"/>
    <n v="2500"/>
    <n v="3"/>
    <n v="3"/>
    <s v="CRAP"/>
    <d v="2001-08-11T00:00:00"/>
    <d v="2002-03-06T00:00:00"/>
    <d v="2002-04-29T00:00:00"/>
    <d v="2002-04-29T00:00:00"/>
    <d v="2002-04-22T00:00:00"/>
    <d v="2002-04-22T00:00:00"/>
    <s v="OTIF FAIL"/>
    <n v="5"/>
    <s v="1210_FG_CRC"/>
    <x v="2"/>
    <n v="1"/>
    <m/>
  </r>
  <r>
    <s v="0558114336-1"/>
    <s v="HRC"/>
    <n v="1.2"/>
    <n v="1250"/>
    <n v="2350"/>
    <n v="9"/>
    <n v="9"/>
    <s v="CRAP"/>
    <d v="2001-08-21T00:00:00"/>
    <d v="2002-03-07T00:00:00"/>
    <d v="2002-04-23T00:00:00"/>
    <d v="2002-04-23T00:00:00"/>
    <d v="2002-03-22T00:00:00"/>
    <d v="2002-03-31T00:00:00"/>
    <s v="OTIF FAIL"/>
    <n v="1"/>
    <s v="1210_FG_CRC"/>
    <x v="6"/>
    <n v="1"/>
    <m/>
  </r>
  <r>
    <s v="0558114921-3"/>
    <s v="CST"/>
    <n v="0.6"/>
    <n v="1250"/>
    <n v="2500"/>
    <n v="3"/>
    <n v="3"/>
    <s v="CRAP"/>
    <d v="2001-09-25T00:00:00"/>
    <d v="2002-03-08T00:00:00"/>
    <d v="2002-04-29T00:00:00"/>
    <d v="2002-04-29T00:00:00"/>
    <d v="2002-04-22T00:00:00"/>
    <d v="2002-04-22T00:00:00"/>
    <s v="OTIF FAIL"/>
    <n v="3"/>
    <s v="1210_FG_CRC"/>
    <x v="2"/>
    <n v="1"/>
    <m/>
  </r>
  <r>
    <s v="0558112274-2"/>
    <s v="CST"/>
    <n v="0.6"/>
    <n v="1250"/>
    <n v="2500"/>
    <n v="6"/>
    <n v="6"/>
    <s v="CRAP"/>
    <d v="2001-09-25T00:00:00"/>
    <d v="2002-03-05T00:00:00"/>
    <d v="2002-04-29T00:00:00"/>
    <d v="2002-04-29T00:00:00"/>
    <d v="2002-04-22T00:00:00"/>
    <d v="2002-04-22T00:00:00"/>
    <s v="OTIF FAIL"/>
    <n v="2"/>
    <s v="1210_FG_CRC"/>
    <x v="2"/>
    <n v="1"/>
    <m/>
  </r>
  <r>
    <s v="0558115825-4"/>
    <s v="CST"/>
    <n v="0.5"/>
    <n v="1250"/>
    <n v="2500"/>
    <n v="3"/>
    <n v="3"/>
    <s v="CRAP"/>
    <d v="2001-08-30T00:00:00"/>
    <d v="2002-03-08T00:00:00"/>
    <d v="2002-04-13T00:00:00"/>
    <d v="2002-04-13T00:00:00"/>
    <d v="2002-04-13T00:00:00"/>
    <d v="2002-04-13T00:00:00"/>
    <s v="OTIF FAIL"/>
    <n v="4"/>
    <s v="1210_FG_CRC"/>
    <x v="7"/>
    <n v="1"/>
    <m/>
  </r>
  <r>
    <s v="0558113285-1"/>
    <s v="CRC"/>
    <n v="1"/>
    <n v="1250"/>
    <n v="2350"/>
    <n v="6"/>
    <n v="6"/>
    <s v="CRAP"/>
    <d v="2001-08-05T00:00:00"/>
    <d v="2002-03-05T00:00:00"/>
    <d v="2002-04-19T00:00:00"/>
    <d v="2002-04-19T00:00:00"/>
    <d v="2002-04-15T00:00:00"/>
    <d v="2002-04-16T00:00:00"/>
    <s v="OTIF FAIL"/>
    <n v="1"/>
    <s v="1210_FG_CRC"/>
    <x v="15"/>
    <n v="1"/>
    <m/>
  </r>
  <r>
    <s v="0558114476-1"/>
    <s v="CST"/>
    <n v="0.6"/>
    <n v="1250"/>
    <n v="2500"/>
    <n v="3"/>
    <n v="3"/>
    <s v="CRAP"/>
    <d v="2001-08-21T00:00:00"/>
    <d v="2002-03-07T00:00:00"/>
    <s v="-"/>
    <s v="-"/>
    <d v="2002-04-22T00:00:00"/>
    <d v="2002-04-22T00:00:00"/>
    <s v="OTIF FAIL"/>
    <n v="1"/>
    <s v="1210_FG_CRC"/>
    <x v="2"/>
    <n v="1"/>
    <m/>
  </r>
  <r>
    <s v="0558114820-1"/>
    <s v="HRC"/>
    <n v="1.2"/>
    <n v="1250"/>
    <n v="2300"/>
    <n v="6"/>
    <n v="6"/>
    <s v="CRAP"/>
    <d v="2001-08-25T00:00:00"/>
    <d v="2002-03-07T00:00:00"/>
    <s v="-"/>
    <s v="-"/>
    <d v="2002-03-22T00:00:00"/>
    <d v="2002-03-22T00:00:00"/>
    <s v="OTIF FAIL"/>
    <n v="1"/>
    <s v="1210_FG_CRC"/>
    <x v="0"/>
    <n v="1"/>
    <m/>
  </r>
  <r>
    <s v="0558114253-1"/>
    <s v="CST"/>
    <n v="3"/>
    <n v="1250"/>
    <n v="2500"/>
    <n v="3"/>
    <n v="3"/>
    <s v="CRAP"/>
    <d v="2001-08-17T00:00:00"/>
    <d v="2002-03-07T00:00:00"/>
    <d v="2002-04-16T00:00:00"/>
    <d v="2002-04-16T00:00:00"/>
    <d v="2002-04-16T00:00:00"/>
    <d v="2002-04-16T00:00:00"/>
    <s v="OTIF FAIL"/>
    <n v="1"/>
    <s v="1210_FG_CRC"/>
    <x v="15"/>
    <n v="1"/>
    <m/>
  </r>
  <r>
    <s v="0558109968-1"/>
    <s v="CRC"/>
    <n v="0.6"/>
    <n v="1250"/>
    <n v="2500"/>
    <n v="3"/>
    <n v="3"/>
    <s v="CRAP"/>
    <d v="2001-08-19T00:00:00"/>
    <d v="2002-02-25T00:00:00"/>
    <d v="2002-04-29T00:00:00"/>
    <d v="2002-04-29T00:00:00"/>
    <d v="2002-04-22T00:00:00"/>
    <d v="2002-04-22T00:00:00"/>
    <s v="OTIF FAIL"/>
    <n v="1"/>
    <s v="1210_FG_CRC"/>
    <x v="2"/>
    <n v="1"/>
    <m/>
  </r>
  <r>
    <s v="0569022960-4"/>
    <s v="CRC"/>
    <n v="2"/>
    <n v="1220"/>
    <n v="2220"/>
    <n v="2"/>
    <n v="2"/>
    <s v="CRAP"/>
    <d v="2001-08-16T00:00:00"/>
    <d v="2002-02-26T00:00:00"/>
    <d v="2002-03-29T00:00:00"/>
    <d v="2002-03-29T00:00:00"/>
    <d v="2002-03-29T00:00:00"/>
    <d v="2002-03-29T00:00:00"/>
    <s v="OTIF FAIL"/>
    <n v="4"/>
    <s v="1210_FG_CRC"/>
    <x v="9"/>
    <n v="1"/>
    <m/>
  </r>
  <r>
    <s v="0558109959-16"/>
    <s v="CST"/>
    <n v="1.2"/>
    <n v="1250"/>
    <n v="2350"/>
    <n v="6"/>
    <n v="6"/>
    <s v="CRAP"/>
    <d v="2001-09-25T00:00:00"/>
    <d v="2002-02-25T00:00:00"/>
    <d v="2002-04-23T00:00:00"/>
    <d v="2002-04-23T00:00:00"/>
    <d v="2002-03-21T00:00:00"/>
    <d v="2002-03-31T00:00:00"/>
    <s v="OTIF FAIL"/>
    <n v="16"/>
    <s v="1210_FG_CRC"/>
    <x v="6"/>
    <n v="1"/>
    <m/>
  </r>
  <r>
    <s v="0558109475-3"/>
    <s v="CST"/>
    <n v="0.6"/>
    <n v="1250"/>
    <n v="2500"/>
    <n v="6"/>
    <n v="6"/>
    <s v="CRAP"/>
    <d v="2001-08-19T00:00:00"/>
    <d v="2002-02-25T00:00:00"/>
    <d v="2002-04-29T00:00:00"/>
    <d v="2002-04-29T00:00:00"/>
    <d v="2002-04-22T00:00:00"/>
    <d v="2002-04-22T00:00:00"/>
    <s v="OTIF FAIL"/>
    <n v="3"/>
    <s v="1210_FG_CRC"/>
    <x v="2"/>
    <n v="1"/>
    <m/>
  </r>
  <r>
    <s v="0569022885-2"/>
    <s v="HRC"/>
    <n v="1"/>
    <n v="1250"/>
    <n v="2500"/>
    <n v="18"/>
    <n v="18"/>
    <s v="CRAP"/>
    <d v="2001-08-03T00:00:00"/>
    <d v="2002-03-09T00:00:00"/>
    <d v="2002-03-15T00:00:00"/>
    <d v="2002-03-15T00:00:00"/>
    <d v="2002-03-22T00:00:00"/>
    <d v="2002-04-10T00:00:00"/>
    <s v="OTIF FAIL"/>
    <n v="2"/>
    <s v="1210_FG_CRC"/>
    <x v="7"/>
    <n v="1"/>
    <m/>
  </r>
  <r>
    <s v="0558115628-2"/>
    <s v="CST"/>
    <n v="0.5"/>
    <n v="1250"/>
    <n v="2500"/>
    <n v="3"/>
    <n v="3"/>
    <s v="CRAP"/>
    <d v="2001-09-25T00:00:00"/>
    <d v="2002-03-10T00:00:00"/>
    <d v="2002-04-13T00:00:00"/>
    <d v="2002-04-13T00:00:00"/>
    <d v="2002-04-13T00:00:00"/>
    <d v="2002-04-13T00:00:00"/>
    <s v="OTIF FAIL"/>
    <n v="2"/>
    <s v="1210_FG_CRC"/>
    <x v="7"/>
    <n v="1"/>
    <m/>
  </r>
  <r>
    <s v="0569022885-3"/>
    <s v="HRC"/>
    <n v="1.2"/>
    <n v="1250"/>
    <n v="2500"/>
    <n v="10"/>
    <n v="10"/>
    <s v="CRAP"/>
    <d v="2001-08-03T00:00:00"/>
    <d v="2002-03-09T00:00:00"/>
    <d v="2002-04-23T00:00:00"/>
    <d v="2002-04-23T00:00:00"/>
    <d v="2002-03-24T00:00:00"/>
    <d v="2002-05-09T00:00:00"/>
    <s v="OTIF FAIL"/>
    <n v="3"/>
    <s v="1210_FG_CRC"/>
    <x v="19"/>
    <n v="1"/>
    <m/>
  </r>
  <r>
    <s v="0569022884-1"/>
    <s v="CST"/>
    <n v="1.2"/>
    <n v="1250"/>
    <n v="2500"/>
    <n v="5"/>
    <n v="5"/>
    <s v="CRAP"/>
    <d v="2001-08-03T00:00:00"/>
    <d v="2002-03-09T00:00:00"/>
    <s v="-"/>
    <s v="-"/>
    <d v="2002-04-26T00:00:00"/>
    <d v="2002-05-09T00:00:00"/>
    <s v="OTIF FAIL"/>
    <n v="1"/>
    <s v="1210_FG_CRC"/>
    <x v="19"/>
    <n v="1"/>
    <m/>
  </r>
  <r>
    <s v="0569022881-3"/>
    <s v="CST"/>
    <n v="0.8"/>
    <n v="1250"/>
    <n v="2500"/>
    <n v="29"/>
    <n v="29"/>
    <s v="CRAP"/>
    <d v="2001-08-03T00:00:00"/>
    <d v="2002-03-09T00:00:00"/>
    <d v="2002-03-15T00:00:00"/>
    <d v="2002-03-15T00:00:00"/>
    <d v="2002-03-22T00:00:00"/>
    <d v="2002-04-09T00:00:00"/>
    <s v="OTIF FAIL"/>
    <n v="3"/>
    <s v="1210_FG_CRC"/>
    <x v="7"/>
    <n v="1"/>
    <m/>
  </r>
  <r>
    <s v="0569022874-4"/>
    <s v="CST"/>
    <n v="0.8"/>
    <n v="1250"/>
    <n v="2500"/>
    <n v="3"/>
    <n v="3"/>
    <s v="CRAP"/>
    <d v="2001-08-01T00:00:00"/>
    <d v="2002-03-09T00:00:00"/>
    <d v="2002-04-10T00:00:00"/>
    <d v="2002-04-10T00:00:00"/>
    <d v="2002-04-08T00:00:00"/>
    <d v="2002-04-08T00:00:00"/>
    <s v="OTIF FAIL"/>
    <n v="4"/>
    <s v="1210_FG_CRC"/>
    <x v="7"/>
    <n v="1"/>
    <m/>
  </r>
  <r>
    <s v="0558113847-16"/>
    <s v="HPC"/>
    <n v="0.6"/>
    <n v="1250"/>
    <n v="2500"/>
    <n v="3"/>
    <n v="3"/>
    <s v="CRAP"/>
    <d v="2001-08-11T00:00:00"/>
    <d v="2002-03-06T00:00:00"/>
    <s v="-"/>
    <s v="-"/>
    <d v="2002-03-22T00:00:00"/>
    <d v="2002-03-22T00:00:00"/>
    <s v="OTIF FAIL"/>
    <n v="16"/>
    <s v="1210_FG_CRC"/>
    <x v="0"/>
    <n v="1"/>
    <m/>
  </r>
  <r>
    <s v="0558111052-2"/>
    <s v="CRC"/>
    <n v="1"/>
    <n v="1250"/>
    <n v="2300"/>
    <n v="6"/>
    <n v="6"/>
    <s v="CRAP"/>
    <d v="2001-09-25T00:00:00"/>
    <d v="2002-03-04T00:00:00"/>
    <d v="2002-04-19T00:00:00"/>
    <d v="2002-04-19T00:00:00"/>
    <d v="2002-04-15T00:00:00"/>
    <d v="2002-04-15T00:00:00"/>
    <s v="OTIF FAIL"/>
    <n v="2"/>
    <s v="1210_FG_CRC"/>
    <x v="15"/>
    <n v="1"/>
    <m/>
  </r>
  <r>
    <s v="0558115430-1"/>
    <s v="CST"/>
    <n v="1"/>
    <n v="1250"/>
    <n v="2350"/>
    <n v="3"/>
    <n v="3"/>
    <s v="CRAP"/>
    <d v="2001-08-29T00:00:00"/>
    <d v="2002-03-08T00:00:00"/>
    <d v="2002-04-19T00:00:00"/>
    <d v="2002-04-19T00:00:00"/>
    <d v="2002-04-15T00:00:00"/>
    <d v="2002-04-16T00:00:00"/>
    <s v="OTIF FAIL"/>
    <n v="1"/>
    <s v="1210_FG_CRC"/>
    <x v="15"/>
    <n v="1"/>
    <m/>
  </r>
  <r>
    <s v="0558114036-1"/>
    <s v="CST"/>
    <n v="0.6"/>
    <n v="1250"/>
    <n v="2500"/>
    <n v="6"/>
    <n v="6"/>
    <s v="CRAP"/>
    <d v="2001-08-16T00:00:00"/>
    <d v="2002-03-06T00:00:00"/>
    <s v="-"/>
    <s v="-"/>
    <d v="2002-03-22T00:00:00"/>
    <d v="2002-03-22T00:00:00"/>
    <s v="OTIF FAIL"/>
    <n v="1"/>
    <s v="1210_FG_CRC"/>
    <x v="0"/>
    <n v="1"/>
    <m/>
  </r>
  <r>
    <s v="0558114574-2"/>
    <s v="HRC"/>
    <n v="0.6"/>
    <n v="1250"/>
    <n v="2500"/>
    <n v="3"/>
    <n v="3"/>
    <s v="CRAP"/>
    <d v="2001-08-23T00:00:00"/>
    <d v="2002-03-07T00:00:00"/>
    <s v="-"/>
    <s v="-"/>
    <d v="2002-04-22T00:00:00"/>
    <d v="2002-04-22T00:00:00"/>
    <s v="OTIF FAIL"/>
    <n v="2"/>
    <s v="1210_FG_CRC"/>
    <x v="2"/>
    <n v="1"/>
    <m/>
  </r>
  <r>
    <s v="0558114963-2"/>
    <s v="CRC"/>
    <n v="1"/>
    <n v="1250"/>
    <n v="2050"/>
    <n v="3"/>
    <n v="3"/>
    <s v="CRAP"/>
    <d v="2001-08-29T00:00:00"/>
    <d v="2002-02-28T00:00:00"/>
    <d v="2002-04-19T00:00:00"/>
    <d v="2002-04-19T00:00:00"/>
    <d v="2002-04-15T00:00:00"/>
    <d v="2002-04-15T00:00:00"/>
    <s v="OTIF FAIL"/>
    <n v="2"/>
    <s v="1210_FG_CRC"/>
    <x v="15"/>
    <n v="1"/>
    <m/>
  </r>
  <r>
    <s v="0558116247-4"/>
    <s v="CST"/>
    <n v="0.5"/>
    <n v="1250"/>
    <n v="2500"/>
    <n v="3"/>
    <n v="3"/>
    <s v="CRAP"/>
    <d v="2001-10-25T00:00:00"/>
    <d v="2002-03-08T00:00:00"/>
    <d v="2002-04-13T00:00:00"/>
    <d v="2002-04-13T00:00:00"/>
    <d v="2002-04-13T00:00:00"/>
    <d v="2002-04-13T00:00:00"/>
    <s v="OTIF FAIL"/>
    <n v="4"/>
    <s v="1210_FG_CRC"/>
    <x v="7"/>
    <n v="1"/>
    <m/>
  </r>
  <r>
    <s v="0558113804-4"/>
    <s v="CST"/>
    <n v="0.8"/>
    <n v="1250"/>
    <n v="2500"/>
    <n v="5"/>
    <n v="5"/>
    <s v="CRAP"/>
    <d v="2001-08-11T00:00:00"/>
    <d v="2002-03-06T00:00:00"/>
    <d v="2002-04-08T00:00:00"/>
    <d v="2002-04-08T00:00:00"/>
    <d v="2002-04-08T00:00:00"/>
    <d v="2002-04-08T00:00:00"/>
    <s v="OTIF FAIL"/>
    <n v="4"/>
    <s v="1210_FG_CRC"/>
    <x v="7"/>
    <n v="1"/>
    <m/>
  </r>
  <r>
    <s v="0558114257-3"/>
    <s v="HRC"/>
    <n v="1.2"/>
    <n v="1250"/>
    <n v="2350"/>
    <n v="9"/>
    <n v="9"/>
    <s v="CRAP"/>
    <d v="2001-08-21T00:00:00"/>
    <d v="2002-03-07T00:00:00"/>
    <d v="2002-04-23T00:00:00"/>
    <d v="2002-04-23T00:00:00"/>
    <d v="2002-03-22T00:00:00"/>
    <d v="2002-03-31T00:00:00"/>
    <s v="OTIF FAIL"/>
    <n v="3"/>
    <s v="1210_FG_CRC"/>
    <x v="6"/>
    <n v="1"/>
    <m/>
  </r>
  <r>
    <s v="0558116248-4"/>
    <s v="CST"/>
    <n v="0.5"/>
    <n v="1250"/>
    <n v="2500"/>
    <n v="3"/>
    <n v="3"/>
    <s v="CRAP"/>
    <d v="2001-10-25T00:00:00"/>
    <d v="2002-03-08T00:00:00"/>
    <d v="2002-04-13T00:00:00"/>
    <d v="2002-04-13T00:00:00"/>
    <d v="2002-04-13T00:00:00"/>
    <d v="2002-04-13T00:00:00"/>
    <s v="OTIF FAIL"/>
    <n v="4"/>
    <s v="1210_FG_CRC"/>
    <x v="7"/>
    <n v="1"/>
    <m/>
  </r>
  <r>
    <s v="0558114921-1"/>
    <s v="CST"/>
    <n v="0.9"/>
    <n v="1250"/>
    <n v="2500"/>
    <n v="3"/>
    <n v="3"/>
    <s v="CRAP"/>
    <d v="2001-09-25T00:00:00"/>
    <d v="2002-03-10T00:00:00"/>
    <d v="2002-04-26T00:00:00"/>
    <d v="2002-04-26T00:00:00"/>
    <d v="2002-04-12T00:00:00"/>
    <d v="2002-04-12T00:00:00"/>
    <s v="OTIF FAIL"/>
    <n v="1"/>
    <s v="1210_FG_CRC"/>
    <x v="7"/>
    <n v="1"/>
    <m/>
  </r>
  <r>
    <s v="0558115831-1"/>
    <s v="CST"/>
    <n v="0.5"/>
    <n v="1250"/>
    <n v="2500"/>
    <n v="3"/>
    <n v="3"/>
    <s v="CRAP"/>
    <d v="2001-08-30T00:00:00"/>
    <d v="2002-03-08T00:00:00"/>
    <d v="2002-04-13T00:00:00"/>
    <d v="2002-04-13T00:00:00"/>
    <d v="2002-04-13T00:00:00"/>
    <d v="2002-04-13T00:00:00"/>
    <s v="OTIF FAIL"/>
    <n v="1"/>
    <s v="1210_FG_CRC"/>
    <x v="7"/>
    <n v="1"/>
    <m/>
  </r>
  <r>
    <s v="0558113425-1"/>
    <s v="CRC"/>
    <n v="1.2"/>
    <n v="1250"/>
    <n v="2300"/>
    <n v="6"/>
    <n v="6"/>
    <s v="CRAP"/>
    <d v="2001-08-05T00:00:00"/>
    <d v="2002-03-06T00:00:00"/>
    <s v="-"/>
    <s v="-"/>
    <d v="2002-03-22T00:00:00"/>
    <d v="2002-03-22T00:00:00"/>
    <s v="OTIF FAIL"/>
    <n v="1"/>
    <s v="1210_FG_CRC"/>
    <x v="0"/>
    <n v="1"/>
    <m/>
  </r>
  <r>
    <s v="0558115831-2"/>
    <s v="CST"/>
    <n v="0.6"/>
    <n v="1250"/>
    <n v="2500"/>
    <n v="3"/>
    <n v="3"/>
    <s v="CRAP"/>
    <d v="2001-08-30T00:00:00"/>
    <d v="2002-03-08T00:00:00"/>
    <d v="2002-04-29T00:00:00"/>
    <d v="2002-04-29T00:00:00"/>
    <d v="2002-04-22T00:00:00"/>
    <d v="2002-04-22T00:00:00"/>
    <s v="OTIF FAIL"/>
    <n v="2"/>
    <s v="1210_FG_CRC"/>
    <x v="2"/>
    <n v="1"/>
    <m/>
  </r>
  <r>
    <s v="0569022837-3"/>
    <s v="CRC"/>
    <n v="0.8"/>
    <n v="1250"/>
    <n v="2500"/>
    <n v="13"/>
    <n v="13"/>
    <s v="CRAP"/>
    <d v="2001-08-01T00:00:00"/>
    <d v="2002-03-10T00:00:00"/>
    <d v="2002-04-02T00:00:00"/>
    <d v="2002-04-02T00:00:00"/>
    <d v="2002-04-09T00:00:00"/>
    <d v="2002-04-09T00:00:00"/>
    <s v="OTIF FAIL"/>
    <n v="3"/>
    <s v="1210_FG_CRC"/>
    <x v="7"/>
    <n v="1"/>
    <m/>
  </r>
  <r>
    <s v="0569022773-1"/>
    <s v="CST"/>
    <n v="1"/>
    <n v="1250"/>
    <n v="2500"/>
    <n v="38"/>
    <n v="38"/>
    <s v="CRAP"/>
    <d v="2001-09-25T00:00:00"/>
    <d v="2002-03-10T00:00:00"/>
    <d v="2002-03-26T00:00:00"/>
    <d v="2002-03-26T00:00:00"/>
    <d v="2002-03-26T00:00:00"/>
    <d v="2002-03-26T00:00:00"/>
    <s v="OTIF FAIL"/>
    <n v="1"/>
    <s v="1210_FG_CRC"/>
    <x v="9"/>
    <n v="1"/>
    <m/>
  </r>
  <r>
    <s v="0569022773-2"/>
    <s v="HRC"/>
    <n v="1.2"/>
    <n v="1250"/>
    <n v="2500"/>
    <n v="27"/>
    <n v="4.5970000000000004"/>
    <s v="CRAP"/>
    <d v="2001-09-25T00:00:00"/>
    <d v="2002-03-10T00:00:00"/>
    <d v="2002-04-23T00:00:00"/>
    <d v="2002-04-23T00:00:00"/>
    <d v="2002-03-22T00:00:00"/>
    <d v="2002-03-22T00:00:00"/>
    <s v="OTIF FAIL"/>
    <n v="2"/>
    <s v="1210_FG_CRC"/>
    <x v="0"/>
    <n v="0"/>
    <m/>
  </r>
  <r>
    <s v="0569022772-9"/>
    <s v="HPC"/>
    <n v="1.2"/>
    <n v="1250"/>
    <n v="2350"/>
    <n v="73"/>
    <n v="73"/>
    <s v="CRAP"/>
    <d v="2001-09-25T00:00:00"/>
    <d v="2002-03-10T00:00:00"/>
    <d v="2002-03-31T00:00:00"/>
    <d v="2002-03-31T00:00:00"/>
    <d v="2002-03-31T00:00:00"/>
    <d v="2002-03-31T00:00:00"/>
    <s v="OTIF FAIL"/>
    <n v="9"/>
    <s v="1210_FG_CRC"/>
    <x v="6"/>
    <n v="1"/>
    <m/>
  </r>
  <r>
    <s v="0558113841-1"/>
    <s v="CRC"/>
    <n v="0.5"/>
    <n v="1250"/>
    <n v="2500"/>
    <n v="3"/>
    <n v="3"/>
    <s v="CRAP"/>
    <d v="2001-08-11T00:00:00"/>
    <d v="2002-03-06T00:00:00"/>
    <d v="2002-04-13T00:00:00"/>
    <d v="2002-04-13T00:00:00"/>
    <d v="2002-04-13T00:00:00"/>
    <d v="2002-04-13T00:00:00"/>
    <s v="OTIF FAIL"/>
    <n v="1"/>
    <s v="1210_FG_CRC"/>
    <x v="7"/>
    <n v="1"/>
    <m/>
  </r>
  <r>
    <s v="0569022772-3"/>
    <s v="CST"/>
    <n v="2"/>
    <n v="1250"/>
    <n v="2500"/>
    <n v="70"/>
    <n v="12.548"/>
    <s v="CRAP"/>
    <d v="2001-09-25T00:00:00"/>
    <d v="2002-03-10T00:00:00"/>
    <d v="2002-04-19T00:00:00"/>
    <d v="2002-04-19T00:00:00"/>
    <d v="2002-04-15T00:00:00"/>
    <d v="2002-04-15T00:00:00"/>
    <s v="OTIF FAIL"/>
    <n v="3"/>
    <s v="1210_FG_CRC"/>
    <x v="15"/>
    <n v="0"/>
    <m/>
  </r>
  <r>
    <s v="0569022772-4"/>
    <s v="CST"/>
    <n v="1"/>
    <n v="1250"/>
    <n v="2500"/>
    <n v="282"/>
    <n v="282"/>
    <s v="CRAP"/>
    <d v="2001-09-25T00:00:00"/>
    <d v="2002-03-10T00:00:00"/>
    <d v="2002-04-10T00:00:00"/>
    <d v="2002-04-10T00:00:00"/>
    <d v="2002-04-10T00:00:00"/>
    <d v="2002-04-10T00:00:00"/>
    <s v="OTIF FAIL"/>
    <n v="4"/>
    <s v="1210_FG_CRC"/>
    <x v="7"/>
    <n v="1"/>
    <m/>
  </r>
  <r>
    <s v="0569022772-1"/>
    <s v="CST"/>
    <n v="1.2"/>
    <n v="1250"/>
    <n v="2500"/>
    <n v="313"/>
    <n v="313"/>
    <s v="CRAP"/>
    <d v="2001-09-25T00:00:00"/>
    <d v="2002-03-10T00:00:00"/>
    <s v="-"/>
    <s v="-"/>
    <d v="2002-05-09T00:00:00"/>
    <d v="2002-05-09T00:00:00"/>
    <s v="OTIF FAIL"/>
    <n v="1"/>
    <s v="1210_FG_CRC"/>
    <x v="19"/>
    <n v="1"/>
    <m/>
  </r>
  <r>
    <s v="0558116249-4"/>
    <s v="CST"/>
    <n v="0.5"/>
    <n v="1250"/>
    <n v="2500"/>
    <n v="3"/>
    <n v="3"/>
    <s v="CRAP"/>
    <d v="2001-10-25T00:00:00"/>
    <d v="2002-03-08T00:00:00"/>
    <d v="2002-04-13T00:00:00"/>
    <d v="2002-04-13T00:00:00"/>
    <d v="2002-04-13T00:00:00"/>
    <d v="2002-04-13T00:00:00"/>
    <s v="OTIF FAIL"/>
    <n v="4"/>
    <s v="1210_FG_CRC"/>
    <x v="7"/>
    <n v="1"/>
    <m/>
  </r>
  <r>
    <s v="0558116250-4"/>
    <s v="CRC"/>
    <n v="0.5"/>
    <n v="1250"/>
    <n v="2500"/>
    <n v="3"/>
    <n v="3"/>
    <s v="CRAP"/>
    <d v="2001-10-25T00:00:00"/>
    <d v="2002-03-08T00:00:00"/>
    <d v="2002-04-13T00:00:00"/>
    <d v="2002-04-13T00:00:00"/>
    <d v="2002-04-13T00:00:00"/>
    <d v="2002-04-13T00:00:00"/>
    <s v="OTIF FAIL"/>
    <n v="4"/>
    <s v="1210_FG_CRC"/>
    <x v="7"/>
    <n v="1"/>
    <m/>
  </r>
  <r>
    <s v="0558114139-1"/>
    <s v="CST"/>
    <n v="0.6"/>
    <n v="1250"/>
    <n v="2500"/>
    <n v="3"/>
    <n v="3"/>
    <s v="CRAP"/>
    <d v="2001-08-16T00:00:00"/>
    <d v="2002-03-07T00:00:00"/>
    <s v="-"/>
    <s v="-"/>
    <d v="2002-04-22T00:00:00"/>
    <d v="2002-04-22T00:00:00"/>
    <s v="OTIF FAIL"/>
    <n v="1"/>
    <s v="1210_FG_CRC"/>
    <x v="2"/>
    <n v="1"/>
    <m/>
  </r>
  <r>
    <s v="0558113827-2"/>
    <s v="CST"/>
    <n v="0.6"/>
    <n v="1250"/>
    <n v="2500"/>
    <n v="3"/>
    <n v="3"/>
    <s v="CRAP"/>
    <d v="2001-08-11T00:00:00"/>
    <d v="2002-03-06T00:00:00"/>
    <d v="2002-04-29T00:00:00"/>
    <d v="2002-04-29T00:00:00"/>
    <d v="2002-04-22T00:00:00"/>
    <d v="2002-04-22T00:00:00"/>
    <s v="OTIF FAIL"/>
    <n v="2"/>
    <s v="1210_FG_CRC"/>
    <x v="2"/>
    <n v="1"/>
    <m/>
  </r>
  <r>
    <s v="0558116015-1"/>
    <s v="PSS"/>
    <n v="3"/>
    <n v="1250"/>
    <n v="2500"/>
    <n v="3"/>
    <n v="3"/>
    <s v="CRAP"/>
    <d v="2001-08-31T00:00:00"/>
    <d v="2002-03-08T00:00:00"/>
    <s v="-"/>
    <s v="-"/>
    <d v="2002-04-16T00:00:00"/>
    <d v="2002-04-16T00:00:00"/>
    <s v="OTIF FAIL"/>
    <n v="1"/>
    <s v="1210_FG_CRC"/>
    <x v="15"/>
    <n v="1"/>
    <m/>
  </r>
  <r>
    <s v="0558109013-1"/>
    <s v="CST"/>
    <n v="1"/>
    <n v="1250"/>
    <n v="2500"/>
    <n v="9"/>
    <n v="5.5339999999999998"/>
    <s v="CRAP"/>
    <d v="2001-08-19T00:00:00"/>
    <d v="2002-02-25T00:00:00"/>
    <d v="2002-04-05T00:00:00"/>
    <d v="2002-04-05T00:00:00"/>
    <d v="2002-04-05T00:00:00"/>
    <d v="2002-04-05T00:00:00"/>
    <s v="OTIF FAIL"/>
    <n v="1"/>
    <s v="1210_FG_CRC"/>
    <x v="6"/>
    <n v="0"/>
    <m/>
  </r>
  <r>
    <s v="0558113646-1"/>
    <s v="CST"/>
    <n v="2"/>
    <n v="1250"/>
    <n v="2500"/>
    <n v="9"/>
    <n v="9"/>
    <s v="CRAP"/>
    <d v="2001-08-07T00:00:00"/>
    <d v="2002-03-06T00:00:00"/>
    <d v="2002-04-03T00:00:00"/>
    <d v="2002-04-03T00:00:00"/>
    <d v="2002-04-02T00:00:00"/>
    <d v="2002-04-02T00:00:00"/>
    <s v="OTIF FAIL"/>
    <n v="1"/>
    <s v="1210_FG_CRC"/>
    <x v="6"/>
    <n v="1"/>
    <m/>
  </r>
  <r>
    <s v="0558110634-1"/>
    <s v="CST"/>
    <n v="1.5"/>
    <n v="1250"/>
    <n v="2500"/>
    <n v="9"/>
    <n v="9"/>
    <s v="CRAP"/>
    <d v="2001-09-25T00:00:00"/>
    <d v="2002-03-04T00:00:00"/>
    <d v="2002-03-18T00:00:00"/>
    <d v="2002-03-18T00:00:00"/>
    <d v="2002-03-18T00:00:00"/>
    <d v="2002-03-18T00:00:00"/>
    <s v="OTIF FAIL"/>
    <n v="1"/>
    <s v="1210_FG_CRC"/>
    <x v="0"/>
    <n v="1"/>
    <m/>
  </r>
  <r>
    <s v="0558116162-4"/>
    <s v="CST"/>
    <n v="1.2"/>
    <n v="1250"/>
    <n v="2500"/>
    <n v="3"/>
    <n v="3"/>
    <s v="CRAP"/>
    <d v="2001-09-25T00:00:00"/>
    <d v="2002-03-08T00:00:00"/>
    <d v="2002-03-31T00:00:00"/>
    <d v="2002-03-31T00:00:00"/>
    <d v="2002-03-29T00:00:00"/>
    <d v="2002-03-29T00:00:00"/>
    <s v="OTIF FAIL"/>
    <n v="4"/>
    <s v="1210_FG_CRC"/>
    <x v="9"/>
    <n v="1"/>
    <m/>
  </r>
  <r>
    <s v="0568012874-2"/>
    <s v="HRC"/>
    <n v="1.2"/>
    <n v="1250"/>
    <n v="3048"/>
    <n v="36"/>
    <n v="36"/>
    <s v="CRAP"/>
    <d v="2001-08-31T00:00:00"/>
    <d v="2002-02-27T00:00:00"/>
    <d v="2002-03-10T00:00:00"/>
    <d v="2002-03-10T00:00:00"/>
    <d v="2002-03-11T00:00:00"/>
    <d v="2002-03-11T00:00:00"/>
    <s v="OTIF FAIL"/>
    <n v="2"/>
    <s v="1210_FG_CRC"/>
    <x v="3"/>
    <n v="1"/>
    <m/>
  </r>
  <r>
    <s v="0568012874-3"/>
    <s v="CST"/>
    <n v="1.5"/>
    <n v="1250"/>
    <n v="3048"/>
    <n v="18"/>
    <n v="18"/>
    <s v="CRAP"/>
    <d v="2001-08-31T00:00:00"/>
    <d v="2002-02-27T00:00:00"/>
    <d v="2002-03-10T00:00:00"/>
    <d v="2002-03-10T00:00:00"/>
    <d v="2002-03-11T00:00:00"/>
    <d v="2002-03-11T00:00:00"/>
    <s v="OTIF FAIL"/>
    <n v="3"/>
    <s v="1210_FG_CRC"/>
    <x v="3"/>
    <n v="1"/>
    <m/>
  </r>
  <r>
    <s v="0558111436-1"/>
    <s v="HRC"/>
    <n v="1"/>
    <n v="1250"/>
    <n v="2150"/>
    <n v="15"/>
    <n v="6.2240000000000002"/>
    <s v="CRAP"/>
    <d v="2001-09-25T00:00:00"/>
    <d v="2002-03-04T00:00:00"/>
    <d v="2002-04-18T00:00:00"/>
    <d v="2002-04-18T00:00:00"/>
    <d v="2002-01-05T00:00:00"/>
    <d v="2002-01-05T00:00:00"/>
    <s v="OTIF FAIL"/>
    <n v="1"/>
    <s v="1210_FG_CRC"/>
    <x v="14"/>
    <n v="0"/>
    <m/>
  </r>
  <r>
    <s v="0569022909-4"/>
    <s v="CST"/>
    <n v="0.8"/>
    <n v="562"/>
    <n v="2114"/>
    <n v="2"/>
    <n v="2"/>
    <s v="CRAP"/>
    <d v="2001-08-07T00:00:00"/>
    <d v="2002-02-26T00:00:00"/>
    <d v="2002-03-15T00:00:00"/>
    <d v="2002-03-15T00:00:00"/>
    <d v="2002-03-15T00:00:00"/>
    <d v="2002-03-15T00:00:00"/>
    <s v="OTIF FAIL"/>
    <n v="4"/>
    <s v="1210_FG_CRC"/>
    <x v="3"/>
    <n v="1"/>
    <m/>
  </r>
  <r>
    <s v="0569022960-1"/>
    <s v="CST"/>
    <n v="1"/>
    <n v="1250"/>
    <n v="1810"/>
    <n v="4"/>
    <n v="4"/>
    <s v="CRAP"/>
    <d v="2001-08-16T00:00:00"/>
    <d v="2002-02-26T00:00:00"/>
    <d v="2002-03-30T00:00:00"/>
    <d v="2002-03-30T00:00:00"/>
    <d v="2002-03-30T00:00:00"/>
    <d v="2002-03-30T00:00:00"/>
    <s v="OTIF FAIL"/>
    <n v="1"/>
    <s v="1210_FG_CRC"/>
    <x v="9"/>
    <n v="1"/>
    <m/>
  </r>
  <r>
    <s v="0569022665-2"/>
    <s v="CRC"/>
    <n v="0.8"/>
    <n v="1134"/>
    <n v="2289"/>
    <n v="10"/>
    <n v="10"/>
    <s v="CRAP"/>
    <d v="2001-09-25T00:00:00"/>
    <d v="2002-03-10T00:00:00"/>
    <d v="2002-04-01T00:00:00"/>
    <d v="2002-04-01T00:00:00"/>
    <d v="2002-03-19T00:00:00"/>
    <d v="2002-03-19T00:00:00"/>
    <s v="OTIF FAIL"/>
    <n v="2"/>
    <s v="1210_FG_CRC"/>
    <x v="0"/>
    <n v="1"/>
    <m/>
  </r>
  <r>
    <s v="0569022909-1"/>
    <s v="CST"/>
    <n v="0.8"/>
    <n v="562"/>
    <n v="2014"/>
    <n v="6"/>
    <n v="6"/>
    <s v="CRAP"/>
    <d v="2001-08-07T00:00:00"/>
    <d v="2002-02-26T00:00:00"/>
    <d v="2002-03-15T00:00:00"/>
    <d v="2002-03-15T00:00:00"/>
    <d v="2002-03-15T00:00:00"/>
    <d v="2002-03-15T00:00:00"/>
    <s v="OTIF FAIL"/>
    <n v="1"/>
    <s v="1210_FG_CRC"/>
    <x v="3"/>
    <n v="1"/>
    <m/>
  </r>
  <r>
    <s v="0558116262-2"/>
    <s v="CR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9T00:00:00"/>
    <s v="OTIF FAIL"/>
    <n v="2"/>
    <s v="1210_FG_CRC"/>
    <x v="7"/>
    <n v="1"/>
    <m/>
  </r>
  <r>
    <s v="0558116263-4"/>
    <s v="CST"/>
    <n v="1.5"/>
    <n v="1250"/>
    <n v="2500"/>
    <n v="30"/>
    <n v="30"/>
    <s v="CRAP"/>
    <d v="2001-10-25T00:00:00"/>
    <d v="2002-02-26T00:00:00"/>
    <d v="2002-04-04T00:00:00"/>
    <d v="2002-04-04T00:00:00"/>
    <d v="2002-04-11T00:00:00"/>
    <d v="2002-04-18T00:00:00"/>
    <s v="OTIF FAIL"/>
    <n v="4"/>
    <s v="1210_FG_CRC"/>
    <x v="15"/>
    <n v="1"/>
    <m/>
  </r>
  <r>
    <s v="0569022963-5"/>
    <s v="CST"/>
    <n v="1.5"/>
    <n v="1250"/>
    <n v="2500"/>
    <n v="10"/>
    <n v="10"/>
    <s v="CRAP"/>
    <d v="2001-08-16T00:00:00"/>
    <d v="2002-02-26T00:00:00"/>
    <d v="2002-04-06T00:00:00"/>
    <d v="2002-04-06T00:00:00"/>
    <d v="2002-04-06T00:00:00"/>
    <d v="2002-04-09T00:00:00"/>
    <s v="OTIF FAIL"/>
    <n v="5"/>
    <s v="1210_FG_CRC"/>
    <x v="7"/>
    <n v="1"/>
    <m/>
  </r>
  <r>
    <s v="0569023001-6"/>
    <s v="CST"/>
    <n v="1"/>
    <n v="1250"/>
    <n v="3000"/>
    <n v="2"/>
    <n v="2"/>
    <s v="CRAP"/>
    <d v="2001-08-17T00:00:00"/>
    <d v="2002-02-26T00:00:00"/>
    <d v="2002-04-06T00:00:00"/>
    <d v="2002-04-06T00:00:00"/>
    <d v="2002-04-06T00:00:00"/>
    <d v="2002-04-06T00:00:00"/>
    <s v="OTIF FAIL"/>
    <n v="6"/>
    <s v="1210_FG_CRC"/>
    <x v="6"/>
    <n v="1"/>
    <m/>
  </r>
  <r>
    <s v="0558116263-3"/>
    <s v="HR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6T00:00:00"/>
    <s v="OTIF FAIL"/>
    <n v="3"/>
    <s v="1210_FG_CRC"/>
    <x v="6"/>
    <n v="1"/>
    <m/>
  </r>
  <r>
    <s v="0569023001-3"/>
    <s v="HPC"/>
    <n v="1"/>
    <n v="1250"/>
    <n v="3000"/>
    <n v="2"/>
    <n v="2"/>
    <s v="CRAP"/>
    <d v="2001-08-17T00:00:00"/>
    <d v="2002-02-26T00:00:00"/>
    <d v="2002-04-06T00:00:00"/>
    <d v="2002-04-06T00:00:00"/>
    <d v="2002-04-06T00:00:00"/>
    <d v="2002-04-06T00:00:00"/>
    <s v="OTIF FAIL"/>
    <n v="3"/>
    <s v="1210_FG_CRC"/>
    <x v="6"/>
    <n v="1"/>
    <m/>
  </r>
  <r>
    <s v="0558116265-3"/>
    <s v="HR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6T00:00:00"/>
    <s v="OTIF FAIL"/>
    <n v="3"/>
    <s v="1210_FG_CRC"/>
    <x v="6"/>
    <n v="1"/>
    <m/>
  </r>
  <r>
    <s v="0558116264-2"/>
    <s v="HP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9T00:00:00"/>
    <s v="OTIF FAIL"/>
    <n v="2"/>
    <s v="1210_FG_CRC"/>
    <x v="7"/>
    <n v="1"/>
    <m/>
  </r>
  <r>
    <s v="0558116263-2"/>
    <s v="HR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9T00:00:00"/>
    <s v="OTIF FAIL"/>
    <n v="2"/>
    <s v="1210_FG_CRC"/>
    <x v="7"/>
    <n v="1"/>
    <m/>
  </r>
  <r>
    <s v="0558116264-4"/>
    <s v="HRC"/>
    <n v="1.5"/>
    <n v="1250"/>
    <n v="2500"/>
    <n v="30"/>
    <n v="30"/>
    <s v="CRAP"/>
    <d v="2001-10-25T00:00:00"/>
    <d v="2002-02-26T00:00:00"/>
    <d v="2002-04-04T00:00:00"/>
    <d v="2002-04-04T00:00:00"/>
    <d v="2002-04-04T00:00:00"/>
    <d v="2002-04-18T00:00:00"/>
    <s v="OTIF FAIL"/>
    <n v="4"/>
    <s v="1210_FG_CRC"/>
    <x v="15"/>
    <n v="1"/>
    <m/>
  </r>
  <r>
    <s v="0558104297-1"/>
    <s v="HRC"/>
    <n v="1.6"/>
    <n v="1250"/>
    <n v="2500"/>
    <n v="4"/>
    <n v="4"/>
    <s v="CRAP"/>
    <d v="2001-09-25T00:00:00"/>
    <d v="2002-02-26T00:00:00"/>
    <d v="2002-04-13T00:00:00"/>
    <d v="2002-04-13T00:00:00"/>
    <d v="2002-03-30T00:00:00"/>
    <d v="2002-03-30T00:00:00"/>
    <s v="OTIF FAIL"/>
    <n v="1"/>
    <s v="1210_FG_CRC"/>
    <x v="9"/>
    <n v="1"/>
    <m/>
  </r>
  <r>
    <s v="0558116262-3"/>
    <s v="CST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6T00:00:00"/>
    <s v="OTIF FAIL"/>
    <n v="3"/>
    <s v="1210_FG_CRC"/>
    <x v="6"/>
    <n v="1"/>
    <m/>
  </r>
  <r>
    <s v="0558116264-3"/>
    <s v="CST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6T00:00:00"/>
    <s v="OTIF FAIL"/>
    <n v="3"/>
    <s v="1210_FG_CRC"/>
    <x v="6"/>
    <n v="1"/>
    <m/>
  </r>
  <r>
    <s v="0569022963-1"/>
    <s v="CST"/>
    <n v="1.2"/>
    <n v="1250"/>
    <n v="2220"/>
    <n v="6"/>
    <n v="6"/>
    <s v="CRAP"/>
    <d v="2001-08-16T00:00:00"/>
    <d v="2002-02-26T00:00:00"/>
    <d v="2002-04-09T00:00:00"/>
    <d v="2002-04-09T00:00:00"/>
    <d v="2002-04-07T00:00:00"/>
    <d v="2002-04-07T00:00:00"/>
    <s v="OTIF FAIL"/>
    <n v="1"/>
    <s v="1210_FG_CRC"/>
    <x v="7"/>
    <n v="1"/>
    <m/>
  </r>
  <r>
    <s v="0569022256-3"/>
    <s v="NFA"/>
    <n v="1"/>
    <n v="1250"/>
    <n v="2486"/>
    <n v="8"/>
    <n v="8"/>
    <s v="CRAP"/>
    <d v="2001-09-25T00:00:00"/>
    <d v="2002-03-10T00:00:00"/>
    <d v="2002-04-06T00:00:00"/>
    <d v="2002-04-06T00:00:00"/>
    <d v="2002-04-06T00:00:00"/>
    <d v="2002-04-06T00:00:00"/>
    <s v="OTIF FAIL"/>
    <n v="3"/>
    <s v="1210_FG_CRC"/>
    <x v="6"/>
    <n v="1"/>
    <m/>
  </r>
  <r>
    <s v="0558114084-1"/>
    <s v="HRC"/>
    <n v="1.6"/>
    <n v="1250"/>
    <n v="2500"/>
    <n v="10"/>
    <n v="10"/>
    <s v="CRAP"/>
    <d v="2001-08-16T00:00:00"/>
    <d v="2002-02-26T00:00:00"/>
    <d v="2002-04-13T00:00:00"/>
    <d v="2002-04-13T00:00:00"/>
    <d v="2002-03-30T00:00:00"/>
    <d v="2002-03-30T00:00:00"/>
    <s v="OTIF FAIL"/>
    <n v="1"/>
    <s v="1210_FG_CRC"/>
    <x v="9"/>
    <n v="1"/>
    <m/>
  </r>
  <r>
    <s v="0569023001-1"/>
    <s v="HPC"/>
    <n v="1"/>
    <n v="1250"/>
    <n v="2239"/>
    <n v="8"/>
    <n v="8"/>
    <s v="CRAP"/>
    <d v="2001-08-17T00:00:00"/>
    <d v="2002-02-26T00:00:00"/>
    <d v="2002-04-06T00:00:00"/>
    <d v="2002-04-06T00:00:00"/>
    <d v="2002-04-06T00:00:00"/>
    <d v="2002-04-06T00:00:00"/>
    <s v="OTIF FAIL"/>
    <n v="1"/>
    <s v="1210_FG_CRC"/>
    <x v="6"/>
    <n v="1"/>
    <m/>
  </r>
  <r>
    <s v="0558104297-2"/>
    <s v="HPC"/>
    <n v="1.6"/>
    <n v="1250"/>
    <n v="3000"/>
    <n v="4"/>
    <n v="4"/>
    <s v="CRAP"/>
    <d v="2001-09-25T00:00:00"/>
    <d v="2002-02-26T00:00:00"/>
    <d v="2002-04-13T00:00:00"/>
    <d v="2002-04-13T00:00:00"/>
    <d v="2002-03-30T00:00:00"/>
    <d v="2002-03-30T00:00:00"/>
    <s v="OTIF FAIL"/>
    <n v="2"/>
    <s v="1210_FG_CRC"/>
    <x v="9"/>
    <n v="1"/>
    <m/>
  </r>
  <r>
    <s v="0569022963-3"/>
    <s v="CST"/>
    <n v="1.2"/>
    <n v="1250"/>
    <n v="3000"/>
    <n v="2"/>
    <n v="2"/>
    <s v="CRAP"/>
    <d v="2001-08-16T00:00:00"/>
    <d v="2002-02-26T00:00:00"/>
    <d v="2002-04-09T00:00:00"/>
    <d v="2002-04-09T00:00:00"/>
    <d v="2002-04-07T00:00:00"/>
    <d v="2002-04-07T00:00:00"/>
    <s v="OTIF FAIL"/>
    <n v="3"/>
    <s v="1210_FG_CRC"/>
    <x v="7"/>
    <n v="1"/>
    <m/>
  </r>
  <r>
    <s v="0569022963-2"/>
    <s v="CRC"/>
    <n v="1.2"/>
    <n v="1250"/>
    <n v="2400"/>
    <n v="7"/>
    <n v="7"/>
    <s v="CRAP"/>
    <d v="2001-08-16T00:00:00"/>
    <d v="2002-02-26T00:00:00"/>
    <d v="2002-04-09T00:00:00"/>
    <d v="2002-04-09T00:00:00"/>
    <d v="2002-04-07T00:00:00"/>
    <d v="2002-04-07T00:00:00"/>
    <s v="OTIF FAIL"/>
    <n v="2"/>
    <s v="1210_FG_CRC"/>
    <x v="7"/>
    <n v="1"/>
    <m/>
  </r>
  <r>
    <s v="0558116265-4"/>
    <s v="CST"/>
    <n v="1.5"/>
    <n v="1250"/>
    <n v="2500"/>
    <n v="30"/>
    <n v="24.393999999999998"/>
    <s v="CRAP"/>
    <d v="2001-10-25T00:00:00"/>
    <d v="2002-02-26T00:00:00"/>
    <d v="2002-04-04T00:00:00"/>
    <d v="2002-04-04T00:00:00"/>
    <d v="2002-04-04T00:00:00"/>
    <d v="2002-04-18T00:00:00"/>
    <s v="OTIF FAIL"/>
    <n v="4"/>
    <s v="1210_FG_CRC"/>
    <x v="15"/>
    <n v="0"/>
    <m/>
  </r>
  <r>
    <s v="0569022963-4"/>
    <s v="CST"/>
    <n v="1.2"/>
    <n v="1250"/>
    <n v="2500"/>
    <n v="4"/>
    <n v="4"/>
    <s v="CRAP"/>
    <d v="2001-08-16T00:00:00"/>
    <d v="2002-02-26T00:00:00"/>
    <d v="2002-04-09T00:00:00"/>
    <d v="2002-04-09T00:00:00"/>
    <d v="2002-04-07T00:00:00"/>
    <d v="2002-04-07T00:00:00"/>
    <s v="OTIF FAIL"/>
    <n v="4"/>
    <s v="1210_FG_CRC"/>
    <x v="7"/>
    <n v="1"/>
    <m/>
  </r>
  <r>
    <s v="0558112097-2"/>
    <s v="HRC"/>
    <n v="1"/>
    <n v="1250"/>
    <n v="2800"/>
    <n v="4"/>
    <n v="4"/>
    <s v="CRAP"/>
    <d v="2001-09-25T00:00:00"/>
    <d v="2002-02-26T00:00:00"/>
    <s v="-"/>
    <s v="-"/>
    <d v="2002-04-06T00:00:00"/>
    <d v="2002-04-06T00:00:00"/>
    <s v="OTIF FAIL"/>
    <n v="2"/>
    <s v="1210_FG_CRC"/>
    <x v="6"/>
    <n v="1"/>
    <m/>
  </r>
  <r>
    <s v="0558112097-3"/>
    <s v="CST"/>
    <n v="1.5"/>
    <n v="1250"/>
    <n v="2350"/>
    <n v="6"/>
    <n v="6"/>
    <s v="CRAP"/>
    <d v="2001-09-25T00:00:00"/>
    <d v="2002-02-26T00:00:00"/>
    <d v="2002-04-09T00:00:00"/>
    <d v="2002-04-09T00:00:00"/>
    <d v="2002-04-09T00:00:00"/>
    <d v="2002-04-09T00:00:00"/>
    <s v="OTIF FAIL"/>
    <n v="3"/>
    <s v="1210_FG_CRC"/>
    <x v="7"/>
    <n v="1"/>
    <m/>
  </r>
  <r>
    <s v="0569023001-5"/>
    <s v="CRC"/>
    <n v="1"/>
    <n v="1250"/>
    <n v="2700"/>
    <n v="2"/>
    <n v="2"/>
    <s v="CRAP"/>
    <d v="2001-08-17T00:00:00"/>
    <d v="2002-02-26T00:00:00"/>
    <d v="2002-04-06T00:00:00"/>
    <d v="2002-04-06T00:00:00"/>
    <d v="2002-04-06T00:00:00"/>
    <d v="2002-04-06T00:00:00"/>
    <s v="OTIF FAIL"/>
    <n v="5"/>
    <s v="1210_FG_CRC"/>
    <x v="6"/>
    <n v="1"/>
    <m/>
  </r>
  <r>
    <s v="0569023001-4"/>
    <s v="HRC"/>
    <n v="1"/>
    <n v="1250"/>
    <n v="2486"/>
    <n v="12"/>
    <n v="12"/>
    <s v="CRAP"/>
    <d v="2001-08-17T00:00:00"/>
    <d v="2002-02-26T00:00:00"/>
    <d v="2002-04-06T00:00:00"/>
    <d v="2002-04-06T00:00:00"/>
    <d v="2002-04-06T00:00:00"/>
    <d v="2002-04-06T00:00:00"/>
    <s v="OTIF FAIL"/>
    <n v="4"/>
    <s v="1210_FG_CRC"/>
    <x v="6"/>
    <n v="1"/>
    <m/>
  </r>
  <r>
    <s v="0558112097-1"/>
    <s v="HRC"/>
    <n v="1"/>
    <n v="1250"/>
    <n v="2500"/>
    <n v="10"/>
    <n v="10"/>
    <s v="CRAP"/>
    <d v="2001-09-25T00:00:00"/>
    <d v="2002-02-26T00:00:00"/>
    <s v="-"/>
    <s v="-"/>
    <d v="2002-04-06T00:00:00"/>
    <d v="2002-04-06T00:00:00"/>
    <s v="OTIF FAIL"/>
    <n v="1"/>
    <s v="1210_FG_CRC"/>
    <x v="6"/>
    <n v="1"/>
    <m/>
  </r>
  <r>
    <s v="0558115441-1"/>
    <s v="CST"/>
    <n v="1"/>
    <n v="1250"/>
    <n v="2500"/>
    <n v="8"/>
    <n v="8"/>
    <s v="CRAP"/>
    <d v="2001-08-29T00:00:00"/>
    <d v="2002-02-26T00:00:00"/>
    <d v="2002-04-02T00:00:00"/>
    <d v="2002-04-02T00:00:00"/>
    <d v="2002-03-31T00:00:00"/>
    <d v="2002-03-31T00:00:00"/>
    <s v="OTIF FAIL"/>
    <n v="1"/>
    <s v="1210_FG_CRC"/>
    <x v="6"/>
    <n v="1"/>
    <m/>
  </r>
  <r>
    <s v="0569022169-1"/>
    <s v="HRC"/>
    <n v="1"/>
    <n v="1250"/>
    <n v="2239"/>
    <n v="8"/>
    <n v="6.5049999999999999"/>
    <s v="CRAP"/>
    <d v="2001-09-25T00:00:00"/>
    <d v="2002-03-10T00:00:00"/>
    <d v="2002-04-06T00:00:00"/>
    <d v="2002-04-06T00:00:00"/>
    <d v="2002-04-06T00:00:00"/>
    <d v="2002-04-06T00:00:00"/>
    <s v="OTIF FAIL"/>
    <n v="1"/>
    <s v="1210_FG_CRC"/>
    <x v="6"/>
    <n v="0"/>
    <m/>
  </r>
  <r>
    <s v="0569022303-1"/>
    <s v="CST"/>
    <n v="1.54"/>
    <n v="1250"/>
    <n v="2500"/>
    <n v="20"/>
    <n v="20"/>
    <s v="CRAP"/>
    <d v="2001-09-25T00:00:00"/>
    <d v="2002-02-26T00:00:00"/>
    <d v="2002-04-04T00:00:00"/>
    <d v="2002-04-04T00:00:00"/>
    <d v="2002-04-04T00:00:00"/>
    <d v="2002-04-04T00:00:00"/>
    <s v="OTIF FAIL"/>
    <n v="1"/>
    <s v="1210_FG_CRC"/>
    <x v="6"/>
    <n v="1"/>
    <m/>
  </r>
  <r>
    <s v="0558113204-2"/>
    <s v="HPC"/>
    <n v="1"/>
    <n v="1250"/>
    <n v="2500"/>
    <n v="9"/>
    <n v="7.12"/>
    <s v="CRAP"/>
    <d v="2001-08-05T00:00:00"/>
    <d v="2002-02-26T00:00:00"/>
    <s v="-"/>
    <s v="-"/>
    <d v="2002-04-06T00:00:00"/>
    <d v="2002-04-06T00:00:00"/>
    <s v="OTIF FAIL"/>
    <n v="2"/>
    <s v="1210_FG_CRC"/>
    <x v="6"/>
    <n v="0"/>
    <m/>
  </r>
  <r>
    <s v="0558113204-3"/>
    <s v="CST"/>
    <n v="1"/>
    <n v="1250"/>
    <n v="2350"/>
    <n v="10"/>
    <n v="10"/>
    <s v="CRAP"/>
    <d v="2001-08-05T00:00:00"/>
    <d v="2002-02-26T00:00:00"/>
    <s v="-"/>
    <s v="-"/>
    <d v="2002-04-06T00:00:00"/>
    <d v="2002-04-06T00:00:00"/>
    <s v="OTIF FAIL"/>
    <n v="3"/>
    <s v="1210_FG_CRC"/>
    <x v="6"/>
    <n v="1"/>
    <m/>
  </r>
  <r>
    <s v="0558113204-1"/>
    <s v="CST"/>
    <n v="1"/>
    <n v="1250"/>
    <n v="2350"/>
    <n v="10"/>
    <n v="10"/>
    <s v="CRAP"/>
    <d v="2001-08-05T00:00:00"/>
    <d v="2002-02-26T00:00:00"/>
    <s v="-"/>
    <s v="-"/>
    <d v="2002-04-06T00:00:00"/>
    <d v="2002-04-06T00:00:00"/>
    <s v="OTIF FAIL"/>
    <n v="1"/>
    <s v="1210_FG_CRC"/>
    <x v="6"/>
    <n v="1"/>
    <m/>
  </r>
  <r>
    <s v="0558108993-4"/>
    <s v="CST"/>
    <n v="1.5"/>
    <n v="1250"/>
    <n v="2500"/>
    <n v="15"/>
    <n v="9.43"/>
    <s v="CRAP"/>
    <d v="2001-09-25T00:00:00"/>
    <d v="2002-03-10T00:00:00"/>
    <d v="2002-04-09T00:00:00"/>
    <d v="2002-04-09T00:00:00"/>
    <d v="2002-04-09T00:00:00"/>
    <d v="2002-04-09T00:00:00"/>
    <s v="OTIF FAIL"/>
    <n v="4"/>
    <s v="1210_FG_CRC"/>
    <x v="7"/>
    <n v="0"/>
    <m/>
  </r>
  <r>
    <s v="0558116265-2"/>
    <s v="HPC"/>
    <n v="1.5"/>
    <n v="1250"/>
    <n v="2350"/>
    <n v="8"/>
    <n v="8"/>
    <s v="CRAP"/>
    <d v="2001-10-25T00:00:00"/>
    <d v="2002-02-26T00:00:00"/>
    <d v="2002-04-06T00:00:00"/>
    <d v="2002-04-06T00:00:00"/>
    <d v="2002-04-06T00:00:00"/>
    <d v="2002-04-09T00:00:00"/>
    <s v="OTIF FAIL"/>
    <n v="2"/>
    <s v="1210_FG_CRC"/>
    <x v="7"/>
    <n v="1"/>
    <m/>
  </r>
  <r>
    <s v="0558108993-1"/>
    <s v="CST"/>
    <n v="1"/>
    <n v="1250"/>
    <n v="2350"/>
    <n v="15"/>
    <n v="8.3390000000000004"/>
    <s v="CRAP"/>
    <d v="2001-09-25T00:00:00"/>
    <d v="2002-02-26T00:00:00"/>
    <s v="-"/>
    <s v="-"/>
    <d v="2002-04-06T00:00:00"/>
    <d v="2002-04-06T00:00:00"/>
    <s v="OTIF FAIL"/>
    <n v="1"/>
    <s v="1210_FG_CRC"/>
    <x v="6"/>
    <n v="0"/>
    <m/>
  </r>
  <r>
    <s v="0569022256-5"/>
    <s v="CST"/>
    <n v="1"/>
    <n v="1250"/>
    <n v="3000"/>
    <n v="2"/>
    <n v="2"/>
    <s v="CRAP"/>
    <d v="2001-09-25T00:00:00"/>
    <d v="2002-03-10T00:00:00"/>
    <d v="2002-04-06T00:00:00"/>
    <d v="2002-04-06T00:00:00"/>
    <d v="2002-04-06T00:00:00"/>
    <d v="2002-04-06T00:00:00"/>
    <s v="OTIF FAIL"/>
    <n v="5"/>
    <s v="1210_FG_CRC"/>
    <x v="6"/>
    <n v="1"/>
    <m/>
  </r>
  <r>
    <s v="0569022256-1"/>
    <s v="CRC"/>
    <n v="1"/>
    <n v="1250"/>
    <n v="2486"/>
    <n v="2"/>
    <n v="2"/>
    <s v="CRAP"/>
    <d v="2001-09-25T00:00:00"/>
    <d v="2002-02-26T00:00:00"/>
    <s v="-"/>
    <s v="-"/>
    <d v="2002-04-06T00:00:00"/>
    <d v="2002-04-06T00:00:00"/>
    <s v="OTIF FAIL"/>
    <n v="1"/>
    <s v="1210_FG_CRC"/>
    <x v="6"/>
    <n v="1"/>
    <m/>
  </r>
  <r>
    <s v="0569022256-2"/>
    <s v="CRC"/>
    <n v="1"/>
    <n v="1250"/>
    <n v="3000"/>
    <n v="6"/>
    <n v="6"/>
    <s v="CRAP"/>
    <d v="2001-09-25T00:00:00"/>
    <d v="2002-02-26T00:00:00"/>
    <d v="2002-04-06T00:00:00"/>
    <d v="2002-04-06T00:00:00"/>
    <d v="2002-04-06T00:00:00"/>
    <d v="2002-04-06T00:00:00"/>
    <s v="OTIF FAIL"/>
    <n v="2"/>
    <s v="1210_FG_CRC"/>
    <x v="6"/>
    <n v="1"/>
    <m/>
  </r>
  <r>
    <s v="0569023001-2"/>
    <s v="CBL"/>
    <n v="1"/>
    <n v="1250"/>
    <n v="2486"/>
    <n v="18"/>
    <n v="18"/>
    <s v="CRAP"/>
    <d v="2001-08-17T00:00:00"/>
    <d v="2002-02-26T00:00:00"/>
    <s v="-"/>
    <s v="-"/>
    <d v="2002-04-04T00:00:00"/>
    <d v="2002-04-06T00:00:00"/>
    <s v="OTIF FAIL"/>
    <n v="2"/>
    <s v="1210_FG_CRC"/>
    <x v="6"/>
    <n v="1"/>
    <m/>
  </r>
  <r>
    <s v="0558111332-5"/>
    <s v="CST"/>
    <n v="1.2"/>
    <n v="1250"/>
    <n v="2500"/>
    <n v="3.04"/>
    <n v="3.04"/>
    <s v="CRAP"/>
    <d v="2001-09-25T00:00:00"/>
    <d v="2002-02-26T00:00:00"/>
    <d v="2002-04-07T00:00:00"/>
    <d v="2002-04-07T00:00:00"/>
    <d v="2002-04-07T00:00:00"/>
    <d v="2002-04-07T00:00:00"/>
    <s v="OTIF FAIL"/>
    <n v="5"/>
    <s v="1210_FG_CRC"/>
    <x v="7"/>
    <n v="1"/>
    <m/>
  </r>
  <r>
    <s v="0558116262-4"/>
    <s v="HPC"/>
    <n v="1.5"/>
    <n v="1250"/>
    <n v="2500"/>
    <n v="30"/>
    <n v="30"/>
    <s v="CRAP"/>
    <d v="2001-10-25T00:00:00"/>
    <d v="2002-02-26T00:00:00"/>
    <d v="2002-04-11T00:00:00"/>
    <d v="2002-04-11T00:00:00"/>
    <d v="2002-04-18T00:00:00"/>
    <d v="2002-04-18T00:00:00"/>
    <s v="OTIF FAIL"/>
    <n v="4"/>
    <s v="1210_FG_CRC"/>
    <x v="15"/>
    <n v="1"/>
    <m/>
  </r>
  <r>
    <s v="0558106927-4"/>
    <s v="HRC"/>
    <n v="1.2"/>
    <n v="1250"/>
    <n v="2500"/>
    <n v="5"/>
    <n v="5"/>
    <s v="CRAP"/>
    <d v="2001-05-31T00:00:00"/>
    <d v="2002-02-26T00:00:00"/>
    <d v="2002-04-07T00:00:00"/>
    <d v="2002-04-07T00:00:00"/>
    <d v="2002-04-07T00:00:00"/>
    <d v="2002-04-07T00:00:00"/>
    <s v="OTIF FAIL"/>
    <n v="4"/>
    <s v="1210_FG_CRC"/>
    <x v="7"/>
    <n v="1"/>
    <m/>
  </r>
  <r>
    <s v="0569022256-4"/>
    <s v="CRC"/>
    <n v="1"/>
    <n v="1250"/>
    <n v="2700"/>
    <n v="2"/>
    <n v="2"/>
    <s v="CRAP"/>
    <d v="2001-09-25T00:00:00"/>
    <d v="2002-02-26T00:00:00"/>
    <d v="2002-04-06T00:00:00"/>
    <d v="2002-04-06T00:00:00"/>
    <d v="2002-04-06T00:00:00"/>
    <d v="2002-04-06T00:00:00"/>
    <s v="OTIF FAIL"/>
    <n v="4"/>
    <s v="1210_FG_CRC"/>
    <x v="6"/>
    <n v="1"/>
    <m/>
  </r>
  <r>
    <s v="0569022169-2"/>
    <s v="HRC"/>
    <n v="1"/>
    <n v="1250"/>
    <n v="2486"/>
    <n v="12"/>
    <n v="7.99"/>
    <s v="CRAP"/>
    <d v="2001-09-25T00:00:00"/>
    <d v="2002-03-10T00:00:00"/>
    <s v="-"/>
    <s v="-"/>
    <d v="2002-04-06T00:00:00"/>
    <d v="2002-04-06T00:00:00"/>
    <s v="OTIF FAIL"/>
    <n v="2"/>
    <s v="1210_FG_CRC"/>
    <x v="6"/>
    <n v="0"/>
    <m/>
  </r>
  <r>
    <s v="0558116387-2"/>
    <s v="CST"/>
    <n v="13.75"/>
    <n v="240"/>
    <n v="0"/>
    <n v="100"/>
    <n v="100"/>
    <s v="FLAT"/>
    <d v="2001-11-30T00:00:00"/>
    <d v="2002-03-08T00:00:00"/>
    <d v="2002-03-08T00:00:00"/>
    <d v="2002-03-08T00:00:00"/>
    <d v="2002-03-08T00:00:00"/>
    <d v="2002-03-10T00:00:00"/>
    <s v="OTIF PASS"/>
    <n v="2"/>
    <s v="1110_FG_FLT"/>
    <x v="3"/>
    <n v="1"/>
    <m/>
  </r>
  <r>
    <s v="0558116387-6"/>
    <s v="CST"/>
    <n v="13.75"/>
    <n v="240"/>
    <n v="0"/>
    <n v="100"/>
    <n v="96.984999999999999"/>
    <s v="FLAT"/>
    <d v="2001-11-30T00:00:00"/>
    <d v="2002-03-10T00:00:00"/>
    <d v="2002-03-10T00:00:00"/>
    <d v="2002-03-10T00:00:00"/>
    <d v="2002-03-10T00:00:00"/>
    <d v="2002-03-10T00:00:00"/>
    <s v="OTIF PASS"/>
    <n v="6"/>
    <s v="1110_FG_FLT"/>
    <x v="3"/>
    <n v="0"/>
    <m/>
  </r>
  <r>
    <s v="0558116495-1"/>
    <s v="CST"/>
    <n v="5"/>
    <n v="240"/>
    <n v="0"/>
    <n v="20"/>
    <n v="20"/>
    <s v="FLAT"/>
    <d v="2002-01-04T00:00:00"/>
    <d v="2002-02-27T00:00:00"/>
    <d v="2002-02-27T00:00:00"/>
    <d v="2002-02-27T00:00:00"/>
    <d v="2002-02-27T00:00:00"/>
    <d v="2002-02-27T00:00:00"/>
    <s v="OTIF PASS"/>
    <n v="1"/>
    <s v="1110_FG_FLT"/>
    <x v="5"/>
    <n v="1"/>
    <m/>
  </r>
  <r>
    <s v="0558116395-1"/>
    <s v="HRC"/>
    <n v="7.9169999999999998"/>
    <n v="240"/>
    <n v="0"/>
    <n v="100"/>
    <n v="75"/>
    <s v="FLAT"/>
    <d v="2001-12-28T00:00:00"/>
    <d v="2002-03-10T00:00:00"/>
    <d v="2002-03-10T00:00:00"/>
    <d v="2002-03-10T00:00:00"/>
    <d v="2002-03-11T00:00:00"/>
    <d v="2002-03-11T00:00:00"/>
    <s v="OTIF PASS"/>
    <n v="1"/>
    <s v="1110_FG_FLT"/>
    <x v="3"/>
    <n v="0"/>
    <m/>
  </r>
  <r>
    <s v="0558116387-5"/>
    <s v="CST"/>
    <n v="9.1669999999999998"/>
    <n v="240"/>
    <n v="0"/>
    <n v="100"/>
    <n v="65.266000000000005"/>
    <s v="FLAT"/>
    <d v="2001-11-30T00:00:00"/>
    <d v="2002-03-13T00:00:00"/>
    <d v="2002-03-14T00:00:00"/>
    <d v="2002-03-14T00:00:00"/>
    <d v="2002-03-14T00:00:00"/>
    <d v="2002-03-14T00:00:00"/>
    <s v="OTIF FAIL"/>
    <n v="5"/>
    <s v="1110_FG_FLT"/>
    <x v="3"/>
    <n v="0"/>
    <m/>
  </r>
  <r>
    <s v="0558116387-7"/>
    <s v="CST"/>
    <n v="6.25"/>
    <n v="240"/>
    <n v="2200"/>
    <n v="500"/>
    <n v="489.97"/>
    <s v="FLAT"/>
    <d v="2001-11-30T00:00:00"/>
    <d v="2002-03-10T00:00:00"/>
    <d v="2002-03-11T00:00:00"/>
    <d v="2002-03-11T00:00:00"/>
    <d v="2002-03-12T00:00:00"/>
    <d v="2002-03-12T00:00:00"/>
    <s v="OTIF FAIL"/>
    <n v="7"/>
    <s v="1110_FG_FLT"/>
    <x v="3"/>
    <n v="0"/>
    <m/>
  </r>
  <r>
    <s v="0558116387-4"/>
    <s v="CST"/>
    <n v="7.9169999999999998"/>
    <n v="240"/>
    <n v="0"/>
    <n v="100"/>
    <n v="100"/>
    <s v="FLAT"/>
    <d v="2001-11-30T00:00:00"/>
    <d v="2002-03-09T00:00:00"/>
    <d v="2002-03-09T00:00:00"/>
    <d v="2002-03-09T00:00:00"/>
    <d v="2002-03-09T00:00:00"/>
    <d v="2002-03-11T00:00:00"/>
    <s v="OTIF PASS"/>
    <n v="4"/>
    <s v="1110_FG_FLT"/>
    <x v="3"/>
    <n v="1"/>
    <m/>
  </r>
  <r>
    <s v="0558110130-37"/>
    <s v="CBL"/>
    <n v="6.25"/>
    <n v="240"/>
    <n v="0"/>
    <n v="6"/>
    <n v="6"/>
    <s v="FLAT"/>
    <d v="2001-09-25T00:00:00"/>
    <d v="2002-02-27T00:00:00"/>
    <d v="2002-02-27T00:00:00"/>
    <d v="2002-02-27T00:00:00"/>
    <d v="2002-02-27T00:00:00"/>
    <d v="2002-02-27T00:00:00"/>
    <s v="OTIF PASS"/>
    <n v="37"/>
    <s v="1110_FG_FLT"/>
    <x v="5"/>
    <n v="1"/>
    <m/>
  </r>
  <r>
    <s v="0558116387-1"/>
    <s v="CST"/>
    <n v="10"/>
    <n v="240"/>
    <n v="0"/>
    <n v="100"/>
    <n v="100"/>
    <s v="FLAT"/>
    <d v="2001-11-30T00:00:00"/>
    <d v="2002-03-04T00:00:00"/>
    <d v="2002-03-04T00:00:00"/>
    <d v="2002-03-04T00:00:00"/>
    <d v="2002-03-04T00:00:00"/>
    <d v="2002-03-04T00:00:00"/>
    <s v="OTIF PASS"/>
    <n v="1"/>
    <s v="1110_FG_FLT"/>
    <x v="1"/>
    <n v="1"/>
    <m/>
  </r>
  <r>
    <s v="0558116395-2"/>
    <s v="CST"/>
    <n v="7.9169999999999998"/>
    <n v="240"/>
    <n v="0"/>
    <n v="25"/>
    <n v="10"/>
    <s v="FLAT"/>
    <d v="2001-12-28T00:00:00"/>
    <d v="2002-03-10T00:00:00"/>
    <d v="2002-03-10T00:00:00"/>
    <d v="2002-03-10T00:00:00"/>
    <d v="2002-03-10T00:00:00"/>
    <d v="2002-03-11T00:00:00"/>
    <s v="OTIF PASS"/>
    <n v="2"/>
    <s v="1110_FG_FLT"/>
    <x v="3"/>
    <n v="0"/>
    <m/>
  </r>
  <r>
    <s v="0558116387-3"/>
    <s v="CRC"/>
    <n v="7.0830000000000002"/>
    <n v="240"/>
    <n v="0"/>
    <n v="100"/>
    <n v="100"/>
    <s v="FLAT"/>
    <d v="2001-11-30T00:00:00"/>
    <d v="2002-02-28T00:00:00"/>
    <d v="2002-02-28T00:00:00"/>
    <d v="2002-02-28T00:00:00"/>
    <d v="2002-02-28T00:00:00"/>
    <d v="2002-02-28T00:00:00"/>
    <s v="OTIF PASS"/>
    <n v="3"/>
    <s v="1110_FG_FLT"/>
    <x v="5"/>
    <n v="1"/>
    <m/>
  </r>
  <r>
    <s v="0558116388-5"/>
    <s v="CRC"/>
    <n v="7.9169999999999998"/>
    <n v="240"/>
    <n v="0"/>
    <n v="100"/>
    <n v="100"/>
    <s v="FLAT"/>
    <d v="2001-11-30T00:00:00"/>
    <d v="2002-02-28T00:00:00"/>
    <d v="2002-02-28T00:00:00"/>
    <d v="2002-02-28T00:00:00"/>
    <d v="2002-02-28T00:00:00"/>
    <d v="2002-02-28T00:00:00"/>
    <s v="OTIF PASS"/>
    <n v="5"/>
    <s v="1110_FG_FLT"/>
    <x v="5"/>
    <n v="1"/>
    <m/>
  </r>
  <r>
    <s v="0558115016-6"/>
    <s v="CST"/>
    <n v="12.5"/>
    <n v="240"/>
    <n v="0"/>
    <n v="8"/>
    <n v="8"/>
    <s v="FLAT"/>
    <d v="2001-08-26T00:00:00"/>
    <d v="2002-02-27T00:00:00"/>
    <d v="2002-02-27T00:00:00"/>
    <d v="2002-02-27T00:00:00"/>
    <d v="2002-02-27T00:00:00"/>
    <d v="2002-02-27T00:00:00"/>
    <s v="OTIF PASS"/>
    <n v="6"/>
    <s v="1110_FG_FLT"/>
    <x v="5"/>
    <n v="1"/>
    <m/>
  </r>
  <r>
    <s v="0558116390-3"/>
    <s v="HRC"/>
    <n v="10"/>
    <n v="240"/>
    <n v="0"/>
    <n v="100"/>
    <n v="100"/>
    <s v="FLAT"/>
    <d v="2001-11-30T00:00:00"/>
    <d v="2002-03-17T00:00:00"/>
    <d v="2002-03-17T00:00:00"/>
    <d v="2002-03-17T00:00:00"/>
    <d v="2002-03-17T00:00:00"/>
    <d v="2002-05-16T00:00:00"/>
    <s v="OTIF PASS"/>
    <n v="3"/>
    <s v="1110_FG_FLT"/>
    <x v="4"/>
    <n v="1"/>
    <m/>
  </r>
  <r>
    <s v="0558116557-1"/>
    <s v="CST"/>
    <n v="10"/>
    <n v="240"/>
    <n v="0"/>
    <n v="250"/>
    <n v="250"/>
    <s v="FLAT"/>
    <d v="2002-02-15T00:00:00"/>
    <d v="2002-02-27T00:00:00"/>
    <d v="2002-02-27T00:00:00"/>
    <d v="2002-02-27T00:00:00"/>
    <d v="2002-02-27T00:00:00"/>
    <d v="2002-05-16T00:00:00"/>
    <s v="OTIF PASS"/>
    <n v="1"/>
    <s v="1110_FG_FLT"/>
    <x v="4"/>
    <n v="1"/>
    <m/>
  </r>
  <r>
    <s v="0558116390-4"/>
    <s v="CST"/>
    <n v="10"/>
    <n v="240"/>
    <n v="0"/>
    <n v="100"/>
    <n v="100"/>
    <s v="FLAT"/>
    <d v="2001-11-30T00:00:00"/>
    <d v="2002-02-28T00:00:00"/>
    <d v="2002-02-28T00:00:00"/>
    <d v="2002-02-28T00:00:00"/>
    <d v="2002-02-28T00:00:00"/>
    <d v="2002-05-16T00:00:00"/>
    <s v="OTIF PASS"/>
    <n v="4"/>
    <s v="1110_FG_FLT"/>
    <x v="4"/>
    <n v="1"/>
    <m/>
  </r>
  <r>
    <s v="0558116760-1"/>
    <s v="CST"/>
    <n v="10"/>
    <n v="240"/>
    <n v="0"/>
    <n v="250"/>
    <n v="188.78399999999999"/>
    <s v="FLAT"/>
    <d v="2002-04-06T00:00:00"/>
    <d v="2002-05-16T00:00:00"/>
    <s v="-"/>
    <s v="-"/>
    <d v="2002-05-16T00:00:00"/>
    <d v="2002-05-16T00:00:00"/>
    <s v="OTIF FAIL"/>
    <n v="1"/>
    <s v="1110_FG_FLT"/>
    <x v="4"/>
    <n v="0"/>
    <m/>
  </r>
  <r>
    <s v="0558116541-1"/>
    <s v="CST"/>
    <n v="10"/>
    <n v="240"/>
    <n v="0"/>
    <n v="250"/>
    <n v="238.85400000000001"/>
    <s v="FLAT"/>
    <d v="2002-02-06T00:00:00"/>
    <d v="2002-02-21T00:00:00"/>
    <d v="2002-02-24T00:00:00"/>
    <d v="2002-02-24T00:00:00"/>
    <d v="2002-02-25T00:00:00"/>
    <d v="2002-05-16T00:00:00"/>
    <s v="OTIF FAIL"/>
    <n v="1"/>
    <s v="1110_FG_FLT"/>
    <x v="4"/>
    <n v="0"/>
    <m/>
  </r>
  <r>
    <s v="0558108381-32"/>
    <s v="CRC"/>
    <n v="5"/>
    <n v="240"/>
    <n v="0"/>
    <n v="11"/>
    <n v="11"/>
    <s v="FLAT"/>
    <d v="2001-09-25T00:00:00"/>
    <d v="2002-03-10T00:00:00"/>
    <d v="2002-03-10T00:00:00"/>
    <d v="2002-03-10T00:00:00"/>
    <d v="2002-03-10T00:00:00"/>
    <d v="2002-03-10T00:00:00"/>
    <s v="OTIF PASS"/>
    <n v="32"/>
    <s v="1110_FG_FLT"/>
    <x v="3"/>
    <n v="1"/>
    <m/>
  </r>
  <r>
    <s v="0558116388-2"/>
    <s v="HRC"/>
    <n v="9.1669999999999998"/>
    <n v="240"/>
    <n v="0"/>
    <n v="100"/>
    <n v="100"/>
    <s v="FLAT"/>
    <d v="2001-11-30T00:00:00"/>
    <d v="2002-02-28T00:00:00"/>
    <d v="2002-02-28T00:00:00"/>
    <d v="2002-02-28T00:00:00"/>
    <d v="2002-02-28T00:00:00"/>
    <d v="2002-02-28T00:00:00"/>
    <s v="OTIF PASS"/>
    <n v="2"/>
    <s v="1110_FG_FLT"/>
    <x v="5"/>
    <n v="1"/>
    <m/>
  </r>
  <r>
    <s v="0558116495-4"/>
    <s v="CST"/>
    <n v="7.5"/>
    <n v="240"/>
    <n v="0"/>
    <n v="40"/>
    <n v="5.9290000000000003"/>
    <s v="FLAT"/>
    <d v="2002-01-04T00:00:00"/>
    <d v="2002-02-27T00:00:00"/>
    <d v="2002-02-27T00:00:00"/>
    <d v="2002-02-27T00:00:00"/>
    <d v="2002-02-27T00:00:00"/>
    <d v="2002-02-27T00:00:00"/>
    <s v="OTIF PASS"/>
    <n v="4"/>
    <s v="1110_FG_FLT"/>
    <x v="5"/>
    <n v="0"/>
    <m/>
  </r>
  <r>
    <s v="0558116495-2"/>
    <s v="HRC"/>
    <n v="8.3330000000000002"/>
    <n v="240"/>
    <n v="0"/>
    <n v="10"/>
    <n v="10"/>
    <s v="FLAT"/>
    <d v="2002-01-04T00:00:00"/>
    <d v="2002-02-27T00:00:00"/>
    <d v="2002-02-27T00:00:00"/>
    <d v="2002-02-27T00:00:00"/>
    <d v="2002-02-27T00:00:00"/>
    <d v="2002-02-27T00:00:00"/>
    <s v="OTIF PASS"/>
    <n v="2"/>
    <s v="1110_FG_FLT"/>
    <x v="5"/>
    <n v="1"/>
    <m/>
  </r>
  <r>
    <s v="0558116388-1"/>
    <s v="CRC"/>
    <n v="10"/>
    <n v="240"/>
    <n v="0"/>
    <n v="100"/>
    <n v="100"/>
    <s v="FLAT"/>
    <d v="2001-11-30T00:00:00"/>
    <d v="2002-02-28T00:00:00"/>
    <d v="2002-02-28T00:00:00"/>
    <d v="2002-02-28T00:00:00"/>
    <d v="2002-02-28T00:00:00"/>
    <d v="2002-02-28T00:00:00"/>
    <s v="OTIF PASS"/>
    <n v="1"/>
    <s v="1110_FG_FLT"/>
    <x v="5"/>
    <n v="1"/>
    <m/>
  </r>
  <r>
    <s v="0558116388-4"/>
    <s v="CST"/>
    <n v="7.0830000000000002"/>
    <n v="240"/>
    <n v="0"/>
    <n v="100"/>
    <n v="15.977"/>
    <s v="FLAT"/>
    <d v="2001-11-30T00:00:00"/>
    <d v="2002-03-17T00:00:00"/>
    <d v="2002-03-17T00:00:00"/>
    <d v="2002-03-17T00:00:00"/>
    <d v="2002-03-17T00:00:00"/>
    <d v="2002-03-17T00:00:00"/>
    <s v="OTIF PASS"/>
    <n v="4"/>
    <s v="1110_FG_FLT"/>
    <x v="0"/>
    <n v="0"/>
    <m/>
  </r>
  <r>
    <s v="0558116389-4"/>
    <s v="NFA"/>
    <n v="10"/>
    <n v="240"/>
    <n v="0"/>
    <n v="100"/>
    <n v="100"/>
    <s v="FLAT"/>
    <d v="2001-11-30T00:00:00"/>
    <d v="2002-02-28T00:00:00"/>
    <d v="2002-02-28T00:00:00"/>
    <d v="2002-02-28T00:00:00"/>
    <d v="2002-02-28T00:00:00"/>
    <d v="2002-03-18T00:00:00"/>
    <s v="OTIF PASS"/>
    <n v="4"/>
    <s v="1110_FG_FLT"/>
    <x v="0"/>
    <n v="1"/>
    <m/>
  </r>
  <r>
    <s v="0558116389-2"/>
    <s v="CST"/>
    <n v="10"/>
    <n v="240"/>
    <n v="0"/>
    <n v="100"/>
    <n v="100"/>
    <s v="FLAT"/>
    <d v="2001-11-30T00:00:00"/>
    <d v="2002-03-16T00:00:00"/>
    <d v="2002-03-16T00:00:00"/>
    <d v="2002-03-16T00:00:00"/>
    <d v="2002-03-16T00:00:00"/>
    <d v="2002-03-18T00:00:00"/>
    <s v="OTIF PASS"/>
    <n v="2"/>
    <s v="1110_FG_FLT"/>
    <x v="0"/>
    <n v="1"/>
    <m/>
  </r>
  <r>
    <s v="0558116495-3"/>
    <s v="CST"/>
    <n v="5.625"/>
    <n v="240"/>
    <n v="0"/>
    <n v="15"/>
    <n v="15"/>
    <s v="FLAT"/>
    <d v="2002-01-04T00:00:00"/>
    <d v="2002-02-27T00:00:00"/>
    <d v="2002-02-27T00:00:00"/>
    <d v="2002-02-27T00:00:00"/>
    <d v="2002-02-27T00:00:00"/>
    <d v="2002-02-27T00:00:00"/>
    <s v="OTIF PASS"/>
    <n v="3"/>
    <s v="1110_FG_FLT"/>
    <x v="5"/>
    <n v="1"/>
    <m/>
  </r>
  <r>
    <s v="0558115001-5"/>
    <s v="HPC"/>
    <n v="7.5"/>
    <n v="240"/>
    <n v="0"/>
    <n v="5"/>
    <n v="0.56599999999999995"/>
    <s v="FLAT"/>
    <d v="2001-08-26T00:00:00"/>
    <d v="2002-02-27T00:00:00"/>
    <d v="2002-02-27T00:00:00"/>
    <d v="2002-02-27T00:00:00"/>
    <d v="2002-02-27T00:00:00"/>
    <d v="2002-02-27T00:00:00"/>
    <s v="OTIF PASS"/>
    <n v="5"/>
    <s v="1110_FG_FLT"/>
    <x v="5"/>
    <n v="0"/>
    <m/>
  </r>
  <r>
    <s v="0558116389-1"/>
    <s v="HPC"/>
    <n v="10"/>
    <n v="240"/>
    <n v="0"/>
    <n v="100"/>
    <n v="79.289000000000001"/>
    <s v="FLAT"/>
    <d v="2001-11-30T00:00:00"/>
    <d v="2002-02-28T00:00:00"/>
    <d v="2002-02-28T00:00:00"/>
    <d v="2002-02-28T00:00:00"/>
    <d v="2002-02-28T00:00:00"/>
    <d v="2002-03-18T00:00:00"/>
    <s v="OTIF PASS"/>
    <n v="1"/>
    <s v="1110_FG_FLT"/>
    <x v="0"/>
    <n v="0"/>
    <m/>
  </r>
  <r>
    <s v="0558116388-3"/>
    <s v="CRC"/>
    <n v="5.625"/>
    <n v="240"/>
    <n v="0"/>
    <n v="100"/>
    <n v="100"/>
    <s v="FLAT"/>
    <d v="2001-11-30T00:00:00"/>
    <d v="2002-02-28T00:00:00"/>
    <d v="2002-02-28T00:00:00"/>
    <d v="2002-02-28T00:00:00"/>
    <d v="2002-02-28T00:00:00"/>
    <d v="2002-02-28T00:00:00"/>
    <s v="OTIF PASS"/>
    <n v="3"/>
    <s v="1110_FG_FLT"/>
    <x v="5"/>
    <n v="1"/>
    <m/>
  </r>
  <r>
    <s v="0558116203-1"/>
    <s v="CRC"/>
    <n v="9.1669999999999998"/>
    <n v="240"/>
    <n v="0"/>
    <n v="40"/>
    <n v="21.440999999999999"/>
    <s v="FLAT"/>
    <d v="2001-10-29T00:00:00"/>
    <d v="2002-02-27T00:00:00"/>
    <d v="2002-02-27T00:00:00"/>
    <d v="2002-02-27T00:00:00"/>
    <d v="2002-02-27T00:00:00"/>
    <d v="2002-02-28T00:00:00"/>
    <s v="OTIF PASS"/>
    <n v="1"/>
    <s v="1110_FG_FLT"/>
    <x v="5"/>
    <n v="0"/>
    <m/>
  </r>
  <r>
    <s v="0558116389-3"/>
    <s v="CST"/>
    <n v="10"/>
    <n v="240"/>
    <n v="0"/>
    <n v="100"/>
    <n v="98"/>
    <s v="FLAT"/>
    <d v="2001-11-30T00:00:00"/>
    <d v="2002-02-28T00:00:00"/>
    <d v="2002-02-28T00:00:00"/>
    <d v="2002-02-28T00:00:00"/>
    <d v="2002-02-28T00:00:00"/>
    <d v="2002-03-18T00:00:00"/>
    <s v="OTIF PASS"/>
    <n v="3"/>
    <s v="1110_FG_FLT"/>
    <x v="0"/>
    <n v="0"/>
    <m/>
  </r>
  <r>
    <s v="0558116203-2"/>
    <s v="CST"/>
    <n v="7.5"/>
    <n v="240"/>
    <n v="0"/>
    <n v="40"/>
    <n v="40"/>
    <s v="FLAT"/>
    <d v="2001-10-29T00:00:00"/>
    <d v="2002-02-27T00:00:00"/>
    <d v="2002-02-27T00:00:00"/>
    <d v="2002-02-27T00:00:00"/>
    <d v="2002-02-27T00:00:00"/>
    <d v="2002-02-27T00:00:00"/>
    <s v="OTIF PASS"/>
    <n v="2"/>
    <s v="1110_FG_FLT"/>
    <x v="5"/>
    <n v="1"/>
    <m/>
  </r>
  <r>
    <s v="0558115484-3"/>
    <s v="HPC"/>
    <n v="6.25"/>
    <n v="240"/>
    <n v="0"/>
    <n v="6"/>
    <n v="6"/>
    <s v="FLAT"/>
    <d v="2001-08-28T00:00:00"/>
    <d v="2002-02-27T00:00:00"/>
    <d v="2002-02-27T00:00:00"/>
    <d v="2002-02-27T00:00:00"/>
    <d v="2002-02-27T00:00:00"/>
    <d v="2002-02-27T00:00:00"/>
    <s v="OTIF PASS"/>
    <n v="3"/>
    <s v="1110_FG_FLT"/>
    <x v="5"/>
    <n v="1"/>
    <m/>
  </r>
  <r>
    <s v="0558116389-5"/>
    <s v="CST"/>
    <n v="10"/>
    <n v="240"/>
    <n v="0"/>
    <n v="100"/>
    <n v="100"/>
    <s v="FLAT"/>
    <d v="2001-11-30T00:00:00"/>
    <d v="2002-03-18T00:00:00"/>
    <d v="2002-03-18T00:00:00"/>
    <d v="2002-03-18T00:00:00"/>
    <d v="2002-03-18T00:00:00"/>
    <d v="2002-03-18T00:00:00"/>
    <s v="OTIF FAIL"/>
    <n v="5"/>
    <s v="1110_FG_FLT"/>
    <x v="0"/>
    <n v="1"/>
    <m/>
  </r>
  <r>
    <s v="0558116387-8"/>
    <s v="CST"/>
    <n v="7.0830000000000002"/>
    <n v="240"/>
    <n v="0"/>
    <n v="5000"/>
    <n v="4990.1040000000003"/>
    <s v="FLAT"/>
    <d v="2001-11-30T00:00:00"/>
    <d v="2002-03-10T00:00:00"/>
    <d v="2002-03-13T00:00:00"/>
    <d v="2002-03-13T00:00:00"/>
    <d v="2002-03-13T00:00:00"/>
    <d v="2002-03-13T00:00:00"/>
    <s v="OTIF FAIL"/>
    <n v="8"/>
    <s v="1110_FG_FLT"/>
    <x v="3"/>
    <n v="0"/>
    <m/>
  </r>
  <r>
    <s v="0558116390-1"/>
    <s v="CST"/>
    <n v="10"/>
    <n v="240"/>
    <n v="0"/>
    <n v="100"/>
    <n v="100"/>
    <s v="FLAT"/>
    <d v="2001-11-30T00:00:00"/>
    <d v="2002-02-28T00:00:00"/>
    <d v="2002-02-28T00:00:00"/>
    <d v="2002-02-28T00:00:00"/>
    <d v="2002-02-28T00:00:00"/>
    <d v="2002-05-16T00:00:00"/>
    <s v="OTIF PASS"/>
    <n v="1"/>
    <s v="1110_FG_FLT"/>
    <x v="4"/>
    <n v="1"/>
    <m/>
  </r>
  <r>
    <s v="0558116390-2"/>
    <s v="CST"/>
    <n v="10"/>
    <n v="240"/>
    <n v="0"/>
    <n v="100"/>
    <n v="100"/>
    <s v="FLAT"/>
    <d v="2001-11-30T00:00:00"/>
    <d v="2002-03-10T00:00:00"/>
    <d v="2002-03-10T00:00:00"/>
    <d v="2002-03-10T00:00:00"/>
    <d v="2002-03-10T00:00:00"/>
    <d v="2002-05-16T00:00:00"/>
    <s v="OTIF PASS"/>
    <n v="2"/>
    <s v="1110_FG_FLT"/>
    <x v="4"/>
    <n v="1"/>
    <m/>
  </r>
  <r>
    <s v="0558116204-1"/>
    <s v="CST"/>
    <n v="7.5"/>
    <n v="240"/>
    <n v="0"/>
    <n v="10"/>
    <n v="10"/>
    <s v="FLAT"/>
    <d v="2001-10-24T00:00:00"/>
    <d v="2002-02-27T00:00:00"/>
    <d v="2002-02-27T00:00:00"/>
    <d v="2002-02-27T00:00:00"/>
    <d v="2002-02-27T00:00:00"/>
    <d v="2002-02-27T00:00:00"/>
    <s v="OTIF PASS"/>
    <n v="1"/>
    <s v="1110_FG_FLT"/>
    <x v="5"/>
    <n v="1"/>
    <m/>
  </r>
  <r>
    <s v="0558116390-5"/>
    <s v="PSS"/>
    <n v="10"/>
    <n v="240"/>
    <n v="0"/>
    <n v="100"/>
    <n v="100"/>
    <s v="FLAT"/>
    <d v="2001-11-30T00:00:00"/>
    <d v="2002-03-05T00:00:00"/>
    <d v="2002-03-05T00:00:00"/>
    <d v="2002-03-05T00:00:00"/>
    <d v="2002-03-05T00:00:00"/>
    <d v="2002-05-16T00:00:00"/>
    <s v="OTIF PASS"/>
    <n v="5"/>
    <s v="1110_FG_FLT"/>
    <x v="4"/>
    <n v="1"/>
    <m/>
  </r>
  <r>
    <s v="0558116307-6"/>
    <s v="CST"/>
    <n v="2"/>
    <n v="565"/>
    <n v="0"/>
    <n v="9"/>
    <n v="9"/>
    <s v="HRAP"/>
    <d v="2001-11-06T00:00:00"/>
    <d v="2002-03-18T00:00:00"/>
    <d v="2002-04-13T00:00:00"/>
    <d v="2002-04-13T00:00:00"/>
    <d v="2002-04-07T00:00:00"/>
    <d v="2002-04-07T00:00:00"/>
    <s v="OTIF FAIL"/>
    <n v="6"/>
    <s v="1210_FG_HPC"/>
    <x v="7"/>
    <n v="1"/>
    <m/>
  </r>
  <r>
    <s v="0558116307-5"/>
    <s v="HRC"/>
    <n v="2.2999999999999998"/>
    <n v="565"/>
    <n v="0"/>
    <n v="28"/>
    <n v="28"/>
    <s v="HRAP"/>
    <d v="2001-11-06T00:00:00"/>
    <d v="2002-03-18T00:00:00"/>
    <d v="2002-03-24T00:00:00"/>
    <d v="2002-03-24T00:00:00"/>
    <d v="2002-03-24T00:00:00"/>
    <d v="2002-03-31T00:00:00"/>
    <s v="OTIF FAIL"/>
    <n v="5"/>
    <s v="1210_FG_HPC"/>
    <x v="6"/>
    <n v="1"/>
    <m/>
  </r>
  <r>
    <s v="0558116308-4"/>
    <s v="HRC"/>
    <n v="2.2999999999999998"/>
    <n v="535"/>
    <n v="0"/>
    <n v="26"/>
    <n v="26"/>
    <s v="HRAP"/>
    <d v="2001-11-06T00:00:00"/>
    <d v="2002-03-18T00:00:00"/>
    <d v="2002-03-23T00:00:00"/>
    <d v="2002-03-23T00:00:00"/>
    <d v="2002-03-23T00:00:00"/>
    <d v="2002-03-24T00:00:00"/>
    <s v="OTIF FAIL"/>
    <n v="4"/>
    <s v="1210_FG_HPC"/>
    <x v="9"/>
    <n v="1"/>
    <m/>
  </r>
  <r>
    <s v="0558116243-3"/>
    <s v="CST"/>
    <n v="2.5"/>
    <n v="357"/>
    <n v="0"/>
    <n v="6"/>
    <n v="6"/>
    <s v="HRAP"/>
    <d v="2001-10-25T00:00:00"/>
    <d v="2002-03-13T00:00:00"/>
    <d v="2002-03-24T00:00:00"/>
    <d v="2002-03-24T00:00:00"/>
    <d v="2002-03-17T00:00:00"/>
    <d v="2002-03-17T00:00:00"/>
    <s v="OTIF FAIL"/>
    <n v="3"/>
    <s v="1210_FG_HPC"/>
    <x v="0"/>
    <n v="1"/>
    <m/>
  </r>
  <r>
    <s v="0558116002-1"/>
    <s v="CST"/>
    <n v="4"/>
    <n v="392"/>
    <n v="0"/>
    <n v="12"/>
    <n v="12"/>
    <s v="HRAP"/>
    <d v="2001-08-31T00:00:00"/>
    <d v="2002-03-05T00:00:00"/>
    <d v="2002-03-12T00:00:00"/>
    <d v="2002-03-12T00:00:00"/>
    <d v="2002-03-10T00:00:00"/>
    <d v="2002-03-10T00:00:00"/>
    <s v="OTIF FAIL"/>
    <n v="1"/>
    <s v="1210_FG_HPC"/>
    <x v="3"/>
    <n v="1"/>
    <m/>
  </r>
  <r>
    <s v="0558116243-1"/>
    <s v="CST"/>
    <n v="2.5"/>
    <n v="568"/>
    <n v="0"/>
    <n v="9"/>
    <n v="9"/>
    <s v="HRAP"/>
    <d v="2001-10-25T00:00:00"/>
    <d v="2002-03-13T00:00:00"/>
    <d v="2002-03-24T00:00:00"/>
    <d v="2002-03-24T00:00:00"/>
    <d v="2002-03-17T00:00:00"/>
    <d v="2002-03-17T00:00:00"/>
    <s v="OTIF FAIL"/>
    <n v="1"/>
    <s v="1210_FG_HPC"/>
    <x v="0"/>
    <n v="1"/>
    <m/>
  </r>
  <r>
    <s v="0558116274-1"/>
    <s v="JBS"/>
    <n v="2.5"/>
    <n v="1250"/>
    <n v="0"/>
    <n v="42"/>
    <n v="42"/>
    <s v="HRAP"/>
    <d v="2001-10-25T00:00:00"/>
    <d v="2002-03-14T00:00:00"/>
    <d v="2002-03-14T00:00:00"/>
    <d v="2002-03-14T00:00:00"/>
    <d v="2002-03-14T00:00:00"/>
    <d v="2002-03-15T00:00:00"/>
    <s v="OTIF PASS"/>
    <n v="1"/>
    <s v="1210_FG_HPC"/>
    <x v="3"/>
    <n v="1"/>
    <m/>
  </r>
  <r>
    <s v="0558116002-2"/>
    <s v="CST"/>
    <n v="4"/>
    <n v="466"/>
    <n v="0"/>
    <n v="8"/>
    <n v="8"/>
    <s v="HRAP"/>
    <d v="2001-08-31T00:00:00"/>
    <d v="2002-03-10T00:00:00"/>
    <d v="2002-03-13T00:00:00"/>
    <d v="2002-03-13T00:00:00"/>
    <d v="2002-03-12T00:00:00"/>
    <d v="2002-03-12T00:00:00"/>
    <s v="OTIF FAIL"/>
    <n v="2"/>
    <s v="1210_FG_HPC"/>
    <x v="3"/>
    <n v="1"/>
    <m/>
  </r>
  <r>
    <s v="0558116243-2"/>
    <s v="HPC"/>
    <n v="2.5"/>
    <n v="330"/>
    <n v="0"/>
    <n v="6"/>
    <n v="6"/>
    <s v="HRAP"/>
    <d v="2001-10-25T00:00:00"/>
    <d v="2002-03-13T00:00:00"/>
    <d v="2002-03-24T00:00:00"/>
    <d v="2002-03-24T00:00:00"/>
    <d v="2002-03-17T00:00:00"/>
    <d v="2002-03-17T00:00:00"/>
    <s v="OTIF FAIL"/>
    <n v="2"/>
    <s v="1210_FG_HPC"/>
    <x v="0"/>
    <n v="1"/>
    <m/>
  </r>
  <r>
    <s v="0558116275-1"/>
    <s v="CST"/>
    <n v="2.5"/>
    <n v="1250"/>
    <n v="0"/>
    <n v="42"/>
    <n v="42"/>
    <s v="HRAP"/>
    <d v="2001-10-25T00:00:00"/>
    <d v="2002-03-14T00:00:00"/>
    <d v="2002-03-14T00:00:00"/>
    <d v="2002-03-14T00:00:00"/>
    <d v="2002-03-14T00:00:00"/>
    <d v="2002-03-15T00:00:00"/>
    <s v="OTIF PASS"/>
    <n v="1"/>
    <s v="1210_FG_HPC"/>
    <x v="3"/>
    <n v="1"/>
    <m/>
  </r>
  <r>
    <s v="0558116307-14"/>
    <s v="CRC"/>
    <n v="2"/>
    <n v="600"/>
    <n v="0"/>
    <n v="30"/>
    <n v="30"/>
    <s v="HRAP"/>
    <d v="2001-11-06T00:00:00"/>
    <d v="2002-02-22T00:00:00"/>
    <d v="2002-04-14T00:00:00"/>
    <d v="2002-04-14T00:00:00"/>
    <d v="2002-04-12T00:00:00"/>
    <d v="2002-04-14T00:00:00"/>
    <s v="OTIF FAIL"/>
    <n v="14"/>
    <s v="1210_FG_HPC"/>
    <x v="15"/>
    <n v="1"/>
    <m/>
  </r>
  <r>
    <s v="0558116244-2"/>
    <s v="CST"/>
    <n v="2.5"/>
    <n v="330"/>
    <n v="0"/>
    <n v="6"/>
    <n v="6"/>
    <s v="HRAP"/>
    <d v="2001-10-25T00:00:00"/>
    <d v="2002-03-13T00:00:00"/>
    <d v="2002-03-24T00:00:00"/>
    <d v="2002-03-24T00:00:00"/>
    <d v="2002-03-17T00:00:00"/>
    <d v="2002-03-17T00:00:00"/>
    <s v="OTIF FAIL"/>
    <n v="2"/>
    <s v="1210_FG_HPC"/>
    <x v="0"/>
    <n v="1"/>
    <m/>
  </r>
  <r>
    <s v="0558116245-2"/>
    <s v="CST"/>
    <n v="2.5"/>
    <n v="330"/>
    <n v="0"/>
    <n v="6"/>
    <n v="6"/>
    <s v="HRAP"/>
    <d v="2001-10-28T00:00:00"/>
    <d v="2002-03-13T00:00:00"/>
    <d v="2002-03-24T00:00:00"/>
    <d v="2002-03-24T00:00:00"/>
    <d v="2002-03-17T00:00:00"/>
    <d v="2002-03-17T00:00:00"/>
    <s v="OTIF FAIL"/>
    <n v="2"/>
    <s v="1210_FG_HPC"/>
    <x v="0"/>
    <n v="1"/>
    <m/>
  </r>
  <r>
    <s v="0558116308-17"/>
    <s v="HRC"/>
    <n v="2"/>
    <n v="510"/>
    <n v="0"/>
    <n v="18"/>
    <n v="18"/>
    <s v="HRAP"/>
    <d v="2001-11-06T00:00:00"/>
    <d v="2002-03-19T00:00:00"/>
    <d v="2002-03-30T00:00:00"/>
    <d v="2002-03-30T00:00:00"/>
    <d v="2002-03-30T00:00:00"/>
    <d v="2002-04-14T00:00:00"/>
    <s v="OTIF FAIL"/>
    <n v="17"/>
    <s v="1210_FG_HPC"/>
    <x v="15"/>
    <n v="1"/>
    <m/>
  </r>
  <r>
    <s v="0558116308-18"/>
    <s v="CST"/>
    <n v="2"/>
    <n v="580"/>
    <n v="0"/>
    <n v="29"/>
    <n v="29"/>
    <s v="HRAP"/>
    <d v="2001-11-06T00:00:00"/>
    <d v="2002-03-19T00:00:00"/>
    <d v="2002-04-07T00:00:00"/>
    <d v="2002-04-07T00:00:00"/>
    <d v="2002-04-07T00:00:00"/>
    <d v="2002-04-14T00:00:00"/>
    <s v="OTIF FAIL"/>
    <n v="18"/>
    <s v="1210_FG_HPC"/>
    <x v="15"/>
    <n v="1"/>
    <m/>
  </r>
  <r>
    <s v="0558116244-3"/>
    <s v="CST"/>
    <n v="2.5"/>
    <n v="357"/>
    <n v="0"/>
    <n v="6"/>
    <n v="6"/>
    <s v="HRAP"/>
    <d v="2001-10-28T00:00:00"/>
    <d v="2002-03-13T00:00:00"/>
    <d v="2002-03-24T00:00:00"/>
    <d v="2002-03-24T00:00:00"/>
    <d v="2002-03-17T00:00:00"/>
    <d v="2002-03-17T00:00:00"/>
    <s v="OTIF FAIL"/>
    <n v="3"/>
    <s v="1210_FG_HPC"/>
    <x v="0"/>
    <n v="1"/>
    <m/>
  </r>
  <r>
    <s v="0558116276-1"/>
    <s v="CST"/>
    <n v="2.5"/>
    <n v="1250"/>
    <n v="0"/>
    <n v="42"/>
    <n v="42"/>
    <s v="HRAP"/>
    <d v="2001-10-25T00:00:00"/>
    <d v="2002-03-15T00:00:00"/>
    <d v="2002-03-15T00:00:00"/>
    <d v="2002-03-15T00:00:00"/>
    <d v="2002-03-15T00:00:00"/>
    <d v="2002-03-15T00:00:00"/>
    <s v="OTIF PASS"/>
    <n v="1"/>
    <s v="1210_FG_HPC"/>
    <x v="3"/>
    <n v="1"/>
    <m/>
  </r>
  <r>
    <s v="0558116304-8"/>
    <s v="CST"/>
    <n v="2"/>
    <n v="590"/>
    <n v="0"/>
    <n v="20"/>
    <n v="20"/>
    <s v="HRAP"/>
    <d v="2002-02-04T00:00:00"/>
    <d v="2002-03-17T00:00:00"/>
    <d v="2002-04-14T00:00:00"/>
    <d v="2002-04-14T00:00:00"/>
    <d v="2002-04-14T00:00:00"/>
    <d v="2002-04-14T00:00:00"/>
    <s v="OTIF FAIL"/>
    <n v="8"/>
    <s v="1210_FG_HPC"/>
    <x v="15"/>
    <n v="1"/>
    <m/>
  </r>
  <r>
    <s v="0558116308-16"/>
    <s v="CST"/>
    <n v="2"/>
    <n v="550"/>
    <n v="0"/>
    <n v="27"/>
    <n v="27"/>
    <s v="HRAP"/>
    <d v="2001-11-06T00:00:00"/>
    <d v="2002-02-27T00:00:00"/>
    <d v="2002-03-30T00:00:00"/>
    <d v="2002-03-30T00:00:00"/>
    <d v="2002-03-30T00:00:00"/>
    <d v="2002-04-14T00:00:00"/>
    <s v="OTIF FAIL"/>
    <n v="16"/>
    <s v="1210_FG_HPC"/>
    <x v="15"/>
    <n v="1"/>
    <m/>
  </r>
  <r>
    <s v="0558116308-19"/>
    <s v="CST"/>
    <n v="2"/>
    <n v="525"/>
    <n v="0"/>
    <n v="25"/>
    <n v="25"/>
    <s v="HRAP"/>
    <d v="2001-10-28T00:00:00"/>
    <d v="2002-03-19T00:00:00"/>
    <d v="2002-03-30T00:00:00"/>
    <d v="2002-03-30T00:00:00"/>
    <d v="2002-03-30T00:00:00"/>
    <d v="2002-04-14T00:00:00"/>
    <s v="OTIF FAIL"/>
    <n v="19"/>
    <s v="1210_FG_HPC"/>
    <x v="15"/>
    <n v="1"/>
    <m/>
  </r>
  <r>
    <s v="0569023019-7"/>
    <s v="HRC"/>
    <n v="2.95"/>
    <n v="1250"/>
    <n v="0"/>
    <n v="21"/>
    <n v="21"/>
    <s v="HRAP"/>
    <d v="2001-08-19T00:00:00"/>
    <d v="2002-03-31T00:00:00"/>
    <d v="2002-03-31T00:00:00"/>
    <d v="2002-03-31T00:00:00"/>
    <d v="2002-03-31T00:00:00"/>
    <d v="2002-04-14T00:00:00"/>
    <s v="OTIF PASS"/>
    <n v="7"/>
    <s v="1210_FG_HPC"/>
    <x v="15"/>
    <n v="1"/>
    <m/>
  </r>
  <r>
    <s v="0569023018-4"/>
    <s v="CST"/>
    <n v="3"/>
    <n v="1250"/>
    <n v="0"/>
    <n v="6"/>
    <n v="6"/>
    <s v="HRAP"/>
    <d v="2001-08-19T00:00:00"/>
    <d v="2002-03-04T00:00:00"/>
    <d v="2002-03-03T00:00:00"/>
    <d v="2002-03-04T00:00:00"/>
    <d v="2002-03-06T00:00:00"/>
    <d v="2002-04-07T00:00:00"/>
    <s v="OTIF PASS"/>
    <n v="4"/>
    <s v="1210_FG_HPC"/>
    <x v="7"/>
    <n v="1"/>
    <m/>
  </r>
  <r>
    <s v="0558116308-14"/>
    <s v="HPC"/>
    <n v="2"/>
    <n v="600"/>
    <n v="0"/>
    <n v="30"/>
    <n v="30"/>
    <s v="HRAP"/>
    <d v="2001-11-06T00:00:00"/>
    <d v="2002-03-19T00:00:00"/>
    <d v="2002-04-07T00:00:00"/>
    <d v="2002-04-07T00:00:00"/>
    <d v="2002-04-07T00:00:00"/>
    <d v="2002-04-14T00:00:00"/>
    <s v="OTIF FAIL"/>
    <n v="14"/>
    <s v="1210_FG_HPC"/>
    <x v="15"/>
    <n v="1"/>
    <m/>
  </r>
  <r>
    <s v="0558116308-13"/>
    <s v="CST"/>
    <n v="2"/>
    <n v="650"/>
    <n v="0"/>
    <n v="20"/>
    <n v="20"/>
    <s v="HRAP"/>
    <d v="2001-11-06T00:00:00"/>
    <d v="2002-03-19T00:00:00"/>
    <d v="2002-04-06T00:00:00"/>
    <d v="2002-04-06T00:00:00"/>
    <d v="2002-03-30T00:00:00"/>
    <d v="2002-03-31T00:00:00"/>
    <s v="OTIF FAIL"/>
    <n v="13"/>
    <s v="1210_FG_HPC"/>
    <x v="6"/>
    <n v="1"/>
    <m/>
  </r>
  <r>
    <s v="0558116308-2"/>
    <s v="HRC"/>
    <n v="2.2999999999999998"/>
    <n v="460"/>
    <n v="0"/>
    <n v="18"/>
    <n v="18"/>
    <s v="HRAP"/>
    <d v="2001-11-06T00:00:00"/>
    <d v="2002-03-18T00:00:00"/>
    <d v="2002-03-22T00:00:00"/>
    <d v="2002-03-22T00:00:00"/>
    <d v="2002-03-22T00:00:00"/>
    <d v="2002-04-07T00:00:00"/>
    <s v="OTIF FAIL"/>
    <n v="2"/>
    <s v="1210_FG_HPC"/>
    <x v="7"/>
    <n v="1"/>
    <m/>
  </r>
  <r>
    <s v="0558116308-20"/>
    <s v="CST"/>
    <n v="2"/>
    <n v="555"/>
    <n v="0"/>
    <n v="27"/>
    <n v="27"/>
    <s v="HRAP"/>
    <d v="2001-11-06T00:00:00"/>
    <d v="2002-02-22T00:00:00"/>
    <d v="2002-03-21T00:00:00"/>
    <d v="2002-03-21T00:00:00"/>
    <d v="2002-03-21T00:00:00"/>
    <d v="2002-04-14T00:00:00"/>
    <s v="OTIF FAIL"/>
    <n v="20"/>
    <s v="1210_FG_HPC"/>
    <x v="15"/>
    <n v="1"/>
    <m/>
  </r>
  <r>
    <s v="0558116308-6"/>
    <s v="CST"/>
    <n v="2"/>
    <n v="565"/>
    <n v="0"/>
    <n v="9"/>
    <n v="9"/>
    <s v="HRAP"/>
    <d v="2001-11-06T00:00:00"/>
    <d v="2002-03-18T00:00:00"/>
    <d v="2002-04-13T00:00:00"/>
    <d v="2002-04-13T00:00:00"/>
    <d v="2002-04-07T00:00:00"/>
    <d v="2002-04-07T00:00:00"/>
    <s v="OTIF FAIL"/>
    <n v="6"/>
    <s v="1210_FG_HPC"/>
    <x v="7"/>
    <n v="1"/>
    <m/>
  </r>
  <r>
    <s v="0558116308-7"/>
    <s v="CST"/>
    <n v="2"/>
    <n v="535"/>
    <n v="0"/>
    <n v="9"/>
    <n v="9"/>
    <s v="HRAP"/>
    <d v="2001-11-06T00:00:00"/>
    <d v="2002-02-28T00:00:00"/>
    <d v="2002-03-28T00:00:00"/>
    <d v="2002-03-28T00:00:00"/>
    <d v="2002-03-23T00:00:00"/>
    <d v="2002-04-07T00:00:00"/>
    <s v="OTIF FAIL"/>
    <n v="7"/>
    <s v="1210_FG_HPC"/>
    <x v="7"/>
    <n v="1"/>
    <m/>
  </r>
  <r>
    <s v="0558116308-3"/>
    <s v="CST"/>
    <n v="2.2999999999999998"/>
    <n v="640"/>
    <n v="0"/>
    <n v="20"/>
    <n v="20"/>
    <s v="HRAP"/>
    <d v="2001-11-06T00:00:00"/>
    <d v="2002-03-18T00:00:00"/>
    <s v="-"/>
    <s v="-"/>
    <d v="2002-03-22T00:00:00"/>
    <d v="2002-03-24T00:00:00"/>
    <s v="OTIF FAIL"/>
    <n v="3"/>
    <s v="1210_FG_HPC"/>
    <x v="9"/>
    <n v="1"/>
    <m/>
  </r>
  <r>
    <s v="0558116308-8"/>
    <s v="CST"/>
    <n v="2"/>
    <n v="590"/>
    <n v="0"/>
    <n v="20"/>
    <n v="20"/>
    <s v="HRAP"/>
    <d v="2001-11-06T00:00:00"/>
    <d v="2002-03-19T00:00:00"/>
    <d v="2002-04-07T00:00:00"/>
    <d v="2002-04-07T00:00:00"/>
    <d v="2002-04-07T00:00:00"/>
    <d v="2002-04-14T00:00:00"/>
    <s v="OTIF FAIL"/>
    <n v="8"/>
    <s v="1210_FG_HPC"/>
    <x v="15"/>
    <n v="1"/>
    <m/>
  </r>
  <r>
    <s v="0558116308-5"/>
    <s v="HRC"/>
    <n v="2.2999999999999998"/>
    <n v="565"/>
    <n v="0"/>
    <n v="28"/>
    <n v="28"/>
    <s v="HRAP"/>
    <d v="2001-11-06T00:00:00"/>
    <d v="2002-03-18T00:00:00"/>
    <d v="2002-03-23T00:00:00"/>
    <d v="2002-03-23T00:00:00"/>
    <d v="2002-03-23T00:00:00"/>
    <d v="2002-03-31T00:00:00"/>
    <s v="OTIF FAIL"/>
    <n v="5"/>
    <s v="1210_FG_HPC"/>
    <x v="6"/>
    <n v="1"/>
    <m/>
  </r>
  <r>
    <s v="0569023075-5"/>
    <s v="CST"/>
    <n v="2.5"/>
    <n v="1250"/>
    <n v="0"/>
    <n v="29"/>
    <n v="29"/>
    <s v="HRAP"/>
    <d v="2001-08-23T00:00:00"/>
    <d v="2002-03-04T00:00:00"/>
    <d v="2002-03-05T00:00:00"/>
    <d v="2002-03-05T00:00:00"/>
    <d v="2002-03-09T00:00:00"/>
    <d v="2002-03-09T00:00:00"/>
    <s v="OTIF FAIL"/>
    <n v="5"/>
    <s v="1210_FG_HPC"/>
    <x v="1"/>
    <n v="1"/>
    <m/>
  </r>
  <r>
    <s v="0569022587-3"/>
    <s v="CST"/>
    <n v="3"/>
    <n v="1250"/>
    <n v="0"/>
    <n v="6"/>
    <n v="6"/>
    <s v="HRAP"/>
    <d v="2001-09-25T00:00:00"/>
    <d v="2002-03-10T00:00:00"/>
    <d v="2002-03-12T00:00:00"/>
    <d v="2002-03-12T00:00:00"/>
    <d v="2002-03-17T00:00:00"/>
    <d v="2002-04-07T00:00:00"/>
    <s v="OTIF FAIL"/>
    <n v="3"/>
    <s v="1210_FG_HPC"/>
    <x v="7"/>
    <n v="1"/>
    <m/>
  </r>
  <r>
    <s v="0558113491-12"/>
    <s v="CST"/>
    <n v="4.57"/>
    <n v="1030"/>
    <n v="0"/>
    <n v="50"/>
    <n v="50"/>
    <s v="HRAP"/>
    <d v="2001-08-22T00:00:00"/>
    <d v="2002-02-27T00:00:00"/>
    <d v="2002-03-02T00:00:00"/>
    <d v="2002-03-02T00:00:00"/>
    <d v="2002-03-04T00:00:00"/>
    <d v="2002-03-04T00:00:00"/>
    <s v="OTIF FAIL"/>
    <n v="12"/>
    <s v="1210_FG_HPC"/>
    <x v="1"/>
    <n v="1"/>
    <m/>
  </r>
  <r>
    <s v="0558116236-3"/>
    <s v="PSS"/>
    <n v="2.5"/>
    <n v="400"/>
    <n v="0"/>
    <n v="6"/>
    <n v="6"/>
    <s v="HRAP"/>
    <d v="2001-11-04T00:00:00"/>
    <d v="2002-03-12T00:00:00"/>
    <d v="2002-03-16T00:00:00"/>
    <d v="2002-03-16T00:00:00"/>
    <d v="2002-03-16T00:00:00"/>
    <d v="2002-03-16T00:00:00"/>
    <s v="OTIF FAIL"/>
    <n v="3"/>
    <s v="1210_FG_HPC"/>
    <x v="3"/>
    <n v="1"/>
    <m/>
  </r>
  <r>
    <s v="0558109289-11"/>
    <s v="HRC"/>
    <n v="4.25"/>
    <n v="1020"/>
    <n v="0"/>
    <n v="40"/>
    <n v="22.76"/>
    <s v="HRAP"/>
    <d v="2001-09-25T00:00:00"/>
    <d v="2002-03-29T00:00:00"/>
    <d v="2002-03-29T00:00:00"/>
    <d v="2002-03-29T00:00:00"/>
    <d v="2002-03-29T00:00:00"/>
    <d v="2002-03-29T00:00:00"/>
    <s v="OTIF PASS"/>
    <n v="11"/>
    <s v="1210_FG_HPC"/>
    <x v="9"/>
    <n v="0"/>
    <m/>
  </r>
  <r>
    <s v="0558113491-10"/>
    <s v="HRC"/>
    <n v="3.85"/>
    <n v="1000"/>
    <n v="0"/>
    <n v="40"/>
    <n v="40"/>
    <s v="HRAP"/>
    <d v="2001-08-22T00:00:00"/>
    <d v="2002-02-20T00:00:00"/>
    <d v="2002-03-01T00:00:00"/>
    <d v="2002-03-01T00:00:00"/>
    <d v="2002-03-03T00:00:00"/>
    <d v="2002-03-03T00:00:00"/>
    <s v="OTIF FAIL"/>
    <n v="10"/>
    <s v="1210_FG_HPC"/>
    <x v="1"/>
    <n v="1"/>
    <m/>
  </r>
  <r>
    <s v="0558113491-11"/>
    <s v="HRC"/>
    <n v="4.2"/>
    <n v="1030"/>
    <n v="0"/>
    <n v="40"/>
    <n v="40"/>
    <s v="HRAP"/>
    <d v="2001-08-22T00:00:00"/>
    <d v="2002-02-27T00:00:00"/>
    <d v="2002-03-02T00:00:00"/>
    <d v="2002-03-02T00:00:00"/>
    <d v="2002-03-04T00:00:00"/>
    <d v="2002-03-04T00:00:00"/>
    <s v="OTIF FAIL"/>
    <n v="11"/>
    <s v="1210_FG_HPC"/>
    <x v="1"/>
    <n v="1"/>
    <m/>
  </r>
  <r>
    <s v="0558116275-4"/>
    <s v="JBS"/>
    <n v="2"/>
    <n v="1100"/>
    <n v="0"/>
    <n v="105"/>
    <n v="105"/>
    <s v="HRAP"/>
    <d v="2001-10-25T00:00:00"/>
    <d v="2002-03-15T00:00:00"/>
    <d v="2002-03-15T00:00:00"/>
    <d v="2002-03-15T00:00:00"/>
    <d v="2002-03-15T00:00:00"/>
    <d v="2002-03-15T00:00:00"/>
    <s v="OTIF PASS"/>
    <n v="4"/>
    <s v="1210_FG_HPC"/>
    <x v="3"/>
    <n v="1"/>
    <m/>
  </r>
  <r>
    <s v="0569022381-4"/>
    <s v="CST"/>
    <n v="3"/>
    <n v="1250"/>
    <n v="0"/>
    <n v="15"/>
    <n v="15"/>
    <s v="HRAP"/>
    <d v="2001-09-25T00:00:00"/>
    <d v="2002-03-10T00:00:00"/>
    <d v="2002-03-10T00:00:00"/>
    <d v="2002-03-10T00:00:00"/>
    <d v="2002-03-14T00:00:00"/>
    <d v="2002-04-07T00:00:00"/>
    <s v="OTIF PASS"/>
    <n v="4"/>
    <s v="1210_FG_HPC"/>
    <x v="7"/>
    <n v="1"/>
    <m/>
  </r>
  <r>
    <s v="0569022381-5"/>
    <s v="HRC"/>
    <n v="4"/>
    <n v="1250"/>
    <n v="0"/>
    <n v="50"/>
    <n v="33.914999999999999"/>
    <s v="HRAP"/>
    <d v="2001-09-25T00:00:00"/>
    <d v="2002-03-10T00:00:00"/>
    <d v="2002-03-17T00:00:00"/>
    <d v="2002-03-17T00:00:00"/>
    <d v="2002-03-17T00:00:00"/>
    <d v="2002-03-17T00:00:00"/>
    <s v="OTIF FAIL"/>
    <n v="5"/>
    <s v="1210_FG_HPC"/>
    <x v="0"/>
    <n v="0"/>
    <m/>
  </r>
  <r>
    <s v="0558113131-4"/>
    <s v="HRC"/>
    <n v="5.25"/>
    <n v="1250"/>
    <n v="0"/>
    <n v="78"/>
    <n v="78"/>
    <s v="HRAP"/>
    <d v="2001-08-12T00:00:00"/>
    <d v="2002-02-27T00:00:00"/>
    <d v="2002-02-27T00:00:00"/>
    <d v="2002-02-27T00:00:00"/>
    <d v="2002-03-03T00:00:00"/>
    <d v="2002-03-03T00:00:00"/>
    <s v="OTIF PASS"/>
    <n v="4"/>
    <s v="1210_FG_HPC"/>
    <x v="1"/>
    <n v="1"/>
    <m/>
  </r>
  <r>
    <s v="0558116236-4"/>
    <s v="HRC"/>
    <n v="2.5"/>
    <n v="425"/>
    <n v="0"/>
    <n v="14"/>
    <n v="14"/>
    <s v="HRAP"/>
    <d v="2001-11-04T00:00:00"/>
    <d v="2002-03-13T00:00:00"/>
    <d v="2002-03-23T00:00:00"/>
    <d v="2002-03-23T00:00:00"/>
    <d v="2002-03-16T00:00:00"/>
    <d v="2002-03-16T00:00:00"/>
    <s v="OTIF FAIL"/>
    <n v="4"/>
    <s v="1210_FG_HPC"/>
    <x v="3"/>
    <n v="1"/>
    <m/>
  </r>
  <r>
    <s v="0558111472-1"/>
    <s v="HRC"/>
    <n v="2.2999999999999998"/>
    <n v="565"/>
    <n v="0"/>
    <n v="116.84399999999999"/>
    <n v="19.72"/>
    <s v="HRAP"/>
    <d v="2001-09-25T00:00:00"/>
    <d v="2002-03-30T00:00:00"/>
    <s v="-"/>
    <s v="-"/>
    <d v="2002-04-06T00:00:00"/>
    <d v="2002-04-06T00:00:00"/>
    <s v="OTIF FAIL"/>
    <n v="1"/>
    <s v="1210_FG_HPC"/>
    <x v="6"/>
    <n v="0"/>
    <m/>
  </r>
  <r>
    <s v="0569023177-5"/>
    <s v="CST"/>
    <n v="2"/>
    <n v="1250"/>
    <n v="0"/>
    <n v="20"/>
    <n v="20"/>
    <s v="HRAP"/>
    <d v="2001-08-30T00:00:00"/>
    <d v="2002-03-31T00:00:00"/>
    <d v="2002-03-31T00:00:00"/>
    <d v="2002-03-31T00:00:00"/>
    <d v="2002-03-31T00:00:00"/>
    <d v="2002-03-31T00:00:00"/>
    <s v="OTIF PASS"/>
    <n v="5"/>
    <s v="1210_FG_HPC"/>
    <x v="6"/>
    <n v="1"/>
    <m/>
  </r>
  <r>
    <s v="0569023177-2"/>
    <s v="CST"/>
    <n v="2"/>
    <n v="625"/>
    <n v="0"/>
    <n v="77"/>
    <n v="77"/>
    <s v="HRAP"/>
    <d v="2001-08-30T00:00:00"/>
    <d v="2002-03-31T00:00:00"/>
    <d v="2002-05-05T00:00:00"/>
    <d v="2002-05-05T00:00:00"/>
    <d v="2002-04-07T00:00:00"/>
    <d v="2002-04-07T00:00:00"/>
    <s v="OTIF FAIL"/>
    <n v="2"/>
    <s v="1210_FG_HPC"/>
    <x v="7"/>
    <n v="1"/>
    <m/>
  </r>
  <r>
    <s v="0569023177-3"/>
    <s v="HRC"/>
    <n v="2.2999999999999998"/>
    <n v="625"/>
    <n v="0"/>
    <n v="62"/>
    <n v="62"/>
    <s v="HRAP"/>
    <d v="2001-08-30T00:00:00"/>
    <d v="2002-03-31T00:00:00"/>
    <d v="2002-04-14T00:00:00"/>
    <d v="2002-04-14T00:00:00"/>
    <d v="2002-04-14T00:00:00"/>
    <d v="2002-04-14T00:00:00"/>
    <s v="OTIF FAIL"/>
    <n v="3"/>
    <s v="1210_FG_HPC"/>
    <x v="15"/>
    <n v="1"/>
    <m/>
  </r>
  <r>
    <s v="0558116308-9"/>
    <s v="HRC"/>
    <n v="2"/>
    <n v="625"/>
    <n v="0"/>
    <n v="20"/>
    <n v="20"/>
    <s v="HRAP"/>
    <d v="2001-11-06T00:00:00"/>
    <d v="2002-03-19T00:00:00"/>
    <d v="2002-03-25T00:00:00"/>
    <d v="2002-03-25T00:00:00"/>
    <d v="2002-03-24T00:00:00"/>
    <d v="2002-05-11T00:00:00"/>
    <s v="OTIF FAIL"/>
    <n v="9"/>
    <s v="1210_FG_HPC"/>
    <x v="19"/>
    <n v="1"/>
    <m/>
  </r>
  <r>
    <s v="0558116308-1"/>
    <s v="CST"/>
    <n v="2.2999999999999998"/>
    <n v="625"/>
    <n v="0"/>
    <n v="20"/>
    <n v="20"/>
    <s v="HRAP"/>
    <d v="2001-11-06T00:00:00"/>
    <d v="2002-03-18T00:00:00"/>
    <d v="2002-03-30T00:00:00"/>
    <d v="2002-03-30T00:00:00"/>
    <d v="2002-03-30T00:00:00"/>
    <d v="2002-03-30T00:00:00"/>
    <s v="OTIF FAIL"/>
    <n v="1"/>
    <s v="1210_FG_HPC"/>
    <x v="9"/>
    <n v="1"/>
    <m/>
  </r>
  <r>
    <s v="0558116308-10"/>
    <s v="HPC"/>
    <n v="2"/>
    <n v="610"/>
    <n v="0"/>
    <n v="20"/>
    <n v="20"/>
    <s v="HRAP"/>
    <d v="2001-11-06T00:00:00"/>
    <d v="2002-03-19T00:00:00"/>
    <d v="2002-04-06T00:00:00"/>
    <d v="2002-04-06T00:00:00"/>
    <d v="2002-03-30T00:00:00"/>
    <d v="2002-03-30T00:00:00"/>
    <s v="OTIF FAIL"/>
    <n v="10"/>
    <s v="1210_FG_HPC"/>
    <x v="9"/>
    <n v="1"/>
    <m/>
  </r>
  <r>
    <s v="0558116308-11"/>
    <s v="CST"/>
    <n v="2"/>
    <n v="640"/>
    <n v="0"/>
    <n v="20"/>
    <n v="20"/>
    <s v="HRAP"/>
    <d v="2001-11-06T00:00:00"/>
    <d v="2002-03-19T00:00:00"/>
    <d v="2002-04-06T00:00:00"/>
    <d v="2002-04-06T00:00:00"/>
    <d v="2002-03-30T00:00:00"/>
    <d v="2002-03-31T00:00:00"/>
    <s v="OTIF FAIL"/>
    <n v="11"/>
    <s v="1210_FG_HPC"/>
    <x v="6"/>
    <n v="1"/>
    <m/>
  </r>
  <r>
    <s v="0558116309-13"/>
    <s v="CST"/>
    <n v="2"/>
    <n v="650"/>
    <n v="0"/>
    <n v="20"/>
    <n v="20"/>
    <s v="HRAP"/>
    <d v="2001-11-06T00:00:00"/>
    <d v="2002-03-19T00:00:00"/>
    <d v="2002-03-19T00:00:00"/>
    <d v="2002-03-19T00:00:00"/>
    <d v="2002-03-19T00:00:00"/>
    <d v="2002-03-31T00:00:00"/>
    <s v="OTIF PASS"/>
    <n v="13"/>
    <s v="1210_FG_HPC"/>
    <x v="6"/>
    <n v="1"/>
    <m/>
  </r>
  <r>
    <s v="0558116309-11"/>
    <s v="HRC"/>
    <n v="2"/>
    <n v="640"/>
    <n v="0"/>
    <n v="20"/>
    <n v="20"/>
    <s v="HRAP"/>
    <d v="2001-11-06T00:00:00"/>
    <d v="2002-03-19T00:00:00"/>
    <d v="2002-04-06T00:00:00"/>
    <d v="2002-04-06T00:00:00"/>
    <d v="2002-03-30T00:00:00"/>
    <d v="2002-03-31T00:00:00"/>
    <s v="OTIF FAIL"/>
    <n v="11"/>
    <s v="1210_FG_HPC"/>
    <x v="6"/>
    <n v="1"/>
    <m/>
  </r>
  <r>
    <s v="0558113413-23"/>
    <s v="CST"/>
    <n v="4.4000000000000004"/>
    <n v="1020"/>
    <n v="0"/>
    <n v="100"/>
    <n v="100"/>
    <s v="HRAP"/>
    <d v="2001-08-22T00:00:00"/>
    <d v="2002-02-28T00:00:00"/>
    <d v="2002-03-03T00:00:00"/>
    <d v="2002-03-03T00:00:00"/>
    <d v="2002-03-05T00:00:00"/>
    <d v="2002-03-05T00:00:00"/>
    <s v="OTIF FAIL"/>
    <n v="23"/>
    <s v="1210_FG_HPC"/>
    <x v="1"/>
    <n v="1"/>
    <m/>
  </r>
  <r>
    <s v="0558116309-16"/>
    <s v="CST"/>
    <n v="2"/>
    <n v="550"/>
    <n v="0"/>
    <n v="27"/>
    <n v="27"/>
    <s v="HRAP"/>
    <d v="2001-11-06T00:00:00"/>
    <d v="2002-02-24T00:00:00"/>
    <d v="2002-03-21T00:00:00"/>
    <d v="2002-03-21T00:00:00"/>
    <d v="2002-03-21T00:00:00"/>
    <d v="2002-04-14T00:00:00"/>
    <s v="OTIF FAIL"/>
    <n v="16"/>
    <s v="1210_FG_HPC"/>
    <x v="15"/>
    <n v="1"/>
    <m/>
  </r>
  <r>
    <s v="0558116309-1"/>
    <s v="CST"/>
    <n v="2.2999999999999998"/>
    <n v="625"/>
    <n v="0"/>
    <n v="20"/>
    <n v="20"/>
    <s v="HRAP"/>
    <d v="2001-11-06T00:00:00"/>
    <d v="2002-03-19T00:00:00"/>
    <d v="2002-03-30T00:00:00"/>
    <d v="2002-03-30T00:00:00"/>
    <d v="2002-03-30T00:00:00"/>
    <d v="2002-03-30T00:00:00"/>
    <s v="OTIF FAIL"/>
    <n v="1"/>
    <s v="1210_FG_HPC"/>
    <x v="9"/>
    <n v="1"/>
    <m/>
  </r>
  <r>
    <s v="0558116309-10"/>
    <s v="HRC"/>
    <n v="2"/>
    <n v="610"/>
    <n v="0"/>
    <n v="20"/>
    <n v="20"/>
    <s v="HRAP"/>
    <d v="2001-11-06T00:00:00"/>
    <d v="2002-03-19T00:00:00"/>
    <d v="2002-04-06T00:00:00"/>
    <d v="2002-04-06T00:00:00"/>
    <d v="2002-03-30T00:00:00"/>
    <d v="2002-03-30T00:00:00"/>
    <s v="OTIF FAIL"/>
    <n v="10"/>
    <s v="1210_FG_HPC"/>
    <x v="9"/>
    <n v="1"/>
    <m/>
  </r>
  <r>
    <s v="0558116309-15"/>
    <s v="NFA"/>
    <n v="2"/>
    <n v="505"/>
    <n v="0"/>
    <n v="24"/>
    <n v="24"/>
    <s v="HRAP"/>
    <d v="2001-11-06T00:00:00"/>
    <d v="2002-03-19T00:00:00"/>
    <d v="2002-03-30T00:00:00"/>
    <d v="2002-03-30T00:00:00"/>
    <d v="2002-03-30T00:00:00"/>
    <d v="2002-04-14T00:00:00"/>
    <s v="OTIF FAIL"/>
    <n v="15"/>
    <s v="1210_FG_HPC"/>
    <x v="15"/>
    <n v="1"/>
    <m/>
  </r>
  <r>
    <s v="0558116309-18"/>
    <s v="PSS"/>
    <n v="2"/>
    <n v="580"/>
    <n v="0"/>
    <n v="29"/>
    <n v="29"/>
    <s v="HRAP"/>
    <d v="2001-11-06T00:00:00"/>
    <d v="2002-03-19T00:00:00"/>
    <d v="2002-03-30T00:00:00"/>
    <d v="2002-03-30T00:00:00"/>
    <d v="2002-03-30T00:00:00"/>
    <d v="2002-04-14T00:00:00"/>
    <s v="OTIF FAIL"/>
    <n v="18"/>
    <s v="1210_FG_HPC"/>
    <x v="15"/>
    <n v="1"/>
    <m/>
  </r>
  <r>
    <s v="0558116309-12"/>
    <s v="PSS"/>
    <n v="2"/>
    <n v="600"/>
    <n v="0"/>
    <n v="20"/>
    <n v="20"/>
    <s v="HRAP"/>
    <d v="2001-11-06T00:00:00"/>
    <d v="2002-02-26T00:00:00"/>
    <d v="2002-03-10T00:00:00"/>
    <d v="2002-03-10T00:00:00"/>
    <d v="2002-03-03T00:00:00"/>
    <d v="2002-04-14T00:00:00"/>
    <s v="OTIF FAIL"/>
    <n v="12"/>
    <s v="1210_FG_HPC"/>
    <x v="15"/>
    <n v="1"/>
    <m/>
  </r>
  <r>
    <s v="0569023106-2"/>
    <s v="PSS"/>
    <n v="2.5"/>
    <n v="1250"/>
    <n v="0"/>
    <n v="147"/>
    <n v="147"/>
    <s v="HRAP"/>
    <d v="2001-08-23T00:00:00"/>
    <d v="2002-03-31T00:00:00"/>
    <d v="2002-04-07T00:00:00"/>
    <d v="2002-04-07T00:00:00"/>
    <d v="2002-04-07T00:00:00"/>
    <d v="2002-04-07T00:00:00"/>
    <s v="OTIF FAIL"/>
    <n v="2"/>
    <s v="1210_FG_HPC"/>
    <x v="7"/>
    <n v="1"/>
    <m/>
  </r>
  <r>
    <s v="0558116309-14"/>
    <s v="HRC"/>
    <n v="2"/>
    <n v="600"/>
    <n v="0"/>
    <n v="30"/>
    <n v="30"/>
    <s v="HRAP"/>
    <d v="2001-11-06T00:00:00"/>
    <d v="2002-02-27T00:00:00"/>
    <d v="2002-04-04T00:00:00"/>
    <d v="2002-04-04T00:00:00"/>
    <d v="2002-03-24T00:00:00"/>
    <d v="2002-04-14T00:00:00"/>
    <s v="OTIF FAIL"/>
    <n v="14"/>
    <s v="1210_FG_HPC"/>
    <x v="15"/>
    <n v="1"/>
    <m/>
  </r>
  <r>
    <s v="0558116309-19"/>
    <s v="CRC"/>
    <n v="2"/>
    <n v="525"/>
    <n v="0"/>
    <n v="25"/>
    <n v="25"/>
    <s v="HRAP"/>
    <d v="2001-10-28T00:00:00"/>
    <d v="2002-03-19T00:00:00"/>
    <d v="2002-03-30T00:00:00"/>
    <d v="2002-03-30T00:00:00"/>
    <d v="2002-03-30T00:00:00"/>
    <d v="2002-04-14T00:00:00"/>
    <s v="OTIF FAIL"/>
    <n v="19"/>
    <s v="1210_FG_HPC"/>
    <x v="15"/>
    <n v="1"/>
    <m/>
  </r>
  <r>
    <s v="0558116309-5"/>
    <s v="HPC"/>
    <n v="2.2999999999999998"/>
    <n v="565"/>
    <n v="0"/>
    <n v="28"/>
    <n v="28"/>
    <s v="HRAP"/>
    <d v="2001-11-06T00:00:00"/>
    <d v="2002-03-19T00:00:00"/>
    <d v="2002-03-24T00:00:00"/>
    <d v="2002-03-24T00:00:00"/>
    <d v="2002-03-24T00:00:00"/>
    <d v="2002-03-31T00:00:00"/>
    <s v="OTIF FAIL"/>
    <n v="5"/>
    <s v="1210_FG_HPC"/>
    <x v="6"/>
    <n v="1"/>
    <m/>
  </r>
  <r>
    <s v="0558116309-6"/>
    <s v="HRC"/>
    <n v="2"/>
    <n v="565"/>
    <n v="0"/>
    <n v="9"/>
    <n v="9"/>
    <s v="HRAP"/>
    <d v="2001-11-06T00:00:00"/>
    <d v="2002-03-19T00:00:00"/>
    <d v="2002-04-13T00:00:00"/>
    <d v="2002-04-13T00:00:00"/>
    <d v="2002-04-07T00:00:00"/>
    <d v="2002-04-07T00:00:00"/>
    <s v="OTIF FAIL"/>
    <n v="6"/>
    <s v="1210_FG_HPC"/>
    <x v="7"/>
    <n v="1"/>
    <m/>
  </r>
  <r>
    <s v="0558116309-3"/>
    <s v="HPC"/>
    <n v="2.2999999999999998"/>
    <n v="640"/>
    <n v="0"/>
    <n v="20"/>
    <n v="20"/>
    <s v="HRAP"/>
    <d v="2001-11-06T00:00:00"/>
    <d v="2002-03-19T00:00:00"/>
    <d v="2002-03-24T00:00:00"/>
    <d v="2002-03-24T00:00:00"/>
    <d v="2002-03-24T00:00:00"/>
    <d v="2002-03-24T00:00:00"/>
    <s v="OTIF FAIL"/>
    <n v="3"/>
    <s v="1210_FG_HPC"/>
    <x v="9"/>
    <n v="1"/>
    <m/>
  </r>
  <r>
    <s v="0558116309-7"/>
    <s v="CRC"/>
    <n v="2"/>
    <n v="535"/>
    <n v="0"/>
    <n v="9"/>
    <n v="9"/>
    <s v="HRAP"/>
    <d v="2001-11-06T00:00:00"/>
    <d v="2002-03-19T00:00:00"/>
    <d v="2002-03-30T00:00:00"/>
    <d v="2002-03-30T00:00:00"/>
    <d v="2002-03-30T00:00:00"/>
    <d v="2002-04-07T00:00:00"/>
    <s v="OTIF FAIL"/>
    <n v="7"/>
    <s v="1210_FG_HPC"/>
    <x v="7"/>
    <n v="1"/>
    <m/>
  </r>
  <r>
    <s v="0558116309-9"/>
    <s v="CRC"/>
    <n v="2"/>
    <n v="625"/>
    <n v="0"/>
    <n v="20"/>
    <n v="20"/>
    <s v="HRAP"/>
    <d v="2001-11-06T00:00:00"/>
    <d v="2002-03-19T00:00:00"/>
    <d v="2002-03-25T00:00:00"/>
    <d v="2002-03-25T00:00:00"/>
    <d v="2002-03-24T00:00:00"/>
    <d v="2002-05-11T00:00:00"/>
    <s v="OTIF FAIL"/>
    <n v="9"/>
    <s v="1210_FG_HPC"/>
    <x v="19"/>
    <n v="1"/>
    <m/>
  </r>
  <r>
    <s v="0558116309-20"/>
    <s v="JBS"/>
    <n v="2"/>
    <n v="555"/>
    <n v="0"/>
    <n v="27"/>
    <n v="27"/>
    <s v="HRAP"/>
    <d v="2001-11-06T00:00:00"/>
    <d v="2002-03-19T00:00:00"/>
    <d v="2002-03-30T00:00:00"/>
    <d v="2002-03-30T00:00:00"/>
    <d v="2002-03-30T00:00:00"/>
    <d v="2002-04-14T00:00:00"/>
    <s v="OTIF FAIL"/>
    <n v="20"/>
    <s v="1210_FG_HPC"/>
    <x v="15"/>
    <n v="1"/>
    <m/>
  </r>
  <r>
    <s v="0558116309-4"/>
    <s v="CST"/>
    <n v="2.2999999999999998"/>
    <n v="535"/>
    <n v="0"/>
    <n v="26"/>
    <n v="26"/>
    <s v="HRAP"/>
    <d v="2001-11-06T00:00:00"/>
    <d v="2002-03-19T00:00:00"/>
    <d v="2002-03-24T00:00:00"/>
    <d v="2002-03-24T00:00:00"/>
    <d v="2002-03-24T00:00:00"/>
    <d v="2002-03-24T00:00:00"/>
    <s v="OTIF FAIL"/>
    <n v="4"/>
    <s v="1210_FG_HPC"/>
    <x v="9"/>
    <n v="1"/>
    <m/>
  </r>
  <r>
    <s v="0558116308-12"/>
    <s v="CST"/>
    <n v="2"/>
    <n v="600"/>
    <n v="0"/>
    <n v="20"/>
    <n v="20"/>
    <s v="HRAP"/>
    <d v="2001-11-06T00:00:00"/>
    <d v="2002-02-23T00:00:00"/>
    <s v="-"/>
    <s v="-"/>
    <d v="2002-03-20T00:00:00"/>
    <d v="2002-04-14T00:00:00"/>
    <s v="OTIF FAIL"/>
    <n v="12"/>
    <s v="1210_FG_HPC"/>
    <x v="15"/>
    <n v="1"/>
    <m/>
  </r>
  <r>
    <s v="0569023106-1"/>
    <s v="CST"/>
    <n v="2.5"/>
    <n v="1250"/>
    <n v="0"/>
    <n v="260"/>
    <n v="260"/>
    <s v="HRAP"/>
    <d v="2001-08-23T00:00:00"/>
    <d v="2002-03-31T00:00:00"/>
    <d v="2002-04-07T00:00:00"/>
    <d v="2002-04-07T00:00:00"/>
    <d v="2002-04-07T00:00:00"/>
    <d v="2002-04-14T00:00:00"/>
    <s v="OTIF FAIL"/>
    <n v="1"/>
    <s v="1210_FG_HPC"/>
    <x v="15"/>
    <n v="1"/>
    <m/>
  </r>
  <r>
    <s v="0558116309-8"/>
    <s v="CST"/>
    <n v="2"/>
    <n v="590"/>
    <n v="0"/>
    <n v="20"/>
    <n v="20"/>
    <s v="HRAP"/>
    <d v="2001-11-06T00:00:00"/>
    <d v="2002-03-19T00:00:00"/>
    <d v="2002-03-30T00:00:00"/>
    <d v="2002-03-30T00:00:00"/>
    <d v="2002-03-30T00:00:00"/>
    <d v="2002-04-14T00:00:00"/>
    <s v="OTIF FAIL"/>
    <n v="8"/>
    <s v="1210_FG_HPC"/>
    <x v="15"/>
    <n v="1"/>
    <m/>
  </r>
  <r>
    <s v="0558116310-1"/>
    <s v="CST"/>
    <n v="2.2999999999999998"/>
    <n v="625"/>
    <n v="0"/>
    <n v="20"/>
    <n v="20"/>
    <s v="HRAP"/>
    <d v="2001-11-06T00:00:00"/>
    <d v="2002-03-19T00:00:00"/>
    <d v="2002-03-30T00:00:00"/>
    <d v="2002-03-30T00:00:00"/>
    <d v="2002-03-30T00:00:00"/>
    <d v="2002-03-30T00:00:00"/>
    <s v="OTIF FAIL"/>
    <n v="1"/>
    <s v="1210_FG_HPC"/>
    <x v="9"/>
    <n v="1"/>
    <m/>
  </r>
  <r>
    <s v="0558116310-12"/>
    <s v="JBS"/>
    <n v="2"/>
    <n v="600"/>
    <n v="0"/>
    <n v="20"/>
    <n v="20"/>
    <s v="HRAP"/>
    <d v="2001-11-06T00:00:00"/>
    <d v="2002-02-24T00:00:00"/>
    <d v="2002-03-25T00:00:00"/>
    <d v="2002-03-25T00:00:00"/>
    <d v="2002-03-18T00:00:00"/>
    <d v="2002-04-14T00:00:00"/>
    <s v="OTIF FAIL"/>
    <n v="12"/>
    <s v="1210_FG_HPC"/>
    <x v="15"/>
    <n v="1"/>
    <m/>
  </r>
  <r>
    <s v="0558116310-13"/>
    <s v="CRC"/>
    <n v="2"/>
    <n v="650"/>
    <n v="0"/>
    <n v="20"/>
    <n v="20"/>
    <s v="HRAP"/>
    <d v="2001-11-06T00:00:00"/>
    <d v="2002-03-20T00:00:00"/>
    <d v="2002-04-07T00:00:00"/>
    <d v="2002-04-07T00:00:00"/>
    <d v="2002-03-31T00:00:00"/>
    <d v="2002-03-31T00:00:00"/>
    <s v="OTIF FAIL"/>
    <n v="13"/>
    <s v="1210_FG_HPC"/>
    <x v="6"/>
    <n v="1"/>
    <m/>
  </r>
  <r>
    <s v="0558116310-5"/>
    <s v="CST"/>
    <n v="2.2999999999999998"/>
    <n v="565"/>
    <n v="0"/>
    <n v="28"/>
    <n v="28"/>
    <s v="HRAP"/>
    <d v="2001-11-06T00:00:00"/>
    <d v="2002-03-20T00:00:00"/>
    <d v="2002-04-07T00:00:00"/>
    <d v="2002-04-07T00:00:00"/>
    <d v="2002-03-31T00:00:00"/>
    <d v="2002-03-31T00:00:00"/>
    <s v="OTIF FAIL"/>
    <n v="5"/>
    <s v="1210_FG_HPC"/>
    <x v="6"/>
    <n v="1"/>
    <m/>
  </r>
  <r>
    <s v="0558113491-27"/>
    <s v="CST"/>
    <n v="3.85"/>
    <n v="1000"/>
    <n v="0"/>
    <n v="20"/>
    <n v="20"/>
    <s v="HRAP"/>
    <d v="2001-08-22T00:00:00"/>
    <d v="2002-02-21T00:00:00"/>
    <d v="2002-03-04T00:00:00"/>
    <d v="2002-03-04T00:00:00"/>
    <d v="2002-03-05T00:00:00"/>
    <d v="2002-03-05T00:00:00"/>
    <s v="OTIF FAIL"/>
    <n v="27"/>
    <s v="1210_FG_HPC"/>
    <x v="1"/>
    <n v="1"/>
    <m/>
  </r>
  <r>
    <s v="0558113413-22"/>
    <s v="HRC"/>
    <n v="4"/>
    <n v="1020"/>
    <n v="0"/>
    <n v="30"/>
    <n v="30"/>
    <s v="HRAP"/>
    <d v="2001-08-22T00:00:00"/>
    <d v="2002-02-27T00:00:00"/>
    <d v="2002-03-02T00:00:00"/>
    <d v="2002-03-02T00:00:00"/>
    <d v="2002-03-03T00:00:00"/>
    <d v="2002-03-03T00:00:00"/>
    <s v="OTIF FAIL"/>
    <n v="22"/>
    <s v="1210_FG_HPC"/>
    <x v="1"/>
    <n v="1"/>
    <m/>
  </r>
  <r>
    <s v="0569023073-2"/>
    <s v="CST"/>
    <n v="3"/>
    <n v="1250"/>
    <n v="0"/>
    <n v="33"/>
    <n v="33"/>
    <s v="HRAP"/>
    <d v="2001-08-23T00:00:00"/>
    <d v="2002-03-31T00:00:00"/>
    <d v="2002-03-31T00:00:00"/>
    <d v="2002-03-31T00:00:00"/>
    <d v="2002-03-31T00:00:00"/>
    <d v="2002-03-31T00:00:00"/>
    <s v="OTIF PASS"/>
    <n v="2"/>
    <s v="1210_FG_HPC"/>
    <x v="6"/>
    <n v="1"/>
    <m/>
  </r>
  <r>
    <s v="0569023073-1"/>
    <s v="PSS"/>
    <n v="2"/>
    <n v="625"/>
    <n v="0"/>
    <n v="163"/>
    <n v="109.086"/>
    <s v="HRAP"/>
    <d v="2001-08-23T00:00:00"/>
    <d v="2002-03-31T00:00:00"/>
    <d v="2002-04-14T00:00:00"/>
    <d v="2002-04-14T00:00:00"/>
    <d v="2002-04-07T00:00:00"/>
    <d v="2002-04-07T00:00:00"/>
    <s v="OTIF FAIL"/>
    <n v="1"/>
    <s v="1210_FG_HPC"/>
    <x v="7"/>
    <n v="0"/>
    <m/>
  </r>
  <r>
    <s v="0558116310-17"/>
    <s v="CST"/>
    <n v="2"/>
    <n v="510"/>
    <n v="0"/>
    <n v="18"/>
    <n v="18"/>
    <s v="HRAP"/>
    <d v="2001-10-28T00:00:00"/>
    <d v="2002-03-20T00:00:00"/>
    <d v="2002-04-13T00:00:00"/>
    <d v="2002-04-13T00:00:00"/>
    <d v="2002-04-07T00:00:00"/>
    <d v="2002-04-14T00:00:00"/>
    <s v="OTIF FAIL"/>
    <n v="17"/>
    <s v="1210_FG_HPC"/>
    <x v="15"/>
    <n v="1"/>
    <m/>
  </r>
  <r>
    <s v="0558116310-14"/>
    <s v="HRC"/>
    <n v="2"/>
    <n v="600"/>
    <n v="0"/>
    <n v="30"/>
    <n v="30"/>
    <s v="HRAP"/>
    <d v="2001-11-06T00:00:00"/>
    <d v="2002-02-25T00:00:00"/>
    <d v="2002-03-21T00:00:00"/>
    <d v="2002-03-21T00:00:00"/>
    <d v="2002-03-21T00:00:00"/>
    <d v="2002-04-14T00:00:00"/>
    <s v="OTIF FAIL"/>
    <n v="14"/>
    <s v="1210_FG_HPC"/>
    <x v="15"/>
    <n v="1"/>
    <m/>
  </r>
  <r>
    <s v="0558116310-19"/>
    <s v="CST"/>
    <n v="2"/>
    <n v="525"/>
    <n v="0"/>
    <n v="25"/>
    <n v="25"/>
    <s v="HRAP"/>
    <d v="2001-10-28T00:00:00"/>
    <d v="2002-03-20T00:00:00"/>
    <d v="2002-04-07T00:00:00"/>
    <d v="2002-04-07T00:00:00"/>
    <d v="2002-04-07T00:00:00"/>
    <d v="2002-04-14T00:00:00"/>
    <s v="OTIF FAIL"/>
    <n v="19"/>
    <s v="1210_FG_HPC"/>
    <x v="15"/>
    <n v="1"/>
    <m/>
  </r>
  <r>
    <s v="0558116310-18"/>
    <s v="CST"/>
    <n v="2"/>
    <n v="580"/>
    <n v="0"/>
    <n v="29"/>
    <n v="29"/>
    <s v="HRAP"/>
    <d v="2001-11-06T00:00:00"/>
    <d v="2002-03-20T00:00:00"/>
    <d v="2002-04-13T00:00:00"/>
    <d v="2002-04-13T00:00:00"/>
    <d v="2002-04-07T00:00:00"/>
    <d v="2002-04-14T00:00:00"/>
    <s v="OTIF FAIL"/>
    <n v="18"/>
    <s v="1210_FG_HPC"/>
    <x v="15"/>
    <n v="1"/>
    <m/>
  </r>
  <r>
    <s v="0558116310-11"/>
    <s v="CST"/>
    <n v="2"/>
    <n v="640"/>
    <n v="0"/>
    <n v="20"/>
    <n v="20"/>
    <s v="HRAP"/>
    <d v="2001-11-06T00:00:00"/>
    <d v="2002-03-20T00:00:00"/>
    <d v="2002-04-07T00:00:00"/>
    <d v="2002-04-07T00:00:00"/>
    <d v="2002-03-31T00:00:00"/>
    <d v="2002-03-31T00:00:00"/>
    <s v="OTIF FAIL"/>
    <n v="11"/>
    <s v="1210_FG_HPC"/>
    <x v="6"/>
    <n v="1"/>
    <m/>
  </r>
  <r>
    <s v="0558116310-2"/>
    <s v="CST"/>
    <n v="2.2999999999999998"/>
    <n v="460"/>
    <n v="0"/>
    <n v="18"/>
    <n v="18"/>
    <s v="HRAP"/>
    <d v="2001-10-28T00:00:00"/>
    <d v="2002-03-19T00:00:00"/>
    <d v="2002-04-07T00:00:00"/>
    <d v="2002-04-07T00:00:00"/>
    <d v="2002-03-30T00:00:00"/>
    <d v="2002-04-07T00:00:00"/>
    <s v="OTIF FAIL"/>
    <n v="2"/>
    <s v="1210_FG_HPC"/>
    <x v="7"/>
    <n v="1"/>
    <m/>
  </r>
  <r>
    <s v="0558113491-28"/>
    <s v="CRC"/>
    <n v="4.2"/>
    <n v="1030"/>
    <n v="0"/>
    <n v="20"/>
    <n v="20"/>
    <s v="HRAP"/>
    <d v="2001-08-22T00:00:00"/>
    <d v="2002-02-27T00:00:00"/>
    <d v="2002-03-01T00:00:00"/>
    <d v="2002-03-01T00:00:00"/>
    <d v="2002-03-04T00:00:00"/>
    <d v="2002-03-04T00:00:00"/>
    <s v="OTIF FAIL"/>
    <n v="28"/>
    <s v="1210_FG_HPC"/>
    <x v="1"/>
    <n v="1"/>
    <m/>
  </r>
  <r>
    <s v="0558116310-6"/>
    <s v="CST"/>
    <n v="2"/>
    <n v="565"/>
    <n v="0"/>
    <n v="9"/>
    <n v="9"/>
    <s v="HRAP"/>
    <d v="2001-11-06T00:00:00"/>
    <d v="2002-03-20T00:00:00"/>
    <d v="2002-04-13T00:00:00"/>
    <d v="2002-04-13T00:00:00"/>
    <d v="2002-04-07T00:00:00"/>
    <d v="2002-04-07T00:00:00"/>
    <s v="OTIF FAIL"/>
    <n v="6"/>
    <s v="1210_FG_HPC"/>
    <x v="7"/>
    <n v="1"/>
    <m/>
  </r>
  <r>
    <s v="0569023021-1"/>
    <s v="NFA"/>
    <n v="4"/>
    <n v="1250"/>
    <n v="0"/>
    <n v="6"/>
    <n v="6"/>
    <s v="HRAP"/>
    <d v="2001-08-19T00:00:00"/>
    <d v="2002-03-04T00:00:00"/>
    <d v="2002-03-05T00:00:00"/>
    <d v="2002-03-05T00:00:00"/>
    <d v="2002-03-09T00:00:00"/>
    <d v="2002-03-17T00:00:00"/>
    <s v="OTIF FAIL"/>
    <n v="1"/>
    <s v="1210_FG_HPC"/>
    <x v="0"/>
    <n v="1"/>
    <m/>
  </r>
  <r>
    <s v="0569022970-4"/>
    <s v="CST"/>
    <n v="6"/>
    <n v="1250"/>
    <n v="0"/>
    <n v="31"/>
    <n v="15.42"/>
    <s v="HRAP"/>
    <d v="2001-08-13T00:00:00"/>
    <d v="2002-03-09T00:00:00"/>
    <d v="2002-03-09T00:00:00"/>
    <d v="2002-03-09T00:00:00"/>
    <d v="2002-03-16T00:00:00"/>
    <d v="2002-03-16T00:00:00"/>
    <s v="OTIF PASS"/>
    <n v="4"/>
    <s v="1210_FG_HPC"/>
    <x v="3"/>
    <n v="0"/>
    <m/>
  </r>
  <r>
    <s v="0569022970-1"/>
    <s v="CRC"/>
    <n v="3"/>
    <n v="1250"/>
    <n v="0"/>
    <n v="69"/>
    <n v="69"/>
    <s v="HRAP"/>
    <d v="2001-08-13T00:00:00"/>
    <d v="2002-03-09T00:00:00"/>
    <d v="2002-03-12T00:00:00"/>
    <d v="2002-03-12T00:00:00"/>
    <d v="2002-03-17T00:00:00"/>
    <d v="2002-04-07T00:00:00"/>
    <s v="OTIF FAIL"/>
    <n v="1"/>
    <s v="1210_FG_HPC"/>
    <x v="7"/>
    <n v="1"/>
    <m/>
  </r>
  <r>
    <s v="0569022969-7"/>
    <s v="CRC"/>
    <n v="2.95"/>
    <n v="1250"/>
    <n v="0"/>
    <n v="31"/>
    <n v="31"/>
    <s v="HRAP"/>
    <d v="2001-08-13T00:00:00"/>
    <d v="2002-03-31T00:00:00"/>
    <s v="-"/>
    <s v="-"/>
    <d v="2002-03-31T00:00:00"/>
    <d v="2002-04-14T00:00:00"/>
    <s v="OTIF FAIL"/>
    <n v="7"/>
    <s v="1210_FG_HPC"/>
    <x v="15"/>
    <n v="1"/>
    <m/>
  </r>
  <r>
    <s v="0569022968-1"/>
    <s v="CST"/>
    <n v="3"/>
    <n v="1250"/>
    <n v="0"/>
    <n v="6"/>
    <n v="6"/>
    <s v="HRAP"/>
    <d v="2001-08-13T00:00:00"/>
    <d v="2002-03-09T00:00:00"/>
    <d v="2002-03-10T00:00:00"/>
    <d v="2002-03-10T00:00:00"/>
    <d v="2002-03-16T00:00:00"/>
    <d v="2002-04-07T00:00:00"/>
    <s v="OTIF FAIL"/>
    <n v="1"/>
    <s v="1210_FG_HPC"/>
    <x v="7"/>
    <n v="1"/>
    <m/>
  </r>
  <r>
    <s v="0569023075-3"/>
    <s v="CST"/>
    <n v="5"/>
    <n v="1250"/>
    <n v="0"/>
    <n v="61"/>
    <n v="61"/>
    <s v="HRAP"/>
    <d v="2001-08-23T00:00:00"/>
    <d v="2002-03-04T00:00:00"/>
    <d v="2002-03-04T00:00:00"/>
    <d v="2002-03-04T00:00:00"/>
    <d v="2002-03-06T00:00:00"/>
    <d v="2002-03-15T00:00:00"/>
    <s v="OTIF PASS"/>
    <n v="3"/>
    <s v="1210_FG_HPC"/>
    <x v="3"/>
    <n v="1"/>
    <m/>
  </r>
  <r>
    <s v="0569022948-1"/>
    <s v="CRC"/>
    <n v="3"/>
    <n v="1250"/>
    <n v="0"/>
    <n v="6"/>
    <n v="6"/>
    <s v="HRAP"/>
    <d v="2001-08-07T00:00:00"/>
    <d v="2002-03-09T00:00:00"/>
    <d v="2002-03-10T00:00:00"/>
    <d v="2002-03-10T00:00:00"/>
    <d v="2002-03-16T00:00:00"/>
    <d v="2002-04-07T00:00:00"/>
    <s v="OTIF FAIL"/>
    <n v="1"/>
    <s v="1210_FG_HPC"/>
    <x v="7"/>
    <n v="1"/>
    <m/>
  </r>
  <r>
    <s v="0569022946-5"/>
    <s v="CST"/>
    <n v="2.5"/>
    <n v="1250"/>
    <n v="0"/>
    <n v="63"/>
    <n v="41.6"/>
    <s v="HRAP"/>
    <d v="2001-08-07T00:00:00"/>
    <d v="2002-03-31T00:00:00"/>
    <d v="2002-04-02T00:00:00"/>
    <d v="2002-04-02T00:00:00"/>
    <d v="2002-03-31T00:00:00"/>
    <d v="2002-04-07T00:00:00"/>
    <s v="OTIF FAIL"/>
    <n v="5"/>
    <s v="1210_FG_HPC"/>
    <x v="7"/>
    <n v="0"/>
    <m/>
  </r>
  <r>
    <s v="0569022945-3"/>
    <s v="CST"/>
    <n v="3"/>
    <n v="1250"/>
    <n v="0"/>
    <n v="14"/>
    <n v="14"/>
    <s v="HRAP"/>
    <d v="2001-08-07T00:00:00"/>
    <d v="2002-03-09T00:00:00"/>
    <d v="2002-03-10T00:00:00"/>
    <d v="2002-03-10T00:00:00"/>
    <d v="2002-03-16T00:00:00"/>
    <d v="2002-04-07T00:00:00"/>
    <s v="OTIF FAIL"/>
    <n v="3"/>
    <s v="1210_FG_HPC"/>
    <x v="7"/>
    <n v="1"/>
    <m/>
  </r>
  <r>
    <s v="0558116275-5"/>
    <s v="HRC"/>
    <n v="2"/>
    <n v="1250"/>
    <n v="0"/>
    <n v="42"/>
    <n v="42"/>
    <s v="HRAP"/>
    <d v="2001-10-25T00:00:00"/>
    <d v="2002-03-15T00:00:00"/>
    <d v="2002-03-15T00:00:00"/>
    <d v="2002-03-15T00:00:00"/>
    <d v="2002-03-15T00:00:00"/>
    <d v="2002-03-19T00:00:00"/>
    <s v="OTIF PASS"/>
    <n v="5"/>
    <s v="1210_FG_HPC"/>
    <x v="0"/>
    <n v="1"/>
    <m/>
  </r>
  <r>
    <s v="0558116276-5"/>
    <s v="HRC"/>
    <n v="2"/>
    <n v="1250"/>
    <n v="0"/>
    <n v="42"/>
    <n v="42"/>
    <s v="HRAP"/>
    <d v="2001-10-25T00:00:00"/>
    <d v="2002-03-15T00:00:00"/>
    <s v="-"/>
    <s v="-"/>
    <d v="2002-03-19T00:00:00"/>
    <d v="2002-03-19T00:00:00"/>
    <s v="OTIF FAIL"/>
    <n v="5"/>
    <s v="1210_FG_HPC"/>
    <x v="0"/>
    <n v="1"/>
    <m/>
  </r>
  <r>
    <s v="0558116254-2"/>
    <s v="HRC"/>
    <n v="2.5"/>
    <n v="650"/>
    <n v="0"/>
    <n v="21"/>
    <n v="21"/>
    <s v="HRAP"/>
    <d v="2001-10-25T00:00:00"/>
    <d v="2002-03-14T00:00:00"/>
    <s v="-"/>
    <s v="-"/>
    <d v="2002-03-14T00:00:00"/>
    <d v="2002-03-14T00:00:00"/>
    <s v="OTIF FAIL"/>
    <n v="2"/>
    <s v="1210_FG_HPC"/>
    <x v="3"/>
    <n v="1"/>
    <m/>
  </r>
  <r>
    <s v="0558116254-3"/>
    <s v="HRC"/>
    <n v="2.5"/>
    <n v="675"/>
    <n v="0"/>
    <n v="24"/>
    <n v="24"/>
    <s v="HRAP"/>
    <d v="2001-10-25T00:00:00"/>
    <d v="2002-03-14T00:00:00"/>
    <s v="-"/>
    <s v="-"/>
    <d v="2002-03-14T00:00:00"/>
    <d v="2002-03-14T00:00:00"/>
    <s v="OTIF FAIL"/>
    <n v="3"/>
    <s v="1210_FG_HPC"/>
    <x v="3"/>
    <n v="1"/>
    <m/>
  </r>
  <r>
    <s v="0558116254-1"/>
    <s v="CST"/>
    <n v="2.5"/>
    <n v="600"/>
    <n v="0"/>
    <n v="21"/>
    <n v="21"/>
    <s v="HRAP"/>
    <d v="2001-10-25T00:00:00"/>
    <d v="2002-03-14T00:00:00"/>
    <s v="-"/>
    <s v="-"/>
    <d v="2002-03-14T00:00:00"/>
    <d v="2002-03-14T00:00:00"/>
    <s v="OTIF FAIL"/>
    <n v="1"/>
    <s v="1210_FG_HPC"/>
    <x v="3"/>
    <n v="1"/>
    <m/>
  </r>
  <r>
    <s v="0558116253-1"/>
    <s v="CST"/>
    <n v="2.5"/>
    <n v="600"/>
    <n v="0"/>
    <n v="21"/>
    <n v="21"/>
    <s v="HRAP"/>
    <d v="2001-10-25T00:00:00"/>
    <d v="2002-03-14T00:00:00"/>
    <s v="-"/>
    <s v="-"/>
    <d v="2002-03-14T00:00:00"/>
    <d v="2002-03-14T00:00:00"/>
    <s v="OTIF FAIL"/>
    <n v="1"/>
    <s v="1210_FG_HPC"/>
    <x v="3"/>
    <n v="1"/>
    <m/>
  </r>
  <r>
    <s v="0558116253-2"/>
    <s v="HPC"/>
    <n v="2.5"/>
    <n v="650"/>
    <n v="0"/>
    <n v="21"/>
    <n v="21"/>
    <s v="HRAP"/>
    <d v="2001-10-25T00:00:00"/>
    <d v="2002-03-14T00:00:00"/>
    <s v="-"/>
    <s v="-"/>
    <d v="2002-03-14T00:00:00"/>
    <d v="2002-03-14T00:00:00"/>
    <s v="OTIF FAIL"/>
    <n v="2"/>
    <s v="1210_FG_HPC"/>
    <x v="3"/>
    <n v="1"/>
    <m/>
  </r>
  <r>
    <s v="0558116253-4"/>
    <s v="CRC"/>
    <n v="2.5"/>
    <n v="580"/>
    <n v="0"/>
    <n v="18"/>
    <n v="18"/>
    <s v="HRAP"/>
    <d v="2001-10-25T00:00:00"/>
    <d v="2002-03-14T00:00:00"/>
    <s v="-"/>
    <s v="-"/>
    <d v="2002-03-14T00:00:00"/>
    <d v="2002-03-14T00:00:00"/>
    <s v="OTIF FAIL"/>
    <n v="4"/>
    <s v="1210_FG_HPC"/>
    <x v="3"/>
    <n v="1"/>
    <m/>
  </r>
  <r>
    <s v="0558116274-5"/>
    <s v="CRC"/>
    <n v="2"/>
    <n v="1250"/>
    <n v="0"/>
    <n v="42"/>
    <n v="42"/>
    <s v="HRAP"/>
    <d v="2001-10-25T00:00:00"/>
    <d v="2002-03-14T00:00:00"/>
    <d v="2002-03-14T00:00:00"/>
    <d v="2002-03-14T00:00:00"/>
    <d v="2002-03-14T00:00:00"/>
    <d v="2002-03-19T00:00:00"/>
    <s v="OTIF PASS"/>
    <n v="5"/>
    <s v="1210_FG_HPC"/>
    <x v="0"/>
    <n v="1"/>
    <m/>
  </r>
  <r>
    <s v="0558116288-10"/>
    <s v="HRC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09073-1"/>
    <s v="CST"/>
    <n v="5"/>
    <n v="1250"/>
    <n v="0"/>
    <n v="18"/>
    <n v="18"/>
    <s v="HRAP"/>
    <d v="2001-09-25T00:00:00"/>
    <d v="2002-02-25T00:00:00"/>
    <d v="2002-02-28T00:00:00"/>
    <d v="2002-02-28T00:00:00"/>
    <d v="2002-03-04T00:00:00"/>
    <d v="2002-03-04T00:00:00"/>
    <s v="OTIF FAIL"/>
    <n v="1"/>
    <s v="1210_FG_HPC"/>
    <x v="1"/>
    <n v="1"/>
    <m/>
  </r>
  <r>
    <s v="0558116288-11"/>
    <s v="HRC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6289-13"/>
    <s v="CST"/>
    <n v="2"/>
    <n v="605"/>
    <n v="0"/>
    <n v="20"/>
    <n v="20"/>
    <s v="HRAP"/>
    <d v="2001-10-28T00:00:00"/>
    <d v="2002-03-16T00:00:00"/>
    <s v="-"/>
    <s v="-"/>
    <d v="2002-03-20T00:00:00"/>
    <d v="2002-03-20T00:00:00"/>
    <s v="OTIF FAIL"/>
    <n v="13"/>
    <s v="1210_FG_HPC"/>
    <x v="0"/>
    <n v="1"/>
    <m/>
  </r>
  <r>
    <s v="0558116289-11"/>
    <s v="HRC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6289-10"/>
    <s v="HRC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13405-4"/>
    <s v="CST"/>
    <n v="4"/>
    <n v="358"/>
    <n v="0"/>
    <n v="5"/>
    <n v="5"/>
    <s v="HRAP"/>
    <d v="2001-08-02T00:00:00"/>
    <d v="2002-03-04T00:00:00"/>
    <d v="2002-03-09T00:00:00"/>
    <d v="2002-03-09T00:00:00"/>
    <d v="2002-03-08T00:00:00"/>
    <d v="2002-03-08T00:00:00"/>
    <s v="OTIF FAIL"/>
    <n v="4"/>
    <s v="1210_FG_HPC"/>
    <x v="1"/>
    <n v="1"/>
    <m/>
  </r>
  <r>
    <s v="0558116290-14"/>
    <s v="PSS"/>
    <n v="2"/>
    <n v="650"/>
    <n v="0"/>
    <n v="20"/>
    <n v="20"/>
    <s v="HRAP"/>
    <d v="2001-10-28T00:00:00"/>
    <d v="2002-03-16T00:00:00"/>
    <s v="-"/>
    <s v="-"/>
    <d v="2002-03-20T00:00:00"/>
    <d v="2002-03-20T00:00:00"/>
    <s v="OTIF FAIL"/>
    <n v="14"/>
    <s v="1210_FG_HPC"/>
    <x v="0"/>
    <n v="1"/>
    <m/>
  </r>
  <r>
    <s v="0558116290-10"/>
    <s v="CST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16290-11"/>
    <s v="HRC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6291-13"/>
    <s v="HRC"/>
    <n v="2"/>
    <n v="605"/>
    <n v="0"/>
    <n v="20"/>
    <n v="20"/>
    <s v="HRAP"/>
    <d v="2001-10-28T00:00:00"/>
    <d v="2002-03-16T00:00:00"/>
    <s v="-"/>
    <s v="-"/>
    <d v="2002-03-20T00:00:00"/>
    <d v="2002-03-20T00:00:00"/>
    <s v="OTIF FAIL"/>
    <n v="13"/>
    <s v="1210_FG_HPC"/>
    <x v="0"/>
    <n v="1"/>
    <m/>
  </r>
  <r>
    <s v="0558116292-4"/>
    <s v="HRC"/>
    <n v="2"/>
    <n v="510"/>
    <n v="0"/>
    <n v="9"/>
    <n v="9"/>
    <s v="HRAP"/>
    <d v="2001-10-28T00:00:00"/>
    <d v="2002-03-16T00:00:00"/>
    <s v="-"/>
    <s v="-"/>
    <d v="2002-03-20T00:00:00"/>
    <d v="2002-03-20T00:00:00"/>
    <s v="OTIF FAIL"/>
    <n v="4"/>
    <s v="1210_FG_HPC"/>
    <x v="0"/>
    <n v="1"/>
    <m/>
  </r>
  <r>
    <s v="0558116310-8"/>
    <s v="CST"/>
    <n v="2"/>
    <n v="590"/>
    <n v="0"/>
    <n v="20"/>
    <n v="20"/>
    <s v="HRAP"/>
    <d v="2001-11-06T00:00:00"/>
    <d v="2002-03-20T00:00:00"/>
    <d v="2002-04-07T00:00:00"/>
    <d v="2002-04-07T00:00:00"/>
    <d v="2002-04-07T00:00:00"/>
    <d v="2002-04-14T00:00:00"/>
    <s v="OTIF FAIL"/>
    <n v="8"/>
    <s v="1210_FG_HPC"/>
    <x v="15"/>
    <n v="1"/>
    <m/>
  </r>
  <r>
    <s v="0558116310-3"/>
    <s v="CST"/>
    <n v="2.2999999999999998"/>
    <n v="640"/>
    <n v="0"/>
    <n v="20"/>
    <n v="20"/>
    <s v="HRAP"/>
    <d v="2001-11-06T00:00:00"/>
    <d v="2002-03-19T00:00:00"/>
    <d v="2002-03-24T00:00:00"/>
    <d v="2002-03-24T00:00:00"/>
    <d v="2002-03-24T00:00:00"/>
    <d v="2002-03-24T00:00:00"/>
    <s v="OTIF FAIL"/>
    <n v="3"/>
    <s v="1210_FG_HPC"/>
    <x v="9"/>
    <n v="1"/>
    <m/>
  </r>
  <r>
    <s v="0558116310-4"/>
    <s v="HRC"/>
    <n v="2.2999999999999998"/>
    <n v="535"/>
    <n v="0"/>
    <n v="26"/>
    <n v="26"/>
    <s v="HRAP"/>
    <d v="2001-11-06T00:00:00"/>
    <d v="2002-03-19T00:00:00"/>
    <d v="2002-03-24T00:00:00"/>
    <d v="2002-03-24T00:00:00"/>
    <d v="2002-03-24T00:00:00"/>
    <d v="2002-03-24T00:00:00"/>
    <s v="OTIF FAIL"/>
    <n v="4"/>
    <s v="1210_FG_HPC"/>
    <x v="9"/>
    <n v="1"/>
    <m/>
  </r>
  <r>
    <s v="0558116310-7"/>
    <s v="CRC"/>
    <n v="2"/>
    <n v="535"/>
    <n v="0"/>
    <n v="9"/>
    <n v="9"/>
    <s v="HRAP"/>
    <d v="2001-11-06T00:00:00"/>
    <d v="2002-03-20T00:00:00"/>
    <d v="2002-04-07T00:00:00"/>
    <d v="2002-04-07T00:00:00"/>
    <d v="2002-04-07T00:00:00"/>
    <d v="2002-04-07T00:00:00"/>
    <s v="OTIF FAIL"/>
    <n v="7"/>
    <s v="1210_FG_HPC"/>
    <x v="7"/>
    <n v="1"/>
    <m/>
  </r>
  <r>
    <s v="0558116310-20"/>
    <s v="HRC"/>
    <n v="2"/>
    <n v="555"/>
    <n v="0"/>
    <n v="27"/>
    <n v="27"/>
    <s v="HRAP"/>
    <d v="2001-11-06T00:00:00"/>
    <d v="2002-02-21T00:00:00"/>
    <d v="2002-03-28T00:00:00"/>
    <d v="2002-03-28T00:00:00"/>
    <d v="2002-03-21T00:00:00"/>
    <d v="2002-04-14T00:00:00"/>
    <s v="OTIF FAIL"/>
    <n v="20"/>
    <s v="1210_FG_HPC"/>
    <x v="15"/>
    <n v="1"/>
    <m/>
  </r>
  <r>
    <s v="0558113853-1"/>
    <s v="CST"/>
    <n v="4"/>
    <n v="1250"/>
    <n v="0"/>
    <n v="18"/>
    <n v="18"/>
    <s v="HRAP"/>
    <d v="2001-08-22T00:00:00"/>
    <d v="2002-03-06T00:00:00"/>
    <d v="2002-03-22T00:00:00"/>
    <d v="2002-03-22T00:00:00"/>
    <d v="2002-01-25T00:00:00"/>
    <d v="2002-01-25T00:00:00"/>
    <s v="OTIF FAIL"/>
    <n v="1"/>
    <s v="1210_FG_HPC"/>
    <x v="8"/>
    <n v="1"/>
    <m/>
  </r>
  <r>
    <s v="0558116295-8"/>
    <s v="HRC"/>
    <n v="2"/>
    <n v="535"/>
    <n v="0"/>
    <n v="24"/>
    <n v="24"/>
    <s v="HRAP"/>
    <d v="2001-10-28T00:00:00"/>
    <d v="2002-03-16T00:00:00"/>
    <s v="-"/>
    <s v="-"/>
    <d v="2002-03-20T00:00:00"/>
    <d v="2002-03-20T00:00:00"/>
    <s v="OTIF FAIL"/>
    <n v="8"/>
    <s v="1210_FG_HPC"/>
    <x v="0"/>
    <n v="1"/>
    <m/>
  </r>
  <r>
    <s v="0558116235-4"/>
    <s v="CST"/>
    <n v="2.5"/>
    <n v="425"/>
    <n v="0"/>
    <n v="14"/>
    <n v="14"/>
    <s v="HRAP"/>
    <d v="2001-11-04T00:00:00"/>
    <d v="2002-03-12T00:00:00"/>
    <d v="2002-03-16T00:00:00"/>
    <d v="2002-03-16T00:00:00"/>
    <d v="2002-03-16T00:00:00"/>
    <d v="2002-03-16T00:00:00"/>
    <s v="OTIF FAIL"/>
    <n v="4"/>
    <s v="1210_FG_HPC"/>
    <x v="3"/>
    <n v="1"/>
    <m/>
  </r>
  <r>
    <s v="0558116297-10"/>
    <s v="PSS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16297-11"/>
    <s v="CST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4526-3"/>
    <s v="CST"/>
    <n v="2.5"/>
    <n v="1250"/>
    <n v="0"/>
    <n v="20"/>
    <n v="20"/>
    <s v="HRAP"/>
    <d v="2001-08-22T00:00:00"/>
    <d v="2002-02-23T00:00:00"/>
    <d v="2002-02-24T00:00:00"/>
    <d v="2002-02-24T00:00:00"/>
    <d v="2002-03-02T00:00:00"/>
    <d v="2002-03-02T00:00:00"/>
    <s v="OTIF FAIL"/>
    <n v="3"/>
    <s v="1210_FG_HPC"/>
    <x v="5"/>
    <n v="1"/>
    <m/>
  </r>
  <r>
    <s v="0569023019-1"/>
    <s v="HPC"/>
    <n v="3"/>
    <n v="625"/>
    <n v="0"/>
    <n v="31"/>
    <n v="20.472000000000001"/>
    <s v="HRAP"/>
    <d v="2001-08-19T00:00:00"/>
    <d v="2002-03-31T00:00:00"/>
    <d v="2002-04-29T00:00:00"/>
    <d v="2002-04-29T00:00:00"/>
    <d v="2002-03-31T00:00:00"/>
    <d v="2002-05-05T00:00:00"/>
    <s v="OTIF FAIL"/>
    <n v="1"/>
    <s v="1210_FG_HPC"/>
    <x v="19"/>
    <n v="0"/>
    <m/>
  </r>
  <r>
    <s v="0558116310-9"/>
    <s v="CST"/>
    <n v="2"/>
    <n v="625"/>
    <n v="0"/>
    <n v="20"/>
    <n v="20"/>
    <s v="HRAP"/>
    <d v="2001-11-06T00:00:00"/>
    <d v="2002-03-20T00:00:00"/>
    <s v="-"/>
    <s v="-"/>
    <d v="2002-05-11T00:00:00"/>
    <d v="2002-05-11T00:00:00"/>
    <s v="OTIF FAIL"/>
    <n v="9"/>
    <s v="1210_FG_HPC"/>
    <x v="19"/>
    <n v="1"/>
    <m/>
  </r>
  <r>
    <s v="0569023019-4"/>
    <s v="HRC"/>
    <n v="3"/>
    <n v="1250"/>
    <n v="0"/>
    <n v="115"/>
    <n v="115"/>
    <s v="HRAP"/>
    <d v="2001-08-19T00:00:00"/>
    <d v="2002-03-31T00:00:00"/>
    <d v="2002-03-31T00:00:00"/>
    <d v="2002-03-31T00:00:00"/>
    <d v="2002-03-31T00:00:00"/>
    <d v="2002-03-31T00:00:00"/>
    <s v="OTIF PASS"/>
    <n v="4"/>
    <s v="1210_FG_HPC"/>
    <x v="6"/>
    <n v="1"/>
    <m/>
  </r>
  <r>
    <s v="0558116298-11"/>
    <s v="CRC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6311-1"/>
    <s v="CST"/>
    <n v="2.2999999999999998"/>
    <n v="625"/>
    <n v="0"/>
    <n v="20"/>
    <n v="20"/>
    <s v="HRAP"/>
    <d v="2001-11-04T00:00:00"/>
    <d v="2002-03-20T00:00:00"/>
    <d v="2002-03-30T00:00:00"/>
    <d v="2002-03-30T00:00:00"/>
    <d v="2002-03-30T00:00:00"/>
    <d v="2002-03-30T00:00:00"/>
    <s v="OTIF FAIL"/>
    <n v="1"/>
    <s v="1210_FG_HPC"/>
    <x v="9"/>
    <n v="1"/>
    <m/>
  </r>
  <r>
    <s v="0558116003-1"/>
    <s v="CST"/>
    <n v="2.5"/>
    <n v="423"/>
    <n v="0"/>
    <n v="56"/>
    <n v="56"/>
    <s v="HRAP"/>
    <d v="2001-08-31T00:00:00"/>
    <d v="2002-03-11T00:00:00"/>
    <d v="2002-03-10T00:00:00"/>
    <d v="2002-03-11T00:00:00"/>
    <d v="2002-03-11T00:00:00"/>
    <d v="2002-03-11T00:00:00"/>
    <s v="OTIF PASS"/>
    <n v="1"/>
    <s v="1210_FG_HPC"/>
    <x v="3"/>
    <n v="1"/>
    <m/>
  </r>
  <r>
    <s v="0558116003-2"/>
    <s v="CST"/>
    <n v="2.5"/>
    <n v="408"/>
    <n v="0"/>
    <n v="28"/>
    <n v="28"/>
    <s v="HRAP"/>
    <d v="2001-08-31T00:00:00"/>
    <d v="2002-03-11T00:00:00"/>
    <d v="2002-03-11T00:00:00"/>
    <d v="2002-03-11T00:00:00"/>
    <d v="2002-03-11T00:00:00"/>
    <d v="2002-03-11T00:00:00"/>
    <s v="OTIF PASS"/>
    <n v="2"/>
    <s v="1210_FG_HPC"/>
    <x v="3"/>
    <n v="1"/>
    <m/>
  </r>
  <r>
    <s v="0558116311-13"/>
    <s v="HRC"/>
    <n v="2"/>
    <n v="650"/>
    <n v="0"/>
    <n v="20"/>
    <n v="20"/>
    <s v="HRAP"/>
    <d v="2001-11-04T00:00:00"/>
    <d v="2002-03-20T00:00:00"/>
    <d v="2002-04-07T00:00:00"/>
    <d v="2002-04-07T00:00:00"/>
    <d v="2002-03-31T00:00:00"/>
    <d v="2002-03-31T00:00:00"/>
    <s v="OTIF FAIL"/>
    <n v="13"/>
    <s v="1210_FG_HPC"/>
    <x v="6"/>
    <n v="1"/>
    <m/>
  </r>
  <r>
    <s v="0558116311-10"/>
    <s v="CST"/>
    <n v="2"/>
    <n v="610"/>
    <n v="0"/>
    <n v="20"/>
    <n v="20"/>
    <s v="HRAP"/>
    <d v="2001-11-04T00:00:00"/>
    <d v="2002-03-20T00:00:00"/>
    <d v="2002-03-25T00:00:00"/>
    <d v="2002-03-25T00:00:00"/>
    <d v="2002-03-24T00:00:00"/>
    <d v="2002-03-30T00:00:00"/>
    <s v="OTIF FAIL"/>
    <n v="10"/>
    <s v="1210_FG_HPC"/>
    <x v="9"/>
    <n v="1"/>
    <m/>
  </r>
  <r>
    <s v="0558116298-10"/>
    <s v="CST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16299-11"/>
    <s v="HRC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69023180-5"/>
    <s v="HRC"/>
    <n v="2.5"/>
    <n v="1250"/>
    <n v="0"/>
    <n v="16"/>
    <n v="16"/>
    <s v="HRAP"/>
    <d v="2001-08-30T00:00:00"/>
    <d v="2002-03-04T00:00:00"/>
    <d v="2002-03-04T00:00:00"/>
    <d v="2002-03-04T00:00:00"/>
    <d v="2002-03-07T00:00:00"/>
    <d v="2002-03-09T00:00:00"/>
    <s v="OTIF PASS"/>
    <n v="5"/>
    <s v="1210_FG_HPC"/>
    <x v="1"/>
    <n v="1"/>
    <m/>
  </r>
  <r>
    <s v="0558116299-10"/>
    <s v="CRC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16235-3"/>
    <s v="CST"/>
    <n v="2.5"/>
    <n v="400"/>
    <n v="0"/>
    <n v="6"/>
    <n v="6"/>
    <s v="HRAP"/>
    <d v="2001-11-04T00:00:00"/>
    <d v="2002-03-12T00:00:00"/>
    <d v="2002-03-16T00:00:00"/>
    <d v="2002-03-16T00:00:00"/>
    <d v="2002-03-16T00:00:00"/>
    <d v="2002-03-16T00:00:00"/>
    <s v="OTIF FAIL"/>
    <n v="3"/>
    <s v="1210_FG_HPC"/>
    <x v="3"/>
    <n v="1"/>
    <m/>
  </r>
  <r>
    <s v="0569023123-4"/>
    <s v="HRC"/>
    <n v="2.8"/>
    <n v="1250"/>
    <n v="0"/>
    <n v="20"/>
    <n v="20"/>
    <s v="HRAP"/>
    <d v="2001-08-27T00:00:00"/>
    <d v="2002-03-31T00:00:00"/>
    <d v="2002-04-07T00:00:00"/>
    <d v="2002-04-07T00:00:00"/>
    <d v="2002-04-07T00:00:00"/>
    <d v="2002-04-07T00:00:00"/>
    <s v="OTIF FAIL"/>
    <n v="4"/>
    <s v="1210_FG_HPC"/>
    <x v="7"/>
    <n v="1"/>
    <m/>
  </r>
  <r>
    <s v="0569023177-4"/>
    <s v="HRC"/>
    <n v="3"/>
    <n v="1250"/>
    <n v="0"/>
    <n v="11"/>
    <n v="11"/>
    <s v="HRAP"/>
    <d v="2001-08-30T00:00:00"/>
    <d v="2002-03-31T00:00:00"/>
    <d v="2002-03-31T00:00:00"/>
    <d v="2002-03-31T00:00:00"/>
    <d v="2002-03-31T00:00:00"/>
    <d v="2002-03-31T00:00:00"/>
    <s v="OTIF PASS"/>
    <n v="4"/>
    <s v="1210_FG_HPC"/>
    <x v="6"/>
    <n v="1"/>
    <m/>
  </r>
  <r>
    <s v="0569023075-2"/>
    <s v="CRC"/>
    <n v="4"/>
    <n v="1250"/>
    <n v="0"/>
    <n v="42"/>
    <n v="42"/>
    <s v="HRAP"/>
    <d v="2001-08-23T00:00:00"/>
    <d v="2002-03-04T00:00:00"/>
    <d v="2002-03-06T00:00:00"/>
    <d v="2002-03-06T00:00:00"/>
    <d v="2002-03-09T00:00:00"/>
    <d v="2002-03-17T00:00:00"/>
    <s v="OTIF FAIL"/>
    <n v="2"/>
    <s v="1210_FG_HPC"/>
    <x v="0"/>
    <n v="1"/>
    <m/>
  </r>
  <r>
    <s v="0558116311-15"/>
    <s v="CRC"/>
    <n v="2"/>
    <n v="505"/>
    <n v="0"/>
    <n v="24"/>
    <n v="24"/>
    <s v="HRAP"/>
    <d v="2001-11-04T00:00:00"/>
    <d v="2002-03-21T00:00:00"/>
    <d v="2002-04-13T00:00:00"/>
    <d v="2002-04-13T00:00:00"/>
    <d v="2002-04-07T00:00:00"/>
    <d v="2002-04-14T00:00:00"/>
    <s v="OTIF FAIL"/>
    <n v="15"/>
    <s v="1210_FG_HPC"/>
    <x v="15"/>
    <n v="1"/>
    <m/>
  </r>
  <r>
    <s v="0558116311-11"/>
    <s v="CST"/>
    <n v="2"/>
    <n v="640"/>
    <n v="0"/>
    <n v="20"/>
    <n v="20"/>
    <s v="HRAP"/>
    <d v="2001-11-04T00:00:00"/>
    <d v="2002-03-20T00:00:00"/>
    <d v="2002-04-07T00:00:00"/>
    <d v="2002-04-07T00:00:00"/>
    <d v="2002-03-31T00:00:00"/>
    <d v="2002-03-31T00:00:00"/>
    <s v="OTIF FAIL"/>
    <n v="11"/>
    <s v="1210_FG_HPC"/>
    <x v="6"/>
    <n v="1"/>
    <m/>
  </r>
  <r>
    <s v="0558116311-14"/>
    <s v="CST"/>
    <n v="2"/>
    <n v="600"/>
    <n v="0"/>
    <n v="30"/>
    <n v="30"/>
    <s v="HRAP"/>
    <d v="2001-11-04T00:00:00"/>
    <d v="2002-03-21T00:00:00"/>
    <d v="2002-04-13T00:00:00"/>
    <d v="2002-04-13T00:00:00"/>
    <d v="2002-04-07T00:00:00"/>
    <d v="2002-04-14T00:00:00"/>
    <s v="OTIF FAIL"/>
    <n v="14"/>
    <s v="1210_FG_HPC"/>
    <x v="15"/>
    <n v="1"/>
    <m/>
  </r>
  <r>
    <s v="0558114769-1"/>
    <s v="CST"/>
    <n v="2.5"/>
    <n v="540"/>
    <n v="0"/>
    <n v="9"/>
    <n v="9"/>
    <s v="HRAP"/>
    <d v="2001-08-23T00:00:00"/>
    <d v="2002-03-30T00:00:00"/>
    <d v="2002-04-01T00:00:00"/>
    <d v="2002-04-01T00:00:00"/>
    <d v="2002-03-30T00:00:00"/>
    <d v="2002-03-30T00:00:00"/>
    <s v="OTIF FAIL"/>
    <n v="1"/>
    <s v="1210_FG_HPC"/>
    <x v="9"/>
    <n v="1"/>
    <m/>
  </r>
  <r>
    <s v="0558114769-2"/>
    <s v="HRC"/>
    <n v="2.5"/>
    <n v="710"/>
    <n v="0"/>
    <n v="11"/>
    <n v="11"/>
    <s v="HRAP"/>
    <d v="2001-08-23T00:00:00"/>
    <d v="2002-03-30T00:00:00"/>
    <d v="2002-04-01T00:00:00"/>
    <d v="2002-04-01T00:00:00"/>
    <d v="2002-03-30T00:00:00"/>
    <d v="2002-03-30T00:00:00"/>
    <s v="OTIF FAIL"/>
    <n v="2"/>
    <s v="1210_FG_HPC"/>
    <x v="9"/>
    <n v="1"/>
    <m/>
  </r>
  <r>
    <s v="0569023072-3"/>
    <s v="HRC"/>
    <n v="4"/>
    <n v="1250"/>
    <n v="0"/>
    <n v="19"/>
    <n v="19"/>
    <s v="HRAP"/>
    <d v="2001-08-23T00:00:00"/>
    <d v="2002-03-04T00:00:00"/>
    <d v="2002-03-04T00:00:00"/>
    <d v="2002-03-04T00:00:00"/>
    <d v="2002-03-05T00:00:00"/>
    <d v="2002-03-17T00:00:00"/>
    <s v="OTIF PASS"/>
    <n v="3"/>
    <s v="1210_FG_HPC"/>
    <x v="0"/>
    <n v="1"/>
    <m/>
  </r>
  <r>
    <s v="0569022633-2"/>
    <s v="CST"/>
    <n v="4"/>
    <n v="1250"/>
    <n v="0"/>
    <n v="18"/>
    <n v="18"/>
    <s v="HRAP"/>
    <d v="2001-09-25T00:00:00"/>
    <d v="2002-03-10T00:00:00"/>
    <d v="2002-03-12T00:00:00"/>
    <d v="2002-03-12T00:00:00"/>
    <d v="2002-03-16T00:00:00"/>
    <d v="2002-03-17T00:00:00"/>
    <s v="OTIF FAIL"/>
    <n v="2"/>
    <s v="1210_FG_HPC"/>
    <x v="0"/>
    <n v="1"/>
    <m/>
  </r>
  <r>
    <s v="0569023072-4"/>
    <s v="HRC"/>
    <n v="5"/>
    <n v="1250"/>
    <n v="0"/>
    <n v="24"/>
    <n v="24"/>
    <s v="HRAP"/>
    <d v="2001-08-23T00:00:00"/>
    <d v="2002-03-04T00:00:00"/>
    <d v="2002-03-06T00:00:00"/>
    <d v="2002-03-06T00:00:00"/>
    <d v="2002-03-11T00:00:00"/>
    <d v="2002-03-15T00:00:00"/>
    <s v="OTIF FAIL"/>
    <n v="4"/>
    <s v="1210_FG_HPC"/>
    <x v="3"/>
    <n v="1"/>
    <m/>
  </r>
  <r>
    <s v="0569023022-1"/>
    <s v="HPC"/>
    <n v="3"/>
    <n v="1250"/>
    <n v="0"/>
    <n v="28"/>
    <n v="28"/>
    <s v="HRAP"/>
    <d v="2001-08-19T00:00:00"/>
    <d v="2002-03-04T00:00:00"/>
    <d v="2002-03-05T00:00:00"/>
    <d v="2002-03-05T00:00:00"/>
    <d v="2002-03-08T00:00:00"/>
    <d v="2002-04-07T00:00:00"/>
    <s v="OTIF FAIL"/>
    <n v="1"/>
    <s v="1210_FG_HPC"/>
    <x v="7"/>
    <n v="1"/>
    <m/>
  </r>
  <r>
    <s v="0558116301-11"/>
    <s v="HRC"/>
    <n v="2"/>
    <n v="555"/>
    <n v="0"/>
    <n v="8.5"/>
    <n v="8.5"/>
    <s v="HRAP"/>
    <d v="2001-10-28T00:00:00"/>
    <d v="2002-03-17T00:00:00"/>
    <d v="2002-03-24T00:00:00"/>
    <d v="2002-03-24T00:00:00"/>
    <d v="2002-03-24T00:00:00"/>
    <d v="2002-03-24T00:00:00"/>
    <s v="OTIF FAIL"/>
    <n v="11"/>
    <s v="1210_FG_HPC"/>
    <x v="9"/>
    <n v="1"/>
    <m/>
  </r>
  <r>
    <s v="0569023180-1"/>
    <s v="CRC"/>
    <n v="3"/>
    <n v="1250"/>
    <n v="0"/>
    <n v="73"/>
    <n v="73"/>
    <s v="HRAP"/>
    <d v="2001-08-30T00:00:00"/>
    <d v="2002-03-04T00:00:00"/>
    <d v="2002-03-05T00:00:00"/>
    <d v="2002-03-05T00:00:00"/>
    <d v="2002-03-07T00:00:00"/>
    <d v="2002-04-07T00:00:00"/>
    <s v="OTIF FAIL"/>
    <n v="1"/>
    <s v="1210_FG_HPC"/>
    <x v="7"/>
    <n v="1"/>
    <m/>
  </r>
  <r>
    <s v="0569023022-4"/>
    <s v="CST"/>
    <n v="6"/>
    <n v="1250"/>
    <n v="0"/>
    <n v="71"/>
    <n v="71"/>
    <s v="HRAP"/>
    <d v="2001-08-19T00:00:00"/>
    <d v="2002-03-04T00:00:00"/>
    <d v="2002-03-05T00:00:00"/>
    <d v="2002-03-05T00:00:00"/>
    <d v="2002-03-07T00:00:00"/>
    <d v="2002-03-16T00:00:00"/>
    <s v="OTIF FAIL"/>
    <n v="4"/>
    <s v="1210_FG_HPC"/>
    <x v="3"/>
    <n v="1"/>
    <m/>
  </r>
  <r>
    <s v="0569023176-2"/>
    <s v="CRC"/>
    <n v="4"/>
    <n v="1250"/>
    <n v="0"/>
    <n v="12"/>
    <n v="12"/>
    <s v="HRAP"/>
    <d v="2001-08-30T00:00:00"/>
    <d v="2002-03-04T00:00:00"/>
    <d v="2002-03-06T00:00:00"/>
    <d v="2002-03-06T00:00:00"/>
    <d v="2002-03-09T00:00:00"/>
    <d v="2002-03-17T00:00:00"/>
    <s v="OTIF FAIL"/>
    <n v="2"/>
    <s v="1210_FG_HPC"/>
    <x v="0"/>
    <n v="1"/>
    <m/>
  </r>
  <r>
    <s v="0558114769-9"/>
    <s v="CST"/>
    <n v="3"/>
    <n v="1000"/>
    <n v="0"/>
    <n v="8"/>
    <n v="8"/>
    <s v="HRAP"/>
    <d v="2001-08-23T00:00:00"/>
    <d v="2002-02-26T00:00:00"/>
    <d v="2002-03-04T00:00:00"/>
    <d v="2002-03-04T00:00:00"/>
    <d v="2002-03-05T00:00:00"/>
    <d v="2002-03-05T00:00:00"/>
    <s v="OTIF FAIL"/>
    <n v="9"/>
    <s v="1210_FG_HPC"/>
    <x v="1"/>
    <n v="1"/>
    <m/>
  </r>
  <r>
    <s v="0558116276-4"/>
    <s v="HRC"/>
    <n v="2"/>
    <n v="1100"/>
    <n v="0"/>
    <n v="105"/>
    <n v="105"/>
    <s v="HRAP"/>
    <d v="2001-10-25T00:00:00"/>
    <d v="2002-03-15T00:00:00"/>
    <d v="2002-03-15T00:00:00"/>
    <d v="2002-03-15T00:00:00"/>
    <d v="2002-03-15T00:00:00"/>
    <d v="2002-03-15T00:00:00"/>
    <s v="OTIF PASS"/>
    <n v="4"/>
    <s v="1210_FG_HPC"/>
    <x v="3"/>
    <n v="1"/>
    <m/>
  </r>
  <r>
    <s v="0558116301-10"/>
    <s v="CRC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69023075-1"/>
    <s v="CRC"/>
    <n v="3"/>
    <n v="1250"/>
    <n v="0"/>
    <n v="40"/>
    <n v="40"/>
    <s v="HRAP"/>
    <d v="2001-08-23T00:00:00"/>
    <d v="2002-03-04T00:00:00"/>
    <d v="2002-03-06T00:00:00"/>
    <d v="2002-03-06T00:00:00"/>
    <d v="2002-03-10T00:00:00"/>
    <d v="2002-04-07T00:00:00"/>
    <s v="OTIF FAIL"/>
    <n v="1"/>
    <s v="1210_FG_HPC"/>
    <x v="7"/>
    <n v="1"/>
    <m/>
  </r>
  <r>
    <s v="0569023022-3"/>
    <s v="CRC"/>
    <n v="5"/>
    <n v="1250"/>
    <n v="0"/>
    <n v="48"/>
    <n v="37.799999999999997"/>
    <s v="HRAP"/>
    <d v="2001-08-19T00:00:00"/>
    <d v="2002-03-04T00:00:00"/>
    <d v="2002-03-03T00:00:00"/>
    <d v="2002-03-04T00:00:00"/>
    <d v="2002-03-06T00:00:00"/>
    <d v="2002-03-15T00:00:00"/>
    <s v="OTIF PASS"/>
    <n v="3"/>
    <s v="1210_FG_HPC"/>
    <x v="3"/>
    <n v="0"/>
    <m/>
  </r>
  <r>
    <s v="0558116311-12"/>
    <s v="CST"/>
    <n v="2"/>
    <n v="600"/>
    <n v="0"/>
    <n v="20"/>
    <n v="20"/>
    <s v="HRAP"/>
    <d v="2001-11-04T00:00:00"/>
    <d v="2002-03-20T00:00:00"/>
    <d v="2002-03-25T00:00:00"/>
    <d v="2002-03-25T00:00:00"/>
    <d v="2002-03-24T00:00:00"/>
    <d v="2002-04-14T00:00:00"/>
    <s v="OTIF FAIL"/>
    <n v="12"/>
    <s v="1210_FG_HPC"/>
    <x v="15"/>
    <n v="1"/>
    <m/>
  </r>
  <r>
    <s v="0569022350-3"/>
    <s v="CRC"/>
    <n v="3"/>
    <n v="1250"/>
    <n v="0"/>
    <n v="61"/>
    <n v="27.754999999999999"/>
    <s v="HRAP"/>
    <d v="2001-09-25T00:00:00"/>
    <d v="2002-03-10T00:00:00"/>
    <d v="2002-03-10T00:00:00"/>
    <d v="2002-03-10T00:00:00"/>
    <d v="2002-03-16T00:00:00"/>
    <d v="2002-04-07T00:00:00"/>
    <s v="OTIF PASS"/>
    <n v="3"/>
    <s v="1210_FG_HPC"/>
    <x v="7"/>
    <n v="0"/>
    <m/>
  </r>
  <r>
    <s v="0558116001-2"/>
    <s v="HRC"/>
    <n v="2"/>
    <n v="630"/>
    <n v="0"/>
    <n v="70"/>
    <n v="70"/>
    <s v="HRAP"/>
    <d v="2001-08-31T00:00:00"/>
    <d v="2002-03-05T00:00:00"/>
    <d v="2002-03-10T00:00:00"/>
    <d v="2002-03-10T00:00:00"/>
    <d v="2002-03-07T00:00:00"/>
    <d v="2002-03-07T00:00:00"/>
    <s v="OTIF FAIL"/>
    <n v="2"/>
    <s v="1210_FG_HPC"/>
    <x v="1"/>
    <n v="1"/>
    <m/>
  </r>
  <r>
    <s v="0558116311-19"/>
    <s v="CRC"/>
    <n v="2"/>
    <n v="525"/>
    <n v="0"/>
    <n v="25"/>
    <n v="25"/>
    <s v="HRAP"/>
    <d v="2001-10-28T00:00:00"/>
    <d v="2002-03-21T00:00:00"/>
    <d v="2002-04-13T00:00:00"/>
    <d v="2002-04-13T00:00:00"/>
    <d v="2002-04-07T00:00:00"/>
    <d v="2002-04-14T00:00:00"/>
    <s v="OTIF FAIL"/>
    <n v="19"/>
    <s v="1210_FG_HPC"/>
    <x v="15"/>
    <n v="1"/>
    <m/>
  </r>
  <r>
    <s v="0558116001-1"/>
    <s v="CRC"/>
    <n v="2"/>
    <n v="620"/>
    <n v="0"/>
    <n v="70"/>
    <n v="70"/>
    <s v="HRAP"/>
    <d v="2001-08-31T00:00:00"/>
    <d v="2002-03-05T00:00:00"/>
    <d v="2002-03-05T00:00:00"/>
    <d v="2002-03-05T00:00:00"/>
    <d v="2002-03-06T00:00:00"/>
    <d v="2002-03-06T00:00:00"/>
    <s v="OTIF PASS"/>
    <n v="1"/>
    <s v="1210_FG_HPC"/>
    <x v="1"/>
    <n v="1"/>
    <m/>
  </r>
  <r>
    <s v="0558116311-20"/>
    <s v="CST"/>
    <n v="2"/>
    <n v="555"/>
    <n v="0"/>
    <n v="27"/>
    <n v="27"/>
    <s v="HRAP"/>
    <d v="2001-11-04T00:00:00"/>
    <d v="2002-03-21T00:00:00"/>
    <d v="2002-04-07T00:00:00"/>
    <d v="2002-04-07T00:00:00"/>
    <d v="2002-04-07T00:00:00"/>
    <d v="2002-04-14T00:00:00"/>
    <s v="OTIF FAIL"/>
    <n v="20"/>
    <s v="1210_FG_HPC"/>
    <x v="15"/>
    <n v="1"/>
    <m/>
  </r>
  <r>
    <s v="0569023021-3"/>
    <s v="HPC"/>
    <n v="6"/>
    <n v="1250"/>
    <n v="0"/>
    <n v="6"/>
    <n v="6"/>
    <s v="HRAP"/>
    <d v="2001-08-19T00:00:00"/>
    <d v="2002-03-04T00:00:00"/>
    <d v="2002-03-08T00:00:00"/>
    <d v="2002-03-08T00:00:00"/>
    <d v="2002-03-15T00:00:00"/>
    <d v="2002-03-16T00:00:00"/>
    <s v="OTIF FAIL"/>
    <n v="3"/>
    <s v="1210_FG_HPC"/>
    <x v="3"/>
    <n v="1"/>
    <m/>
  </r>
  <r>
    <s v="0558116280-2"/>
    <s v="HRC"/>
    <n v="2"/>
    <n v="1250"/>
    <n v="0"/>
    <n v="240"/>
    <n v="205.4"/>
    <s v="HRAP"/>
    <d v="2001-10-28T00:00:00"/>
    <d v="2002-03-15T00:00:00"/>
    <d v="2002-03-18T00:00:00"/>
    <d v="2002-03-18T00:00:00"/>
    <d v="2002-03-18T00:00:00"/>
    <d v="2002-03-18T00:00:00"/>
    <s v="OTIF FAIL"/>
    <n v="2"/>
    <s v="1210_FG_HPC"/>
    <x v="0"/>
    <n v="0"/>
    <m/>
  </r>
  <r>
    <s v="0569023177-6"/>
    <s v="HRC"/>
    <n v="2.5"/>
    <n v="1250"/>
    <n v="0"/>
    <n v="33"/>
    <n v="33"/>
    <s v="HRAP"/>
    <d v="2001-08-30T00:00:00"/>
    <d v="2002-03-31T00:00:00"/>
    <d v="2002-03-31T00:00:00"/>
    <d v="2002-03-31T00:00:00"/>
    <d v="2002-03-31T00:00:00"/>
    <d v="2002-04-07T00:00:00"/>
    <s v="OTIF PASS"/>
    <n v="6"/>
    <s v="1210_FG_HPC"/>
    <x v="7"/>
    <n v="1"/>
    <m/>
  </r>
  <r>
    <s v="0558114526-1"/>
    <s v="CST"/>
    <n v="2"/>
    <n v="1250"/>
    <n v="0"/>
    <n v="100"/>
    <n v="100"/>
    <s v="HRAP"/>
    <d v="2001-08-22T00:00:00"/>
    <d v="2002-02-22T00:00:00"/>
    <d v="2002-02-26T00:00:00"/>
    <d v="2002-02-26T00:00:00"/>
    <d v="2002-03-02T00:00:00"/>
    <d v="2002-03-11T00:00:00"/>
    <s v="OTIF FAIL"/>
    <n v="1"/>
    <s v="1210_FG_HPC"/>
    <x v="3"/>
    <n v="1"/>
    <m/>
  </r>
  <r>
    <s v="0558116303-17"/>
    <s v="CST"/>
    <n v="2"/>
    <n v="510"/>
    <n v="0"/>
    <n v="18"/>
    <n v="18"/>
    <s v="HRAP"/>
    <d v="2002-02-04T00:00:00"/>
    <d v="2002-03-17T00:00:00"/>
    <d v="2002-04-14T00:00:00"/>
    <d v="2002-04-14T00:00:00"/>
    <d v="2002-04-14T00:00:00"/>
    <d v="2002-04-14T00:00:00"/>
    <s v="OTIF FAIL"/>
    <n v="17"/>
    <s v="1210_FG_HPC"/>
    <x v="15"/>
    <n v="1"/>
    <m/>
  </r>
  <r>
    <s v="0569023021-2"/>
    <s v="CRC"/>
    <n v="3"/>
    <n v="1250"/>
    <n v="0"/>
    <n v="15"/>
    <n v="15"/>
    <s v="HRAP"/>
    <d v="2001-08-19T00:00:00"/>
    <d v="2002-03-04T00:00:00"/>
    <d v="2002-03-04T00:00:00"/>
    <d v="2002-03-04T00:00:00"/>
    <d v="2002-03-06T00:00:00"/>
    <d v="2002-04-07T00:00:00"/>
    <s v="OTIF PASS"/>
    <n v="2"/>
    <s v="1210_FG_HPC"/>
    <x v="7"/>
    <n v="1"/>
    <m/>
  </r>
  <r>
    <s v="0558114629-1"/>
    <s v="HPC"/>
    <n v="2.5"/>
    <n v="625"/>
    <n v="0"/>
    <n v="50"/>
    <n v="50"/>
    <s v="HRAP"/>
    <d v="2001-08-21T00:00:00"/>
    <d v="2002-03-30T00:00:00"/>
    <d v="2002-04-01T00:00:00"/>
    <d v="2002-04-01T00:00:00"/>
    <d v="2002-03-30T00:00:00"/>
    <d v="2002-03-30T00:00:00"/>
    <s v="OTIF FAIL"/>
    <n v="1"/>
    <s v="1210_FG_HPC"/>
    <x v="9"/>
    <n v="1"/>
    <m/>
  </r>
  <r>
    <s v="0558113592-1"/>
    <s v="CST"/>
    <n v="2"/>
    <n v="1250"/>
    <n v="0"/>
    <n v="240"/>
    <n v="55.74"/>
    <s v="HRAP"/>
    <d v="2001-08-06T00:00:00"/>
    <d v="2002-03-05T00:00:00"/>
    <d v="2002-03-05T00:00:00"/>
    <d v="2002-03-05T00:00:00"/>
    <d v="2002-03-05T00:00:00"/>
    <d v="2002-03-18T00:00:00"/>
    <s v="OTIF PASS"/>
    <n v="1"/>
    <s v="1210_FG_HPC"/>
    <x v="0"/>
    <n v="0"/>
    <m/>
  </r>
  <r>
    <s v="0569023177-1"/>
    <s v="CST"/>
    <n v="3"/>
    <n v="625"/>
    <n v="0"/>
    <n v="40"/>
    <n v="40"/>
    <s v="HRAP"/>
    <d v="2001-08-30T00:00:00"/>
    <d v="2002-03-31T00:00:00"/>
    <s v="-"/>
    <s v="-"/>
    <d v="2002-05-05T00:00:00"/>
    <d v="2002-05-05T00:00:00"/>
    <s v="OTIF FAIL"/>
    <n v="1"/>
    <s v="1210_FG_HPC"/>
    <x v="19"/>
    <n v="1"/>
    <m/>
  </r>
  <r>
    <s v="0569023019-3"/>
    <s v="CST"/>
    <n v="2.2999999999999998"/>
    <n v="625"/>
    <n v="0"/>
    <n v="58"/>
    <n v="7.8579999999999997"/>
    <s v="HRAP"/>
    <d v="2001-08-19T00:00:00"/>
    <d v="2002-03-31T00:00:00"/>
    <d v="2002-04-14T00:00:00"/>
    <d v="2002-04-14T00:00:00"/>
    <d v="2002-04-14T00:00:00"/>
    <d v="2002-04-14T00:00:00"/>
    <s v="OTIF FAIL"/>
    <n v="3"/>
    <s v="1210_FG_HPC"/>
    <x v="15"/>
    <n v="0"/>
    <m/>
  </r>
  <r>
    <s v="0569023073-3"/>
    <s v="CST"/>
    <n v="2"/>
    <n v="1250"/>
    <n v="0"/>
    <n v="51"/>
    <n v="51"/>
    <s v="HRAP"/>
    <d v="2001-08-23T00:00:00"/>
    <d v="2002-03-31T00:00:00"/>
    <d v="2002-03-31T00:00:00"/>
    <d v="2002-03-31T00:00:00"/>
    <d v="2002-03-31T00:00:00"/>
    <d v="2002-03-31T00:00:00"/>
    <s v="OTIF PASS"/>
    <n v="3"/>
    <s v="1210_FG_HPC"/>
    <x v="6"/>
    <n v="1"/>
    <m/>
  </r>
  <r>
    <s v="0558116303-10"/>
    <s v="HPC"/>
    <n v="2"/>
    <n v="610"/>
    <n v="0"/>
    <n v="20"/>
    <n v="20"/>
    <s v="HRAP"/>
    <d v="2002-01-24T00:00:00"/>
    <d v="2002-03-17T00:00:00"/>
    <s v="-"/>
    <s v="-"/>
    <d v="2002-03-20T00:00:00"/>
    <d v="2002-03-30T00:00:00"/>
    <s v="OTIF FAIL"/>
    <n v="10"/>
    <s v="1210_FG_HPC"/>
    <x v="9"/>
    <n v="1"/>
    <m/>
  </r>
  <r>
    <s v="0558112734-2"/>
    <s v="CST"/>
    <n v="2.5"/>
    <n v="1250"/>
    <n v="0"/>
    <n v="800"/>
    <n v="148.44999999999999"/>
    <s v="HRAP"/>
    <d v="2001-09-25T00:00:00"/>
    <d v="2002-03-04T00:00:00"/>
    <d v="2002-03-03T00:00:00"/>
    <d v="2002-03-04T00:00:00"/>
    <d v="2002-03-06T00:00:00"/>
    <d v="2002-03-06T00:00:00"/>
    <s v="OTIF PASS"/>
    <n v="2"/>
    <s v="1210_FG_HPC"/>
    <x v="1"/>
    <n v="0"/>
    <m/>
  </r>
  <r>
    <s v="0569022843-3"/>
    <s v="CST"/>
    <n v="2.5"/>
    <n v="1250"/>
    <n v="0"/>
    <n v="56"/>
    <n v="23.14"/>
    <s v="HRAP"/>
    <d v="2001-08-01T00:00:00"/>
    <d v="2002-03-10T00:00:00"/>
    <d v="2002-03-25T00:00:00"/>
    <d v="2002-03-25T00:00:00"/>
    <d v="2002-03-25T00:00:00"/>
    <d v="2002-04-07T00:00:00"/>
    <s v="OTIF FAIL"/>
    <n v="3"/>
    <s v="1210_FG_HPC"/>
    <x v="7"/>
    <n v="0"/>
    <m/>
  </r>
  <r>
    <s v="0569022845-1"/>
    <s v="HPC"/>
    <n v="3"/>
    <n v="1250"/>
    <n v="0"/>
    <n v="201"/>
    <n v="201"/>
    <s v="HRAP"/>
    <d v="2001-08-01T00:00:00"/>
    <d v="2002-03-10T00:00:00"/>
    <s v="-"/>
    <s v="-"/>
    <d v="2002-04-07T00:00:00"/>
    <d v="2002-04-07T00:00:00"/>
    <s v="OTIF FAIL"/>
    <n v="1"/>
    <s v="1210_FG_HPC"/>
    <x v="7"/>
    <n v="1"/>
    <m/>
  </r>
  <r>
    <s v="0569022946-6"/>
    <s v="CST"/>
    <n v="2.95"/>
    <n v="1250"/>
    <n v="0"/>
    <n v="96"/>
    <n v="53.57"/>
    <s v="HRAP"/>
    <d v="2001-08-07T00:00:00"/>
    <d v="2002-03-31T00:00:00"/>
    <s v="-"/>
    <s v="-"/>
    <d v="2002-03-31T00:00:00"/>
    <d v="2002-04-14T00:00:00"/>
    <s v="OTIF FAIL"/>
    <n v="6"/>
    <s v="1210_FG_HPC"/>
    <x v="15"/>
    <n v="0"/>
    <m/>
  </r>
  <r>
    <s v="0558116274-4"/>
    <s v="HPC"/>
    <n v="2"/>
    <n v="1100"/>
    <n v="0"/>
    <n v="105"/>
    <n v="105"/>
    <s v="HRAP"/>
    <d v="2001-10-25T00:00:00"/>
    <d v="2002-03-14T00:00:00"/>
    <d v="2002-03-17T00:00:00"/>
    <d v="2002-03-17T00:00:00"/>
    <d v="2002-03-14T00:00:00"/>
    <d v="2002-03-15T00:00:00"/>
    <s v="OTIF FAIL"/>
    <n v="4"/>
    <s v="1210_FG_HPC"/>
    <x v="3"/>
    <n v="1"/>
    <m/>
  </r>
  <r>
    <s v="0569023177-7"/>
    <s v="HPC"/>
    <n v="2.95"/>
    <n v="1250"/>
    <n v="0"/>
    <n v="4"/>
    <n v="4"/>
    <s v="HRAP"/>
    <d v="2001-08-30T00:00:00"/>
    <d v="2002-03-31T00:00:00"/>
    <s v="-"/>
    <s v="-"/>
    <d v="2002-04-14T00:00:00"/>
    <d v="2002-04-14T00:00:00"/>
    <s v="OTIF FAIL"/>
    <n v="7"/>
    <s v="1210_FG_HPC"/>
    <x v="15"/>
    <n v="1"/>
    <m/>
  </r>
  <r>
    <s v="0558116291-10"/>
    <s v="CST"/>
    <n v="2"/>
    <n v="550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0"/>
    <s v="1210_FG_HPC"/>
    <x v="9"/>
    <n v="1"/>
    <m/>
  </r>
  <r>
    <s v="0558106530-4"/>
    <s v="CST"/>
    <n v="2"/>
    <n v="1250"/>
    <n v="0"/>
    <n v="40"/>
    <n v="40"/>
    <s v="HRAP"/>
    <d v="2001-08-28T00:00:00"/>
    <d v="2002-03-11T00:00:00"/>
    <d v="2002-03-11T00:00:00"/>
    <d v="2002-03-11T00:00:00"/>
    <d v="2002-03-11T00:00:00"/>
    <d v="2002-03-11T00:00:00"/>
    <s v="OTIF PASS"/>
    <n v="4"/>
    <s v="1210_FG_HPC"/>
    <x v="3"/>
    <n v="1"/>
    <m/>
  </r>
  <r>
    <s v="0558116303-1"/>
    <s v="HRC"/>
    <n v="2.2999999999999998"/>
    <n v="625"/>
    <n v="0"/>
    <n v="20"/>
    <n v="20"/>
    <s v="HRAP"/>
    <d v="2002-01-24T00:00:00"/>
    <d v="2002-03-17T00:00:00"/>
    <d v="2002-03-30T00:00:00"/>
    <d v="2002-03-30T00:00:00"/>
    <d v="2002-03-30T00:00:00"/>
    <d v="2002-03-30T00:00:00"/>
    <s v="OTIF FAIL"/>
    <n v="1"/>
    <s v="1210_FG_HPC"/>
    <x v="9"/>
    <n v="1"/>
    <m/>
  </r>
  <r>
    <s v="0558113259-8"/>
    <s v="CST"/>
    <n v="2.2999999999999998"/>
    <n v="570"/>
    <n v="0"/>
    <n v="39"/>
    <n v="39"/>
    <s v="HRAP"/>
    <d v="2001-09-25T00:00:00"/>
    <d v="2002-03-04T00:00:00"/>
    <d v="2002-03-25T00:00:00"/>
    <d v="2002-03-25T00:00:00"/>
    <d v="2002-03-18T00:00:00"/>
    <d v="2002-03-18T00:00:00"/>
    <s v="OTIF FAIL"/>
    <n v="8"/>
    <s v="1110_FG_HPC"/>
    <x v="0"/>
    <n v="1"/>
    <m/>
  </r>
  <r>
    <s v="0558114140-6"/>
    <s v="CST"/>
    <n v="3.5"/>
    <n v="1250"/>
    <n v="0"/>
    <n v="20"/>
    <n v="20"/>
    <s v="HRAP"/>
    <d v="2001-08-14T00:00:00"/>
    <d v="2002-03-30T00:00:00"/>
    <d v="2002-03-30T00:00:00"/>
    <d v="2002-03-30T00:00:00"/>
    <d v="2002-03-30T00:00:00"/>
    <d v="2002-03-30T00:00:00"/>
    <s v="OTIF PASS"/>
    <n v="6"/>
    <s v="1210_FG_HPC"/>
    <x v="9"/>
    <n v="1"/>
    <m/>
  </r>
  <r>
    <s v="0569023073-4"/>
    <s v="HPC"/>
    <n v="2.5"/>
    <n v="1250"/>
    <n v="0"/>
    <n v="20"/>
    <n v="20"/>
    <s v="HRAP"/>
    <d v="2001-08-23T00:00:00"/>
    <d v="2002-03-31T00:00:00"/>
    <s v="-"/>
    <s v="-"/>
    <d v="2002-04-14T00:00:00"/>
    <d v="2002-04-14T00:00:00"/>
    <s v="OTIF FAIL"/>
    <n v="4"/>
    <s v="1210_FG_HPC"/>
    <x v="15"/>
    <n v="1"/>
    <m/>
  </r>
  <r>
    <s v="0558113259-9"/>
    <s v="CST"/>
    <n v="2.2999999999999998"/>
    <n v="530"/>
    <n v="0"/>
    <n v="31"/>
    <n v="31"/>
    <s v="HRAP"/>
    <d v="2001-09-25T00:00:00"/>
    <d v="2002-03-04T00:00:00"/>
    <d v="2002-03-19T00:00:00"/>
    <d v="2002-03-19T00:00:00"/>
    <d v="2002-03-19T00:00:00"/>
    <d v="2002-03-19T00:00:00"/>
    <s v="OTIF FAIL"/>
    <n v="9"/>
    <s v="1110_FG_HPC"/>
    <x v="0"/>
    <n v="1"/>
    <m/>
  </r>
  <r>
    <s v="0558116303-5"/>
    <s v="CST"/>
    <n v="2.2999999999999998"/>
    <n v="565"/>
    <n v="0"/>
    <n v="28"/>
    <n v="28"/>
    <s v="HRAP"/>
    <d v="2002-01-24T00:00:00"/>
    <d v="2002-03-17T00:00:00"/>
    <d v="2002-03-24T00:00:00"/>
    <d v="2002-03-24T00:00:00"/>
    <d v="2002-03-24T00:00:00"/>
    <d v="2002-03-31T00:00:00"/>
    <s v="OTIF FAIL"/>
    <n v="5"/>
    <s v="1210_FG_HPC"/>
    <x v="6"/>
    <n v="1"/>
    <m/>
  </r>
  <r>
    <s v="0558116303-14"/>
    <s v="CRC"/>
    <n v="2"/>
    <n v="600"/>
    <n v="0"/>
    <n v="30"/>
    <n v="30"/>
    <s v="HRAP"/>
    <d v="2002-01-24T00:00:00"/>
    <d v="2002-03-17T00:00:00"/>
    <d v="2002-04-14T00:00:00"/>
    <d v="2002-04-14T00:00:00"/>
    <d v="2002-04-14T00:00:00"/>
    <d v="2002-04-14T00:00:00"/>
    <s v="OTIF FAIL"/>
    <n v="14"/>
    <s v="1210_FG_HPC"/>
    <x v="15"/>
    <n v="1"/>
    <m/>
  </r>
  <r>
    <s v="0558116303-6"/>
    <s v="CST"/>
    <n v="2"/>
    <n v="565"/>
    <n v="0"/>
    <n v="9"/>
    <n v="9"/>
    <s v="HRAP"/>
    <d v="2002-01-24T00:00:00"/>
    <d v="2002-03-17T00:00:00"/>
    <d v="2002-04-07T00:00:00"/>
    <d v="2002-04-07T00:00:00"/>
    <d v="2002-04-07T00:00:00"/>
    <d v="2002-04-07T00:00:00"/>
    <s v="OTIF FAIL"/>
    <n v="6"/>
    <s v="1210_FG_HPC"/>
    <x v="7"/>
    <n v="1"/>
    <m/>
  </r>
  <r>
    <s v="0558116311-16"/>
    <s v="CRC"/>
    <n v="2"/>
    <n v="550"/>
    <n v="0"/>
    <n v="27"/>
    <n v="27"/>
    <s v="HRAP"/>
    <d v="2001-11-04T00:00:00"/>
    <d v="2002-03-21T00:00:00"/>
    <d v="2002-04-07T00:00:00"/>
    <d v="2002-04-07T00:00:00"/>
    <d v="2002-04-07T00:00:00"/>
    <d v="2002-04-14T00:00:00"/>
    <s v="OTIF FAIL"/>
    <n v="16"/>
    <s v="1210_FG_HPC"/>
    <x v="15"/>
    <n v="1"/>
    <m/>
  </r>
  <r>
    <s v="0558116303-2"/>
    <s v="CST"/>
    <n v="2.2999999999999998"/>
    <n v="460"/>
    <n v="0"/>
    <n v="18"/>
    <n v="18"/>
    <s v="HRAP"/>
    <d v="2002-01-24T00:00:00"/>
    <d v="2002-03-17T00:00:00"/>
    <d v="2002-04-14T00:00:00"/>
    <d v="2002-04-14T00:00:00"/>
    <d v="2002-04-07T00:00:00"/>
    <d v="2002-04-07T00:00:00"/>
    <s v="OTIF FAIL"/>
    <n v="2"/>
    <s v="1210_FG_HPC"/>
    <x v="7"/>
    <n v="1"/>
    <m/>
  </r>
  <r>
    <s v="0558116303-15"/>
    <s v="HRC"/>
    <n v="2"/>
    <n v="505"/>
    <n v="0"/>
    <n v="24"/>
    <n v="24"/>
    <s v="HRAP"/>
    <d v="2002-01-24T00:00:00"/>
    <d v="2002-03-17T00:00:00"/>
    <d v="2002-04-14T00:00:00"/>
    <d v="2002-04-14T00:00:00"/>
    <d v="2002-04-14T00:00:00"/>
    <d v="2002-04-14T00:00:00"/>
    <s v="OTIF FAIL"/>
    <n v="15"/>
    <s v="1210_FG_HPC"/>
    <x v="15"/>
    <n v="1"/>
    <m/>
  </r>
  <r>
    <s v="0558116303-9"/>
    <s v="CST"/>
    <n v="2"/>
    <n v="625"/>
    <n v="0"/>
    <n v="20"/>
    <n v="20"/>
    <s v="HRAP"/>
    <d v="2002-01-24T00:00:00"/>
    <d v="2002-03-17T00:00:00"/>
    <d v="2002-04-07T00:00:00"/>
    <d v="2002-04-07T00:00:00"/>
    <d v="2002-03-31T00:00:00"/>
    <d v="2002-05-11T00:00:00"/>
    <s v="OTIF FAIL"/>
    <n v="9"/>
    <s v="1210_FG_HPC"/>
    <x v="19"/>
    <n v="1"/>
    <m/>
  </r>
  <r>
    <s v="0558116308-15"/>
    <s v="CST"/>
    <n v="2"/>
    <n v="505"/>
    <n v="0"/>
    <n v="24"/>
    <n v="24"/>
    <s v="HRAP"/>
    <d v="2001-11-06T00:00:00"/>
    <d v="2002-03-19T00:00:00"/>
    <d v="2002-03-30T00:00:00"/>
    <d v="2002-03-30T00:00:00"/>
    <d v="2002-03-30T00:00:00"/>
    <d v="2002-04-14T00:00:00"/>
    <s v="OTIF FAIL"/>
    <n v="15"/>
    <s v="1210_FG_HPC"/>
    <x v="15"/>
    <n v="1"/>
    <m/>
  </r>
  <r>
    <s v="0569023022-2"/>
    <s v="CST"/>
    <n v="4"/>
    <n v="1250"/>
    <n v="0"/>
    <n v="53"/>
    <n v="47.73"/>
    <s v="HRAP"/>
    <d v="2001-08-19T00:00:00"/>
    <d v="2002-03-04T00:00:00"/>
    <d v="2002-03-04T00:00:00"/>
    <d v="2002-03-04T00:00:00"/>
    <d v="2002-03-06T00:00:00"/>
    <d v="2002-03-17T00:00:00"/>
    <s v="OTIF PASS"/>
    <n v="2"/>
    <s v="1210_FG_HPC"/>
    <x v="0"/>
    <n v="0"/>
    <m/>
  </r>
  <r>
    <s v="0558113991-3"/>
    <s v="CST"/>
    <n v="3"/>
    <n v="1250"/>
    <n v="0"/>
    <n v="3"/>
    <n v="3"/>
    <s v="HRAP"/>
    <d v="2001-08-22T00:00:00"/>
    <d v="2002-03-06T00:00:00"/>
    <d v="2002-03-06T00:00:00"/>
    <d v="2002-03-06T00:00:00"/>
    <d v="2002-03-08T00:00:00"/>
    <d v="2002-03-08T00:00:00"/>
    <s v="OTIF PASS"/>
    <n v="3"/>
    <s v="1210_FG_HPC"/>
    <x v="1"/>
    <n v="1"/>
    <m/>
  </r>
  <r>
    <s v="0558116291-11"/>
    <s v="CBL"/>
    <n v="2"/>
    <n v="555"/>
    <n v="0"/>
    <n v="8.5"/>
    <n v="8.5"/>
    <s v="HRAP"/>
    <d v="2001-10-28T00:00:00"/>
    <d v="2002-03-16T00:00:00"/>
    <d v="2002-03-24T00:00:00"/>
    <d v="2002-03-24T00:00:00"/>
    <d v="2002-03-24T00:00:00"/>
    <d v="2002-03-24T00:00:00"/>
    <s v="OTIF FAIL"/>
    <n v="11"/>
    <s v="1210_FG_HPC"/>
    <x v="9"/>
    <n v="1"/>
    <m/>
  </r>
  <r>
    <s v="0558114629-2"/>
    <s v="CST"/>
    <n v="2.95"/>
    <n v="625"/>
    <n v="0"/>
    <n v="50"/>
    <n v="50"/>
    <s v="HRAP"/>
    <d v="2001-08-21T00:00:00"/>
    <d v="2002-03-30T00:00:00"/>
    <s v="-"/>
    <s v="-"/>
    <d v="2002-03-30T00:00:00"/>
    <d v="2002-03-30T00:00:00"/>
    <s v="OTIF FAIL"/>
    <n v="2"/>
    <s v="1210_FG_HPC"/>
    <x v="9"/>
    <n v="1"/>
    <m/>
  </r>
  <r>
    <s v="0558116303-19"/>
    <s v="HRC"/>
    <n v="2"/>
    <n v="525"/>
    <n v="0"/>
    <n v="25"/>
    <n v="25"/>
    <s v="HRAP"/>
    <d v="2002-01-24T00:00:00"/>
    <d v="2002-03-17T00:00:00"/>
    <d v="2002-04-07T00:00:00"/>
    <d v="2002-04-07T00:00:00"/>
    <d v="2002-04-07T00:00:00"/>
    <d v="2002-04-14T00:00:00"/>
    <s v="OTIF FAIL"/>
    <n v="19"/>
    <s v="1210_FG_HPC"/>
    <x v="15"/>
    <n v="1"/>
    <m/>
  </r>
  <r>
    <s v="0558116303-12"/>
    <s v="HRC"/>
    <n v="2"/>
    <n v="600"/>
    <n v="0"/>
    <n v="20"/>
    <n v="20"/>
    <s v="HRAP"/>
    <d v="2001-10-28T00:00:00"/>
    <d v="2002-03-17T00:00:00"/>
    <s v="-"/>
    <s v="-"/>
    <d v="2002-03-20T00:00:00"/>
    <d v="2002-04-14T00:00:00"/>
    <s v="OTIF FAIL"/>
    <n v="12"/>
    <s v="1210_FG_HPC"/>
    <x v="15"/>
    <n v="1"/>
    <m/>
  </r>
  <r>
    <s v="0558116303-13"/>
    <s v="PSS"/>
    <n v="2"/>
    <n v="650"/>
    <n v="0"/>
    <n v="20"/>
    <n v="20"/>
    <s v="HRAP"/>
    <d v="2001-10-28T00:00:00"/>
    <d v="2002-03-17T00:00:00"/>
    <d v="2002-04-11T00:00:00"/>
    <d v="2002-04-11T00:00:00"/>
    <d v="2002-03-21T00:00:00"/>
    <d v="2002-03-31T00:00:00"/>
    <s v="OTIF FAIL"/>
    <n v="13"/>
    <s v="1210_FG_HPC"/>
    <x v="6"/>
    <n v="1"/>
    <m/>
  </r>
  <r>
    <s v="0558116236-1"/>
    <s v="PSS"/>
    <n v="2.5"/>
    <n v="256"/>
    <n v="0"/>
    <n v="4"/>
    <n v="4"/>
    <s v="HRAP"/>
    <d v="2001-11-04T00:00:00"/>
    <d v="2002-03-12T00:00:00"/>
    <d v="2002-03-18T00:00:00"/>
    <d v="2002-03-18T00:00:00"/>
    <d v="2002-03-18T00:00:00"/>
    <d v="2002-03-22T00:00:00"/>
    <s v="OTIF FAIL"/>
    <n v="1"/>
    <s v="1210_FG_HPC"/>
    <x v="0"/>
    <n v="1"/>
    <m/>
  </r>
  <r>
    <s v="0558116303-16"/>
    <s v="CST"/>
    <n v="2"/>
    <n v="550"/>
    <n v="0"/>
    <n v="27"/>
    <n v="27"/>
    <s v="HRAP"/>
    <d v="2002-01-24T00:00:00"/>
    <d v="2002-03-17T00:00:00"/>
    <d v="2002-04-14T00:00:00"/>
    <d v="2002-04-14T00:00:00"/>
    <d v="2002-04-14T00:00:00"/>
    <d v="2002-04-14T00:00:00"/>
    <s v="OTIF FAIL"/>
    <n v="16"/>
    <s v="1210_FG_HPC"/>
    <x v="15"/>
    <n v="1"/>
    <m/>
  </r>
  <r>
    <s v="0558116303-4"/>
    <s v="CRC"/>
    <n v="2.2999999999999998"/>
    <n v="535"/>
    <n v="0"/>
    <n v="26"/>
    <n v="26"/>
    <s v="HRAP"/>
    <d v="2001-10-28T00:00:00"/>
    <d v="2002-03-17T00:00:00"/>
    <d v="2002-03-24T00:00:00"/>
    <d v="2002-03-24T00:00:00"/>
    <d v="2002-03-24T00:00:00"/>
    <d v="2002-03-24T00:00:00"/>
    <s v="OTIF FAIL"/>
    <n v="4"/>
    <s v="1210_FG_HPC"/>
    <x v="9"/>
    <n v="1"/>
    <m/>
  </r>
  <r>
    <s v="0558116236-2"/>
    <s v="CST"/>
    <n v="2.5"/>
    <n v="501"/>
    <n v="0"/>
    <n v="16"/>
    <n v="16"/>
    <s v="HRAP"/>
    <d v="2001-11-04T00:00:00"/>
    <d v="2002-03-12T00:00:00"/>
    <d v="2002-03-21T00:00:00"/>
    <d v="2002-03-21T00:00:00"/>
    <d v="2002-03-21T00:00:00"/>
    <d v="2002-03-22T00:00:00"/>
    <s v="OTIF FAIL"/>
    <n v="2"/>
    <s v="1210_FG_HPC"/>
    <x v="0"/>
    <n v="1"/>
    <m/>
  </r>
  <r>
    <s v="0558116303-3"/>
    <s v="CST"/>
    <n v="2.2999999999999998"/>
    <n v="640"/>
    <n v="0"/>
    <n v="20"/>
    <n v="20"/>
    <s v="HRAP"/>
    <d v="2002-01-24T00:00:00"/>
    <d v="2002-03-17T00:00:00"/>
    <d v="2002-03-28T00:00:00"/>
    <d v="2002-03-28T00:00:00"/>
    <d v="2002-03-21T00:00:00"/>
    <d v="2002-03-24T00:00:00"/>
    <s v="OTIF FAIL"/>
    <n v="3"/>
    <s v="1210_FG_HPC"/>
    <x v="9"/>
    <n v="1"/>
    <m/>
  </r>
  <r>
    <s v="0558114769-8"/>
    <s v="CST"/>
    <n v="3"/>
    <n v="500"/>
    <n v="0"/>
    <n v="8"/>
    <n v="8"/>
    <s v="HRAP"/>
    <d v="2001-08-23T00:00:00"/>
    <d v="2002-03-30T00:00:00"/>
    <d v="2002-04-29T00:00:00"/>
    <d v="2002-04-29T00:00:00"/>
    <d v="2002-03-30T00:00:00"/>
    <d v="2002-03-30T00:00:00"/>
    <s v="OTIF FAIL"/>
    <n v="8"/>
    <s v="1210_FG_HPC"/>
    <x v="9"/>
    <n v="1"/>
    <m/>
  </r>
  <r>
    <s v="0569023019-6"/>
    <s v="HRC"/>
    <n v="2.5"/>
    <n v="1250"/>
    <n v="0"/>
    <n v="135"/>
    <n v="135"/>
    <s v="HRAP"/>
    <d v="2001-08-19T00:00:00"/>
    <d v="2002-03-31T00:00:00"/>
    <s v="-"/>
    <s v="-"/>
    <d v="2002-04-14T00:00:00"/>
    <d v="2002-04-14T00:00:00"/>
    <s v="OTIF FAIL"/>
    <n v="6"/>
    <s v="1210_FG_HPC"/>
    <x v="15"/>
    <n v="1"/>
    <m/>
  </r>
  <r>
    <s v="0558116234-2"/>
    <s v="CST"/>
    <n v="2"/>
    <n v="630"/>
    <n v="0"/>
    <n v="475"/>
    <n v="475"/>
    <s v="HRAP"/>
    <d v="2001-11-06T00:00:00"/>
    <d v="2002-03-12T00:00:00"/>
    <d v="2002-04-06T00:00:00"/>
    <d v="2002-04-06T00:00:00"/>
    <d v="2002-04-06T00:00:00"/>
    <d v="2002-04-06T00:00:00"/>
    <s v="OTIF FAIL"/>
    <n v="2"/>
    <s v="1210_FG_HPC"/>
    <x v="6"/>
    <n v="1"/>
    <m/>
  </r>
  <r>
    <s v="0558116235-1"/>
    <s v="CST"/>
    <n v="2.5"/>
    <n v="256"/>
    <n v="0"/>
    <n v="4"/>
    <n v="4"/>
    <s v="HRAP"/>
    <d v="2001-11-04T00:00:00"/>
    <d v="2002-03-12T00:00:00"/>
    <s v="-"/>
    <s v="-"/>
    <d v="2002-03-22T00:00:00"/>
    <d v="2002-03-22T00:00:00"/>
    <s v="OTIF FAIL"/>
    <n v="1"/>
    <s v="1210_FG_HPC"/>
    <x v="0"/>
    <n v="1"/>
    <m/>
  </r>
  <r>
    <s v="0558116234-1"/>
    <s v="HRC"/>
    <n v="2"/>
    <n v="620"/>
    <n v="0"/>
    <n v="475"/>
    <n v="475"/>
    <s v="HRAP"/>
    <d v="2001-11-06T00:00:00"/>
    <d v="2002-03-11T00:00:00"/>
    <d v="2002-03-23T00:00:00"/>
    <d v="2002-03-23T00:00:00"/>
    <d v="2002-03-23T00:00:00"/>
    <d v="2002-04-06T00:00:00"/>
    <s v="OTIF FAIL"/>
    <n v="1"/>
    <s v="1210_FG_HPC"/>
    <x v="6"/>
    <n v="1"/>
    <m/>
  </r>
  <r>
    <s v="0569022503-3"/>
    <s v="CRC"/>
    <n v="3"/>
    <n v="1250"/>
    <n v="0"/>
    <n v="12"/>
    <n v="12"/>
    <s v="HRAP"/>
    <d v="2001-09-25T00:00:00"/>
    <d v="2002-03-10T00:00:00"/>
    <d v="2002-03-10T00:00:00"/>
    <d v="2002-03-10T00:00:00"/>
    <d v="2002-03-17T00:00:00"/>
    <d v="2002-04-07T00:00:00"/>
    <s v="OTIF PASS"/>
    <n v="3"/>
    <s v="1210_FG_HPC"/>
    <x v="7"/>
    <n v="1"/>
    <m/>
  </r>
  <r>
    <s v="0558116303-7"/>
    <s v="CST"/>
    <n v="2"/>
    <n v="535"/>
    <n v="0"/>
    <n v="9"/>
    <n v="9"/>
    <s v="HRAP"/>
    <d v="2002-01-24T00:00:00"/>
    <d v="2002-03-17T00:00:00"/>
    <d v="2002-04-07T00:00:00"/>
    <d v="2002-04-07T00:00:00"/>
    <d v="2002-04-07T00:00:00"/>
    <d v="2002-04-07T00:00:00"/>
    <s v="OTIF FAIL"/>
    <n v="7"/>
    <s v="1210_FG_HPC"/>
    <x v="7"/>
    <n v="1"/>
    <m/>
  </r>
  <r>
    <s v="0558116303-8"/>
    <s v="HRC"/>
    <n v="2"/>
    <n v="590"/>
    <n v="0"/>
    <n v="20"/>
    <n v="20"/>
    <s v="HRAP"/>
    <d v="2002-01-24T00:00:00"/>
    <d v="2002-03-17T00:00:00"/>
    <d v="2002-04-14T00:00:00"/>
    <d v="2002-04-14T00:00:00"/>
    <d v="2002-04-14T00:00:00"/>
    <d v="2002-04-14T00:00:00"/>
    <s v="OTIF FAIL"/>
    <n v="8"/>
    <s v="1210_FG_HPC"/>
    <x v="15"/>
    <n v="1"/>
    <m/>
  </r>
  <r>
    <s v="0558116303-20"/>
    <s v="HRC"/>
    <n v="2"/>
    <n v="555"/>
    <n v="0"/>
    <n v="27"/>
    <n v="27"/>
    <s v="HRAP"/>
    <d v="2002-01-24T00:00:00"/>
    <d v="2002-03-17T00:00:00"/>
    <d v="2002-04-07T00:00:00"/>
    <d v="2002-04-07T00:00:00"/>
    <d v="2002-04-07T00:00:00"/>
    <d v="2002-04-14T00:00:00"/>
    <s v="OTIF FAIL"/>
    <n v="20"/>
    <s v="1210_FG_HPC"/>
    <x v="15"/>
    <n v="1"/>
    <m/>
  </r>
  <r>
    <s v="0569023072-2"/>
    <s v="CST"/>
    <n v="3"/>
    <n v="1250"/>
    <n v="0"/>
    <n v="30"/>
    <n v="30"/>
    <s v="HRAP"/>
    <d v="2001-08-23T00:00:00"/>
    <d v="2002-03-04T00:00:00"/>
    <d v="2002-03-03T00:00:00"/>
    <d v="2002-03-04T00:00:00"/>
    <d v="2002-03-06T00:00:00"/>
    <d v="2002-04-07T00:00:00"/>
    <s v="OTIF PASS"/>
    <n v="2"/>
    <s v="1210_FG_HPC"/>
    <x v="7"/>
    <n v="1"/>
    <m/>
  </r>
  <r>
    <s v="0558116281-2"/>
    <s v="CST"/>
    <n v="2"/>
    <n v="1250"/>
    <n v="0"/>
    <n v="240"/>
    <n v="240"/>
    <s v="HRAP"/>
    <d v="2001-10-28T00:00:00"/>
    <d v="2002-03-15T00:00:00"/>
    <d v="2002-03-16T00:00:00"/>
    <d v="2002-03-16T00:00:00"/>
    <d v="2002-03-16T00:00:00"/>
    <d v="2002-03-18T00:00:00"/>
    <s v="OTIF FAIL"/>
    <n v="2"/>
    <s v="1210_FG_HPC"/>
    <x v="0"/>
    <n v="1"/>
    <m/>
  </r>
  <r>
    <s v="0558116235-2"/>
    <s v="CST"/>
    <n v="2.5"/>
    <n v="501"/>
    <n v="0"/>
    <n v="16"/>
    <n v="16"/>
    <s v="HRAP"/>
    <d v="2001-11-04T00:00:00"/>
    <d v="2002-03-12T00:00:00"/>
    <d v="2002-03-22T00:00:00"/>
    <d v="2002-03-22T00:00:00"/>
    <d v="2002-03-22T00:00:00"/>
    <d v="2002-03-22T00:00:00"/>
    <s v="OTIF FAIL"/>
    <n v="2"/>
    <s v="1210_FG_HPC"/>
    <x v="0"/>
    <n v="1"/>
    <m/>
  </r>
  <r>
    <s v="0558116304-9"/>
    <s v="HRC"/>
    <n v="2"/>
    <n v="625"/>
    <n v="0"/>
    <n v="20"/>
    <n v="20"/>
    <s v="HRAP"/>
    <d v="2001-10-28T00:00:00"/>
    <d v="2002-03-17T00:00:00"/>
    <d v="2002-03-21T00:00:00"/>
    <d v="2002-03-21T00:00:00"/>
    <d v="2002-03-21T00:00:00"/>
    <d v="2002-05-11T00:00:00"/>
    <s v="OTIF FAIL"/>
    <n v="9"/>
    <s v="1210_FG_HPC"/>
    <x v="19"/>
    <n v="1"/>
    <m/>
  </r>
  <r>
    <s v="0558116233-2"/>
    <s v="HPC"/>
    <n v="2"/>
    <n v="630"/>
    <n v="0"/>
    <n v="475"/>
    <n v="475"/>
    <s v="HRAP"/>
    <d v="2001-11-04T00:00:00"/>
    <d v="2002-03-11T00:00:00"/>
    <d v="2002-04-06T00:00:00"/>
    <d v="2002-04-06T00:00:00"/>
    <d v="2002-04-06T00:00:00"/>
    <d v="2002-04-06T00:00:00"/>
    <s v="OTIF FAIL"/>
    <n v="2"/>
    <s v="1210_FG_HPC"/>
    <x v="6"/>
    <n v="1"/>
    <m/>
  </r>
  <r>
    <s v="0569022968-2"/>
    <s v="HRC"/>
    <n v="5"/>
    <n v="1250"/>
    <n v="0"/>
    <n v="18"/>
    <n v="18"/>
    <s v="HRAP"/>
    <d v="2001-08-13T00:00:00"/>
    <d v="2002-03-09T00:00:00"/>
    <d v="2002-03-09T00:00:00"/>
    <d v="2002-03-09T00:00:00"/>
    <d v="2002-03-10T00:00:00"/>
    <d v="2002-03-15T00:00:00"/>
    <s v="OTIF PASS"/>
    <n v="2"/>
    <s v="1210_FG_HPC"/>
    <x v="3"/>
    <n v="1"/>
    <m/>
  </r>
  <r>
    <s v="0558116233-1"/>
    <s v="CST"/>
    <n v="2"/>
    <n v="620"/>
    <n v="0"/>
    <n v="475"/>
    <n v="475"/>
    <s v="HRAP"/>
    <d v="2001-10-28T00:00:00"/>
    <d v="2002-03-11T00:00:00"/>
    <d v="2002-04-06T00:00:00"/>
    <d v="2002-04-06T00:00:00"/>
    <d v="2002-04-06T00:00:00"/>
    <d v="2002-04-06T00:00:00"/>
    <s v="OTIF FAIL"/>
    <n v="1"/>
    <s v="1210_FG_HPC"/>
    <x v="6"/>
    <n v="1"/>
    <m/>
  </r>
  <r>
    <s v="0558116288-13"/>
    <s v="CST"/>
    <n v="2"/>
    <n v="605"/>
    <n v="0"/>
    <n v="20"/>
    <n v="20"/>
    <s v="HRAP"/>
    <d v="2001-10-28T00:00:00"/>
    <d v="2002-03-16T00:00:00"/>
    <s v="-"/>
    <s v="-"/>
    <d v="2002-03-20T00:00:00"/>
    <d v="2002-03-20T00:00:00"/>
    <s v="OTIF FAIL"/>
    <n v="13"/>
    <s v="1210_FG_HPC"/>
    <x v="0"/>
    <n v="1"/>
    <m/>
  </r>
  <r>
    <s v="0558114272-2"/>
    <s v="CST"/>
    <n v="3"/>
    <n v="625"/>
    <n v="0"/>
    <n v="20"/>
    <n v="20"/>
    <s v="HRAP"/>
    <d v="2001-08-16T00:00:00"/>
    <d v="2002-03-30T00:00:00"/>
    <s v="-"/>
    <s v="-"/>
    <d v="2002-04-06T00:00:00"/>
    <d v="2002-04-06T00:00:00"/>
    <s v="OTIF FAIL"/>
    <n v="2"/>
    <s v="1210_FG_HPC"/>
    <x v="6"/>
    <n v="1"/>
    <m/>
  </r>
  <r>
    <s v="0569023075-4"/>
    <s v="CRC"/>
    <n v="6"/>
    <n v="1250"/>
    <n v="0"/>
    <n v="63"/>
    <n v="63"/>
    <s v="HRAP"/>
    <d v="2001-08-23T00:00:00"/>
    <d v="2002-03-04T00:00:00"/>
    <d v="2002-03-04T00:00:00"/>
    <d v="2002-03-04T00:00:00"/>
    <d v="2002-03-06T00:00:00"/>
    <d v="2002-03-16T00:00:00"/>
    <s v="OTIF PASS"/>
    <n v="4"/>
    <s v="1210_FG_HPC"/>
    <x v="3"/>
    <n v="1"/>
    <m/>
  </r>
  <r>
    <s v="0569023180-3"/>
    <s v="CRC"/>
    <n v="5"/>
    <n v="1250"/>
    <n v="0"/>
    <n v="18"/>
    <n v="18"/>
    <s v="HRAP"/>
    <d v="2001-08-30T00:00:00"/>
    <d v="2002-03-04T00:00:00"/>
    <d v="2002-03-04T00:00:00"/>
    <d v="2002-03-04T00:00:00"/>
    <d v="2002-03-08T00:00:00"/>
    <d v="2002-03-15T00:00:00"/>
    <s v="OTIF PASS"/>
    <n v="3"/>
    <s v="1210_FG_HPC"/>
    <x v="3"/>
    <n v="1"/>
    <m/>
  </r>
  <r>
    <s v="0558116288-14"/>
    <s v="NFA"/>
    <n v="2"/>
    <n v="650"/>
    <n v="0"/>
    <n v="20"/>
    <n v="20"/>
    <s v="HRAP"/>
    <d v="2001-10-28T00:00:00"/>
    <d v="2002-03-16T00:00:00"/>
    <s v="-"/>
    <s v="-"/>
    <d v="2002-03-20T00:00:00"/>
    <d v="2002-03-20T00:00:00"/>
    <s v="OTIF FAIL"/>
    <n v="14"/>
    <s v="1210_FG_HPC"/>
    <x v="0"/>
    <n v="1"/>
    <m/>
  </r>
  <r>
    <s v="0558116002-5"/>
    <s v="CST"/>
    <n v="2.2999999999999998"/>
    <n v="570"/>
    <n v="0"/>
    <n v="45"/>
    <n v="45"/>
    <s v="HRAP"/>
    <d v="2001-08-31T00:00:00"/>
    <d v="2002-03-10T00:00:00"/>
    <d v="2002-03-13T00:00:00"/>
    <d v="2002-03-13T00:00:00"/>
    <d v="2002-03-10T00:00:00"/>
    <d v="2002-03-10T00:00:00"/>
    <s v="OTIF FAIL"/>
    <n v="5"/>
    <s v="1210_FG_HPC"/>
    <x v="3"/>
    <n v="1"/>
    <m/>
  </r>
  <r>
    <s v="0569023180-2"/>
    <s v="CST"/>
    <n v="4"/>
    <n v="1250"/>
    <n v="0"/>
    <n v="6"/>
    <n v="6"/>
    <s v="HRAP"/>
    <d v="2001-08-30T00:00:00"/>
    <d v="2002-03-04T00:00:00"/>
    <d v="2002-03-05T00:00:00"/>
    <d v="2002-03-05T00:00:00"/>
    <d v="2002-03-07T00:00:00"/>
    <d v="2002-03-17T00:00:00"/>
    <s v="OTIF FAIL"/>
    <n v="2"/>
    <s v="1210_FG_HPC"/>
    <x v="0"/>
    <n v="1"/>
    <m/>
  </r>
  <r>
    <s v="0569023180-4"/>
    <s v="HRC"/>
    <n v="6"/>
    <n v="1250"/>
    <n v="0"/>
    <n v="6"/>
    <n v="6"/>
    <s v="HRAP"/>
    <d v="2001-08-30T00:00:00"/>
    <d v="2002-03-04T00:00:00"/>
    <d v="2002-03-04T00:00:00"/>
    <d v="2002-03-04T00:00:00"/>
    <d v="2002-03-07T00:00:00"/>
    <d v="2002-03-16T00:00:00"/>
    <s v="OTIF PASS"/>
    <n v="4"/>
    <s v="1210_FG_HPC"/>
    <x v="3"/>
    <n v="1"/>
    <m/>
  </r>
  <r>
    <s v="0558116304-13"/>
    <s v="CST"/>
    <n v="2"/>
    <n v="650"/>
    <n v="0"/>
    <n v="20"/>
    <n v="20"/>
    <s v="HRAP"/>
    <d v="2001-10-28T00:00:00"/>
    <d v="2002-03-17T00:00:00"/>
    <d v="2002-03-25T00:00:00"/>
    <d v="2002-03-25T00:00:00"/>
    <d v="2002-03-24T00:00:00"/>
    <d v="2002-03-31T00:00:00"/>
    <s v="OTIF FAIL"/>
    <n v="13"/>
    <s v="1210_FG_HPC"/>
    <x v="6"/>
    <n v="1"/>
    <m/>
  </r>
  <r>
    <s v="0558116002-7"/>
    <s v="CBL"/>
    <n v="2.2999999999999998"/>
    <n v="615"/>
    <n v="0"/>
    <n v="40"/>
    <n v="40"/>
    <s v="HRAP"/>
    <d v="2001-08-31T00:00:00"/>
    <d v="2002-03-11T00:00:00"/>
    <d v="2002-03-10T00:00:00"/>
    <d v="2002-03-11T00:00:00"/>
    <d v="2002-03-11T00:00:00"/>
    <d v="2002-03-11T00:00:00"/>
    <s v="OTIF PASS"/>
    <n v="7"/>
    <s v="1210_FG_HPC"/>
    <x v="3"/>
    <n v="1"/>
    <m/>
  </r>
  <r>
    <s v="0558112735-1"/>
    <s v="CST"/>
    <n v="4"/>
    <n v="1250"/>
    <n v="0"/>
    <n v="20"/>
    <n v="20"/>
    <s v="HRAP"/>
    <d v="2001-09-25T00:00:00"/>
    <d v="2002-03-30T00:00:00"/>
    <d v="2002-03-30T00:00:00"/>
    <d v="2002-03-30T00:00:00"/>
    <d v="2002-03-30T00:00:00"/>
    <d v="2002-03-30T00:00:00"/>
    <s v="OTIF PASS"/>
    <n v="1"/>
    <s v="1210_FG_HPC"/>
    <x v="9"/>
    <n v="1"/>
    <m/>
  </r>
  <r>
    <s v="0558116002-8"/>
    <s v="CST"/>
    <n v="2.2999999999999998"/>
    <n v="485"/>
    <n v="0"/>
    <n v="29"/>
    <n v="29"/>
    <s v="HRAP"/>
    <d v="2001-08-31T00:00:00"/>
    <d v="2002-03-11T00:00:00"/>
    <d v="2002-03-10T00:00:00"/>
    <d v="2002-03-11T00:00:00"/>
    <d v="2002-03-11T00:00:00"/>
    <d v="2002-03-11T00:00:00"/>
    <s v="OTIF PASS"/>
    <n v="8"/>
    <s v="1210_FG_HPC"/>
    <x v="3"/>
    <n v="1"/>
    <m/>
  </r>
  <r>
    <s v="0558116002-6"/>
    <s v="CRC"/>
    <n v="2.2999999999999998"/>
    <n v="530"/>
    <n v="0"/>
    <n v="45"/>
    <n v="45"/>
    <s v="HRAP"/>
    <d v="2001-08-31T00:00:00"/>
    <d v="2002-03-10T00:00:00"/>
    <d v="2002-03-13T00:00:00"/>
    <d v="2002-03-13T00:00:00"/>
    <d v="2002-03-10T00:00:00"/>
    <d v="2002-03-10T00:00:00"/>
    <s v="OTIF FAIL"/>
    <n v="6"/>
    <s v="1210_FG_HPC"/>
    <x v="3"/>
    <n v="1"/>
    <m/>
  </r>
  <r>
    <s v="0558114769-7"/>
    <s v="HRC"/>
    <n v="3"/>
    <n v="750"/>
    <n v="0"/>
    <n v="12"/>
    <n v="12"/>
    <s v="HRAP"/>
    <d v="2001-08-23T00:00:00"/>
    <d v="2002-03-30T00:00:00"/>
    <d v="2002-04-29T00:00:00"/>
    <d v="2002-04-29T00:00:00"/>
    <d v="2002-03-30T00:00:00"/>
    <d v="2002-03-30T00:00:00"/>
    <s v="OTIF FAIL"/>
    <n v="7"/>
    <s v="1210_FG_HPC"/>
    <x v="9"/>
    <n v="1"/>
    <m/>
  </r>
  <r>
    <s v="0558114769-5"/>
    <s v="HRC"/>
    <n v="3"/>
    <n v="725"/>
    <n v="0"/>
    <n v="11.5"/>
    <n v="11.5"/>
    <s v="HRAP"/>
    <d v="2001-08-23T00:00:00"/>
    <d v="2002-03-30T00:00:00"/>
    <s v="-"/>
    <s v="-"/>
    <d v="2002-04-06T00:00:00"/>
    <d v="2002-04-06T00:00:00"/>
    <s v="OTIF FAIL"/>
    <n v="5"/>
    <s v="1210_FG_HPC"/>
    <x v="6"/>
    <n v="1"/>
    <m/>
  </r>
  <r>
    <s v="0558116304-11"/>
    <s v="CST"/>
    <n v="2"/>
    <n v="640"/>
    <n v="0"/>
    <n v="20"/>
    <n v="20"/>
    <s v="HRAP"/>
    <d v="2001-10-28T00:00:00"/>
    <d v="2002-03-17T00:00:00"/>
    <d v="2002-04-07T00:00:00"/>
    <d v="2002-04-07T00:00:00"/>
    <d v="2002-03-31T00:00:00"/>
    <d v="2002-03-31T00:00:00"/>
    <s v="OTIF FAIL"/>
    <n v="11"/>
    <s v="1210_FG_HPC"/>
    <x v="6"/>
    <n v="1"/>
    <m/>
  </r>
  <r>
    <s v="0558112727-1"/>
    <s v="JBS"/>
    <n v="4"/>
    <n v="1250"/>
    <n v="0"/>
    <n v="40"/>
    <n v="40"/>
    <s v="HRAP"/>
    <d v="2001-08-22T00:00:00"/>
    <d v="2002-03-30T00:00:00"/>
    <d v="2002-03-30T00:00:00"/>
    <d v="2002-03-30T00:00:00"/>
    <d v="2002-03-30T00:00:00"/>
    <d v="2002-03-30T00:00:00"/>
    <s v="OTIF PASS"/>
    <n v="1"/>
    <s v="1210_FG_HPC"/>
    <x v="9"/>
    <n v="1"/>
    <m/>
  </r>
  <r>
    <s v="0558114769-4"/>
    <s v="CST"/>
    <n v="2.5"/>
    <n v="645"/>
    <n v="0"/>
    <n v="10"/>
    <n v="10"/>
    <s v="HRAP"/>
    <d v="2001-08-23T00:00:00"/>
    <d v="2002-03-30T00:00:00"/>
    <d v="2002-04-01T00:00:00"/>
    <d v="2002-04-01T00:00:00"/>
    <d v="2002-03-30T00:00:00"/>
    <d v="2002-03-30T00:00:00"/>
    <s v="OTIF FAIL"/>
    <n v="4"/>
    <s v="1210_FG_HPC"/>
    <x v="9"/>
    <n v="1"/>
    <m/>
  </r>
  <r>
    <s v="0558116304-1"/>
    <s v="CST"/>
    <n v="2.2999999999999998"/>
    <n v="625"/>
    <n v="0"/>
    <n v="20"/>
    <n v="20"/>
    <s v="HRAP"/>
    <d v="2001-10-28T00:00:00"/>
    <d v="2002-03-17T00:00:00"/>
    <d v="2002-03-30T00:00:00"/>
    <d v="2002-03-30T00:00:00"/>
    <d v="2002-03-30T00:00:00"/>
    <d v="2002-03-30T00:00:00"/>
    <s v="OTIF FAIL"/>
    <n v="1"/>
    <s v="1210_FG_HPC"/>
    <x v="9"/>
    <n v="1"/>
    <m/>
  </r>
  <r>
    <s v="0558116276-3"/>
    <s v="HRC"/>
    <n v="2.2999999999999998"/>
    <n v="1250"/>
    <n v="0"/>
    <n v="63"/>
    <n v="63"/>
    <s v="HRAP"/>
    <d v="2001-10-25T00:00:00"/>
    <d v="2002-03-15T00:00:00"/>
    <d v="2002-03-17T00:00:00"/>
    <d v="2002-03-17T00:00:00"/>
    <d v="2002-03-17T00:00:00"/>
    <d v="2002-03-17T00:00:00"/>
    <s v="OTIF FAIL"/>
    <n v="3"/>
    <s v="1210_FG_HPC"/>
    <x v="0"/>
    <n v="1"/>
    <m/>
  </r>
  <r>
    <s v="0558116276-2"/>
    <s v="CST"/>
    <n v="2"/>
    <n v="1100"/>
    <n v="0"/>
    <n v="60"/>
    <n v="60"/>
    <s v="HRAP"/>
    <d v="2001-12-05T00:00:00"/>
    <d v="2002-03-01T00:00:00"/>
    <d v="2002-03-01T00:00:00"/>
    <d v="2002-03-01T00:00:00"/>
    <d v="2002-03-02T00:00:00"/>
    <d v="2002-03-15T00:00:00"/>
    <s v="OTIF PASS"/>
    <n v="2"/>
    <s v="1210_FG_HPC"/>
    <x v="3"/>
    <n v="1"/>
    <m/>
  </r>
  <r>
    <s v="0558116003-5"/>
    <s v="CST"/>
    <n v="2.5"/>
    <n v="510"/>
    <n v="0"/>
    <n v="8"/>
    <n v="8"/>
    <s v="HRAP"/>
    <d v="2001-08-31T00:00:00"/>
    <d v="2002-03-11T00:00:00"/>
    <d v="2002-03-11T00:00:00"/>
    <d v="2002-03-11T00:00:00"/>
    <d v="2002-03-16T00:00:00"/>
    <d v="2002-03-16T00:00:00"/>
    <s v="OTIF PASS"/>
    <n v="5"/>
    <s v="1210_FG_HPC"/>
    <x v="3"/>
    <n v="1"/>
    <m/>
  </r>
  <r>
    <s v="0558116003-3"/>
    <s v="JBS"/>
    <n v="2.5"/>
    <n v="398"/>
    <n v="0"/>
    <n v="14"/>
    <n v="14"/>
    <s v="HRAP"/>
    <d v="2001-08-31T00:00:00"/>
    <d v="2002-03-11T00:00:00"/>
    <d v="2002-03-11T00:00:00"/>
    <d v="2002-03-11T00:00:00"/>
    <d v="2002-03-12T00:00:00"/>
    <d v="2002-03-19T00:00:00"/>
    <s v="OTIF PASS"/>
    <n v="3"/>
    <s v="1210_FG_HPC"/>
    <x v="0"/>
    <n v="1"/>
    <m/>
  </r>
  <r>
    <s v="0558116277-2"/>
    <s v="CST"/>
    <n v="2"/>
    <n v="1100"/>
    <n v="0"/>
    <n v="42"/>
    <n v="42"/>
    <s v="HRAP"/>
    <d v="2001-10-25T00:00:00"/>
    <d v="2002-03-15T00:00:00"/>
    <d v="2002-03-15T00:00:00"/>
    <d v="2002-03-15T00:00:00"/>
    <d v="2002-03-15T00:00:00"/>
    <d v="2002-03-15T00:00:00"/>
    <s v="OTIF PASS"/>
    <n v="2"/>
    <s v="1210_FG_HPC"/>
    <x v="3"/>
    <n v="1"/>
    <m/>
  </r>
  <r>
    <s v="0558116636-1"/>
    <s v="HRC"/>
    <n v="2"/>
    <n v="1250"/>
    <n v="0"/>
    <n v="20"/>
    <n v="20"/>
    <s v="HRAP"/>
    <d v="2002-03-20T00:00:00"/>
    <d v="2002-04-22T00:00:00"/>
    <d v="2002-04-22T00:00:00"/>
    <d v="2002-04-22T00:00:00"/>
    <d v="2002-04-22T00:00:00"/>
    <d v="2002-04-22T00:00:00"/>
    <s v="OTIF PASS"/>
    <n v="1"/>
    <s v="1210_FG_HPC"/>
    <x v="2"/>
    <n v="1"/>
    <m/>
  </r>
  <r>
    <s v="0558114206-2"/>
    <s v="HRC"/>
    <n v="6"/>
    <n v="1250"/>
    <n v="0"/>
    <n v="10"/>
    <n v="10"/>
    <s v="HRAP"/>
    <d v="2001-08-22T00:00:00"/>
    <d v="2002-03-07T00:00:00"/>
    <d v="2002-03-07T00:00:00"/>
    <d v="2002-03-07T00:00:00"/>
    <d v="2002-03-09T00:00:00"/>
    <d v="2002-03-09T00:00:00"/>
    <s v="OTIF PASS"/>
    <n v="2"/>
    <s v="1210_FG_HPC"/>
    <x v="1"/>
    <n v="1"/>
    <m/>
  </r>
  <r>
    <s v="0558116003-6"/>
    <s v="CST"/>
    <n v="2.5"/>
    <n v="398"/>
    <n v="0"/>
    <n v="7"/>
    <n v="7"/>
    <s v="HRAP"/>
    <d v="2001-08-31T00:00:00"/>
    <d v="2002-03-11T00:00:00"/>
    <d v="2002-03-20T00:00:00"/>
    <d v="2002-03-20T00:00:00"/>
    <d v="2002-03-19T00:00:00"/>
    <d v="2002-03-19T00:00:00"/>
    <s v="OTIF FAIL"/>
    <n v="6"/>
    <s v="1210_FG_HPC"/>
    <x v="0"/>
    <n v="1"/>
    <m/>
  </r>
  <r>
    <s v="0558116003-4"/>
    <s v="HRC"/>
    <n v="2.5"/>
    <n v="460"/>
    <n v="0"/>
    <n v="7"/>
    <n v="7"/>
    <s v="HRAP"/>
    <d v="2001-08-31T00:00:00"/>
    <d v="2002-03-10T00:00:00"/>
    <d v="2002-03-10T00:00:00"/>
    <d v="2002-03-10T00:00:00"/>
    <d v="2002-03-10T00:00:00"/>
    <d v="2002-03-10T00:00:00"/>
    <s v="OTIF PASS"/>
    <n v="4"/>
    <s v="1210_FG_HPC"/>
    <x v="3"/>
    <n v="1"/>
    <m/>
  </r>
  <r>
    <s v="0558116304-10"/>
    <s v="CST"/>
    <n v="2"/>
    <n v="610"/>
    <n v="0"/>
    <n v="20"/>
    <n v="20"/>
    <s v="HRAP"/>
    <d v="2001-10-28T00:00:00"/>
    <d v="2002-03-17T00:00:00"/>
    <s v="-"/>
    <s v="-"/>
    <d v="2002-03-20T00:00:00"/>
    <d v="2002-03-30T00:00:00"/>
    <s v="OTIF FAIL"/>
    <n v="10"/>
    <s v="1210_FG_HPC"/>
    <x v="9"/>
    <n v="1"/>
    <m/>
  </r>
  <r>
    <s v="0558116304-12"/>
    <s v="CST"/>
    <n v="2"/>
    <n v="600"/>
    <n v="0"/>
    <n v="20"/>
    <n v="20"/>
    <s v="HRAP"/>
    <d v="2001-10-28T00:00:00"/>
    <d v="2002-03-17T00:00:00"/>
    <s v="-"/>
    <s v="-"/>
    <d v="2002-03-20T00:00:00"/>
    <d v="2002-04-14T00:00:00"/>
    <s v="OTIF FAIL"/>
    <n v="12"/>
    <s v="1210_FG_HPC"/>
    <x v="15"/>
    <n v="1"/>
    <m/>
  </r>
  <r>
    <s v="0558116716-1"/>
    <s v="JBS"/>
    <n v="2"/>
    <n v="1250"/>
    <n v="0"/>
    <n v="20"/>
    <n v="20"/>
    <s v="HRAP"/>
    <d v="2002-03-28T00:00:00"/>
    <d v="2002-05-03T00:00:00"/>
    <s v="-"/>
    <s v="-"/>
    <s v="-"/>
    <d v="2002-04-22T00:00:00"/>
    <s v="OTIF FAIL"/>
    <n v="1"/>
    <s v="1210_FG_HPC"/>
    <x v="2"/>
    <n v="0"/>
    <m/>
  </r>
  <r>
    <s v="0558116669-1"/>
    <s v="HRC"/>
    <n v="2"/>
    <n v="1250"/>
    <n v="0"/>
    <n v="20"/>
    <n v="20"/>
    <s v="HRAP"/>
    <d v="2002-03-28T00:00:00"/>
    <d v="2002-05-03T00:00:00"/>
    <s v="-"/>
    <s v="-"/>
    <s v="-"/>
    <d v="2002-04-22T00:00:00"/>
    <s v="OTIF FAIL"/>
    <n v="1"/>
    <s v="1210_FG_HPC"/>
    <x v="2"/>
    <n v="0"/>
    <m/>
  </r>
  <r>
    <s v="0558116305-1"/>
    <s v="HRC"/>
    <n v="2.2999999999999998"/>
    <n v="625"/>
    <n v="0"/>
    <n v="20"/>
    <n v="20"/>
    <s v="HRAP"/>
    <d v="2001-10-28T00:00:00"/>
    <d v="2002-03-17T00:00:00"/>
    <d v="2002-03-30T00:00:00"/>
    <d v="2002-03-30T00:00:00"/>
    <d v="2002-03-30T00:00:00"/>
    <d v="2002-03-30T00:00:00"/>
    <s v="OTIF FAIL"/>
    <n v="1"/>
    <s v="1210_FG_HPC"/>
    <x v="9"/>
    <n v="1"/>
    <m/>
  </r>
  <r>
    <s v="0558116578-1"/>
    <s v="HRC"/>
    <n v="3"/>
    <n v="1250"/>
    <n v="0"/>
    <n v="100"/>
    <n v="62.276000000000003"/>
    <s v="HRAP"/>
    <d v="2002-03-06T00:00:00"/>
    <d v="2002-03-21T00:00:00"/>
    <d v="2002-03-21T00:00:00"/>
    <d v="2002-03-21T00:00:00"/>
    <d v="2002-03-21T00:00:00"/>
    <d v="2002-03-21T00:00:00"/>
    <s v="OTIF PASS"/>
    <n v="1"/>
    <s v="1210_FG_HPC"/>
    <x v="0"/>
    <n v="0"/>
    <m/>
  </r>
  <r>
    <s v="0558113188-3"/>
    <s v="HRC"/>
    <n v="3"/>
    <n v="1250"/>
    <n v="0"/>
    <n v="5"/>
    <n v="5"/>
    <s v="HRAP"/>
    <d v="2001-09-25T00:00:00"/>
    <d v="2002-03-05T00:00:00"/>
    <d v="2002-03-17T00:00:00"/>
    <d v="2002-03-17T00:00:00"/>
    <d v="2002-03-24T00:00:00"/>
    <d v="2002-03-24T00:00:00"/>
    <s v="OTIF FAIL"/>
    <n v="3"/>
    <s v="1210_FG_HPC"/>
    <x v="9"/>
    <n v="1"/>
    <m/>
  </r>
  <r>
    <s v="0558116003-7"/>
    <s v="HRC"/>
    <n v="2.5"/>
    <n v="350"/>
    <n v="0"/>
    <n v="6"/>
    <n v="6"/>
    <s v="HRAP"/>
    <d v="2001-08-31T00:00:00"/>
    <d v="2002-03-11T00:00:00"/>
    <d v="2002-03-20T00:00:00"/>
    <d v="2002-03-20T00:00:00"/>
    <d v="2002-03-19T00:00:00"/>
    <d v="2002-03-19T00:00:00"/>
    <s v="OTIF FAIL"/>
    <n v="7"/>
    <s v="1210_FG_HPC"/>
    <x v="0"/>
    <n v="1"/>
    <m/>
  </r>
  <r>
    <s v="0558116613-1"/>
    <s v="JBS"/>
    <n v="2"/>
    <n v="1250"/>
    <n v="0"/>
    <n v="20"/>
    <n v="20"/>
    <s v="HRAP"/>
    <d v="2002-03-20T00:00:00"/>
    <d v="2002-04-22T00:00:00"/>
    <d v="2002-04-22T00:00:00"/>
    <d v="2002-04-22T00:00:00"/>
    <d v="2002-04-22T00:00:00"/>
    <d v="2002-04-22T00:00:00"/>
    <s v="OTIF PASS"/>
    <n v="1"/>
    <s v="1210_FG_HPC"/>
    <x v="2"/>
    <n v="1"/>
    <m/>
  </r>
  <r>
    <s v="0558116305-19"/>
    <s v="CST"/>
    <n v="2"/>
    <n v="525"/>
    <n v="0"/>
    <n v="25"/>
    <n v="25"/>
    <s v="HRAP"/>
    <d v="2001-10-28T00:00:00"/>
    <d v="2002-03-18T00:00:00"/>
    <d v="2002-04-14T00:00:00"/>
    <d v="2002-04-14T00:00:00"/>
    <d v="2002-04-14T00:00:00"/>
    <d v="2002-04-14T00:00:00"/>
    <s v="OTIF FAIL"/>
    <n v="19"/>
    <s v="1210_FG_HPC"/>
    <x v="15"/>
    <n v="1"/>
    <m/>
  </r>
  <r>
    <s v="0558116280-1"/>
    <s v="CST"/>
    <n v="2.5"/>
    <n v="1250"/>
    <n v="0"/>
    <n v="100"/>
    <n v="80"/>
    <s v="HRAP"/>
    <d v="2001-10-28T00:00:00"/>
    <d v="2002-03-15T00:00:00"/>
    <s v="-"/>
    <s v="-"/>
    <d v="2002-03-19T00:00:00"/>
    <d v="2002-03-19T00:00:00"/>
    <s v="OTIF FAIL"/>
    <n v="1"/>
    <s v="1210_FG_HPC"/>
    <x v="0"/>
    <n v="0"/>
    <m/>
  </r>
  <r>
    <s v="0558104096-1"/>
    <s v="CST"/>
    <n v="4.78"/>
    <n v="1140"/>
    <n v="0"/>
    <n v="18"/>
    <n v="18"/>
    <s v="HRAP"/>
    <d v="2001-08-07T00:00:00"/>
    <d v="2002-03-29T00:00:00"/>
    <d v="2002-03-29T00:00:00"/>
    <d v="2002-03-29T00:00:00"/>
    <d v="2002-03-29T00:00:00"/>
    <d v="2002-03-29T00:00:00"/>
    <s v="OTIF PASS"/>
    <n v="1"/>
    <s v="1210_FG_HPC"/>
    <x v="9"/>
    <n v="1"/>
    <m/>
  </r>
  <r>
    <s v="0558116281-1"/>
    <s v="JBS"/>
    <n v="2.5"/>
    <n v="1250"/>
    <n v="0"/>
    <n v="100"/>
    <n v="100"/>
    <s v="HRAP"/>
    <d v="2001-10-28T00:00:00"/>
    <d v="2002-03-15T00:00:00"/>
    <d v="2002-03-15T00:00:00"/>
    <d v="2002-03-15T00:00:00"/>
    <d v="2002-03-15T00:00:00"/>
    <d v="2002-03-19T00:00:00"/>
    <s v="OTIF PASS"/>
    <n v="1"/>
    <s v="1210_FG_HPC"/>
    <x v="0"/>
    <n v="1"/>
    <m/>
  </r>
  <r>
    <s v="0558116306-19"/>
    <s v="CRC"/>
    <n v="2"/>
    <n v="525"/>
    <n v="0"/>
    <n v="25"/>
    <n v="25"/>
    <s v="HRAP"/>
    <d v="2001-10-28T00:00:00"/>
    <d v="2002-03-18T00:00:00"/>
    <s v="-"/>
    <s v="-"/>
    <d v="2002-03-20T00:00:00"/>
    <d v="2002-04-14T00:00:00"/>
    <s v="OTIF FAIL"/>
    <n v="19"/>
    <s v="1210_FG_HPC"/>
    <x v="15"/>
    <n v="1"/>
    <m/>
  </r>
  <r>
    <s v="0558114769-3"/>
    <s v="HRC"/>
    <n v="2.5"/>
    <n v="605"/>
    <n v="0"/>
    <n v="10"/>
    <n v="10"/>
    <s v="HRAP"/>
    <d v="2001-08-23T00:00:00"/>
    <d v="2002-03-30T00:00:00"/>
    <d v="2002-04-01T00:00:00"/>
    <d v="2002-04-01T00:00:00"/>
    <d v="2002-03-30T00:00:00"/>
    <d v="2002-03-30T00:00:00"/>
    <s v="OTIF FAIL"/>
    <n v="3"/>
    <s v="1210_FG_HPC"/>
    <x v="9"/>
    <n v="1"/>
    <m/>
  </r>
  <r>
    <s v="0558116306-4"/>
    <s v="JBS"/>
    <n v="2.2999999999999998"/>
    <n v="535"/>
    <n v="0"/>
    <n v="26"/>
    <n v="26"/>
    <s v="HRAP"/>
    <d v="2001-10-28T00:00:00"/>
    <d v="2002-03-18T00:00:00"/>
    <s v="-"/>
    <s v="-"/>
    <d v="2002-03-22T00:00:00"/>
    <d v="2002-03-24T00:00:00"/>
    <s v="OTIF FAIL"/>
    <n v="4"/>
    <s v="1210_FG_HPC"/>
    <x v="9"/>
    <n v="1"/>
    <m/>
  </r>
  <r>
    <s v="0569023076-1"/>
    <s v="CST"/>
    <n v="3"/>
    <n v="1250"/>
    <n v="0"/>
    <n v="6"/>
    <n v="6"/>
    <s v="HRAP"/>
    <d v="2001-08-23T00:00:00"/>
    <d v="2002-03-04T00:00:00"/>
    <d v="2002-03-04T00:00:00"/>
    <d v="2002-03-04T00:00:00"/>
    <d v="2002-03-06T00:00:00"/>
    <d v="2002-04-07T00:00:00"/>
    <s v="OTIF PASS"/>
    <n v="1"/>
    <s v="1210_FG_HPC"/>
    <x v="7"/>
    <n v="1"/>
    <m/>
  </r>
  <r>
    <s v="0558116306-18"/>
    <s v="HRC"/>
    <n v="2"/>
    <n v="580"/>
    <n v="0"/>
    <n v="29"/>
    <n v="29"/>
    <s v="HRAP"/>
    <d v="2001-11-06T00:00:00"/>
    <d v="2002-03-18T00:00:00"/>
    <d v="2002-04-14T00:00:00"/>
    <d v="2002-04-14T00:00:00"/>
    <d v="2002-04-14T00:00:00"/>
    <d v="2002-04-14T00:00:00"/>
    <s v="OTIF FAIL"/>
    <n v="18"/>
    <s v="1210_FG_HPC"/>
    <x v="15"/>
    <n v="1"/>
    <m/>
  </r>
  <r>
    <s v="0558116306-20"/>
    <s v="CST"/>
    <n v="2"/>
    <n v="555"/>
    <n v="0"/>
    <n v="27"/>
    <n v="27"/>
    <s v="HRAP"/>
    <d v="2001-11-06T00:00:00"/>
    <d v="2002-03-18T00:00:00"/>
    <d v="2002-04-14T00:00:00"/>
    <d v="2002-04-14T00:00:00"/>
    <d v="2002-04-14T00:00:00"/>
    <d v="2002-04-14T00:00:00"/>
    <s v="OTIF FAIL"/>
    <n v="20"/>
    <s v="1210_FG_HPC"/>
    <x v="15"/>
    <n v="1"/>
    <m/>
  </r>
  <r>
    <s v="0558113183-1"/>
    <s v="CST"/>
    <n v="3"/>
    <n v="1250"/>
    <n v="0"/>
    <n v="5"/>
    <n v="5"/>
    <s v="HRAP"/>
    <d v="2001-08-22T00:00:00"/>
    <d v="2002-03-05T00:00:00"/>
    <d v="2002-03-17T00:00:00"/>
    <d v="2002-03-17T00:00:00"/>
    <d v="2002-03-24T00:00:00"/>
    <d v="2002-03-24T00:00:00"/>
    <s v="OTIF FAIL"/>
    <n v="1"/>
    <s v="1210_FG_HPC"/>
    <x v="9"/>
    <n v="1"/>
    <m/>
  </r>
  <r>
    <s v="0558116306-17"/>
    <s v="HRC"/>
    <n v="2"/>
    <n v="510"/>
    <n v="0"/>
    <n v="18"/>
    <n v="18"/>
    <s v="HRAP"/>
    <d v="2001-11-06T00:00:00"/>
    <d v="2002-03-18T00:00:00"/>
    <d v="2002-04-14T00:00:00"/>
    <d v="2002-04-14T00:00:00"/>
    <d v="2002-04-14T00:00:00"/>
    <d v="2002-04-14T00:00:00"/>
    <s v="OTIF FAIL"/>
    <n v="17"/>
    <s v="1210_FG_HPC"/>
    <x v="15"/>
    <n v="1"/>
    <m/>
  </r>
  <r>
    <s v="0558116307-20"/>
    <s v="CRC"/>
    <n v="2"/>
    <n v="555"/>
    <n v="0"/>
    <n v="27"/>
    <n v="27"/>
    <s v="HRAP"/>
    <d v="2001-11-06T00:00:00"/>
    <d v="2002-02-23T00:00:00"/>
    <d v="2002-04-06T00:00:00"/>
    <d v="2002-04-06T00:00:00"/>
    <d v="2002-04-06T00:00:00"/>
    <d v="2002-04-14T00:00:00"/>
    <s v="OTIF FAIL"/>
    <n v="20"/>
    <s v="1210_FG_HPC"/>
    <x v="15"/>
    <n v="1"/>
    <m/>
  </r>
  <r>
    <s v="0569023125-1"/>
    <s v="HRC"/>
    <n v="6"/>
    <n v="1250"/>
    <n v="0"/>
    <n v="6"/>
    <n v="6"/>
    <s v="HRAP"/>
    <d v="2001-08-27T00:00:00"/>
    <d v="2002-03-04T00:00:00"/>
    <d v="2002-03-04T00:00:00"/>
    <d v="2002-03-04T00:00:00"/>
    <d v="2002-03-07T00:00:00"/>
    <d v="2002-03-16T00:00:00"/>
    <s v="OTIF PASS"/>
    <n v="1"/>
    <s v="1210_FG_HPC"/>
    <x v="3"/>
    <n v="1"/>
    <m/>
  </r>
  <r>
    <s v="0569023076-2"/>
    <s v="HRC"/>
    <n v="6"/>
    <n v="1250"/>
    <n v="0"/>
    <n v="6"/>
    <n v="6"/>
    <s v="HRAP"/>
    <d v="2001-08-23T00:00:00"/>
    <d v="2002-03-04T00:00:00"/>
    <d v="2002-03-09T00:00:00"/>
    <d v="2002-03-09T00:00:00"/>
    <d v="2002-03-16T00:00:00"/>
    <d v="2002-03-16T00:00:00"/>
    <s v="OTIF FAIL"/>
    <n v="2"/>
    <s v="1210_FG_HPC"/>
    <x v="3"/>
    <n v="1"/>
    <m/>
  </r>
  <r>
    <s v="0569023179-3"/>
    <s v="CST"/>
    <n v="5"/>
    <n v="1250"/>
    <n v="0"/>
    <n v="6"/>
    <n v="6"/>
    <s v="HRAP"/>
    <d v="2001-08-30T00:00:00"/>
    <d v="2002-03-04T00:00:00"/>
    <d v="2002-03-15T00:00:00"/>
    <d v="2002-03-15T00:00:00"/>
    <d v="2002-03-15T00:00:00"/>
    <d v="2002-03-15T00:00:00"/>
    <s v="OTIF FAIL"/>
    <n v="3"/>
    <s v="1210_FG_HPC"/>
    <x v="3"/>
    <n v="1"/>
    <m/>
  </r>
  <r>
    <s v="0558116307-11"/>
    <s v="CST"/>
    <n v="2"/>
    <n v="640"/>
    <n v="0"/>
    <n v="20"/>
    <n v="20"/>
    <s v="HRAP"/>
    <d v="2001-11-06T00:00:00"/>
    <d v="2002-03-18T00:00:00"/>
    <d v="2002-03-25T00:00:00"/>
    <d v="2002-03-25T00:00:00"/>
    <d v="2002-03-19T00:00:00"/>
    <d v="2002-03-31T00:00:00"/>
    <s v="OTIF FAIL"/>
    <n v="11"/>
    <s v="1210_FG_HPC"/>
    <x v="6"/>
    <n v="1"/>
    <m/>
  </r>
  <r>
    <s v="0558116307-12"/>
    <s v="HRC"/>
    <n v="2"/>
    <n v="600"/>
    <n v="0"/>
    <n v="20"/>
    <n v="20"/>
    <s v="HRAP"/>
    <d v="2001-11-06T00:00:00"/>
    <d v="2002-02-28T00:00:00"/>
    <d v="2002-03-25T00:00:00"/>
    <d v="2002-03-25T00:00:00"/>
    <d v="2002-03-18T00:00:00"/>
    <d v="2002-04-14T00:00:00"/>
    <s v="OTIF FAIL"/>
    <n v="12"/>
    <s v="1210_FG_HPC"/>
    <x v="15"/>
    <n v="1"/>
    <m/>
  </r>
  <r>
    <s v="0569022545-3"/>
    <s v="CST"/>
    <n v="4"/>
    <n v="1250"/>
    <n v="0"/>
    <n v="12"/>
    <n v="12"/>
    <s v="HRAP"/>
    <d v="2001-09-25T00:00:00"/>
    <d v="2002-03-10T00:00:00"/>
    <d v="2002-03-17T00:00:00"/>
    <d v="2002-03-17T00:00:00"/>
    <d v="2002-03-17T00:00:00"/>
    <d v="2002-03-17T00:00:00"/>
    <s v="OTIF FAIL"/>
    <n v="3"/>
    <s v="1210_FG_HPC"/>
    <x v="0"/>
    <n v="1"/>
    <m/>
  </r>
  <r>
    <s v="0558113259-4"/>
    <s v="CST"/>
    <n v="2"/>
    <n v="560"/>
    <n v="0"/>
    <n v="10"/>
    <n v="10"/>
    <s v="HRAP"/>
    <d v="2001-09-25T00:00:00"/>
    <d v="2002-03-04T00:00:00"/>
    <d v="2002-03-07T00:00:00"/>
    <d v="2002-03-07T00:00:00"/>
    <d v="2002-03-06T00:00:00"/>
    <d v="2002-03-06T00:00:00"/>
    <s v="OTIF FAIL"/>
    <n v="4"/>
    <s v="1110_FG_HPC"/>
    <x v="1"/>
    <n v="1"/>
    <m/>
  </r>
  <r>
    <s v="0558113666-1"/>
    <s v="CRC"/>
    <n v="2"/>
    <n v="1100"/>
    <n v="0"/>
    <n v="200"/>
    <n v="126.024"/>
    <s v="HRAP"/>
    <d v="2001-08-20T00:00:00"/>
    <d v="2002-03-30T00:00:00"/>
    <d v="2002-04-06T00:00:00"/>
    <d v="2002-04-06T00:00:00"/>
    <d v="2002-04-06T00:00:00"/>
    <d v="2002-04-06T00:00:00"/>
    <s v="OTIF FAIL"/>
    <n v="1"/>
    <s v="1210_FG_HPC"/>
    <x v="6"/>
    <n v="0"/>
    <m/>
  </r>
  <r>
    <s v="0558116307-1"/>
    <s v="HRC"/>
    <n v="2.2999999999999998"/>
    <n v="625"/>
    <n v="0"/>
    <n v="20"/>
    <n v="20"/>
    <s v="HRAP"/>
    <d v="2001-11-06T00:00:00"/>
    <d v="2002-03-18T00:00:00"/>
    <d v="2002-03-30T00:00:00"/>
    <d v="2002-03-30T00:00:00"/>
    <d v="2002-03-30T00:00:00"/>
    <d v="2002-03-30T00:00:00"/>
    <s v="OTIF FAIL"/>
    <n v="1"/>
    <s v="1210_FG_HPC"/>
    <x v="9"/>
    <n v="1"/>
    <m/>
  </r>
  <r>
    <s v="0558116307-13"/>
    <s v="HRC"/>
    <n v="2"/>
    <n v="650"/>
    <n v="0"/>
    <n v="20"/>
    <n v="20"/>
    <s v="HRAP"/>
    <d v="2001-11-06T00:00:00"/>
    <d v="2002-03-18T00:00:00"/>
    <d v="2002-03-25T00:00:00"/>
    <d v="2002-03-25T00:00:00"/>
    <d v="2002-03-18T00:00:00"/>
    <d v="2002-03-31T00:00:00"/>
    <s v="OTIF FAIL"/>
    <n v="13"/>
    <s v="1210_FG_HPC"/>
    <x v="6"/>
    <n v="1"/>
    <m/>
  </r>
  <r>
    <s v="0558116307-8"/>
    <s v="CST"/>
    <n v="2"/>
    <n v="590"/>
    <n v="0"/>
    <n v="20"/>
    <n v="20"/>
    <s v="HRAP"/>
    <d v="2001-11-06T00:00:00"/>
    <d v="2002-03-18T00:00:00"/>
    <d v="2002-03-28T00:00:00"/>
    <d v="2002-03-28T00:00:00"/>
    <d v="2002-03-21T00:00:00"/>
    <d v="2002-04-14T00:00:00"/>
    <s v="OTIF FAIL"/>
    <n v="8"/>
    <s v="1210_FG_HPC"/>
    <x v="15"/>
    <n v="1"/>
    <m/>
  </r>
  <r>
    <s v="0558116307-3"/>
    <s v="CST"/>
    <n v="2.2999999999999998"/>
    <n v="640"/>
    <n v="0"/>
    <n v="20"/>
    <n v="20"/>
    <s v="HRAP"/>
    <d v="2001-11-06T00:00:00"/>
    <d v="2002-03-18T00:00:00"/>
    <s v="-"/>
    <s v="-"/>
    <d v="2002-03-22T00:00:00"/>
    <d v="2002-03-24T00:00:00"/>
    <s v="OTIF FAIL"/>
    <n v="3"/>
    <s v="1210_FG_HPC"/>
    <x v="9"/>
    <n v="1"/>
    <m/>
  </r>
  <r>
    <s v="0569023179-4"/>
    <s v="CRC"/>
    <n v="6"/>
    <n v="1250"/>
    <n v="0"/>
    <n v="6"/>
    <n v="6"/>
    <s v="HRAP"/>
    <d v="2001-08-30T00:00:00"/>
    <d v="2002-03-04T00:00:00"/>
    <d v="2002-03-09T00:00:00"/>
    <d v="2002-03-09T00:00:00"/>
    <d v="2002-03-16T00:00:00"/>
    <d v="2002-03-16T00:00:00"/>
    <s v="OTIF FAIL"/>
    <n v="4"/>
    <s v="1210_FG_HPC"/>
    <x v="3"/>
    <n v="1"/>
    <m/>
  </r>
  <r>
    <s v="0558116307-9"/>
    <s v="CST"/>
    <n v="2"/>
    <n v="625"/>
    <n v="0"/>
    <n v="20"/>
    <n v="20"/>
    <s v="HRAP"/>
    <d v="2001-11-06T00:00:00"/>
    <d v="2002-03-18T00:00:00"/>
    <d v="2002-03-25T00:00:00"/>
    <d v="2002-03-25T00:00:00"/>
    <d v="2002-03-19T00:00:00"/>
    <d v="2002-05-11T00:00:00"/>
    <s v="OTIF FAIL"/>
    <n v="9"/>
    <s v="1210_FG_HPC"/>
    <x v="19"/>
    <n v="1"/>
    <m/>
  </r>
  <r>
    <s v="0558116307-16"/>
    <s v="HPC"/>
    <n v="2"/>
    <n v="550"/>
    <n v="0"/>
    <n v="27"/>
    <n v="27"/>
    <s v="HRAP"/>
    <d v="2001-11-06T00:00:00"/>
    <d v="2002-02-26T00:00:00"/>
    <d v="2002-04-06T00:00:00"/>
    <d v="2002-04-06T00:00:00"/>
    <d v="2002-04-06T00:00:00"/>
    <d v="2002-04-14T00:00:00"/>
    <s v="OTIF FAIL"/>
    <n v="16"/>
    <s v="1210_FG_HPC"/>
    <x v="15"/>
    <n v="1"/>
    <m/>
  </r>
  <r>
    <s v="0558116307-7"/>
    <s v="HRC"/>
    <n v="2"/>
    <n v="535"/>
    <n v="0"/>
    <n v="9"/>
    <n v="9"/>
    <s v="HRAP"/>
    <d v="2001-11-06T00:00:00"/>
    <d v="2002-03-18T00:00:00"/>
    <d v="2002-04-07T00:00:00"/>
    <d v="2002-04-07T00:00:00"/>
    <d v="2002-04-07T00:00:00"/>
    <d v="2002-04-07T00:00:00"/>
    <s v="OTIF FAIL"/>
    <n v="7"/>
    <s v="1210_FG_HPC"/>
    <x v="7"/>
    <n v="1"/>
    <m/>
  </r>
  <r>
    <s v="0558116307-18"/>
    <s v="HRC"/>
    <n v="2"/>
    <n v="580"/>
    <n v="0"/>
    <n v="29"/>
    <n v="29"/>
    <s v="HRAP"/>
    <d v="2001-11-06T00:00:00"/>
    <d v="2002-03-18T00:00:00"/>
    <d v="2002-04-13T00:00:00"/>
    <d v="2002-04-13T00:00:00"/>
    <d v="2002-04-07T00:00:00"/>
    <d v="2002-04-14T00:00:00"/>
    <s v="OTIF FAIL"/>
    <n v="18"/>
    <s v="1210_FG_HPC"/>
    <x v="15"/>
    <n v="1"/>
    <m/>
  </r>
  <r>
    <s v="0558116692-1"/>
    <s v="HRC"/>
    <n v="2"/>
    <n v="1250"/>
    <n v="0"/>
    <n v="20"/>
    <n v="20"/>
    <s v="HRAP"/>
    <d v="2002-03-28T00:00:00"/>
    <d v="2002-05-08T00:00:00"/>
    <s v="-"/>
    <s v="-"/>
    <s v="-"/>
    <d v="2002-04-22T00:00:00"/>
    <s v="OTIF FAIL"/>
    <n v="1"/>
    <s v="1210_FG_HPC"/>
    <x v="2"/>
    <n v="0"/>
    <m/>
  </r>
  <r>
    <s v="0558116307-15"/>
    <s v="PSS"/>
    <n v="2"/>
    <n v="505"/>
    <n v="0"/>
    <n v="24"/>
    <n v="24"/>
    <s v="HRAP"/>
    <d v="2001-11-06T00:00:00"/>
    <d v="2002-03-18T00:00:00"/>
    <d v="2002-04-06T00:00:00"/>
    <d v="2002-04-06T00:00:00"/>
    <d v="2002-04-06T00:00:00"/>
    <d v="2002-04-14T00:00:00"/>
    <s v="OTIF FAIL"/>
    <n v="15"/>
    <s v="1210_FG_HPC"/>
    <x v="15"/>
    <n v="1"/>
    <m/>
  </r>
  <r>
    <s v="0558114769-11"/>
    <s v="CST"/>
    <n v="3"/>
    <n v="840"/>
    <n v="0"/>
    <n v="7"/>
    <n v="7"/>
    <s v="HRAP"/>
    <d v="2001-08-23T00:00:00"/>
    <d v="2002-03-30T00:00:00"/>
    <d v="2002-03-30T00:00:00"/>
    <d v="2002-03-30T00:00:00"/>
    <d v="2002-03-30T00:00:00"/>
    <d v="2002-03-30T00:00:00"/>
    <s v="OTIF PASS"/>
    <n v="11"/>
    <s v="1210_FG_HPC"/>
    <x v="9"/>
    <n v="1"/>
    <m/>
  </r>
  <r>
    <s v="0569022587-4"/>
    <s v="CST"/>
    <n v="4"/>
    <n v="1250"/>
    <n v="0"/>
    <n v="6"/>
    <n v="6"/>
    <s v="HRAP"/>
    <d v="2001-09-25T00:00:00"/>
    <d v="2002-03-10T00:00:00"/>
    <d v="2002-03-17T00:00:00"/>
    <d v="2002-03-17T00:00:00"/>
    <d v="2002-03-17T00:00:00"/>
    <d v="2002-03-17T00:00:00"/>
    <s v="OTIF FAIL"/>
    <n v="4"/>
    <s v="1210_FG_HPC"/>
    <x v="0"/>
    <n v="1"/>
    <m/>
  </r>
  <r>
    <s v="0558114769-6"/>
    <s v="CST"/>
    <n v="3"/>
    <n v="525"/>
    <n v="0"/>
    <n v="8.5"/>
    <n v="8.5"/>
    <s v="HRAP"/>
    <d v="2001-08-23T00:00:00"/>
    <d v="2002-03-30T00:00:00"/>
    <s v="-"/>
    <s v="-"/>
    <d v="2002-04-06T00:00:00"/>
    <d v="2002-04-06T00:00:00"/>
    <s v="OTIF FAIL"/>
    <n v="6"/>
    <s v="1210_FG_HPC"/>
    <x v="6"/>
    <n v="1"/>
    <m/>
  </r>
  <r>
    <s v="0558113716-1"/>
    <s v="HRC"/>
    <n v="3"/>
    <n v="1250"/>
    <n v="0"/>
    <n v="8"/>
    <n v="8"/>
    <s v="HRAP"/>
    <d v="2001-08-22T00:00:00"/>
    <d v="2002-03-06T00:00:00"/>
    <d v="2002-03-06T00:00:00"/>
    <d v="2002-03-06T00:00:00"/>
    <d v="2002-03-07T00:00:00"/>
    <d v="2002-03-07T00:00:00"/>
    <s v="OTIF PASS"/>
    <n v="1"/>
    <s v="1210_FG_HPC"/>
    <x v="1"/>
    <n v="1"/>
    <m/>
  </r>
  <r>
    <s v="0558116576-1"/>
    <s v="HRC"/>
    <n v="3"/>
    <n v="1250"/>
    <n v="0"/>
    <n v="200"/>
    <n v="157.32300000000001"/>
    <s v="HRAP"/>
    <d v="2002-03-06T00:00:00"/>
    <d v="2002-03-21T00:00:00"/>
    <d v="2002-03-22T00:00:00"/>
    <d v="2002-03-22T00:00:00"/>
    <d v="2002-03-22T00:00:00"/>
    <d v="2002-03-22T00:00:00"/>
    <s v="OTIF FAIL"/>
    <n v="1"/>
    <s v="1210_FG_HPC"/>
    <x v="0"/>
    <n v="0"/>
    <m/>
  </r>
  <r>
    <s v="0558116003-9"/>
    <s v="HRC"/>
    <n v="2.5"/>
    <n v="530"/>
    <n v="0"/>
    <n v="9"/>
    <n v="9"/>
    <s v="HRAP"/>
    <d v="2001-08-31T00:00:00"/>
    <d v="2002-03-10T00:00:00"/>
    <d v="2002-03-10T00:00:00"/>
    <d v="2002-03-10T00:00:00"/>
    <d v="2002-03-10T00:00:00"/>
    <d v="2002-03-10T00:00:00"/>
    <s v="OTIF PASS"/>
    <n v="9"/>
    <s v="1210_FG_HPC"/>
    <x v="3"/>
    <n v="1"/>
    <m/>
  </r>
  <r>
    <s v="0558113405-5"/>
    <s v="HRC"/>
    <n v="4"/>
    <n v="399"/>
    <n v="0"/>
    <n v="6"/>
    <n v="6"/>
    <s v="HRAP"/>
    <d v="2001-08-02T00:00:00"/>
    <d v="2002-03-04T00:00:00"/>
    <d v="2002-03-09T00:00:00"/>
    <d v="2002-03-09T00:00:00"/>
    <d v="2002-03-07T00:00:00"/>
    <d v="2002-03-07T00:00:00"/>
    <s v="OTIF FAIL"/>
    <n v="5"/>
    <s v="1210_FG_HPC"/>
    <x v="1"/>
    <n v="1"/>
    <m/>
  </r>
  <r>
    <s v="0558116307-17"/>
    <s v="CST"/>
    <n v="2"/>
    <n v="510"/>
    <n v="0"/>
    <n v="18"/>
    <n v="18"/>
    <s v="HRAP"/>
    <d v="2001-11-06T00:00:00"/>
    <d v="2002-03-18T00:00:00"/>
    <d v="2002-04-13T00:00:00"/>
    <d v="2002-04-13T00:00:00"/>
    <d v="2002-04-07T00:00:00"/>
    <d v="2002-04-14T00:00:00"/>
    <s v="OTIF FAIL"/>
    <n v="17"/>
    <s v="1210_FG_HPC"/>
    <x v="15"/>
    <n v="1"/>
    <m/>
  </r>
  <r>
    <s v="0569022969-6"/>
    <s v="CST"/>
    <n v="2.5"/>
    <n v="1250"/>
    <n v="0"/>
    <n v="20"/>
    <n v="20"/>
    <s v="HRAP"/>
    <d v="2001-08-13T00:00:00"/>
    <d v="2002-03-31T00:00:00"/>
    <s v="-"/>
    <s v="-"/>
    <d v="2002-03-31T00:00:00"/>
    <d v="2002-04-07T00:00:00"/>
    <s v="OTIF FAIL"/>
    <n v="6"/>
    <s v="1210_FG_HPC"/>
    <x v="7"/>
    <n v="1"/>
    <m/>
  </r>
  <r>
    <s v="0558116003-10"/>
    <s v="HPC"/>
    <n v="2.5"/>
    <n v="446"/>
    <n v="0"/>
    <n v="7"/>
    <n v="7"/>
    <s v="HRAP"/>
    <d v="2001-08-31T00:00:00"/>
    <d v="2002-03-11T00:00:00"/>
    <d v="2002-03-11T00:00:00"/>
    <d v="2002-03-11T00:00:00"/>
    <d v="2002-03-11T00:00:00"/>
    <d v="2002-03-11T00:00:00"/>
    <s v="OTIF PASS"/>
    <n v="10"/>
    <s v="1210_FG_HPC"/>
    <x v="3"/>
    <n v="1"/>
    <m/>
  </r>
  <r>
    <s v="0558116274-2"/>
    <s v="CST"/>
    <n v="2"/>
    <n v="1100"/>
    <n v="0"/>
    <n v="42"/>
    <n v="42"/>
    <s v="HRAP"/>
    <d v="2001-10-25T00:00:00"/>
    <d v="2002-03-14T00:00:00"/>
    <d v="2002-03-14T00:00:00"/>
    <d v="2002-03-14T00:00:00"/>
    <d v="2002-03-14T00:00:00"/>
    <d v="2002-03-15T00:00:00"/>
    <s v="OTIF PASS"/>
    <n v="2"/>
    <s v="1210_FG_HPC"/>
    <x v="3"/>
    <n v="1"/>
    <m/>
  </r>
  <r>
    <s v="0569023179-2"/>
    <s v="HPC"/>
    <n v="3"/>
    <n v="1250"/>
    <n v="0"/>
    <n v="18"/>
    <n v="18"/>
    <s v="HRAP"/>
    <d v="2001-08-30T00:00:00"/>
    <d v="2002-03-04T00:00:00"/>
    <d v="2002-03-04T00:00:00"/>
    <d v="2002-03-04T00:00:00"/>
    <d v="2002-03-06T00:00:00"/>
    <d v="2002-04-07T00:00:00"/>
    <s v="OTIF PASS"/>
    <n v="2"/>
    <s v="1210_FG_HPC"/>
    <x v="7"/>
    <n v="1"/>
    <m/>
  </r>
  <r>
    <s v="0569023022-5"/>
    <s v="CRC"/>
    <n v="2.5"/>
    <n v="1250"/>
    <n v="0"/>
    <n v="27"/>
    <n v="10.914999999999999"/>
    <s v="HRAP"/>
    <d v="2001-08-19T00:00:00"/>
    <d v="2002-03-04T00:00:00"/>
    <d v="2002-03-04T00:00:00"/>
    <d v="2002-03-04T00:00:00"/>
    <d v="2002-03-08T00:00:00"/>
    <d v="2002-03-09T00:00:00"/>
    <s v="OTIF PASS"/>
    <n v="5"/>
    <s v="1210_FG_HPC"/>
    <x v="1"/>
    <n v="0"/>
    <m/>
  </r>
  <r>
    <s v="0558113716-2"/>
    <s v="HRC"/>
    <n v="6"/>
    <n v="1250"/>
    <n v="0"/>
    <n v="8"/>
    <n v="8"/>
    <s v="HRAP"/>
    <d v="2001-08-22T00:00:00"/>
    <d v="2002-03-06T00:00:00"/>
    <d v="2002-03-06T00:00:00"/>
    <d v="2002-03-06T00:00:00"/>
    <d v="2002-03-07T00:00:00"/>
    <d v="2002-03-07T00:00:00"/>
    <s v="OTIF PASS"/>
    <n v="2"/>
    <s v="1210_FG_HPC"/>
    <x v="1"/>
    <n v="1"/>
    <m/>
  </r>
  <r>
    <s v="0558116274-3"/>
    <s v="CST"/>
    <n v="2.2999999999999998"/>
    <n v="1250"/>
    <n v="0"/>
    <n v="63"/>
    <n v="63"/>
    <s v="HRAP"/>
    <d v="2001-10-25T00:00:00"/>
    <d v="2002-03-14T00:00:00"/>
    <d v="2002-03-14T00:00:00"/>
    <d v="2002-03-14T00:00:00"/>
    <d v="2002-03-14T00:00:00"/>
    <d v="2002-03-17T00:00:00"/>
    <s v="OTIF PASS"/>
    <n v="3"/>
    <s v="1210_FG_HPC"/>
    <x v="0"/>
    <n v="1"/>
    <m/>
  </r>
  <r>
    <s v="0558116307-19"/>
    <s v="HRC"/>
    <n v="2"/>
    <n v="525"/>
    <n v="0"/>
    <n v="25"/>
    <n v="25"/>
    <s v="HRAP"/>
    <d v="2001-10-28T00:00:00"/>
    <d v="2002-03-18T00:00:00"/>
    <d v="2002-04-07T00:00:00"/>
    <d v="2002-04-07T00:00:00"/>
    <d v="2002-04-07T00:00:00"/>
    <d v="2002-04-14T00:00:00"/>
    <s v="OTIF FAIL"/>
    <n v="19"/>
    <s v="1210_FG_HPC"/>
    <x v="15"/>
    <n v="1"/>
    <m/>
  </r>
  <r>
    <s v="0558116003-8"/>
    <s v="HRC"/>
    <n v="2.5"/>
    <n v="282"/>
    <n v="0"/>
    <n v="5"/>
    <n v="5"/>
    <s v="HRAP"/>
    <d v="2001-08-31T00:00:00"/>
    <d v="2002-03-11T00:00:00"/>
    <d v="2002-03-11T00:00:00"/>
    <d v="2002-03-11T00:00:00"/>
    <d v="2002-03-11T00:00:00"/>
    <d v="2002-03-11T00:00:00"/>
    <s v="OTIF PASS"/>
    <n v="8"/>
    <s v="1210_FG_HPC"/>
    <x v="3"/>
    <n v="1"/>
    <m/>
  </r>
  <r>
    <s v="0569023179-1"/>
    <s v="CST"/>
    <n v="4"/>
    <n v="1250"/>
    <n v="0"/>
    <n v="5"/>
    <n v="5"/>
    <s v="HRAP"/>
    <d v="2001-08-30T00:00:00"/>
    <d v="2002-03-04T00:00:00"/>
    <d v="2002-03-06T00:00:00"/>
    <d v="2002-03-06T00:00:00"/>
    <d v="2002-03-09T00:00:00"/>
    <d v="2002-03-17T00:00:00"/>
    <s v="OTIF FAIL"/>
    <n v="1"/>
    <s v="1210_FG_HPC"/>
    <x v="0"/>
    <n v="1"/>
    <m/>
  </r>
  <r>
    <s v="0569023176-4"/>
    <s v="CST"/>
    <n v="6"/>
    <n v="1250"/>
    <n v="0"/>
    <n v="17"/>
    <n v="17"/>
    <s v="HRAP"/>
    <d v="2001-08-30T00:00:00"/>
    <d v="2002-03-04T00:00:00"/>
    <d v="2002-03-03T00:00:00"/>
    <d v="2002-03-04T00:00:00"/>
    <d v="2002-03-07T00:00:00"/>
    <d v="2002-03-16T00:00:00"/>
    <s v="OTIF PASS"/>
    <n v="4"/>
    <s v="1210_FG_HPC"/>
    <x v="3"/>
    <n v="1"/>
    <m/>
  </r>
  <r>
    <s v="0569023176-1"/>
    <s v="CST"/>
    <n v="3"/>
    <n v="1250"/>
    <n v="0"/>
    <n v="8"/>
    <n v="8"/>
    <s v="HRAP"/>
    <d v="2001-08-30T00:00:00"/>
    <d v="2002-03-04T00:00:00"/>
    <d v="2002-03-04T00:00:00"/>
    <d v="2002-03-04T00:00:00"/>
    <d v="2002-03-06T00:00:00"/>
    <d v="2002-04-07T00:00:00"/>
    <s v="OTIF PASS"/>
    <n v="1"/>
    <s v="1210_FG_HPC"/>
    <x v="7"/>
    <n v="1"/>
    <m/>
  </r>
  <r>
    <s v="0569023176-3"/>
    <s v="CRC"/>
    <n v="5"/>
    <n v="1250"/>
    <n v="0"/>
    <n v="35"/>
    <n v="35"/>
    <s v="HRAP"/>
    <d v="2001-08-30T00:00:00"/>
    <d v="2002-03-04T00:00:00"/>
    <d v="2002-03-04T00:00:00"/>
    <d v="2002-03-04T00:00:00"/>
    <d v="2002-03-06T00:00:00"/>
    <d v="2002-03-15T00:00:00"/>
    <s v="OTIF PASS"/>
    <n v="3"/>
    <s v="1210_FG_HPC"/>
    <x v="3"/>
    <n v="1"/>
    <m/>
  </r>
  <r>
    <s v="0558113980-1"/>
    <s v="CST"/>
    <n v="4"/>
    <n v="1250"/>
    <n v="0"/>
    <n v="20"/>
    <n v="20"/>
    <s v="HRAP"/>
    <d v="2001-08-12T00:00:00"/>
    <d v="2002-03-30T00:00:00"/>
    <d v="2002-03-30T00:00:00"/>
    <d v="2002-03-30T00:00:00"/>
    <d v="2002-03-30T00:00:00"/>
    <d v="2002-03-30T00:00:00"/>
    <s v="OTIF PASS"/>
    <n v="1"/>
    <s v="1210_FG_HPC"/>
    <x v="9"/>
    <n v="1"/>
    <m/>
  </r>
  <r>
    <s v="0558116303-11"/>
    <s v="CRC"/>
    <n v="2"/>
    <n v="640"/>
    <n v="0"/>
    <n v="20"/>
    <n v="20"/>
    <s v="HRAP"/>
    <d v="2001-10-28T00:00:00"/>
    <d v="2002-03-17T00:00:00"/>
    <d v="2002-03-21T00:00:00"/>
    <d v="2002-03-21T00:00:00"/>
    <d v="2002-03-21T00:00:00"/>
    <d v="2002-03-31T00:00:00"/>
    <s v="OTIF FAIL"/>
    <n v="11"/>
    <s v="1210_FG_HPC"/>
    <x v="6"/>
    <n v="1"/>
    <m/>
  </r>
  <r>
    <s v="0558113405-3"/>
    <s v="CST"/>
    <n v="4"/>
    <n v="439"/>
    <n v="0"/>
    <n v="7.5"/>
    <n v="7.5"/>
    <s v="HRAP"/>
    <d v="2001-08-02T00:00:00"/>
    <d v="2002-03-04T00:00:00"/>
    <d v="2002-03-10T00:00:00"/>
    <d v="2002-03-10T00:00:00"/>
    <d v="2002-03-07T00:00:00"/>
    <d v="2002-03-07T00:00:00"/>
    <s v="OTIF FAIL"/>
    <n v="3"/>
    <s v="1210_FG_HPC"/>
    <x v="1"/>
    <n v="1"/>
    <m/>
  </r>
  <r>
    <s v="0569023123-3"/>
    <s v="NFA"/>
    <n v="2"/>
    <n v="1250"/>
    <n v="0"/>
    <n v="110"/>
    <n v="110"/>
    <s v="HRAP"/>
    <d v="2001-08-27T00:00:00"/>
    <d v="2002-03-31T00:00:00"/>
    <d v="2002-03-31T00:00:00"/>
    <d v="2002-03-31T00:00:00"/>
    <d v="2002-03-31T00:00:00"/>
    <d v="2002-03-31T00:00:00"/>
    <s v="OTIF PASS"/>
    <n v="3"/>
    <s v="1210_FG_HPC"/>
    <x v="6"/>
    <n v="1"/>
    <m/>
  </r>
  <r>
    <s v="0558116307-10"/>
    <s v="NFA"/>
    <n v="2"/>
    <n v="610"/>
    <n v="0"/>
    <n v="20"/>
    <n v="20"/>
    <s v="HRAP"/>
    <d v="2001-11-06T00:00:00"/>
    <d v="2002-03-18T00:00:00"/>
    <d v="2002-03-19T00:00:00"/>
    <d v="2002-03-19T00:00:00"/>
    <d v="2002-03-19T00:00:00"/>
    <d v="2002-03-30T00:00:00"/>
    <s v="OTIF FAIL"/>
    <n v="10"/>
    <s v="1210_FG_HPC"/>
    <x v="9"/>
    <n v="1"/>
    <m/>
  </r>
  <r>
    <s v="0558114507-1"/>
    <s v="CST"/>
    <n v="2"/>
    <n v="1100"/>
    <n v="0"/>
    <n v="170"/>
    <n v="78.337000000000003"/>
    <s v="HRAP"/>
    <d v="2001-08-20T00:00:00"/>
    <d v="2002-03-30T00:00:00"/>
    <d v="2002-03-30T00:00:00"/>
    <d v="2002-03-30T00:00:00"/>
    <d v="2002-03-30T00:00:00"/>
    <d v="2002-03-30T00:00:00"/>
    <s v="OTIF PASS"/>
    <n v="1"/>
    <s v="1210_FG_HPC"/>
    <x v="9"/>
    <n v="0"/>
    <m/>
  </r>
  <r>
    <s v="0569023123-2"/>
    <s v="HPC"/>
    <n v="3"/>
    <n v="1250"/>
    <n v="0"/>
    <n v="20"/>
    <n v="20"/>
    <s v="HRAP"/>
    <d v="2001-08-27T00:00:00"/>
    <d v="2002-03-31T00:00:00"/>
    <d v="2002-03-31T00:00:00"/>
    <d v="2002-03-31T00:00:00"/>
    <d v="2002-03-31T00:00:00"/>
    <d v="2002-03-31T00:00:00"/>
    <s v="OTIF PASS"/>
    <n v="2"/>
    <s v="1210_FG_HPC"/>
    <x v="6"/>
    <n v="1"/>
    <m/>
  </r>
  <r>
    <s v="0569023123-1"/>
    <s v="CST"/>
    <n v="2.2999999999999998"/>
    <n v="625"/>
    <n v="0"/>
    <n v="20"/>
    <n v="20"/>
    <s v="HRAP"/>
    <d v="2001-08-27T00:00:00"/>
    <d v="2002-03-31T00:00:00"/>
    <d v="2002-04-14T00:00:00"/>
    <d v="2002-04-14T00:00:00"/>
    <d v="2002-04-14T00:00:00"/>
    <d v="2002-04-14T00:00:00"/>
    <s v="OTIF FAIL"/>
    <n v="1"/>
    <s v="1210_FG_HPC"/>
    <x v="15"/>
    <n v="1"/>
    <m/>
  </r>
  <r>
    <s v="0569022946-3"/>
    <s v="CRC"/>
    <n v="3"/>
    <n v="1250"/>
    <n v="0"/>
    <n v="61"/>
    <n v="61"/>
    <s v="HRAP"/>
    <d v="2001-08-07T00:00:00"/>
    <d v="2002-03-31T00:00:00"/>
    <d v="2002-03-31T00:00:00"/>
    <d v="2002-03-31T00:00:00"/>
    <d v="2002-03-31T00:00:00"/>
    <d v="2002-03-31T00:00:00"/>
    <s v="OTIF PASS"/>
    <n v="3"/>
    <s v="1210_FG_HPC"/>
    <x v="6"/>
    <n v="1"/>
    <m/>
  </r>
  <r>
    <s v="0558113405-2"/>
    <s v="CST"/>
    <n v="4"/>
    <n v="453"/>
    <n v="0"/>
    <n v="7.5"/>
    <n v="7.5"/>
    <s v="HRAP"/>
    <d v="2001-08-02T00:00:00"/>
    <d v="2002-03-04T00:00:00"/>
    <d v="2002-03-10T00:00:00"/>
    <d v="2002-03-10T00:00:00"/>
    <d v="2002-03-08T00:00:00"/>
    <d v="2002-03-08T00:00:00"/>
    <s v="OTIF FAIL"/>
    <n v="2"/>
    <s v="1210_FG_HPC"/>
    <x v="1"/>
    <n v="1"/>
    <m/>
  </r>
  <r>
    <s v="0558116303-18"/>
    <s v="CST"/>
    <n v="2"/>
    <n v="580"/>
    <n v="0"/>
    <n v="29"/>
    <n v="29"/>
    <s v="HRAP"/>
    <d v="2002-01-24T00:00:00"/>
    <d v="2002-03-17T00:00:00"/>
    <d v="2002-04-14T00:00:00"/>
    <d v="2002-04-14T00:00:00"/>
    <d v="2002-04-14T00:00:00"/>
    <d v="2002-04-14T00:00:00"/>
    <s v="OTIF FAIL"/>
    <n v="18"/>
    <s v="1210_FG_HPC"/>
    <x v="15"/>
    <n v="1"/>
    <m/>
  </r>
  <r>
    <s v="0569022969-5"/>
    <s v="JBS"/>
    <n v="2.5"/>
    <n v="1250"/>
    <n v="0"/>
    <n v="71"/>
    <n v="19.95"/>
    <s v="HRAP"/>
    <d v="2001-08-13T00:00:00"/>
    <d v="2002-03-31T00:00:00"/>
    <s v="-"/>
    <s v="-"/>
    <d v="2002-04-14T00:00:00"/>
    <d v="2002-04-14T00:00:00"/>
    <s v="OTIF FAIL"/>
    <n v="5"/>
    <s v="1210_FG_HPC"/>
    <x v="15"/>
    <n v="0"/>
    <m/>
  </r>
  <r>
    <s v="0558113405-7"/>
    <s v="HRC"/>
    <n v="4"/>
    <n v="296"/>
    <n v="0"/>
    <n v="5"/>
    <n v="5"/>
    <s v="HRAP"/>
    <d v="2001-08-02T00:00:00"/>
    <d v="2002-03-05T00:00:00"/>
    <d v="2002-03-09T00:00:00"/>
    <d v="2002-03-09T00:00:00"/>
    <d v="2002-03-08T00:00:00"/>
    <d v="2002-03-08T00:00:00"/>
    <s v="OTIF FAIL"/>
    <n v="7"/>
    <s v="1210_FG_HPC"/>
    <x v="1"/>
    <n v="1"/>
    <m/>
  </r>
  <r>
    <s v="0569023019-5"/>
    <s v="CST"/>
    <n v="2"/>
    <n v="1250"/>
    <n v="0"/>
    <n v="48"/>
    <n v="6.9"/>
    <s v="HRAP"/>
    <d v="2001-08-19T00:00:00"/>
    <d v="2002-03-31T00:00:00"/>
    <d v="2002-03-31T00:00:00"/>
    <d v="2002-03-31T00:00:00"/>
    <d v="2002-03-31T00:00:00"/>
    <d v="2002-03-31T00:00:00"/>
    <s v="OTIF PASS"/>
    <n v="5"/>
    <s v="1210_FG_HPC"/>
    <x v="6"/>
    <n v="0"/>
    <m/>
  </r>
  <r>
    <s v="0558113405-8"/>
    <s v="CST"/>
    <n v="4"/>
    <n v="219"/>
    <n v="0"/>
    <n v="4"/>
    <n v="4"/>
    <s v="HRAP"/>
    <d v="2001-08-02T00:00:00"/>
    <d v="2002-03-05T00:00:00"/>
    <d v="2002-03-09T00:00:00"/>
    <d v="2002-03-09T00:00:00"/>
    <d v="2002-03-08T00:00:00"/>
    <d v="2002-03-08T00:00:00"/>
    <s v="OTIF FAIL"/>
    <n v="8"/>
    <s v="1210_FG_HPC"/>
    <x v="1"/>
    <n v="1"/>
    <m/>
  </r>
  <r>
    <s v="0558116310-10"/>
    <s v="CRC"/>
    <n v="2"/>
    <n v="610"/>
    <n v="0"/>
    <n v="20"/>
    <n v="20"/>
    <s v="HRAP"/>
    <d v="2001-11-06T00:00:00"/>
    <d v="2002-02-21T00:00:00"/>
    <d v="2002-03-25T00:00:00"/>
    <d v="2002-03-25T00:00:00"/>
    <d v="2002-03-18T00:00:00"/>
    <d v="2002-03-30T00:00:00"/>
    <s v="OTIF FAIL"/>
    <n v="10"/>
    <s v="1210_FG_HPC"/>
    <x v="9"/>
    <n v="1"/>
    <m/>
  </r>
  <r>
    <s v="0558113405-6"/>
    <s v="CST"/>
    <n v="4"/>
    <n v="343"/>
    <n v="0"/>
    <n v="5"/>
    <n v="5"/>
    <s v="HRAP"/>
    <d v="2001-08-02T00:00:00"/>
    <d v="2002-03-04T00:00:00"/>
    <d v="2002-03-09T00:00:00"/>
    <d v="2002-03-09T00:00:00"/>
    <d v="2002-03-08T00:00:00"/>
    <d v="2002-03-08T00:00:00"/>
    <s v="OTIF FAIL"/>
    <n v="6"/>
    <s v="1210_FG_HPC"/>
    <x v="1"/>
    <n v="1"/>
    <m/>
  </r>
  <r>
    <s v="0558114140-7"/>
    <s v="CRC"/>
    <n v="4"/>
    <n v="1250"/>
    <n v="0"/>
    <n v="19"/>
    <n v="19"/>
    <s v="HRAP"/>
    <d v="2001-08-14T00:00:00"/>
    <d v="2002-03-30T00:00:00"/>
    <d v="2002-03-31T00:00:00"/>
    <d v="2002-03-31T00:00:00"/>
    <d v="2002-03-30T00:00:00"/>
    <d v="2002-03-30T00:00:00"/>
    <s v="OTIF FAIL"/>
    <n v="7"/>
    <s v="1210_FG_HPC"/>
    <x v="9"/>
    <n v="1"/>
    <m/>
  </r>
  <r>
    <s v="0558116310-15"/>
    <s v="CST"/>
    <n v="2"/>
    <n v="505"/>
    <n v="0"/>
    <n v="24"/>
    <n v="24"/>
    <s v="HRAP"/>
    <d v="2001-11-06T00:00:00"/>
    <d v="2002-03-20T00:00:00"/>
    <d v="2002-04-13T00:00:00"/>
    <d v="2002-04-13T00:00:00"/>
    <d v="2002-04-07T00:00:00"/>
    <d v="2002-04-14T00:00:00"/>
    <s v="OTIF FAIL"/>
    <n v="15"/>
    <s v="1210_FG_HPC"/>
    <x v="15"/>
    <n v="1"/>
    <m/>
  </r>
  <r>
    <s v="0558116311-7"/>
    <s v="PSS"/>
    <n v="2"/>
    <n v="535"/>
    <n v="0"/>
    <n v="9"/>
    <n v="9"/>
    <s v="HRAP"/>
    <d v="2001-11-04T00:00:00"/>
    <d v="2002-03-20T00:00:00"/>
    <d v="2002-04-07T00:00:00"/>
    <d v="2002-04-07T00:00:00"/>
    <d v="2002-04-07T00:00:00"/>
    <d v="2002-04-07T00:00:00"/>
    <s v="OTIF FAIL"/>
    <n v="7"/>
    <s v="1210_FG_HPC"/>
    <x v="7"/>
    <n v="1"/>
    <m/>
  </r>
  <r>
    <s v="0558116310-16"/>
    <s v="HRC"/>
    <n v="2"/>
    <n v="550"/>
    <n v="0"/>
    <n v="27"/>
    <n v="27"/>
    <s v="HRAP"/>
    <d v="2001-11-06T00:00:00"/>
    <d v="2002-02-25T00:00:00"/>
    <d v="2002-03-28T00:00:00"/>
    <d v="2002-03-28T00:00:00"/>
    <d v="2002-03-23T00:00:00"/>
    <d v="2002-04-14T00:00:00"/>
    <s v="OTIF FAIL"/>
    <n v="16"/>
    <s v="1210_FG_HPC"/>
    <x v="15"/>
    <n v="1"/>
    <m/>
  </r>
  <r>
    <s v="0558116309-2"/>
    <s v="CST"/>
    <n v="2.2999999999999998"/>
    <n v="460"/>
    <n v="0"/>
    <n v="18"/>
    <n v="18"/>
    <s v="HRAP"/>
    <d v="2001-11-06T00:00:00"/>
    <d v="2002-03-19T00:00:00"/>
    <d v="2002-03-24T00:00:00"/>
    <d v="2002-03-24T00:00:00"/>
    <d v="2002-03-24T00:00:00"/>
    <d v="2002-04-07T00:00:00"/>
    <s v="OTIF FAIL"/>
    <n v="2"/>
    <s v="1210_FG_HPC"/>
    <x v="7"/>
    <n v="1"/>
    <m/>
  </r>
  <r>
    <s v="0558116311-8"/>
    <s v="HRC"/>
    <n v="2"/>
    <n v="590"/>
    <n v="0"/>
    <n v="20"/>
    <n v="20"/>
    <s v="HRAP"/>
    <d v="2001-11-04T00:00:00"/>
    <d v="2002-03-20T00:00:00"/>
    <d v="2002-04-07T00:00:00"/>
    <d v="2002-04-07T00:00:00"/>
    <d v="2002-04-07T00:00:00"/>
    <d v="2002-04-14T00:00:00"/>
    <s v="OTIF FAIL"/>
    <n v="8"/>
    <s v="1210_FG_HPC"/>
    <x v="15"/>
    <n v="1"/>
    <m/>
  </r>
  <r>
    <s v="0558116311-9"/>
    <s v="CRC"/>
    <n v="2"/>
    <n v="625"/>
    <n v="0"/>
    <n v="20"/>
    <n v="20"/>
    <s v="HRAP"/>
    <d v="2001-11-04T00:00:00"/>
    <d v="2002-03-20T00:00:00"/>
    <d v="2002-03-25T00:00:00"/>
    <d v="2002-03-25T00:00:00"/>
    <d v="2002-03-24T00:00:00"/>
    <d v="2002-05-11T00:00:00"/>
    <s v="OTIF FAIL"/>
    <n v="9"/>
    <s v="1210_FG_HPC"/>
    <x v="19"/>
    <n v="1"/>
    <m/>
  </r>
  <r>
    <s v="0558116311-3"/>
    <s v="CST"/>
    <n v="2.2999999999999998"/>
    <n v="640"/>
    <n v="0"/>
    <n v="20"/>
    <n v="20"/>
    <s v="HRAP"/>
    <d v="2001-11-04T00:00:00"/>
    <d v="2002-03-20T00:00:00"/>
    <d v="2002-03-24T00:00:00"/>
    <d v="2002-03-24T00:00:00"/>
    <d v="2002-03-24T00:00:00"/>
    <d v="2002-03-24T00:00:00"/>
    <s v="OTIF FAIL"/>
    <n v="3"/>
    <s v="1210_FG_HPC"/>
    <x v="9"/>
    <n v="1"/>
    <m/>
  </r>
  <r>
    <s v="0558116311-4"/>
    <s v="CRC"/>
    <n v="2.2999999999999998"/>
    <n v="535"/>
    <n v="0"/>
    <n v="26"/>
    <n v="26"/>
    <s v="HRAP"/>
    <d v="2001-11-04T00:00:00"/>
    <d v="2002-03-20T00:00:00"/>
    <d v="2002-03-24T00:00:00"/>
    <d v="2002-03-24T00:00:00"/>
    <d v="2002-03-24T00:00:00"/>
    <d v="2002-03-24T00:00:00"/>
    <s v="OTIF FAIL"/>
    <n v="4"/>
    <s v="1210_FG_HPC"/>
    <x v="9"/>
    <n v="1"/>
    <m/>
  </r>
  <r>
    <s v="0569022969-3"/>
    <s v="CST"/>
    <n v="3"/>
    <n v="1250"/>
    <n v="0"/>
    <n v="32"/>
    <n v="32"/>
    <s v="HRAP"/>
    <d v="2001-08-13T00:00:00"/>
    <d v="2002-03-31T00:00:00"/>
    <d v="2002-03-31T00:00:00"/>
    <d v="2002-03-31T00:00:00"/>
    <d v="2002-03-31T00:00:00"/>
    <d v="2002-03-31T00:00:00"/>
    <s v="OTIF PASS"/>
    <n v="3"/>
    <s v="1210_FG_HPC"/>
    <x v="6"/>
    <n v="1"/>
    <m/>
  </r>
  <r>
    <s v="0558116311-18"/>
    <s v="CRC"/>
    <n v="2"/>
    <n v="580"/>
    <n v="0"/>
    <n v="29"/>
    <n v="29"/>
    <s v="HRAP"/>
    <d v="2001-11-04T00:00:00"/>
    <d v="2002-03-21T00:00:00"/>
    <d v="2002-04-13T00:00:00"/>
    <d v="2002-04-13T00:00:00"/>
    <d v="2002-04-07T00:00:00"/>
    <d v="2002-04-14T00:00:00"/>
    <s v="OTIF FAIL"/>
    <n v="18"/>
    <s v="1210_FG_HPC"/>
    <x v="15"/>
    <n v="1"/>
    <m/>
  </r>
  <r>
    <s v="0558116311-2"/>
    <s v="CST"/>
    <n v="2.2999999999999998"/>
    <n v="460"/>
    <n v="0"/>
    <n v="18"/>
    <n v="18"/>
    <s v="HRAP"/>
    <d v="2001-10-28T00:00:00"/>
    <d v="2002-03-20T00:00:00"/>
    <d v="2002-03-24T00:00:00"/>
    <d v="2002-03-24T00:00:00"/>
    <d v="2002-03-24T00:00:00"/>
    <d v="2002-04-07T00:00:00"/>
    <s v="OTIF FAIL"/>
    <n v="2"/>
    <s v="1210_FG_HPC"/>
    <x v="7"/>
    <n v="1"/>
    <m/>
  </r>
  <r>
    <s v="0558116311-17"/>
    <s v="CST"/>
    <n v="2"/>
    <n v="510"/>
    <n v="0"/>
    <n v="18"/>
    <n v="18"/>
    <s v="HRAP"/>
    <d v="2001-10-28T00:00:00"/>
    <d v="2002-03-21T00:00:00"/>
    <d v="2002-04-13T00:00:00"/>
    <d v="2002-04-13T00:00:00"/>
    <d v="2002-04-07T00:00:00"/>
    <d v="2002-04-14T00:00:00"/>
    <s v="OTIF FAIL"/>
    <n v="17"/>
    <s v="1210_FG_HPC"/>
    <x v="15"/>
    <n v="1"/>
    <m/>
  </r>
  <r>
    <s v="0558116311-6"/>
    <s v="CST"/>
    <n v="2"/>
    <n v="565"/>
    <n v="0"/>
    <n v="9"/>
    <n v="9"/>
    <s v="HRAP"/>
    <d v="2001-11-04T00:00:00"/>
    <d v="2002-03-20T00:00:00"/>
    <d v="2002-04-13T00:00:00"/>
    <d v="2002-04-13T00:00:00"/>
    <d v="2002-04-07T00:00:00"/>
    <d v="2002-04-07T00:00:00"/>
    <s v="OTIF FAIL"/>
    <n v="6"/>
    <s v="1210_FG_HPC"/>
    <x v="7"/>
    <n v="1"/>
    <m/>
  </r>
  <r>
    <s v="0558116311-5"/>
    <s v="CST"/>
    <n v="2.2999999999999998"/>
    <n v="565"/>
    <n v="0"/>
    <n v="28"/>
    <n v="28"/>
    <s v="HRAP"/>
    <d v="2001-11-04T00:00:00"/>
    <d v="2002-03-20T00:00:00"/>
    <d v="2002-03-24T00:00:00"/>
    <d v="2002-03-24T00:00:00"/>
    <d v="2002-03-24T00:00:00"/>
    <d v="2002-03-31T00:00:00"/>
    <s v="OTIF FAIL"/>
    <n v="5"/>
    <s v="1210_FG_HPC"/>
    <x v="6"/>
    <n v="1"/>
    <m/>
  </r>
  <r>
    <s v="0569022843-1"/>
    <s v="CRC"/>
    <n v="3"/>
    <n v="1250"/>
    <n v="0"/>
    <n v="40"/>
    <n v="40"/>
    <s v="HRAP"/>
    <d v="2001-08-01T00:00:00"/>
    <d v="2002-03-31T00:00:00"/>
    <d v="2002-03-31T00:00:00"/>
    <d v="2002-03-31T00:00:00"/>
    <d v="2002-03-31T00:00:00"/>
    <d v="2002-03-31T00:00:00"/>
    <s v="OTIF PASS"/>
    <n v="1"/>
    <s v="1210_FG_HPC"/>
    <x v="6"/>
    <n v="1"/>
    <m/>
  </r>
  <r>
    <s v="0558116307-2"/>
    <s v="HPC"/>
    <n v="2.2999999999999998"/>
    <n v="460"/>
    <n v="0"/>
    <n v="18"/>
    <n v="18"/>
    <s v="HRAP"/>
    <d v="2001-11-06T00:00:00"/>
    <d v="2002-03-18T00:00:00"/>
    <d v="2002-03-22T00:00:00"/>
    <d v="2002-03-22T00:00:00"/>
    <d v="2002-03-22T00:00:00"/>
    <d v="2002-04-07T00:00:00"/>
    <s v="OTIF FAIL"/>
    <n v="2"/>
    <s v="1210_FG_HPC"/>
    <x v="7"/>
    <n v="1"/>
    <m/>
  </r>
  <r>
    <s v="0558111172-1"/>
    <s v="HPC"/>
    <n v="6"/>
    <n v="1250"/>
    <n v="0"/>
    <n v="22"/>
    <n v="22"/>
    <s v="HRAP"/>
    <d v="2001-09-25T00:00:00"/>
    <d v="2002-02-27T00:00:00"/>
    <d v="2002-03-05T00:00:00"/>
    <d v="2002-03-05T00:00:00"/>
    <d v="2002-03-06T00:00:00"/>
    <d v="2002-03-06T00:00:00"/>
    <s v="OTIF FAIL"/>
    <n v="1"/>
    <s v="1210_FG_HPC"/>
    <x v="1"/>
    <n v="1"/>
    <m/>
  </r>
  <r>
    <s v="0558116245-1"/>
    <s v="CST"/>
    <n v="2.5"/>
    <n v="568"/>
    <n v="0"/>
    <n v="9"/>
    <n v="9"/>
    <s v="HRAP"/>
    <d v="2001-10-28T00:00:00"/>
    <d v="2002-03-13T00:00:00"/>
    <d v="2002-03-24T00:00:00"/>
    <d v="2002-03-24T00:00:00"/>
    <d v="2002-03-17T00:00:00"/>
    <d v="2002-03-17T00:00:00"/>
    <s v="OTIF FAIL"/>
    <n v="1"/>
    <s v="1210_FG_HPC"/>
    <x v="0"/>
    <n v="1"/>
    <m/>
  </r>
  <r>
    <s v="0558116245-3"/>
    <s v="CST"/>
    <n v="2.5"/>
    <n v="357"/>
    <n v="0"/>
    <n v="6"/>
    <n v="6"/>
    <s v="HRAP"/>
    <d v="2001-10-28T00:00:00"/>
    <d v="2002-03-13T00:00:00"/>
    <d v="2002-03-24T00:00:00"/>
    <d v="2002-03-24T00:00:00"/>
    <d v="2002-03-17T00:00:00"/>
    <d v="2002-03-17T00:00:00"/>
    <s v="OTIF FAIL"/>
    <n v="3"/>
    <s v="1210_FG_HPC"/>
    <x v="0"/>
    <n v="1"/>
    <m/>
  </r>
  <r>
    <s v="0558116235-5"/>
    <s v="HRC"/>
    <n v="3"/>
    <n v="225"/>
    <n v="0"/>
    <n v="5"/>
    <n v="5"/>
    <s v="HRAP"/>
    <d v="2001-11-04T00:00:00"/>
    <d v="2002-03-12T00:00:00"/>
    <d v="2002-03-23T00:00:00"/>
    <d v="2002-03-23T00:00:00"/>
    <d v="2002-03-16T00:00:00"/>
    <d v="2002-03-16T00:00:00"/>
    <s v="OTIF FAIL"/>
    <n v="5"/>
    <s v="1210_FG_HPC"/>
    <x v="3"/>
    <n v="1"/>
    <m/>
  </r>
  <r>
    <s v="0558116235-8"/>
    <s v="HPC"/>
    <n v="3"/>
    <n v="515"/>
    <n v="0"/>
    <n v="15"/>
    <n v="15"/>
    <s v="HRAP"/>
    <d v="2001-11-04T00:00:00"/>
    <d v="2002-03-12T00:00:00"/>
    <d v="2002-03-16T00:00:00"/>
    <d v="2002-03-16T00:00:00"/>
    <d v="2002-03-16T00:00:00"/>
    <d v="2002-03-16T00:00:00"/>
    <s v="OTIF FAIL"/>
    <n v="8"/>
    <s v="1210_FG_HPC"/>
    <x v="3"/>
    <n v="1"/>
    <m/>
  </r>
  <r>
    <s v="0558116277-1"/>
    <s v="HRC"/>
    <n v="2.5"/>
    <n v="1250"/>
    <n v="0"/>
    <n v="42"/>
    <n v="42"/>
    <s v="HRAP"/>
    <d v="2001-10-25T00:00:00"/>
    <d v="2002-03-15T00:00:00"/>
    <d v="2002-03-15T00:00:00"/>
    <d v="2002-03-15T00:00:00"/>
    <d v="2002-03-15T00:00:00"/>
    <d v="2002-03-15T00:00:00"/>
    <s v="OTIF PASS"/>
    <n v="1"/>
    <s v="1210_FG_HPC"/>
    <x v="3"/>
    <n v="1"/>
    <m/>
  </r>
  <r>
    <s v="0558116244-1"/>
    <s v="CST"/>
    <n v="2.5"/>
    <n v="568"/>
    <n v="0"/>
    <n v="9"/>
    <n v="9"/>
    <s v="HRAP"/>
    <d v="2001-10-25T00:00:00"/>
    <d v="2002-03-13T00:00:00"/>
    <d v="2002-03-24T00:00:00"/>
    <d v="2002-03-24T00:00:00"/>
    <d v="2002-03-17T00:00:00"/>
    <d v="2002-03-17T00:00:00"/>
    <s v="OTIF FAIL"/>
    <n v="1"/>
    <s v="1210_FG_HPC"/>
    <x v="0"/>
    <n v="1"/>
    <m/>
  </r>
  <r>
    <s v="0558116718-1"/>
    <s v="CST"/>
    <n v="16"/>
    <n v="1250"/>
    <n v="6000"/>
    <n v="5"/>
    <n v="5"/>
    <s v="PLATES"/>
    <d v="2002-03-28T00:00:00"/>
    <d v="2002-05-07T00:00:00"/>
    <s v="-"/>
    <s v="-"/>
    <s v="-"/>
    <d v="2002-04-22T00:00:00"/>
    <s v="OTIF FAIL"/>
    <n v="1"/>
    <s v="1110_FG_HPC"/>
    <x v="2"/>
    <n v="0"/>
    <m/>
  </r>
  <r>
    <s v="0558111460-2"/>
    <s v="CST"/>
    <n v="60"/>
    <n v="1250"/>
    <n v="6000"/>
    <n v="8"/>
    <n v="8"/>
    <s v="PLATES"/>
    <d v="2001-09-25T00:00:00"/>
    <d v="2002-03-10T00:00:00"/>
    <s v="-"/>
    <s v="-"/>
    <d v="2002-01-06T00:00:00"/>
    <d v="2002-01-06T00:00:00"/>
    <s v="OTIF FAIL"/>
    <n v="2"/>
    <s v="1110_FG_HPC"/>
    <x v="17"/>
    <n v="1"/>
    <m/>
  </r>
  <r>
    <s v="0558111218-1"/>
    <s v="CRC"/>
    <n v="14"/>
    <n v="1250"/>
    <n v="6000"/>
    <n v="75"/>
    <n v="75"/>
    <s v="PLATES"/>
    <d v="2001-09-25T00:00:00"/>
    <d v="2002-03-04T00:00:00"/>
    <d v="2002-02-20T00:00:00"/>
    <d v="2002-03-04T00:00:00"/>
    <d v="2002-02-20T00:00:00"/>
    <d v="2002-02-20T00:00:00"/>
    <s v="OTIF PASS"/>
    <n v="1"/>
    <s v="1110_FG_HPC"/>
    <x v="24"/>
    <n v="1"/>
    <m/>
  </r>
  <r>
    <s v="0558116718-2"/>
    <s v="CST"/>
    <n v="20"/>
    <n v="1250"/>
    <n v="6000"/>
    <n v="5"/>
    <n v="5"/>
    <s v="PLATES"/>
    <d v="2002-03-28T00:00:00"/>
    <d v="2002-05-07T00:00:00"/>
    <s v="-"/>
    <s v="-"/>
    <s v="-"/>
    <d v="2002-04-22T00:00:00"/>
    <s v="OTIF FAIL"/>
    <n v="2"/>
    <s v="1110_FG_HPC"/>
    <x v="2"/>
    <n v="0"/>
    <m/>
  </r>
  <r>
    <s v="0558114385-1"/>
    <s v="CST"/>
    <n v="70"/>
    <n v="1250"/>
    <n v="6000"/>
    <n v="9"/>
    <n v="9"/>
    <s v="PLATES"/>
    <d v="2001-08-21T00:00:00"/>
    <d v="2002-03-07T00:00:00"/>
    <d v="2002-02-21T00:00:00"/>
    <d v="2002-03-07T00:00:00"/>
    <d v="2002-01-04T00:00:00"/>
    <d v="2002-01-04T00:00:00"/>
    <s v="OTIF PASS"/>
    <n v="1"/>
    <s v="1110_FG_HPC"/>
    <x v="14"/>
    <n v="1"/>
    <m/>
  </r>
  <r>
    <s v="0569023272-5"/>
    <s v="CST"/>
    <n v="8"/>
    <n v="1250"/>
    <n v="6000"/>
    <n v="30"/>
    <n v="30"/>
    <s v="PLATES"/>
    <d v="2002-03-20T00:00:00"/>
    <d v="2002-04-24T00:00:00"/>
    <d v="2002-04-24T00:00:00"/>
    <d v="2002-04-24T00:00:00"/>
    <d v="2002-04-24T00:00:00"/>
    <d v="2002-04-24T00:00:00"/>
    <s v="OTIF PASS"/>
    <n v="5"/>
    <s v="1110_FG_HPC"/>
    <x v="2"/>
    <n v="1"/>
    <m/>
  </r>
  <r>
    <s v="0558110677-1"/>
    <s v="HRC"/>
    <n v="6"/>
    <n v="1250"/>
    <n v="2500"/>
    <n v="34.228999999999999"/>
    <n v="24.042999999999999"/>
    <s v="HRAP"/>
    <d v="2001-09-25T00:00:00"/>
    <d v="2002-03-10T00:00:00"/>
    <d v="2002-03-10T00:00:00"/>
    <d v="2002-03-10T00:00:00"/>
    <d v="2002-03-10T00:00:00"/>
    <d v="2002-03-10T00:00:00"/>
    <s v="OTIF PASS"/>
    <n v="1"/>
    <s v="1210_FG_HPC"/>
    <x v="3"/>
    <n v="0"/>
    <m/>
  </r>
  <r>
    <s v="0558114166-1"/>
    <s v="CST"/>
    <n v="14"/>
    <n v="1250"/>
    <n v="6000"/>
    <n v="5"/>
    <n v="5"/>
    <s v="PLATES"/>
    <d v="2001-08-17T00:00:00"/>
    <d v="2002-03-07T00:00:00"/>
    <d v="2002-02-24T00:00:00"/>
    <d v="2002-03-07T00:00:00"/>
    <d v="2002-01-30T00:00:00"/>
    <d v="2002-01-30T00:00:00"/>
    <s v="OTIF PASS"/>
    <n v="1"/>
    <s v="1110_FG_HPC"/>
    <x v="10"/>
    <n v="1"/>
    <m/>
  </r>
  <r>
    <s v="0569023275-5"/>
    <s v="CRC"/>
    <n v="8"/>
    <n v="1250"/>
    <n v="6000"/>
    <n v="30"/>
    <n v="30"/>
    <s v="PLATES"/>
    <d v="2002-03-28T00:00:00"/>
    <d v="2002-05-10T00:00:00"/>
    <s v="-"/>
    <s v="-"/>
    <s v="-"/>
    <d v="2002-04-24T00:00:00"/>
    <s v="OTIF FAIL"/>
    <n v="5"/>
    <s v="1110_FG_HPC"/>
    <x v="2"/>
    <n v="0"/>
    <m/>
  </r>
  <r>
    <s v="0558113124-5"/>
    <s v="CBL"/>
    <n v="25"/>
    <n v="1250"/>
    <n v="6000"/>
    <n v="5.9"/>
    <n v="5.9"/>
    <s v="PLATES"/>
    <d v="2001-09-25T00:00:00"/>
    <d v="2002-03-05T00:00:00"/>
    <d v="2002-02-21T00:00:00"/>
    <d v="2002-03-05T00:00:00"/>
    <d v="2002-01-15T00:00:00"/>
    <d v="2002-01-15T00:00:00"/>
    <s v="OTIF PASS"/>
    <n v="5"/>
    <s v="1110_FG_HPC"/>
    <x v="13"/>
    <n v="1"/>
    <m/>
  </r>
  <r>
    <s v="0558112967-1"/>
    <s v="CST"/>
    <n v="14"/>
    <n v="1250"/>
    <n v="6000"/>
    <n v="5"/>
    <n v="5"/>
    <s v="PLATES"/>
    <d v="2001-09-25T00:00:00"/>
    <d v="2002-03-05T00:00:00"/>
    <s v="-"/>
    <s v="-"/>
    <d v="2002-01-15T00:00:00"/>
    <d v="2002-01-30T00:00:00"/>
    <s v="OTIF FAIL"/>
    <n v="1"/>
    <s v="1110_FG_HPC"/>
    <x v="10"/>
    <n v="1"/>
    <m/>
  </r>
  <r>
    <s v="0558114162-2"/>
    <s v="HRC"/>
    <n v="16"/>
    <n v="1250"/>
    <n v="6000"/>
    <n v="5"/>
    <n v="5"/>
    <s v="PLATES"/>
    <d v="2001-08-17T00:00:00"/>
    <d v="2002-03-07T00:00:00"/>
    <d v="2002-02-20T00:00:00"/>
    <d v="2002-03-07T00:00:00"/>
    <d v="2002-01-30T00:00:00"/>
    <d v="2002-01-30T00:00:00"/>
    <s v="OTIF PASS"/>
    <n v="2"/>
    <s v="1110_FG_HPC"/>
    <x v="10"/>
    <n v="1"/>
    <m/>
  </r>
  <r>
    <s v="0558114162-1"/>
    <s v="CST"/>
    <n v="16"/>
    <n v="1250"/>
    <n v="5000"/>
    <n v="5"/>
    <n v="5"/>
    <s v="PLATES"/>
    <d v="2001-08-17T00:00:00"/>
    <d v="2002-03-07T00:00:00"/>
    <d v="2002-02-20T00:00:00"/>
    <d v="2002-03-07T00:00:00"/>
    <d v="2002-01-30T00:00:00"/>
    <d v="2002-01-30T00:00:00"/>
    <s v="OTIF PASS"/>
    <n v="1"/>
    <s v="1110_FG_HPC"/>
    <x v="10"/>
    <n v="1"/>
    <m/>
  </r>
  <r>
    <s v="0558113968-1"/>
    <s v="CST"/>
    <n v="85"/>
    <n v="1250"/>
    <n v="6000"/>
    <n v="10.199999999999999"/>
    <n v="10.199999999999999"/>
    <s v="PLATES"/>
    <d v="2001-08-12T00:00:00"/>
    <d v="2002-03-06T00:00:00"/>
    <d v="2002-05-12T00:00:00"/>
    <d v="2002-05-12T00:00:00"/>
    <d v="2002-01-27T00:00:00"/>
    <d v="2002-01-27T00:00:00"/>
    <s v="OTIF FAIL"/>
    <n v="1"/>
    <s v="1110_FG_HPC"/>
    <x v="10"/>
    <n v="1"/>
    <m/>
  </r>
  <r>
    <s v="0558114162-3"/>
    <s v="CST"/>
    <n v="14"/>
    <n v="1250"/>
    <n v="5000"/>
    <n v="5"/>
    <n v="5"/>
    <s v="PLATES"/>
    <d v="2001-08-17T00:00:00"/>
    <d v="2002-03-07T00:00:00"/>
    <d v="2002-02-24T00:00:00"/>
    <d v="2002-03-07T00:00:00"/>
    <d v="2002-01-30T00:00:00"/>
    <d v="2002-01-30T00:00:00"/>
    <s v="OTIF PASS"/>
    <n v="3"/>
    <s v="1110_FG_HPC"/>
    <x v="10"/>
    <n v="1"/>
    <m/>
  </r>
  <r>
    <s v="0558113630-1"/>
    <s v="CST"/>
    <n v="14"/>
    <n v="1250"/>
    <n v="6000"/>
    <n v="25"/>
    <n v="25"/>
    <s v="PLATES"/>
    <d v="2001-08-07T00:00:00"/>
    <d v="2002-03-06T00:00:00"/>
    <d v="2002-02-13T00:00:00"/>
    <d v="2002-03-06T00:00:00"/>
    <d v="2002-01-22T00:00:00"/>
    <d v="2002-02-20T00:00:00"/>
    <s v="OTIF PASS"/>
    <n v="1"/>
    <s v="1110_FG_HPC"/>
    <x v="24"/>
    <n v="1"/>
    <m/>
  </r>
  <r>
    <s v="0558113518-5"/>
    <s v="CRC"/>
    <n v="10"/>
    <n v="1250"/>
    <n v="3000"/>
    <n v="8"/>
    <n v="8"/>
    <s v="PLATES"/>
    <d v="2001-09-25T00:00:00"/>
    <d v="2002-02-27T00:00:00"/>
    <d v="2002-03-17T00:00:00"/>
    <d v="2002-03-17T00:00:00"/>
    <d v="2002-03-17T00:00:00"/>
    <d v="2002-03-17T00:00:00"/>
    <s v="OTIF FAIL"/>
    <n v="5"/>
    <s v="1110_FG_HPC"/>
    <x v="0"/>
    <n v="1"/>
    <m/>
  </r>
  <r>
    <s v="0558110911-11"/>
    <s v="CST"/>
    <n v="14"/>
    <n v="1250"/>
    <n v="6000"/>
    <n v="5"/>
    <n v="5"/>
    <s v="PLATES"/>
    <d v="2001-09-25T00:00:00"/>
    <d v="2002-03-04T00:00:00"/>
    <d v="2002-02-24T00:00:00"/>
    <d v="2002-03-04T00:00:00"/>
    <d v="2002-01-29T00:00:00"/>
    <d v="2002-01-30T00:00:00"/>
    <s v="OTIF PASS"/>
    <n v="11"/>
    <s v="1110_FG_HPC"/>
    <x v="10"/>
    <n v="1"/>
    <m/>
  </r>
  <r>
    <s v="0558115962-2"/>
    <s v="CRC"/>
    <n v="20"/>
    <n v="1250"/>
    <n v="6000"/>
    <n v="5"/>
    <n v="5"/>
    <s v="PLATES"/>
    <d v="2001-09-25T00:00:00"/>
    <d v="2002-03-08T00:00:00"/>
    <d v="2002-02-19T00:00:00"/>
    <d v="2002-03-08T00:00:00"/>
    <d v="2002-01-16T00:00:00"/>
    <d v="2002-04-22T00:00:00"/>
    <s v="OTIF PASS"/>
    <n v="2"/>
    <s v="1110_FG_HPC"/>
    <x v="2"/>
    <n v="1"/>
    <m/>
  </r>
  <r>
    <s v="0558108803-1"/>
    <s v="HRC"/>
    <n v="10"/>
    <n v="1250"/>
    <n v="6000"/>
    <n v="8"/>
    <n v="8"/>
    <s v="PLATES"/>
    <d v="2001-09-25T00:00:00"/>
    <d v="2002-02-27T00:00:00"/>
    <d v="2002-03-16T00:00:00"/>
    <d v="2002-03-16T00:00:00"/>
    <d v="2002-03-16T00:00:00"/>
    <d v="2002-03-16T00:00:00"/>
    <s v="OTIF FAIL"/>
    <n v="1"/>
    <s v="1110_FG_HPC"/>
    <x v="3"/>
    <n v="1"/>
    <m/>
  </r>
  <r>
    <s v="0558108397-1"/>
    <s v="HRC"/>
    <n v="6"/>
    <n v="1250"/>
    <n v="2500"/>
    <n v="13"/>
    <n v="12.356999999999999"/>
    <s v="HRAP"/>
    <d v="2001-09-25T00:00:00"/>
    <d v="2002-02-27T00:00:00"/>
    <d v="2002-03-09T00:00:00"/>
    <d v="2002-03-09T00:00:00"/>
    <d v="2002-03-04T00:00:00"/>
    <d v="2002-03-10T00:00:00"/>
    <s v="OTIF FAIL"/>
    <n v="1"/>
    <s v="1210_FG_HPC"/>
    <x v="3"/>
    <n v="0"/>
    <m/>
  </r>
  <r>
    <s v="0558116250-1"/>
    <s v="HRC"/>
    <n v="20"/>
    <n v="1250"/>
    <n v="2500"/>
    <n v="3"/>
    <n v="3"/>
    <s v="PLATES"/>
    <d v="2001-10-25T00:00:00"/>
    <d v="2002-03-08T00:00:00"/>
    <d v="2002-02-26T00:00:00"/>
    <d v="2002-03-08T00:00:00"/>
    <d v="2001-12-11T00:00:00"/>
    <d v="2002-01-24T00:00:00"/>
    <s v="OTIF PASS"/>
    <n v="1"/>
    <s v="1110_FG_HPC"/>
    <x v="8"/>
    <n v="1"/>
    <m/>
  </r>
  <r>
    <s v="0569023018-2"/>
    <s v="CST"/>
    <n v="4"/>
    <n v="1250"/>
    <n v="2500"/>
    <n v="7"/>
    <n v="7"/>
    <s v="HRAP"/>
    <d v="2001-08-19T00:00:00"/>
    <d v="2002-03-04T00:00:00"/>
    <d v="2002-04-17T00:00:00"/>
    <d v="2002-04-17T00:00:00"/>
    <d v="2002-04-05T00:00:00"/>
    <d v="2002-04-05T00:00:00"/>
    <s v="OTIF FAIL"/>
    <n v="2"/>
    <s v="1210_FG_HPC"/>
    <x v="6"/>
    <n v="1"/>
    <m/>
  </r>
  <r>
    <s v="0569022789-1"/>
    <s v="CST"/>
    <n v="3"/>
    <n v="1250"/>
    <n v="2500"/>
    <n v="8"/>
    <n v="8"/>
    <s v="HRAP"/>
    <d v="2001-09-25T00:00:00"/>
    <d v="2002-03-10T00:00:00"/>
    <d v="2002-04-29T00:00:00"/>
    <d v="2002-04-29T00:00:00"/>
    <d v="2002-04-13T00:00:00"/>
    <d v="2002-04-13T00:00:00"/>
    <s v="OTIF FAIL"/>
    <n v="1"/>
    <s v="1210_FG_HPC"/>
    <x v="7"/>
    <n v="1"/>
    <m/>
  </r>
  <r>
    <s v="0569022592-5"/>
    <s v="HRC"/>
    <n v="3"/>
    <n v="1250"/>
    <n v="5000"/>
    <n v="10"/>
    <n v="10"/>
    <s v="HRAP"/>
    <d v="2001-09-25T00:00:00"/>
    <d v="2002-03-10T00:00:00"/>
    <d v="2002-04-29T00:00:00"/>
    <d v="2002-04-29T00:00:00"/>
    <d v="2002-04-13T00:00:00"/>
    <d v="2002-04-13T00:00:00"/>
    <s v="OTIF FAIL"/>
    <n v="5"/>
    <s v="1210_FG_HPC"/>
    <x v="7"/>
    <n v="1"/>
    <m/>
  </r>
  <r>
    <s v="0569022789-2"/>
    <s v="HPC"/>
    <n v="4"/>
    <n v="1250"/>
    <n v="2500"/>
    <n v="15"/>
    <n v="15"/>
    <s v="HRAP"/>
    <d v="2001-09-25T00:00:00"/>
    <d v="2002-03-10T00:00:00"/>
    <d v="2002-04-01T00:00:00"/>
    <d v="2002-04-01T00:00:00"/>
    <d v="2002-04-01T00:00:00"/>
    <d v="2002-04-05T00:00:00"/>
    <s v="OTIF FAIL"/>
    <n v="2"/>
    <s v="1210_FG_HPC"/>
    <x v="6"/>
    <n v="1"/>
    <m/>
  </r>
  <r>
    <s v="0569022794-6"/>
    <s v="CRC"/>
    <n v="4"/>
    <n v="1250"/>
    <n v="2500"/>
    <n v="21"/>
    <n v="21"/>
    <s v="HRAP"/>
    <d v="2001-09-25T00:00:00"/>
    <d v="2002-03-10T00:00:00"/>
    <d v="2002-04-01T00:00:00"/>
    <d v="2002-04-01T00:00:00"/>
    <d v="2002-04-01T00:00:00"/>
    <d v="2002-04-05T00:00:00"/>
    <s v="OTIF FAIL"/>
    <n v="6"/>
    <s v="1210_FG_HPC"/>
    <x v="6"/>
    <n v="1"/>
    <m/>
  </r>
  <r>
    <s v="0569022794-2"/>
    <s v="HRC"/>
    <n v="5"/>
    <n v="1250"/>
    <n v="6000"/>
    <n v="10"/>
    <n v="10"/>
    <s v="HRAP"/>
    <d v="2001-09-25T00:00:00"/>
    <d v="2002-03-10T00:00:00"/>
    <s v="-"/>
    <s v="-"/>
    <d v="2002-01-31T00:00:00"/>
    <d v="2002-04-06T00:00:00"/>
    <s v="OTIF FAIL"/>
    <n v="2"/>
    <s v="1210_FG_HPC"/>
    <x v="6"/>
    <n v="1"/>
    <m/>
  </r>
  <r>
    <s v="0569022794-8"/>
    <s v="CST"/>
    <n v="6"/>
    <n v="1250"/>
    <n v="25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8"/>
    <s v="1210_FG_HPC"/>
    <x v="6"/>
    <n v="1"/>
    <m/>
  </r>
  <r>
    <s v="0569022794-3"/>
    <s v="CST"/>
    <n v="6"/>
    <n v="1250"/>
    <n v="6000"/>
    <n v="10"/>
    <n v="10"/>
    <s v="HRAP"/>
    <d v="2001-09-25T00:00:00"/>
    <d v="2002-03-10T00:00:00"/>
    <d v="2002-04-07T00:00:00"/>
    <d v="2002-04-07T00:00:00"/>
    <d v="2002-04-05T00:00:00"/>
    <d v="2002-04-05T00:00:00"/>
    <s v="OTIF FAIL"/>
    <n v="3"/>
    <s v="1210_FG_HPC"/>
    <x v="6"/>
    <n v="1"/>
    <m/>
  </r>
  <r>
    <s v="0569022794-5"/>
    <s v="CST"/>
    <n v="5"/>
    <n v="1250"/>
    <n v="50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5"/>
    <s v="1210_FG_HPC"/>
    <x v="6"/>
    <n v="1"/>
    <m/>
  </r>
  <r>
    <s v="0569022794-7"/>
    <s v="CST"/>
    <n v="5"/>
    <n v="1250"/>
    <n v="2500"/>
    <n v="6"/>
    <n v="6"/>
    <s v="HRAP"/>
    <d v="2001-09-25T00:00:00"/>
    <d v="2002-03-10T00:00:00"/>
    <d v="2002-04-06T00:00:00"/>
    <d v="2002-04-06T00:00:00"/>
    <d v="2002-04-06T00:00:00"/>
    <d v="2002-04-06T00:00:00"/>
    <s v="OTIF FAIL"/>
    <n v="7"/>
    <s v="1210_FG_HPC"/>
    <x v="6"/>
    <n v="1"/>
    <m/>
  </r>
  <r>
    <s v="0569022949-5"/>
    <s v="HRC"/>
    <n v="3"/>
    <n v="1250"/>
    <n v="5000"/>
    <n v="5"/>
    <n v="5"/>
    <s v="HRAP"/>
    <d v="2001-08-07T00:00:00"/>
    <d v="2002-03-09T00:00:00"/>
    <d v="2002-04-29T00:00:00"/>
    <d v="2002-04-29T00:00:00"/>
    <d v="2002-04-13T00:00:00"/>
    <d v="2002-04-13T00:00:00"/>
    <s v="OTIF FAIL"/>
    <n v="5"/>
    <s v="1210_FG_HPC"/>
    <x v="7"/>
    <n v="1"/>
    <m/>
  </r>
  <r>
    <s v="0558116668-1"/>
    <s v="CST"/>
    <n v="12"/>
    <n v="1250"/>
    <n v="2500"/>
    <n v="5"/>
    <n v="5"/>
    <s v="PLATES"/>
    <d v="2002-03-28T00:00:00"/>
    <d v="2002-05-03T00:00:00"/>
    <s v="-"/>
    <s v="-"/>
    <s v="-"/>
    <d v="2002-04-22T00:00:00"/>
    <s v="OTIF FAIL"/>
    <n v="1"/>
    <s v="1110_FG_HPC"/>
    <x v="2"/>
    <n v="0"/>
    <m/>
  </r>
  <r>
    <s v="0558116249-1"/>
    <s v="CST"/>
    <n v="20"/>
    <n v="1250"/>
    <n v="2500"/>
    <n v="3"/>
    <n v="3"/>
    <s v="PLATES"/>
    <d v="2001-10-25T00:00:00"/>
    <d v="2002-03-08T00:00:00"/>
    <d v="2002-02-26T00:00:00"/>
    <d v="2002-03-08T00:00:00"/>
    <d v="2001-12-11T00:00:00"/>
    <d v="2002-01-24T00:00:00"/>
    <s v="OTIF PASS"/>
    <n v="1"/>
    <s v="1110_FG_HPC"/>
    <x v="8"/>
    <n v="1"/>
    <m/>
  </r>
  <r>
    <s v="0558116248-1"/>
    <s v="CST"/>
    <n v="20"/>
    <n v="1250"/>
    <n v="2500"/>
    <n v="3"/>
    <n v="3"/>
    <s v="PLATES"/>
    <d v="2001-10-25T00:00:00"/>
    <d v="2002-03-08T00:00:00"/>
    <d v="2002-02-25T00:00:00"/>
    <d v="2002-03-08T00:00:00"/>
    <d v="2001-12-11T00:00:00"/>
    <d v="2002-01-24T00:00:00"/>
    <s v="OTIF PASS"/>
    <n v="1"/>
    <s v="1110_FG_HPC"/>
    <x v="8"/>
    <n v="1"/>
    <m/>
  </r>
  <r>
    <s v="0569022841-18"/>
    <s v="CST"/>
    <n v="8"/>
    <n v="1250"/>
    <n v="2500"/>
    <n v="39"/>
    <n v="36.909999999999997"/>
    <s v="PLATES"/>
    <d v="2001-08-01T00:00:00"/>
    <d v="2002-03-10T00:00:00"/>
    <d v="2002-03-21T00:00:00"/>
    <d v="2002-03-21T00:00:00"/>
    <d v="2002-03-19T00:00:00"/>
    <d v="2002-04-01T00:00:00"/>
    <s v="OTIF FAIL"/>
    <n v="18"/>
    <s v="1110_FG_HPC"/>
    <x v="6"/>
    <n v="0"/>
    <m/>
  </r>
  <r>
    <s v="0569022841-4"/>
    <s v="HRC"/>
    <n v="12"/>
    <n v="1250"/>
    <n v="6000"/>
    <n v="31"/>
    <n v="23.571999999999999"/>
    <s v="PLATES"/>
    <d v="2001-08-01T00:00:00"/>
    <d v="2002-03-10T00:00:00"/>
    <d v="2002-04-03T00:00:00"/>
    <d v="2002-04-03T00:00:00"/>
    <d v="2002-04-01T00:00:00"/>
    <d v="2002-04-01T00:00:00"/>
    <s v="OTIF FAIL"/>
    <n v="4"/>
    <s v="1110_FG_HPC"/>
    <x v="6"/>
    <n v="0"/>
    <m/>
  </r>
  <r>
    <s v="0569022841-11"/>
    <s v="CST"/>
    <n v="8"/>
    <n v="1250"/>
    <n v="6000"/>
    <n v="40"/>
    <n v="38.994"/>
    <s v="PLATES"/>
    <d v="2001-08-01T00:00:00"/>
    <d v="2002-03-10T00:00:00"/>
    <d v="2002-03-11T00:00:00"/>
    <d v="2002-03-11T00:00:00"/>
    <d v="2002-03-12T00:00:00"/>
    <d v="2002-04-01T00:00:00"/>
    <s v="OTIF FAIL"/>
    <n v="11"/>
    <s v="1110_FG_HPC"/>
    <x v="6"/>
    <n v="0"/>
    <m/>
  </r>
  <r>
    <s v="0569022841-2"/>
    <s v="HRC"/>
    <n v="10"/>
    <n v="1250"/>
    <n v="5000"/>
    <n v="5"/>
    <n v="4.4820000000000002"/>
    <s v="PLATES"/>
    <d v="2001-08-01T00:00:00"/>
    <d v="2002-03-10T00:00:00"/>
    <s v="-"/>
    <s v="-"/>
    <d v="2002-04-27T00:00:00"/>
    <d v="2002-04-27T00:00:00"/>
    <s v="OTIF FAIL"/>
    <n v="2"/>
    <s v="1110_FG_HPC"/>
    <x v="2"/>
    <n v="0"/>
    <m/>
  </r>
  <r>
    <s v="0569022841-5"/>
    <s v="HRC"/>
    <n v="16"/>
    <n v="1250"/>
    <n v="6000"/>
    <n v="29"/>
    <n v="12.212"/>
    <s v="PLATES"/>
    <d v="2001-08-01T00:00:00"/>
    <d v="2002-03-10T00:00:00"/>
    <s v="-"/>
    <s v="-"/>
    <d v="2001-11-30T00:00:00"/>
    <d v="2002-04-21T00:00:00"/>
    <s v="OTIF FAIL"/>
    <n v="5"/>
    <s v="1110_FG_HPC"/>
    <x v="2"/>
    <n v="0"/>
    <m/>
  </r>
  <r>
    <s v="0569022841-1"/>
    <s v="HRC"/>
    <n v="8"/>
    <n v="1250"/>
    <n v="5000"/>
    <n v="5"/>
    <n v="5"/>
    <s v="PLATES"/>
    <d v="2001-08-01T00:00:00"/>
    <d v="2002-03-10T00:00:00"/>
    <s v="-"/>
    <s v="-"/>
    <d v="2002-04-19T00:00:00"/>
    <d v="2002-04-19T00:00:00"/>
    <s v="OTIF FAIL"/>
    <n v="1"/>
    <s v="1110_FG_HPC"/>
    <x v="15"/>
    <n v="1"/>
    <m/>
  </r>
  <r>
    <s v="0569022841-19"/>
    <s v="HPC"/>
    <n v="10"/>
    <n v="1250"/>
    <n v="2500"/>
    <n v="25"/>
    <n v="25"/>
    <s v="PLATES"/>
    <d v="2001-08-01T00:00:00"/>
    <d v="2002-03-10T00:00:00"/>
    <d v="2002-03-19T00:00:00"/>
    <d v="2002-03-19T00:00:00"/>
    <d v="2002-03-19T00:00:00"/>
    <d v="2002-03-19T00:00:00"/>
    <s v="OTIF FAIL"/>
    <n v="19"/>
    <s v="1110_FG_HPC"/>
    <x v="0"/>
    <n v="1"/>
    <m/>
  </r>
  <r>
    <s v="0569022842-2"/>
    <s v="CST"/>
    <n v="4"/>
    <n v="1250"/>
    <n v="2500"/>
    <n v="5"/>
    <n v="5"/>
    <s v="HRAP"/>
    <d v="2001-08-01T00:00:00"/>
    <d v="2002-03-10T00:00:00"/>
    <d v="2002-04-17T00:00:00"/>
    <d v="2002-04-17T00:00:00"/>
    <d v="2002-04-01T00:00:00"/>
    <d v="2002-04-05T00:00:00"/>
    <s v="OTIF FAIL"/>
    <n v="2"/>
    <s v="1210_FG_HPC"/>
    <x v="6"/>
    <n v="1"/>
    <m/>
  </r>
  <r>
    <s v="0569022842-1"/>
    <s v="HPC"/>
    <n v="3"/>
    <n v="1250"/>
    <n v="2500"/>
    <n v="10"/>
    <n v="10"/>
    <s v="HRAP"/>
    <d v="2001-08-01T00:00:00"/>
    <d v="2002-03-10T00:00:00"/>
    <d v="2002-04-29T00:00:00"/>
    <d v="2002-04-29T00:00:00"/>
    <d v="2002-04-13T00:00:00"/>
    <d v="2002-04-13T00:00:00"/>
    <s v="OTIF FAIL"/>
    <n v="1"/>
    <s v="1210_FG_HPC"/>
    <x v="7"/>
    <n v="1"/>
    <m/>
  </r>
  <r>
    <s v="0569022842-3"/>
    <s v="CRC"/>
    <n v="6"/>
    <n v="1250"/>
    <n v="2500"/>
    <n v="5"/>
    <n v="5"/>
    <s v="HRAP"/>
    <d v="2001-08-01T00:00:00"/>
    <d v="2002-03-10T00:00:00"/>
    <d v="2002-04-07T00:00:00"/>
    <d v="2002-04-07T00:00:00"/>
    <d v="2002-04-05T00:00:00"/>
    <d v="2002-04-05T00:00:00"/>
    <s v="OTIF FAIL"/>
    <n v="3"/>
    <s v="1210_FG_HPC"/>
    <x v="6"/>
    <n v="1"/>
    <m/>
  </r>
  <r>
    <s v="0569022847-5"/>
    <s v="CST"/>
    <n v="3"/>
    <n v="1250"/>
    <n v="5000"/>
    <n v="10"/>
    <n v="10"/>
    <s v="HRAP"/>
    <d v="2001-08-01T00:00:00"/>
    <d v="2002-03-09T00:00:00"/>
    <d v="2002-04-29T00:00:00"/>
    <d v="2002-04-29T00:00:00"/>
    <d v="2002-04-13T00:00:00"/>
    <d v="2002-04-13T00:00:00"/>
    <s v="OTIF FAIL"/>
    <n v="5"/>
    <s v="1210_FG_HPC"/>
    <x v="7"/>
    <n v="1"/>
    <m/>
  </r>
  <r>
    <s v="0569022847-4"/>
    <s v="CST"/>
    <n v="3"/>
    <n v="1250"/>
    <n v="2500"/>
    <n v="50"/>
    <n v="50"/>
    <s v="HRAP"/>
    <d v="2001-08-01T00:00:00"/>
    <d v="2002-03-09T00:00:00"/>
    <d v="2002-03-11T00:00:00"/>
    <d v="2002-03-11T00:00:00"/>
    <d v="2002-03-15T00:00:00"/>
    <d v="2002-04-13T00:00:00"/>
    <s v="OTIF FAIL"/>
    <n v="4"/>
    <s v="1210_FG_HPC"/>
    <x v="7"/>
    <n v="1"/>
    <m/>
  </r>
  <r>
    <s v="0569022847-2"/>
    <s v="CST"/>
    <n v="5"/>
    <n v="1250"/>
    <n v="6000"/>
    <n v="30"/>
    <n v="30"/>
    <s v="HRAP"/>
    <d v="2001-08-01T00:00:00"/>
    <d v="2002-03-10T00:00:00"/>
    <s v="-"/>
    <s v="-"/>
    <d v="2002-04-01T00:00:00"/>
    <d v="2002-04-06T00:00:00"/>
    <s v="OTIF FAIL"/>
    <n v="2"/>
    <s v="1210_FG_HPC"/>
    <x v="6"/>
    <n v="1"/>
    <m/>
  </r>
  <r>
    <s v="0558116247-1"/>
    <s v="CST"/>
    <n v="20"/>
    <n v="1250"/>
    <n v="2500"/>
    <n v="3"/>
    <n v="3"/>
    <s v="PLATES"/>
    <d v="2001-10-25T00:00:00"/>
    <d v="2002-03-08T00:00:00"/>
    <d v="2002-02-26T00:00:00"/>
    <d v="2002-03-08T00:00:00"/>
    <d v="2001-12-11T00:00:00"/>
    <d v="2002-01-24T00:00:00"/>
    <s v="OTIF PASS"/>
    <n v="1"/>
    <s v="1110_FG_HPC"/>
    <x v="8"/>
    <n v="1"/>
    <m/>
  </r>
  <r>
    <s v="0569022507-6"/>
    <s v="HRC"/>
    <n v="5"/>
    <n v="1250"/>
    <n v="2500"/>
    <n v="10"/>
    <n v="10"/>
    <s v="HRAP"/>
    <d v="2001-09-25T00:00:00"/>
    <d v="2002-03-10T00:00:00"/>
    <d v="2002-04-06T00:00:00"/>
    <d v="2002-04-06T00:00:00"/>
    <d v="2002-04-06T00:00:00"/>
    <d v="2002-04-06T00:00:00"/>
    <s v="OTIF FAIL"/>
    <n v="6"/>
    <s v="1210_FG_HPC"/>
    <x v="6"/>
    <n v="1"/>
    <m/>
  </r>
  <r>
    <s v="0558113725-1"/>
    <s v="HRC"/>
    <n v="12"/>
    <n v="1250"/>
    <n v="2500"/>
    <n v="5"/>
    <n v="5"/>
    <s v="PLATES"/>
    <d v="2001-08-08T00:00:00"/>
    <d v="2002-03-06T00:00:00"/>
    <s v="-"/>
    <s v="-"/>
    <d v="2002-03-22T00:00:00"/>
    <d v="2002-04-22T00:00:00"/>
    <s v="OTIF FAIL"/>
    <n v="1"/>
    <s v="1110_FG_HPC"/>
    <x v="2"/>
    <n v="1"/>
    <m/>
  </r>
  <r>
    <s v="0569022847-3"/>
    <s v="HRC"/>
    <n v="6"/>
    <n v="1250"/>
    <n v="6000"/>
    <n v="54"/>
    <n v="54"/>
    <s v="HRAP"/>
    <d v="2001-08-01T00:00:00"/>
    <d v="2002-03-10T00:00:00"/>
    <s v="-"/>
    <s v="-"/>
    <d v="2002-04-01T00:00:00"/>
    <d v="2002-04-05T00:00:00"/>
    <s v="OTIF FAIL"/>
    <n v="3"/>
    <s v="1210_FG_HPC"/>
    <x v="6"/>
    <n v="1"/>
    <m/>
  </r>
  <r>
    <s v="0558110223-1"/>
    <s v="CRC"/>
    <n v="3"/>
    <n v="875"/>
    <n v="2096"/>
    <n v="8.8030000000000008"/>
    <n v="8.8030000000000008"/>
    <s v="HRAP"/>
    <d v="2001-08-19T00:00:00"/>
    <d v="2002-02-27T00:00:00"/>
    <d v="2002-03-03T00:00:00"/>
    <d v="2002-03-03T00:00:00"/>
    <d v="2002-03-04T00:00:00"/>
    <d v="2002-03-04T00:00:00"/>
    <s v="OTIF FAIL"/>
    <n v="1"/>
    <s v="1210_FG_HPC"/>
    <x v="1"/>
    <n v="1"/>
    <m/>
  </r>
  <r>
    <s v="0569022847-6"/>
    <s v="HRC"/>
    <n v="5"/>
    <n v="1250"/>
    <n v="5000"/>
    <n v="7"/>
    <n v="7"/>
    <s v="HRAP"/>
    <d v="2001-08-01T00:00:00"/>
    <d v="2002-03-09T00:00:00"/>
    <d v="2002-04-06T00:00:00"/>
    <d v="2002-04-06T00:00:00"/>
    <d v="2002-04-06T00:00:00"/>
    <d v="2002-04-06T00:00:00"/>
    <s v="OTIF FAIL"/>
    <n v="6"/>
    <s v="1210_FG_HPC"/>
    <x v="6"/>
    <n v="1"/>
    <m/>
  </r>
  <r>
    <s v="0569023275-1"/>
    <s v="CST"/>
    <n v="20"/>
    <n v="1250"/>
    <n v="6000"/>
    <n v="5"/>
    <n v="5"/>
    <s v="PLATES"/>
    <d v="2002-03-28T00:00:00"/>
    <d v="2002-05-10T00:00:00"/>
    <s v="-"/>
    <s v="-"/>
    <s v="-"/>
    <d v="2002-04-24T00:00:00"/>
    <s v="OTIF FAIL"/>
    <n v="1"/>
    <s v="1110_FG_HPC"/>
    <x v="2"/>
    <n v="0"/>
    <m/>
  </r>
  <r>
    <s v="0569022503-1"/>
    <s v="PSS"/>
    <n v="3"/>
    <n v="1250"/>
    <n v="2500"/>
    <n v="10"/>
    <n v="10"/>
    <s v="HRAP"/>
    <d v="2001-09-25T00:00:00"/>
    <d v="2002-03-10T00:00:00"/>
    <d v="2002-04-29T00:00:00"/>
    <d v="2002-04-29T00:00:00"/>
    <d v="2002-04-13T00:00:00"/>
    <d v="2002-04-13T00:00:00"/>
    <s v="OTIF FAIL"/>
    <n v="1"/>
    <s v="1210_FG_HPC"/>
    <x v="7"/>
    <n v="1"/>
    <m/>
  </r>
  <r>
    <s v="0558116691-1"/>
    <s v="CST"/>
    <n v="12"/>
    <n v="1250"/>
    <n v="2500"/>
    <n v="5"/>
    <n v="5"/>
    <s v="PLATES"/>
    <d v="2002-03-28T00:00:00"/>
    <d v="2002-05-08T00:00:00"/>
    <s v="-"/>
    <s v="-"/>
    <s v="-"/>
    <d v="2002-04-22T00:00:00"/>
    <s v="OTIF FAIL"/>
    <n v="1"/>
    <s v="1110_FG_HPC"/>
    <x v="2"/>
    <n v="0"/>
    <m/>
  </r>
  <r>
    <s v="0569022847-7"/>
    <s v="HRC"/>
    <n v="4"/>
    <n v="1250"/>
    <n v="2500"/>
    <n v="50"/>
    <n v="50"/>
    <s v="HRAP"/>
    <d v="2001-08-01T00:00:00"/>
    <d v="2002-03-09T00:00:00"/>
    <d v="2002-03-11T00:00:00"/>
    <d v="2002-03-11T00:00:00"/>
    <d v="2002-03-11T00:00:00"/>
    <d v="2002-04-05T00:00:00"/>
    <s v="OTIF FAIL"/>
    <n v="7"/>
    <s v="1210_FG_HPC"/>
    <x v="6"/>
    <n v="1"/>
    <m/>
  </r>
  <r>
    <s v="0558114922-1"/>
    <s v="JBS"/>
    <n v="12"/>
    <n v="1250"/>
    <n v="2500"/>
    <n v="4"/>
    <n v="4"/>
    <s v="PLATES"/>
    <d v="2001-09-25T00:00:00"/>
    <d v="2002-03-08T00:00:00"/>
    <s v="-"/>
    <s v="-"/>
    <d v="2002-03-22T00:00:00"/>
    <d v="2002-04-22T00:00:00"/>
    <s v="OTIF FAIL"/>
    <n v="1"/>
    <s v="1110_FG_HPC"/>
    <x v="2"/>
    <n v="1"/>
    <m/>
  </r>
  <r>
    <s v="0569022847-9"/>
    <s v="CST"/>
    <n v="6"/>
    <n v="1250"/>
    <n v="2500"/>
    <n v="40"/>
    <n v="40"/>
    <s v="HRAP"/>
    <d v="2001-08-01T00:00:00"/>
    <d v="2002-03-09T00:00:00"/>
    <s v="-"/>
    <s v="-"/>
    <d v="2002-04-01T00:00:00"/>
    <d v="2002-04-05T00:00:00"/>
    <s v="OTIF FAIL"/>
    <n v="9"/>
    <s v="1210_FG_HPC"/>
    <x v="6"/>
    <n v="1"/>
    <m/>
  </r>
  <r>
    <s v="0569022847-8"/>
    <s v="CST"/>
    <n v="5"/>
    <n v="1250"/>
    <n v="2500"/>
    <n v="39"/>
    <n v="39"/>
    <s v="HRAP"/>
    <d v="2001-08-01T00:00:00"/>
    <d v="2002-03-09T00:00:00"/>
    <d v="2002-03-09T00:00:00"/>
    <d v="2002-03-09T00:00:00"/>
    <d v="2002-03-12T00:00:00"/>
    <d v="2002-04-06T00:00:00"/>
    <s v="OTIF PASS"/>
    <n v="8"/>
    <s v="1210_FG_HPC"/>
    <x v="6"/>
    <n v="1"/>
    <m/>
  </r>
  <r>
    <s v="0558116729-1"/>
    <s v="CRC"/>
    <n v="16"/>
    <n v="1250"/>
    <n v="6000"/>
    <n v="5"/>
    <n v="5"/>
    <s v="PLATES"/>
    <d v="2002-03-28T00:00:00"/>
    <d v="2002-05-05T00:00:00"/>
    <s v="-"/>
    <s v="-"/>
    <s v="-"/>
    <d v="2002-04-21T00:00:00"/>
    <s v="OTIF FAIL"/>
    <n v="1"/>
    <s v="1110_FG_HPC"/>
    <x v="2"/>
    <n v="0"/>
    <m/>
  </r>
  <r>
    <s v="0569023077-1"/>
    <s v="CRC"/>
    <n v="6"/>
    <n v="1250"/>
    <n v="5000"/>
    <n v="7"/>
    <n v="7"/>
    <s v="HRAP"/>
    <d v="2001-08-23T00:00:00"/>
    <d v="2002-03-04T00:00:00"/>
    <d v="2002-04-07T00:00:00"/>
    <d v="2002-04-07T00:00:00"/>
    <d v="2002-04-05T00:00:00"/>
    <d v="2002-04-05T00:00:00"/>
    <s v="OTIF FAIL"/>
    <n v="1"/>
    <s v="1210_FG_HPC"/>
    <x v="6"/>
    <n v="1"/>
    <m/>
  </r>
  <r>
    <s v="0569022507-7"/>
    <s v="HRC"/>
    <n v="6"/>
    <n v="1250"/>
    <n v="25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7"/>
    <s v="1210_FG_HPC"/>
    <x v="6"/>
    <n v="1"/>
    <m/>
  </r>
  <r>
    <s v="0569022200-3"/>
    <s v="HRC"/>
    <n v="6"/>
    <n v="1250"/>
    <n v="6000"/>
    <n v="9"/>
    <n v="9"/>
    <s v="HRAP"/>
    <d v="2001-09-25T00:00:00"/>
    <d v="2002-03-10T00:00:00"/>
    <d v="2002-04-07T00:00:00"/>
    <d v="2002-04-07T00:00:00"/>
    <d v="2002-04-05T00:00:00"/>
    <d v="2002-04-05T00:00:00"/>
    <s v="OTIF FAIL"/>
    <n v="3"/>
    <s v="1210_FG_HPC"/>
    <x v="6"/>
    <n v="1"/>
    <m/>
  </r>
  <r>
    <s v="0558114570-9"/>
    <s v="CST"/>
    <n v="18"/>
    <n v="1250"/>
    <n v="6000"/>
    <n v="5"/>
    <n v="5"/>
    <s v="PLATES"/>
    <d v="2001-08-24T00:00:00"/>
    <d v="2002-02-25T00:00:00"/>
    <d v="2002-02-25T00:00:00"/>
    <d v="2002-02-25T00:00:00"/>
    <d v="2002-01-07T00:00:00"/>
    <d v="2002-01-07T00:00:00"/>
    <s v="OTIF FAIL"/>
    <n v="9"/>
    <s v="1110_FG_HPC"/>
    <x v="17"/>
    <n v="1"/>
    <m/>
  </r>
  <r>
    <s v="0569022326-2"/>
    <s v="HRC"/>
    <n v="3"/>
    <n v="1250"/>
    <n v="2500"/>
    <n v="33"/>
    <n v="33"/>
    <s v="HRAP"/>
    <d v="2001-09-25T00:00:00"/>
    <d v="2002-03-10T00:00:00"/>
    <s v="-"/>
    <s v="-"/>
    <d v="2002-03-25T00:00:00"/>
    <d v="2002-04-13T00:00:00"/>
    <s v="OTIF FAIL"/>
    <n v="2"/>
    <s v="1210_FG_HPC"/>
    <x v="7"/>
    <n v="1"/>
    <m/>
  </r>
  <r>
    <s v="0569022507-2"/>
    <s v="CST"/>
    <n v="6"/>
    <n v="1250"/>
    <n v="6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2"/>
    <s v="1210_FG_HPC"/>
    <x v="6"/>
    <n v="1"/>
    <m/>
  </r>
  <r>
    <s v="0569023243-1"/>
    <s v="HRC"/>
    <n v="16"/>
    <n v="1250"/>
    <n v="6000"/>
    <n v="37.012"/>
    <n v="37.012"/>
    <s v="PLATES"/>
    <d v="2002-01-01T00:00:00"/>
    <d v="2002-03-04T00:00:00"/>
    <s v="-"/>
    <s v="-"/>
    <d v="2002-03-20T00:00:00"/>
    <d v="2002-04-21T00:00:00"/>
    <s v="OTIF FAIL"/>
    <n v="1"/>
    <s v="1110_FG_HPC"/>
    <x v="2"/>
    <n v="1"/>
    <m/>
  </r>
  <r>
    <s v="0569022507-3"/>
    <s v="CST"/>
    <n v="3"/>
    <n v="1250"/>
    <n v="2500"/>
    <n v="5"/>
    <n v="5"/>
    <s v="HRAP"/>
    <d v="2001-09-25T00:00:00"/>
    <d v="2002-03-10T00:00:00"/>
    <d v="2002-04-29T00:00:00"/>
    <d v="2002-04-29T00:00:00"/>
    <d v="2002-04-13T00:00:00"/>
    <d v="2002-04-13T00:00:00"/>
    <s v="OTIF FAIL"/>
    <n v="3"/>
    <s v="1210_FG_HPC"/>
    <x v="7"/>
    <n v="1"/>
    <m/>
  </r>
  <r>
    <s v="0569022507-4"/>
    <s v="CST"/>
    <n v="5"/>
    <n v="1250"/>
    <n v="50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58116765-2"/>
    <s v="CST"/>
    <n v="32"/>
    <n v="1250"/>
    <n v="6000"/>
    <n v="80"/>
    <n v="80"/>
    <s v="PLATES"/>
    <d v="2002-04-06T00:00:00"/>
    <d v="2002-05-13T00:00:00"/>
    <s v="-"/>
    <s v="-"/>
    <d v="2002-05-13T00:00:00"/>
    <d v="2002-05-13T00:00:00"/>
    <s v="OTIF FAIL"/>
    <n v="2"/>
    <s v="1110_FG_HPC"/>
    <x v="4"/>
    <n v="1"/>
    <m/>
  </r>
  <r>
    <s v="0558116540-5"/>
    <s v="HRC"/>
    <n v="30"/>
    <n v="1250"/>
    <n v="6000"/>
    <n v="80"/>
    <n v="80"/>
    <s v="PLATES"/>
    <d v="2002-02-12T00:00:00"/>
    <d v="2002-02-21T00:00:00"/>
    <d v="2002-02-27T00:00:00"/>
    <d v="2002-02-27T00:00:00"/>
    <d v="2002-02-28T00:00:00"/>
    <d v="2002-05-13T00:00:00"/>
    <s v="OTIF FAIL"/>
    <n v="5"/>
    <s v="1110_FG_HPC"/>
    <x v="4"/>
    <n v="1"/>
    <m/>
  </r>
  <r>
    <s v="0569023247-1"/>
    <s v="CRC"/>
    <n v="10"/>
    <n v="1250"/>
    <n v="6000"/>
    <n v="15"/>
    <n v="15"/>
    <s v="PLATES"/>
    <d v="2002-01-01T00:00:00"/>
    <d v="2002-03-04T00:00:00"/>
    <s v="-"/>
    <s v="-"/>
    <d v="2002-03-20T00:00:00"/>
    <d v="2002-03-24T00:00:00"/>
    <s v="OTIF FAIL"/>
    <n v="1"/>
    <s v="1110_FG_HPC"/>
    <x v="9"/>
    <n v="1"/>
    <m/>
  </r>
  <r>
    <s v="0558116765-5"/>
    <s v="PSS"/>
    <n v="30"/>
    <n v="1250"/>
    <n v="6000"/>
    <n v="80"/>
    <n v="80"/>
    <s v="PLATES"/>
    <d v="2002-04-06T00:00:00"/>
    <d v="2002-05-13T00:00:00"/>
    <s v="-"/>
    <s v="-"/>
    <d v="2002-05-13T00:00:00"/>
    <d v="2002-05-13T00:00:00"/>
    <s v="OTIF FAIL"/>
    <n v="5"/>
    <s v="1110_FG_HPC"/>
    <x v="4"/>
    <n v="1"/>
    <m/>
  </r>
  <r>
    <s v="0558116540-3"/>
    <s v="CST"/>
    <n v="22"/>
    <n v="1250"/>
    <n v="6000"/>
    <n v="80"/>
    <n v="80"/>
    <s v="PLATES"/>
    <d v="2002-02-12T00:00:00"/>
    <d v="2002-02-21T00:00:00"/>
    <d v="2002-02-28T00:00:00"/>
    <d v="2002-02-28T00:00:00"/>
    <d v="2002-02-28T00:00:00"/>
    <d v="2002-02-28T00:00:00"/>
    <s v="OTIF FAIL"/>
    <n v="3"/>
    <s v="1110_FG_HPC"/>
    <x v="5"/>
    <n v="1"/>
    <m/>
  </r>
  <r>
    <s v="0558116540-2"/>
    <s v="CST"/>
    <n v="32"/>
    <n v="1250"/>
    <n v="6000"/>
    <n v="80"/>
    <n v="80"/>
    <s v="PLATES"/>
    <d v="2002-02-12T00:00:00"/>
    <d v="2002-02-21T00:00:00"/>
    <d v="2002-02-23T00:00:00"/>
    <d v="2002-02-23T00:00:00"/>
    <d v="2002-02-27T00:00:00"/>
    <d v="2002-05-13T00:00:00"/>
    <s v="OTIF FAIL"/>
    <n v="2"/>
    <s v="1110_FG_HPC"/>
    <x v="4"/>
    <n v="1"/>
    <m/>
  </r>
  <r>
    <s v="0558116540-4"/>
    <s v="CST"/>
    <n v="40"/>
    <n v="1250"/>
    <n v="6000"/>
    <n v="80"/>
    <n v="80"/>
    <s v="PLATES"/>
    <d v="2002-02-12T00:00:00"/>
    <d v="2002-02-21T00:00:00"/>
    <d v="2002-03-01T00:00:00"/>
    <d v="2002-03-01T00:00:00"/>
    <d v="2002-03-02T00:00:00"/>
    <d v="2002-05-13T00:00:00"/>
    <s v="OTIF FAIL"/>
    <n v="4"/>
    <s v="1110_FG_HPC"/>
    <x v="4"/>
    <n v="1"/>
    <m/>
  </r>
  <r>
    <s v="0569023271-5"/>
    <s v="CST"/>
    <n v="8"/>
    <n v="1250"/>
    <n v="6000"/>
    <n v="30"/>
    <n v="30"/>
    <s v="PLATES"/>
    <d v="2002-03-20T00:00:00"/>
    <d v="2002-04-24T00:00:00"/>
    <d v="2002-04-24T00:00:00"/>
    <d v="2002-04-24T00:00:00"/>
    <d v="2002-04-24T00:00:00"/>
    <d v="2002-04-24T00:00:00"/>
    <s v="OTIF PASS"/>
    <n v="5"/>
    <s v="1110_FG_HPC"/>
    <x v="2"/>
    <n v="1"/>
    <m/>
  </r>
  <r>
    <s v="0569023274-5"/>
    <s v="CST"/>
    <n v="8"/>
    <n v="1250"/>
    <n v="6000"/>
    <n v="30"/>
    <n v="30"/>
    <s v="PLATES"/>
    <d v="2002-03-28T00:00:00"/>
    <d v="2002-05-10T00:00:00"/>
    <s v="-"/>
    <s v="-"/>
    <s v="-"/>
    <d v="2002-04-24T00:00:00"/>
    <s v="OTIF FAIL"/>
    <n v="5"/>
    <s v="1110_FG_HPC"/>
    <x v="2"/>
    <n v="0"/>
    <m/>
  </r>
  <r>
    <s v="0569023243-5"/>
    <s v="HRC"/>
    <n v="14"/>
    <n v="1250"/>
    <n v="6000"/>
    <n v="30.73"/>
    <n v="30.73"/>
    <s v="PLATES"/>
    <d v="2002-01-01T00:00:00"/>
    <d v="2002-03-04T00:00:00"/>
    <s v="-"/>
    <s v="-"/>
    <d v="2002-03-20T00:00:00"/>
    <d v="2002-03-20T00:00:00"/>
    <s v="OTIF FAIL"/>
    <n v="5"/>
    <s v="1110_FG_HPC"/>
    <x v="0"/>
    <n v="1"/>
    <m/>
  </r>
  <r>
    <s v="0569023250-6"/>
    <s v="PSS"/>
    <n v="12"/>
    <n v="1250"/>
    <n v="6000"/>
    <n v="16.567"/>
    <n v="16.567"/>
    <s v="PLATES"/>
    <d v="2002-01-01T00:00:00"/>
    <d v="2002-03-02T00:00:00"/>
    <d v="2002-03-16T00:00:00"/>
    <d v="2002-04-01T00:00:00"/>
    <d v="2002-03-23T00:00:00"/>
    <d v="2002-04-24T00:00:00"/>
    <s v="OTIF FAIL"/>
    <n v="6"/>
    <s v="1110_FG_HPC"/>
    <x v="2"/>
    <n v="1"/>
    <m/>
  </r>
  <r>
    <s v="0569022944-11"/>
    <s v="HRC"/>
    <n v="10"/>
    <n v="1250"/>
    <n v="6000"/>
    <n v="20"/>
    <n v="13.118"/>
    <s v="PLATES"/>
    <d v="2001-08-07T00:00:00"/>
    <d v="2002-03-09T00:00:00"/>
    <d v="2002-03-24T00:00:00"/>
    <d v="2002-04-01T00:00:00"/>
    <d v="2002-03-24T00:00:00"/>
    <d v="2002-03-24T00:00:00"/>
    <s v="OTIF FAIL"/>
    <n v="11"/>
    <s v="1110_FG_HPC"/>
    <x v="9"/>
    <n v="0"/>
    <m/>
  </r>
  <r>
    <s v="0569023259-6"/>
    <s v="JBS"/>
    <n v="12"/>
    <n v="1250"/>
    <n v="6000"/>
    <n v="16.567"/>
    <n v="16.567"/>
    <s v="PLATES"/>
    <d v="2002-01-02T00:00:00"/>
    <d v="2002-02-27T00:00:00"/>
    <d v="2002-03-23T00:00:00"/>
    <d v="2002-04-01T00:00:00"/>
    <d v="2002-03-23T00:00:00"/>
    <d v="2002-04-24T00:00:00"/>
    <s v="OTIF FAIL"/>
    <n v="6"/>
    <s v="1110_FG_HPC"/>
    <x v="2"/>
    <n v="1"/>
    <m/>
  </r>
  <r>
    <s v="0558116556-3"/>
    <s v="CST"/>
    <n v="22"/>
    <n v="1250"/>
    <n v="6000"/>
    <n v="80"/>
    <n v="80"/>
    <s v="PLATES"/>
    <d v="2002-02-17T00:00:00"/>
    <d v="2002-02-27T00:00:00"/>
    <d v="2002-02-26T00:00:00"/>
    <d v="2002-02-27T00:00:00"/>
    <d v="2002-02-27T00:00:00"/>
    <d v="2002-02-28T00:00:00"/>
    <s v="OTIF PASS"/>
    <n v="3"/>
    <s v="1110_FG_HPC"/>
    <x v="5"/>
    <n v="1"/>
    <m/>
  </r>
  <r>
    <s v="0569022841-13"/>
    <s v="CBL"/>
    <n v="8"/>
    <n v="1250"/>
    <n v="6000"/>
    <n v="15"/>
    <n v="15"/>
    <s v="PLATES"/>
    <d v="2001-08-01T00:00:00"/>
    <d v="2002-03-10T00:00:00"/>
    <s v="-"/>
    <s v="-"/>
    <d v="2002-03-20T00:00:00"/>
    <d v="2002-04-24T00:00:00"/>
    <s v="OTIF FAIL"/>
    <n v="13"/>
    <s v="1110_FG_HPC"/>
    <x v="2"/>
    <n v="1"/>
    <m/>
  </r>
  <r>
    <s v="0569023271-4"/>
    <s v="CRC"/>
    <n v="12"/>
    <n v="1250"/>
    <n v="6000"/>
    <n v="20"/>
    <n v="20"/>
    <s v="PLATES"/>
    <d v="2002-03-20T00:00:00"/>
    <d v="2002-04-24T00:00:00"/>
    <d v="2002-04-24T00:00:00"/>
    <d v="2002-04-24T00:00:00"/>
    <d v="2002-04-24T00:00:00"/>
    <d v="2002-04-24T00:00:00"/>
    <s v="OTIF PASS"/>
    <n v="4"/>
    <s v="1110_FG_HPC"/>
    <x v="2"/>
    <n v="1"/>
    <m/>
  </r>
  <r>
    <s v="0569023269-3"/>
    <s v="CST"/>
    <n v="10"/>
    <n v="1250"/>
    <n v="5000"/>
    <n v="15"/>
    <n v="15"/>
    <s v="PLATES"/>
    <d v="2002-02-15T00:00:00"/>
    <d v="2002-02-21T00:00:00"/>
    <d v="2002-03-11T00:00:00"/>
    <d v="2002-03-11T00:00:00"/>
    <d v="2002-03-11T00:00:00"/>
    <d v="2002-03-19T00:00:00"/>
    <s v="OTIF FAIL"/>
    <n v="3"/>
    <s v="1110_FG_HPC"/>
    <x v="0"/>
    <n v="1"/>
    <m/>
  </r>
  <r>
    <s v="0569023266-3"/>
    <s v="HPC"/>
    <n v="10"/>
    <n v="1250"/>
    <n v="5000"/>
    <n v="15"/>
    <n v="15"/>
    <s v="PLATES"/>
    <d v="2002-02-06T00:00:00"/>
    <d v="2002-02-21T00:00:00"/>
    <d v="2002-04-08T00:00:00"/>
    <d v="2002-04-08T00:00:00"/>
    <d v="2002-03-19T00:00:00"/>
    <d v="2002-03-19T00:00:00"/>
    <s v="OTIF FAIL"/>
    <n v="3"/>
    <s v="1110_FG_HPC"/>
    <x v="0"/>
    <n v="1"/>
    <m/>
  </r>
  <r>
    <s v="0569023175-4"/>
    <s v="CST"/>
    <n v="12"/>
    <n v="1250"/>
    <n v="6000"/>
    <n v="15"/>
    <n v="15"/>
    <s v="PLATES"/>
    <d v="2001-08-30T00:00:00"/>
    <d v="2002-03-04T00:00:00"/>
    <d v="2002-03-12T00:00:00"/>
    <d v="2002-03-12T00:00:00"/>
    <d v="2002-03-13T00:00:00"/>
    <d v="2002-04-24T00:00:00"/>
    <s v="OTIF FAIL"/>
    <n v="4"/>
    <s v="1110_FG_HPC"/>
    <x v="2"/>
    <n v="1"/>
    <m/>
  </r>
  <r>
    <s v="0569023261-1"/>
    <s v="HPC"/>
    <n v="16"/>
    <n v="1250"/>
    <n v="6000"/>
    <n v="15"/>
    <n v="15"/>
    <s v="PLATES"/>
    <d v="2002-01-02T00:00:00"/>
    <d v="2002-02-27T00:00:00"/>
    <d v="2002-02-27T00:00:00"/>
    <d v="2002-02-27T00:00:00"/>
    <d v="2002-02-28T00:00:00"/>
    <d v="2002-03-20T00:00:00"/>
    <s v="OTIF FAIL"/>
    <n v="1"/>
    <s v="1110_FG_HPC"/>
    <x v="0"/>
    <n v="1"/>
    <m/>
  </r>
  <r>
    <s v="0569023274-4"/>
    <s v="PSS"/>
    <n v="12"/>
    <n v="1250"/>
    <n v="6000"/>
    <n v="20"/>
    <n v="20"/>
    <s v="PLATES"/>
    <d v="2002-03-28T00:00:00"/>
    <d v="2002-05-10T00:00:00"/>
    <s v="-"/>
    <s v="-"/>
    <s v="-"/>
    <d v="2002-04-24T00:00:00"/>
    <s v="OTIF FAIL"/>
    <n v="4"/>
    <s v="1110_FG_HPC"/>
    <x v="2"/>
    <n v="0"/>
    <m/>
  </r>
  <r>
    <s v="0569023273-5"/>
    <s v="CRC"/>
    <n v="8"/>
    <n v="1250"/>
    <n v="6000"/>
    <n v="30"/>
    <n v="30"/>
    <s v="PLATES"/>
    <d v="2002-03-28T00:00:00"/>
    <d v="2002-05-10T00:00:00"/>
    <s v="-"/>
    <s v="-"/>
    <s v="-"/>
    <d v="2002-04-24T00:00:00"/>
    <s v="OTIF FAIL"/>
    <n v="5"/>
    <s v="1110_FG_HPC"/>
    <x v="2"/>
    <n v="0"/>
    <m/>
  </r>
  <r>
    <s v="0569023273-4"/>
    <s v="CST"/>
    <n v="12"/>
    <n v="1250"/>
    <n v="6000"/>
    <n v="20"/>
    <n v="20"/>
    <s v="PLATES"/>
    <d v="2002-03-28T00:00:00"/>
    <d v="2002-05-10T00:00:00"/>
    <s v="-"/>
    <s v="-"/>
    <s v="-"/>
    <d v="2002-04-24T00:00:00"/>
    <s v="OTIF FAIL"/>
    <n v="4"/>
    <s v="1110_FG_HPC"/>
    <x v="2"/>
    <n v="0"/>
    <m/>
  </r>
  <r>
    <s v="0569023275-4"/>
    <s v="CST"/>
    <n v="12"/>
    <n v="1250"/>
    <n v="6000"/>
    <n v="20"/>
    <n v="20"/>
    <s v="PLATES"/>
    <d v="2002-03-28T00:00:00"/>
    <d v="2002-05-10T00:00:00"/>
    <s v="-"/>
    <s v="-"/>
    <s v="-"/>
    <d v="2002-04-24T00:00:00"/>
    <s v="OTIF FAIL"/>
    <n v="4"/>
    <s v="1110_FG_HPC"/>
    <x v="2"/>
    <n v="0"/>
    <m/>
  </r>
  <r>
    <s v="0558116765-4"/>
    <s v="CST"/>
    <n v="40"/>
    <n v="1250"/>
    <n v="6000"/>
    <n v="80"/>
    <n v="80"/>
    <s v="PLATES"/>
    <d v="2002-04-06T00:00:00"/>
    <d v="2002-05-13T00:00:00"/>
    <s v="-"/>
    <s v="-"/>
    <d v="2002-05-13T00:00:00"/>
    <d v="2002-05-13T00:00:00"/>
    <s v="OTIF FAIL"/>
    <n v="4"/>
    <s v="1110_FG_HPC"/>
    <x v="4"/>
    <n v="1"/>
    <m/>
  </r>
  <r>
    <s v="0558115766-1"/>
    <s v="HPC"/>
    <n v="20"/>
    <n v="1250"/>
    <n v="2500"/>
    <n v="45"/>
    <n v="45"/>
    <s v="PLATES"/>
    <d v="2001-09-25T00:00:00"/>
    <d v="2002-03-08T00:00:00"/>
    <d v="2002-02-13T00:00:00"/>
    <d v="2002-03-08T00:00:00"/>
    <d v="2002-01-15T00:00:00"/>
    <d v="2002-01-15T00:00:00"/>
    <s v="OTIF PASS"/>
    <n v="1"/>
    <s v="1110_FG_HPC"/>
    <x v="13"/>
    <n v="1"/>
    <m/>
  </r>
  <r>
    <s v="0569023175-9"/>
    <s v="CST"/>
    <n v="8"/>
    <n v="1250"/>
    <n v="6000"/>
    <n v="41"/>
    <n v="41"/>
    <s v="PLATES"/>
    <d v="2001-08-30T00:00:00"/>
    <d v="2002-03-04T00:00:00"/>
    <d v="2002-03-12T00:00:00"/>
    <d v="2002-03-12T00:00:00"/>
    <d v="2002-03-13T00:00:00"/>
    <d v="2002-04-24T00:00:00"/>
    <s v="OTIF FAIL"/>
    <n v="9"/>
    <s v="1110_FG_HPC"/>
    <x v="2"/>
    <n v="1"/>
    <m/>
  </r>
  <r>
    <s v="0569023272-4"/>
    <s v="CST"/>
    <n v="12"/>
    <n v="1250"/>
    <n v="6000"/>
    <n v="20"/>
    <n v="20"/>
    <s v="PLATES"/>
    <d v="2002-03-20T00:00:00"/>
    <d v="2002-04-24T00:00:00"/>
    <d v="2002-04-24T00:00:00"/>
    <d v="2002-04-24T00:00:00"/>
    <d v="2002-04-24T00:00:00"/>
    <d v="2002-04-24T00:00:00"/>
    <s v="OTIF PASS"/>
    <n v="4"/>
    <s v="1110_FG_HPC"/>
    <x v="2"/>
    <n v="1"/>
    <m/>
  </r>
  <r>
    <s v="0569023175-8"/>
    <s v="PSS"/>
    <n v="10"/>
    <n v="1250"/>
    <n v="6000"/>
    <n v="16"/>
    <n v="16"/>
    <s v="PLATES"/>
    <d v="2001-08-30T00:00:00"/>
    <d v="2002-03-04T00:00:00"/>
    <d v="2002-03-12T00:00:00"/>
    <d v="2002-03-12T00:00:00"/>
    <d v="2002-03-13T00:00:00"/>
    <d v="2002-03-24T00:00:00"/>
    <s v="OTIF FAIL"/>
    <n v="8"/>
    <s v="1110_FG_HPC"/>
    <x v="9"/>
    <n v="1"/>
    <m/>
  </r>
  <r>
    <s v="0569023259-1"/>
    <s v="HRC"/>
    <n v="25"/>
    <n v="1250"/>
    <n v="6000"/>
    <n v="18"/>
    <n v="18"/>
    <s v="PLATES"/>
    <d v="2002-01-02T00:00:00"/>
    <d v="2002-03-02T00:00:00"/>
    <s v="-"/>
    <s v="-"/>
    <d v="2002-03-20T00:00:00"/>
    <d v="2002-03-20T00:00:00"/>
    <s v="OTIF FAIL"/>
    <n v="1"/>
    <s v="1110_FG_HPC"/>
    <x v="0"/>
    <n v="1"/>
    <m/>
  </r>
  <r>
    <s v="0569023016-1"/>
    <s v="HRC"/>
    <n v="8"/>
    <n v="1250"/>
    <n v="6000"/>
    <n v="14"/>
    <n v="14"/>
    <s v="PLATES"/>
    <d v="2001-08-19T00:00:00"/>
    <d v="2002-03-09T00:00:00"/>
    <d v="2002-03-23T00:00:00"/>
    <d v="2002-04-01T00:00:00"/>
    <d v="2002-03-23T00:00:00"/>
    <d v="2002-04-24T00:00:00"/>
    <s v="OTIF FAIL"/>
    <n v="1"/>
    <s v="1110_FG_HPC"/>
    <x v="2"/>
    <n v="1"/>
    <m/>
  </r>
  <r>
    <s v="0558116556-5"/>
    <s v="CST"/>
    <n v="30"/>
    <n v="1250"/>
    <n v="6000"/>
    <n v="80"/>
    <n v="80"/>
    <s v="PLATES"/>
    <d v="2002-02-17T00:00:00"/>
    <d v="2002-02-27T00:00:00"/>
    <d v="2002-02-27T00:00:00"/>
    <d v="2002-02-27T00:00:00"/>
    <d v="2002-02-27T00:00:00"/>
    <d v="2002-05-13T00:00:00"/>
    <s v="OTIF PASS"/>
    <n v="5"/>
    <s v="1110_FG_HPC"/>
    <x v="4"/>
    <n v="1"/>
    <m/>
  </r>
  <r>
    <s v="0569023251-2"/>
    <s v="CST"/>
    <n v="12"/>
    <n v="1250"/>
    <n v="6000"/>
    <n v="21"/>
    <n v="21"/>
    <s v="PLATES"/>
    <d v="2002-01-01T00:00:00"/>
    <d v="2002-03-02T00:00:00"/>
    <d v="2002-04-22T00:00:00"/>
    <d v="2002-04-22T00:00:00"/>
    <d v="2002-03-22T00:00:00"/>
    <d v="2002-04-24T00:00:00"/>
    <s v="OTIF FAIL"/>
    <n v="2"/>
    <s v="1110_FG_HPC"/>
    <x v="2"/>
    <n v="1"/>
    <m/>
  </r>
  <r>
    <s v="0569023248-6"/>
    <s v="CST"/>
    <n v="14"/>
    <n v="1250"/>
    <n v="6000"/>
    <n v="22"/>
    <n v="22"/>
    <s v="PLATES"/>
    <d v="2002-01-01T00:00:00"/>
    <d v="2002-03-02T00:00:00"/>
    <d v="2002-04-21T00:00:00"/>
    <d v="2002-04-21T00:00:00"/>
    <d v="2002-01-20T00:00:00"/>
    <d v="2002-03-20T00:00:00"/>
    <s v="OTIF FAIL"/>
    <n v="6"/>
    <s v="1110_FG_HPC"/>
    <x v="0"/>
    <n v="1"/>
    <m/>
  </r>
  <r>
    <s v="0558116556-4"/>
    <s v="HPC"/>
    <n v="40"/>
    <n v="1250"/>
    <n v="6000"/>
    <n v="80"/>
    <n v="80"/>
    <s v="PLATES"/>
    <d v="2002-02-17T00:00:00"/>
    <d v="2002-02-27T00:00:00"/>
    <d v="2002-02-27T00:00:00"/>
    <d v="2002-02-27T00:00:00"/>
    <d v="2002-02-27T00:00:00"/>
    <d v="2002-05-13T00:00:00"/>
    <s v="OTIF PASS"/>
    <n v="4"/>
    <s v="1110_FG_HPC"/>
    <x v="4"/>
    <n v="1"/>
    <m/>
  </r>
  <r>
    <s v="0569023252-1"/>
    <s v="CRC"/>
    <n v="16"/>
    <n v="1250"/>
    <n v="6000"/>
    <n v="15"/>
    <n v="15"/>
    <s v="PLATES"/>
    <d v="2002-01-01T00:00:00"/>
    <d v="2002-03-02T00:00:00"/>
    <s v="-"/>
    <s v="-"/>
    <d v="2002-03-20T00:00:00"/>
    <d v="2002-03-20T00:00:00"/>
    <s v="OTIF FAIL"/>
    <n v="1"/>
    <s v="1110_FG_HPC"/>
    <x v="0"/>
    <n v="1"/>
    <m/>
  </r>
  <r>
    <s v="0569023248-7"/>
    <s v="HPC"/>
    <n v="12"/>
    <n v="1250"/>
    <n v="6000"/>
    <n v="48"/>
    <n v="48"/>
    <s v="PLATES"/>
    <d v="2002-01-01T00:00:00"/>
    <d v="2002-03-02T00:00:00"/>
    <d v="2002-03-22T00:00:00"/>
    <d v="2002-04-01T00:00:00"/>
    <d v="2002-03-22T00:00:00"/>
    <d v="2002-04-24T00:00:00"/>
    <s v="OTIF FAIL"/>
    <n v="7"/>
    <s v="1110_FG_HPC"/>
    <x v="2"/>
    <n v="1"/>
    <m/>
  </r>
  <r>
    <s v="0569023250-1"/>
    <s v="HPC"/>
    <n v="25"/>
    <n v="1250"/>
    <n v="6000"/>
    <n v="18"/>
    <n v="18"/>
    <s v="PLATES"/>
    <d v="2002-01-01T00:00:00"/>
    <d v="2002-03-02T00:00:00"/>
    <s v="-"/>
    <s v="-"/>
    <d v="2002-03-20T00:00:00"/>
    <d v="2002-03-20T00:00:00"/>
    <s v="OTIF FAIL"/>
    <n v="1"/>
    <s v="1110_FG_HPC"/>
    <x v="0"/>
    <n v="1"/>
    <m/>
  </r>
  <r>
    <s v="0569023258-6"/>
    <s v="CRC"/>
    <n v="14"/>
    <n v="1250"/>
    <n v="6000"/>
    <n v="22"/>
    <n v="22"/>
    <s v="PLATES"/>
    <d v="2002-01-02T00:00:00"/>
    <d v="2002-03-02T00:00:00"/>
    <d v="2002-03-31T00:00:00"/>
    <d v="2002-03-31T00:00:00"/>
    <d v="2002-01-20T00:00:00"/>
    <d v="2002-03-20T00:00:00"/>
    <s v="OTIF FAIL"/>
    <n v="6"/>
    <s v="1110_FG_HPC"/>
    <x v="0"/>
    <n v="1"/>
    <m/>
  </r>
  <r>
    <s v="0569023243-4"/>
    <s v="CST"/>
    <n v="12"/>
    <n v="1250"/>
    <n v="6000"/>
    <n v="16.712"/>
    <n v="16.712"/>
    <s v="PLATES"/>
    <d v="2002-01-01T00:00:00"/>
    <d v="2002-03-04T00:00:00"/>
    <d v="2002-03-14T00:00:00"/>
    <d v="2002-03-14T00:00:00"/>
    <d v="2002-03-18T00:00:00"/>
    <d v="2002-04-24T00:00:00"/>
    <s v="OTIF FAIL"/>
    <n v="4"/>
    <s v="1110_FG_HPC"/>
    <x v="2"/>
    <n v="1"/>
    <m/>
  </r>
  <r>
    <s v="0569023258-7"/>
    <s v="CRC"/>
    <n v="12"/>
    <n v="1250"/>
    <n v="6000"/>
    <n v="48"/>
    <n v="48"/>
    <s v="PLATES"/>
    <d v="2002-01-02T00:00:00"/>
    <d v="2002-03-02T00:00:00"/>
    <d v="2002-03-06T00:00:00"/>
    <d v="2002-03-06T00:00:00"/>
    <d v="2002-03-08T00:00:00"/>
    <d v="2002-04-24T00:00:00"/>
    <s v="OTIF FAIL"/>
    <n v="7"/>
    <s v="1110_FG_HPC"/>
    <x v="2"/>
    <n v="1"/>
    <m/>
  </r>
  <r>
    <s v="0569022683-1"/>
    <s v="CST"/>
    <n v="6"/>
    <n v="1250"/>
    <n v="5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2545-2"/>
    <s v="HRC"/>
    <n v="6"/>
    <n v="1250"/>
    <n v="2500"/>
    <n v="10"/>
    <n v="10"/>
    <s v="HRAP"/>
    <d v="2001-09-25T00:00:00"/>
    <d v="2002-03-10T00:00:00"/>
    <d v="2002-04-07T00:00:00"/>
    <d v="2002-04-07T00:00:00"/>
    <d v="2002-04-05T00:00:00"/>
    <d v="2002-04-05T00:00:00"/>
    <s v="OTIF FAIL"/>
    <n v="2"/>
    <s v="1210_FG_HPC"/>
    <x v="6"/>
    <n v="1"/>
    <m/>
  </r>
  <r>
    <s v="0558116649-1"/>
    <s v="HPC"/>
    <n v="16"/>
    <n v="1250"/>
    <n v="6000"/>
    <n v="5"/>
    <n v="5"/>
    <s v="PLATES"/>
    <d v="2002-03-20T00:00:00"/>
    <d v="2002-04-21T00:00:00"/>
    <s v="-"/>
    <s v="-"/>
    <d v="2002-04-21T00:00:00"/>
    <d v="2002-04-21T00:00:00"/>
    <s v="OTIF FAIL"/>
    <n v="1"/>
    <s v="1110_FG_HPC"/>
    <x v="2"/>
    <n v="1"/>
    <m/>
  </r>
  <r>
    <s v="0569023242-1"/>
    <s v="HPC"/>
    <n v="8"/>
    <n v="1250"/>
    <n v="5000"/>
    <n v="7.9859999999999998"/>
    <n v="7.9859999999999998"/>
    <s v="PLATES"/>
    <d v="2002-01-01T00:00:00"/>
    <d v="2002-03-04T00:00:00"/>
    <s v="-"/>
    <s v="-"/>
    <d v="2002-04-01T00:00:00"/>
    <d v="2002-04-19T00:00:00"/>
    <s v="OTIF FAIL"/>
    <n v="1"/>
    <s v="1110_FG_HPC"/>
    <x v="15"/>
    <n v="1"/>
    <m/>
  </r>
  <r>
    <s v="0558116695-1"/>
    <s v="HRC"/>
    <n v="12"/>
    <n v="1250"/>
    <n v="5000"/>
    <n v="5"/>
    <n v="5"/>
    <s v="PLATES"/>
    <d v="2002-03-28T00:00:00"/>
    <d v="2002-05-11T00:00:00"/>
    <s v="-"/>
    <s v="-"/>
    <s v="-"/>
    <d v="2002-04-22T00:00:00"/>
    <s v="OTIF FAIL"/>
    <n v="1"/>
    <s v="1110_FG_HPC"/>
    <x v="2"/>
    <n v="0"/>
    <m/>
  </r>
  <r>
    <s v="0569022545-6"/>
    <s v="HRC"/>
    <n v="5"/>
    <n v="1250"/>
    <n v="2500"/>
    <n v="10"/>
    <n v="10"/>
    <s v="HRAP"/>
    <d v="2001-09-25T00:00:00"/>
    <d v="2002-03-10T00:00:00"/>
    <d v="2002-04-06T00:00:00"/>
    <d v="2002-04-06T00:00:00"/>
    <d v="2002-04-06T00:00:00"/>
    <d v="2002-04-06T00:00:00"/>
    <s v="OTIF FAIL"/>
    <n v="6"/>
    <s v="1210_FG_HPC"/>
    <x v="6"/>
    <n v="1"/>
    <m/>
  </r>
  <r>
    <s v="0569022545-1"/>
    <s v="CST"/>
    <n v="4"/>
    <n v="1250"/>
    <n v="2500"/>
    <n v="5"/>
    <n v="5"/>
    <s v="HRAP"/>
    <d v="2001-09-25T00:00:00"/>
    <d v="2002-03-10T00:00:00"/>
    <d v="2002-04-17T00:00:00"/>
    <d v="2002-04-17T00:00:00"/>
    <d v="2002-04-01T00:00:00"/>
    <d v="2002-04-05T00:00:00"/>
    <s v="OTIF FAIL"/>
    <n v="1"/>
    <s v="1210_FG_HPC"/>
    <x v="6"/>
    <n v="1"/>
    <m/>
  </r>
  <r>
    <s v="0569022550-1"/>
    <s v="HPC"/>
    <n v="6"/>
    <n v="1250"/>
    <n v="6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2550-2"/>
    <s v="CST"/>
    <n v="3"/>
    <n v="1250"/>
    <n v="2500"/>
    <n v="9"/>
    <n v="9"/>
    <s v="HRAP"/>
    <d v="2001-09-25T00:00:00"/>
    <d v="2002-03-10T00:00:00"/>
    <d v="2002-04-29T00:00:00"/>
    <d v="2002-04-29T00:00:00"/>
    <d v="2002-04-13T00:00:00"/>
    <d v="2002-04-13T00:00:00"/>
    <s v="OTIF FAIL"/>
    <n v="2"/>
    <s v="1210_FG_HPC"/>
    <x v="7"/>
    <n v="1"/>
    <m/>
  </r>
  <r>
    <s v="0569022633-4"/>
    <s v="CST"/>
    <n v="5"/>
    <n v="1250"/>
    <n v="25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69022550-4"/>
    <s v="CST"/>
    <n v="5"/>
    <n v="1250"/>
    <n v="25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69022683-2"/>
    <s v="CST"/>
    <n v="5"/>
    <n v="1250"/>
    <n v="6000"/>
    <n v="15"/>
    <n v="15"/>
    <s v="HRAP"/>
    <d v="2001-09-25T00:00:00"/>
    <d v="2002-03-10T00:00:00"/>
    <d v="2002-03-09T00:00:00"/>
    <d v="2002-03-10T00:00:00"/>
    <d v="2002-03-11T00:00:00"/>
    <d v="2002-04-06T00:00:00"/>
    <s v="OTIF PASS"/>
    <n v="2"/>
    <s v="1210_FG_HPC"/>
    <x v="6"/>
    <n v="1"/>
    <m/>
  </r>
  <r>
    <s v="0569022587-7"/>
    <s v="CST"/>
    <n v="5"/>
    <n v="1250"/>
    <n v="25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7"/>
    <s v="1210_FG_HPC"/>
    <x v="6"/>
    <n v="1"/>
    <m/>
  </r>
  <r>
    <s v="0558113716-4"/>
    <s v="HRC"/>
    <n v="10"/>
    <n v="1250"/>
    <n v="6000"/>
    <n v="8"/>
    <n v="8"/>
    <s v="PLATES"/>
    <d v="2001-08-28T00:00:00"/>
    <d v="2002-03-06T00:00:00"/>
    <d v="2002-03-11T00:00:00"/>
    <d v="2002-03-11T00:00:00"/>
    <d v="2002-03-09T00:00:00"/>
    <d v="2002-03-09T00:00:00"/>
    <s v="OTIF FAIL"/>
    <n v="4"/>
    <s v="1110_FG_HPC"/>
    <x v="1"/>
    <n v="1"/>
    <m/>
  </r>
  <r>
    <s v="0558113718-7"/>
    <s v="CRC"/>
    <n v="12"/>
    <n v="1250"/>
    <n v="5000"/>
    <n v="4"/>
    <n v="4"/>
    <s v="PLATES"/>
    <d v="2001-09-25T00:00:00"/>
    <d v="2002-03-06T00:00:00"/>
    <d v="2002-03-15T00:00:00"/>
    <d v="2002-03-15T00:00:00"/>
    <d v="2002-03-15T00:00:00"/>
    <d v="2002-03-15T00:00:00"/>
    <s v="OTIF FAIL"/>
    <n v="7"/>
    <s v="1110_FG_HPC"/>
    <x v="3"/>
    <n v="1"/>
    <m/>
  </r>
  <r>
    <s v="0558113716-5"/>
    <s v="CRC"/>
    <n v="12"/>
    <n v="1250"/>
    <n v="6000"/>
    <n v="8"/>
    <n v="8"/>
    <s v="PLATES"/>
    <d v="2001-08-28T00:00:00"/>
    <d v="2002-02-20T00:00:00"/>
    <d v="2002-03-14T00:00:00"/>
    <d v="2002-03-14T00:00:00"/>
    <d v="2002-03-14T00:00:00"/>
    <d v="2002-03-14T00:00:00"/>
    <s v="OTIF FAIL"/>
    <n v="5"/>
    <s v="1110_FG_HPC"/>
    <x v="3"/>
    <n v="1"/>
    <m/>
  </r>
  <r>
    <s v="0558113718-3"/>
    <s v="CST"/>
    <n v="8"/>
    <n v="1250"/>
    <n v="5000"/>
    <n v="4"/>
    <n v="4"/>
    <s v="PLATES"/>
    <d v="2001-09-25T00:00:00"/>
    <d v="2002-03-06T00:00:00"/>
    <d v="2002-03-17T00:00:00"/>
    <d v="2002-03-17T00:00:00"/>
    <d v="2002-03-17T00:00:00"/>
    <d v="2002-03-17T00:00:00"/>
    <s v="OTIF FAIL"/>
    <n v="3"/>
    <s v="1110_FG_HPC"/>
    <x v="0"/>
    <n v="1"/>
    <m/>
  </r>
  <r>
    <s v="0558113716-3"/>
    <s v="CST"/>
    <n v="8"/>
    <n v="1250"/>
    <n v="6000"/>
    <n v="8"/>
    <n v="1.0349999999999999"/>
    <s v="PLATES"/>
    <d v="2001-08-28T00:00:00"/>
    <d v="2002-02-21T00:00:00"/>
    <d v="2002-03-17T00:00:00"/>
    <d v="2002-03-17T00:00:00"/>
    <d v="2002-03-17T00:00:00"/>
    <d v="2002-03-17T00:00:00"/>
    <s v="OTIF FAIL"/>
    <n v="3"/>
    <s v="1110_FG_HPC"/>
    <x v="0"/>
    <n v="0"/>
    <m/>
  </r>
  <r>
    <s v="0558113718-2"/>
    <s v="CST"/>
    <n v="6"/>
    <n v="1250"/>
    <n v="6000"/>
    <n v="4"/>
    <n v="4"/>
    <s v="HRAP"/>
    <d v="2001-09-25T00:00:00"/>
    <d v="2002-03-06T00:00:00"/>
    <d v="2002-03-16T00:00:00"/>
    <d v="2002-03-16T00:00:00"/>
    <d v="2002-03-16T00:00:00"/>
    <d v="2002-03-16T00:00:00"/>
    <s v="OTIF FAIL"/>
    <n v="2"/>
    <s v="1210_FG_HPC"/>
    <x v="3"/>
    <n v="1"/>
    <m/>
  </r>
  <r>
    <s v="0558113718-8"/>
    <s v="CST"/>
    <n v="12"/>
    <n v="1250"/>
    <n v="6000"/>
    <n v="4"/>
    <n v="4"/>
    <s v="PLATES"/>
    <d v="2001-09-25T00:00:00"/>
    <d v="2002-03-10T00:00:00"/>
    <d v="2002-03-15T00:00:00"/>
    <d v="2002-03-15T00:00:00"/>
    <d v="2002-03-15T00:00:00"/>
    <d v="2002-03-15T00:00:00"/>
    <s v="OTIF FAIL"/>
    <n v="8"/>
    <s v="1110_FG_HPC"/>
    <x v="3"/>
    <n v="1"/>
    <m/>
  </r>
  <r>
    <s v="0558113718-4"/>
    <s v="HPC"/>
    <n v="8"/>
    <n v="1250"/>
    <n v="6000"/>
    <n v="4"/>
    <n v="4"/>
    <s v="PLATES"/>
    <d v="2001-09-25T00:00:00"/>
    <d v="2002-03-06T00:00:00"/>
    <d v="2002-03-17T00:00:00"/>
    <d v="2002-03-17T00:00:00"/>
    <d v="2002-03-17T00:00:00"/>
    <d v="2002-03-17T00:00:00"/>
    <s v="OTIF FAIL"/>
    <n v="4"/>
    <s v="1110_FG_HPC"/>
    <x v="0"/>
    <n v="1"/>
    <m/>
  </r>
  <r>
    <s v="0558113718-1"/>
    <s v="CST"/>
    <n v="6"/>
    <n v="1250"/>
    <n v="5000"/>
    <n v="4"/>
    <n v="4"/>
    <s v="HRAP"/>
    <d v="2001-09-25T00:00:00"/>
    <d v="2002-03-06T00:00:00"/>
    <d v="2002-03-16T00:00:00"/>
    <d v="2002-03-16T00:00:00"/>
    <d v="2002-03-16T00:00:00"/>
    <d v="2002-03-16T00:00:00"/>
    <s v="OTIF FAIL"/>
    <n v="1"/>
    <s v="1210_FG_HPC"/>
    <x v="3"/>
    <n v="1"/>
    <m/>
  </r>
  <r>
    <s v="0569022587-1"/>
    <s v="CST"/>
    <n v="4"/>
    <n v="1250"/>
    <n v="2500"/>
    <n v="5"/>
    <n v="5"/>
    <s v="HRAP"/>
    <d v="2001-09-25T00:00:00"/>
    <d v="2002-03-10T00:00:00"/>
    <d v="2002-04-17T00:00:00"/>
    <d v="2002-04-17T00:00:00"/>
    <d v="2002-04-01T00:00:00"/>
    <d v="2002-04-05T00:00:00"/>
    <s v="OTIF FAIL"/>
    <n v="1"/>
    <s v="1210_FG_HPC"/>
    <x v="6"/>
    <n v="1"/>
    <m/>
  </r>
  <r>
    <s v="0558113718-6"/>
    <s v="HPC"/>
    <n v="10"/>
    <n v="1250"/>
    <n v="6000"/>
    <n v="4"/>
    <n v="4"/>
    <s v="PLATES"/>
    <d v="2001-09-25T00:00:00"/>
    <d v="2002-03-10T00:00:00"/>
    <d v="2002-03-09T00:00:00"/>
    <d v="2002-03-10T00:00:00"/>
    <d v="2002-03-10T00:00:00"/>
    <d v="2002-03-10T00:00:00"/>
    <s v="OTIF PASS"/>
    <n v="6"/>
    <s v="1110_FG_HPC"/>
    <x v="3"/>
    <n v="1"/>
    <m/>
  </r>
  <r>
    <s v="0558113718-5"/>
    <s v="HRC"/>
    <n v="10"/>
    <n v="1250"/>
    <n v="5000"/>
    <n v="4"/>
    <n v="4"/>
    <s v="PLATES"/>
    <d v="2001-09-25T00:00:00"/>
    <d v="2002-03-06T00:00:00"/>
    <d v="2002-03-12T00:00:00"/>
    <d v="2002-03-12T00:00:00"/>
    <d v="2002-03-09T00:00:00"/>
    <d v="2002-03-09T00:00:00"/>
    <s v="OTIF FAIL"/>
    <n v="5"/>
    <s v="1110_FG_HPC"/>
    <x v="1"/>
    <n v="1"/>
    <m/>
  </r>
  <r>
    <s v="0569022592-1"/>
    <s v="CST"/>
    <n v="6"/>
    <n v="1250"/>
    <n v="5000"/>
    <n v="30"/>
    <n v="17.739999999999998"/>
    <s v="HRAP"/>
    <d v="2001-09-25T00:00:00"/>
    <d v="2002-03-10T00:00:00"/>
    <d v="2002-03-09T00:00:00"/>
    <d v="2002-03-10T00:00:00"/>
    <d v="2002-03-12T00:00:00"/>
    <d v="2002-04-05T00:00:00"/>
    <s v="OTIF PASS"/>
    <n v="1"/>
    <s v="1210_FG_HPC"/>
    <x v="6"/>
    <n v="0"/>
    <m/>
  </r>
  <r>
    <s v="0558108340-1"/>
    <s v="CST"/>
    <n v="63"/>
    <n v="1250"/>
    <n v="5000"/>
    <n v="9.3000000000000007"/>
    <n v="9.3000000000000007"/>
    <s v="PLATES"/>
    <d v="2001-09-25T00:00:00"/>
    <d v="2002-02-27T00:00:00"/>
    <d v="2002-03-08T00:00:00"/>
    <d v="2002-03-08T00:00:00"/>
    <d v="2002-03-07T00:00:00"/>
    <d v="2002-03-07T00:00:00"/>
    <s v="OTIF FAIL"/>
    <n v="1"/>
    <s v="1110_FG_HPC"/>
    <x v="1"/>
    <n v="1"/>
    <m/>
  </r>
  <r>
    <s v="0568012586-2"/>
    <s v="CST"/>
    <n v="20"/>
    <n v="1000"/>
    <n v="2000"/>
    <n v="14.525"/>
    <n v="14.525"/>
    <s v="PLATES"/>
    <d v="2001-08-13T00:00:00"/>
    <d v="2002-02-27T00:00:00"/>
    <d v="2002-03-01T00:00:00"/>
    <d v="2002-03-01T00:00:00"/>
    <d v="2002-03-03T00:00:00"/>
    <d v="2002-03-03T00:00:00"/>
    <s v="OTIF FAIL"/>
    <n v="2"/>
    <s v="1110_FG_HPC"/>
    <x v="1"/>
    <n v="1"/>
    <m/>
  </r>
  <r>
    <s v="0568012586-3"/>
    <s v="CST"/>
    <n v="25"/>
    <n v="1000"/>
    <n v="2000"/>
    <n v="14.443"/>
    <n v="14.443"/>
    <s v="PLATES"/>
    <d v="2001-08-13T00:00:00"/>
    <d v="2002-02-27T00:00:00"/>
    <d v="2002-03-06T00:00:00"/>
    <d v="2002-03-06T00:00:00"/>
    <d v="2002-03-03T00:00:00"/>
    <d v="2002-03-03T00:00:00"/>
    <s v="OTIF FAIL"/>
    <n v="3"/>
    <s v="1110_FG_HPC"/>
    <x v="1"/>
    <n v="1"/>
    <m/>
  </r>
  <r>
    <s v="0569022592-8"/>
    <s v="CST"/>
    <n v="5"/>
    <n v="1250"/>
    <n v="2500"/>
    <n v="20"/>
    <n v="20"/>
    <s v="HRAP"/>
    <d v="2001-09-25T00:00:00"/>
    <d v="2002-03-10T00:00:00"/>
    <d v="2002-03-10T00:00:00"/>
    <d v="2002-03-10T00:00:00"/>
    <d v="2002-03-13T00:00:00"/>
    <d v="2002-04-06T00:00:00"/>
    <s v="OTIF PASS"/>
    <n v="8"/>
    <s v="1210_FG_HPC"/>
    <x v="6"/>
    <n v="1"/>
    <m/>
  </r>
  <r>
    <s v="0569023253-1"/>
    <s v="CST"/>
    <n v="10"/>
    <n v="1250"/>
    <n v="2500"/>
    <n v="7.226"/>
    <n v="7.226"/>
    <s v="PLATES"/>
    <d v="2002-01-02T00:00:00"/>
    <d v="2002-03-02T00:00:00"/>
    <s v="-"/>
    <s v="-"/>
    <d v="2002-03-18T00:00:00"/>
    <d v="2002-03-19T00:00:00"/>
    <s v="OTIF FAIL"/>
    <n v="1"/>
    <s v="1110_FG_HPC"/>
    <x v="0"/>
    <n v="1"/>
    <m/>
  </r>
  <r>
    <s v="0569022592-3"/>
    <s v="CST"/>
    <n v="6"/>
    <n v="1250"/>
    <n v="6000"/>
    <n v="35"/>
    <n v="35"/>
    <s v="HRAP"/>
    <d v="2001-09-25T00:00:00"/>
    <d v="2002-03-10T00:00:00"/>
    <d v="2002-03-09T00:00:00"/>
    <d v="2002-03-10T00:00:00"/>
    <d v="2002-03-13T00:00:00"/>
    <d v="2002-04-05T00:00:00"/>
    <s v="OTIF PASS"/>
    <n v="3"/>
    <s v="1210_FG_HPC"/>
    <x v="6"/>
    <n v="1"/>
    <m/>
  </r>
  <r>
    <s v="0569022592-2"/>
    <s v="HRC"/>
    <n v="5"/>
    <n v="1250"/>
    <n v="6000"/>
    <n v="25"/>
    <n v="25"/>
    <s v="HRAP"/>
    <d v="2001-09-25T00:00:00"/>
    <d v="2002-03-10T00:00:00"/>
    <d v="2002-04-01T00:00:00"/>
    <d v="2002-04-01T00:00:00"/>
    <d v="2002-04-01T00:00:00"/>
    <d v="2002-04-06T00:00:00"/>
    <s v="OTIF FAIL"/>
    <n v="2"/>
    <s v="1210_FG_HPC"/>
    <x v="6"/>
    <n v="1"/>
    <m/>
  </r>
  <r>
    <s v="0569022592-7"/>
    <s v="CST"/>
    <n v="4"/>
    <n v="1250"/>
    <n v="2500"/>
    <n v="20"/>
    <n v="20"/>
    <s v="HRAP"/>
    <d v="2001-09-25T00:00:00"/>
    <d v="2002-03-10T00:00:00"/>
    <d v="2002-03-10T00:00:00"/>
    <d v="2002-03-10T00:00:00"/>
    <d v="2002-03-12T00:00:00"/>
    <d v="2002-04-05T00:00:00"/>
    <s v="OTIF PASS"/>
    <n v="7"/>
    <s v="1210_FG_HPC"/>
    <x v="6"/>
    <n v="1"/>
    <m/>
  </r>
  <r>
    <s v="0569022507-5"/>
    <s v="CST"/>
    <n v="4"/>
    <n v="1250"/>
    <n v="2500"/>
    <n v="5"/>
    <n v="5"/>
    <s v="HRAP"/>
    <d v="2001-09-25T00:00:00"/>
    <d v="2002-03-10T00:00:00"/>
    <d v="2002-04-17T00:00:00"/>
    <d v="2002-04-17T00:00:00"/>
    <d v="2002-04-01T00:00:00"/>
    <d v="2002-04-05T00:00:00"/>
    <s v="OTIF FAIL"/>
    <n v="5"/>
    <s v="1210_FG_HPC"/>
    <x v="6"/>
    <n v="1"/>
    <m/>
  </r>
  <r>
    <s v="0569022592-9"/>
    <s v="CST"/>
    <n v="6"/>
    <n v="1250"/>
    <n v="2500"/>
    <n v="10"/>
    <n v="10"/>
    <s v="HRAP"/>
    <d v="2001-09-25T00:00:00"/>
    <d v="2002-03-10T00:00:00"/>
    <d v="2002-04-07T00:00:00"/>
    <d v="2002-04-07T00:00:00"/>
    <d v="2002-04-05T00:00:00"/>
    <d v="2002-04-05T00:00:00"/>
    <s v="OTIF FAIL"/>
    <n v="9"/>
    <s v="1210_FG_HPC"/>
    <x v="6"/>
    <n v="1"/>
    <m/>
  </r>
  <r>
    <s v="0569022592-4"/>
    <s v="HRC"/>
    <n v="3"/>
    <n v="1250"/>
    <n v="2500"/>
    <n v="21"/>
    <n v="21"/>
    <s v="HRAP"/>
    <d v="2001-09-25T00:00:00"/>
    <d v="2002-03-10T00:00:00"/>
    <d v="2002-03-20T00:00:00"/>
    <d v="2002-03-20T00:00:00"/>
    <d v="2002-03-25T00:00:00"/>
    <d v="2002-04-13T00:00:00"/>
    <s v="OTIF FAIL"/>
    <n v="4"/>
    <s v="1210_FG_HPC"/>
    <x v="7"/>
    <n v="1"/>
    <m/>
  </r>
  <r>
    <s v="0569023241-1"/>
    <s v="CRC"/>
    <n v="10"/>
    <n v="1250"/>
    <n v="2500"/>
    <n v="7.226"/>
    <n v="7.226"/>
    <s v="PLATES"/>
    <d v="2002-01-01T00:00:00"/>
    <d v="2002-03-04T00:00:00"/>
    <d v="2002-03-18T00:00:00"/>
    <d v="2002-03-18T00:00:00"/>
    <d v="2002-03-18T00:00:00"/>
    <d v="2002-03-19T00:00:00"/>
    <s v="OTIF FAIL"/>
    <n v="1"/>
    <s v="1110_FG_HPC"/>
    <x v="0"/>
    <n v="1"/>
    <m/>
  </r>
  <r>
    <s v="0569022633-1"/>
    <s v="CST"/>
    <n v="6"/>
    <n v="1250"/>
    <n v="2500"/>
    <n v="10"/>
    <n v="10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2638-3"/>
    <s v="CST"/>
    <n v="3"/>
    <n v="1250"/>
    <n v="5000"/>
    <n v="5"/>
    <n v="5"/>
    <s v="HRAP"/>
    <d v="2001-09-25T00:00:00"/>
    <d v="2002-03-10T00:00:00"/>
    <d v="2002-04-29T00:00:00"/>
    <d v="2002-04-29T00:00:00"/>
    <d v="2002-04-13T00:00:00"/>
    <d v="2002-04-13T00:00:00"/>
    <s v="OTIF FAIL"/>
    <n v="3"/>
    <s v="1210_FG_HPC"/>
    <x v="7"/>
    <n v="1"/>
    <m/>
  </r>
  <r>
    <s v="0569022638-7"/>
    <s v="CRC"/>
    <n v="6"/>
    <n v="1250"/>
    <n v="2500"/>
    <n v="7"/>
    <n v="7"/>
    <s v="HRAP"/>
    <d v="2001-09-25T00:00:00"/>
    <d v="2002-03-10T00:00:00"/>
    <d v="2002-04-07T00:00:00"/>
    <d v="2002-04-07T00:00:00"/>
    <d v="2002-04-05T00:00:00"/>
    <d v="2002-04-05T00:00:00"/>
    <s v="OTIF FAIL"/>
    <n v="7"/>
    <s v="1210_FG_HPC"/>
    <x v="6"/>
    <n v="1"/>
    <m/>
  </r>
  <r>
    <s v="0569022638-5"/>
    <s v="CST"/>
    <n v="4"/>
    <n v="1250"/>
    <n v="2500"/>
    <n v="10"/>
    <n v="10"/>
    <s v="HRAP"/>
    <d v="2001-09-25T00:00:00"/>
    <d v="2002-03-10T00:00:00"/>
    <d v="2002-04-17T00:00:00"/>
    <d v="2002-04-17T00:00:00"/>
    <d v="2002-04-05T00:00:00"/>
    <d v="2002-04-05T00:00:00"/>
    <s v="OTIF FAIL"/>
    <n v="5"/>
    <s v="1210_FG_HPC"/>
    <x v="6"/>
    <n v="1"/>
    <m/>
  </r>
  <r>
    <s v="0569022794-1"/>
    <s v="CRC"/>
    <n v="6"/>
    <n v="1250"/>
    <n v="5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2944-1"/>
    <s v="CST"/>
    <n v="8"/>
    <n v="1250"/>
    <n v="5000"/>
    <n v="14"/>
    <n v="14"/>
    <s v="PLATES"/>
    <d v="2001-08-07T00:00:00"/>
    <d v="2002-03-09T00:00:00"/>
    <d v="2002-03-17T00:00:00"/>
    <d v="2002-03-17T00:00:00"/>
    <d v="2002-03-17T00:00:00"/>
    <d v="2002-04-19T00:00:00"/>
    <s v="OTIF FAIL"/>
    <n v="1"/>
    <s v="1110_FG_HPC"/>
    <x v="15"/>
    <n v="1"/>
    <m/>
  </r>
  <r>
    <s v="0569023077-7"/>
    <s v="HRC"/>
    <n v="4"/>
    <n v="1250"/>
    <n v="2500"/>
    <n v="23"/>
    <n v="23"/>
    <s v="HRAP"/>
    <d v="2001-08-23T00:00:00"/>
    <d v="2002-03-04T00:00:00"/>
    <d v="2002-03-04T00:00:00"/>
    <d v="2002-03-04T00:00:00"/>
    <d v="2002-03-08T00:00:00"/>
    <d v="2002-04-05T00:00:00"/>
    <s v="OTIF PASS"/>
    <n v="7"/>
    <s v="1210_FG_HPC"/>
    <x v="6"/>
    <n v="1"/>
    <m/>
  </r>
  <r>
    <s v="0569023247-4"/>
    <s v="HRC"/>
    <n v="8"/>
    <n v="1250"/>
    <n v="5000"/>
    <n v="5"/>
    <n v="5"/>
    <s v="PLATES"/>
    <d v="2002-01-01T00:00:00"/>
    <d v="2002-03-02T00:00:00"/>
    <s v="-"/>
    <s v="-"/>
    <d v="2002-04-01T00:00:00"/>
    <d v="2002-04-19T00:00:00"/>
    <s v="OTIF FAIL"/>
    <n v="4"/>
    <s v="1110_FG_HPC"/>
    <x v="15"/>
    <n v="1"/>
    <m/>
  </r>
  <r>
    <s v="0569022949-8"/>
    <s v="HPC"/>
    <n v="5"/>
    <n v="1250"/>
    <n v="2500"/>
    <n v="5"/>
    <n v="5"/>
    <s v="HRAP"/>
    <d v="2001-08-07T00:00:00"/>
    <d v="2002-03-09T00:00:00"/>
    <d v="2002-04-06T00:00:00"/>
    <d v="2002-04-06T00:00:00"/>
    <d v="2002-04-06T00:00:00"/>
    <d v="2002-04-06T00:00:00"/>
    <s v="OTIF FAIL"/>
    <n v="8"/>
    <s v="1210_FG_HPC"/>
    <x v="6"/>
    <n v="1"/>
    <m/>
  </r>
  <r>
    <s v="0558111093-4"/>
    <s v="HRC"/>
    <n v="12"/>
    <n v="1250"/>
    <n v="6000"/>
    <n v="5"/>
    <n v="4.2530000000000001"/>
    <s v="PLATES"/>
    <d v="2001-09-25T00:00:00"/>
    <d v="2002-03-04T00:00:00"/>
    <s v="-"/>
    <s v="-"/>
    <d v="2002-03-22T00:00:00"/>
    <d v="2002-04-01T00:00:00"/>
    <s v="OTIF FAIL"/>
    <n v="4"/>
    <s v="1110_FG_HPC"/>
    <x v="6"/>
    <n v="0"/>
    <m/>
  </r>
  <r>
    <s v="0558111387-12"/>
    <s v="HRC"/>
    <n v="4"/>
    <n v="1095"/>
    <n v="4970"/>
    <n v="67"/>
    <n v="67"/>
    <s v="HRAP"/>
    <d v="2001-09-25T00:00:00"/>
    <d v="2002-03-22T00:00:00"/>
    <d v="2002-03-23T00:00:00"/>
    <d v="2002-03-23T00:00:00"/>
    <d v="2002-03-23T00:00:00"/>
    <d v="2002-03-23T00:00:00"/>
    <s v="OTIF FAIL"/>
    <n v="12"/>
    <s v="1210_FG_HPC"/>
    <x v="0"/>
    <n v="1"/>
    <m/>
  </r>
  <r>
    <s v="0558116713-1"/>
    <s v="HRC"/>
    <n v="8"/>
    <n v="1250"/>
    <n v="4890"/>
    <n v="150"/>
    <n v="150"/>
    <s v="PLATES"/>
    <d v="2002-03-28T00:00:00"/>
    <d v="2002-05-03T00:00:00"/>
    <d v="2002-05-03T00:00:00"/>
    <d v="2002-05-03T00:00:00"/>
    <s v="-"/>
    <d v="2002-04-23T00:00:00"/>
    <s v="OTIF PASS"/>
    <n v="1"/>
    <s v="1110_FG_HPC"/>
    <x v="2"/>
    <n v="0"/>
    <m/>
  </r>
  <r>
    <s v="0558113419-15"/>
    <s v="HPC"/>
    <n v="6"/>
    <n v="1150"/>
    <n v="6450"/>
    <n v="11"/>
    <n v="11"/>
    <s v="HRAP"/>
    <d v="2001-08-02T00:00:00"/>
    <d v="2002-03-22T00:00:00"/>
    <d v="2002-04-05T00:00:00"/>
    <d v="2002-04-05T00:00:00"/>
    <d v="2002-04-05T00:00:00"/>
    <d v="2002-04-05T00:00:00"/>
    <s v="OTIF FAIL"/>
    <n v="15"/>
    <s v="1210_FG_HPC"/>
    <x v="6"/>
    <n v="1"/>
    <m/>
  </r>
  <r>
    <s v="0558110146-12"/>
    <s v="CST"/>
    <n v="4"/>
    <n v="1095"/>
    <n v="4970"/>
    <n v="67"/>
    <n v="20.609000000000002"/>
    <s v="HRAP"/>
    <d v="2001-09-25T00:00:00"/>
    <d v="2002-03-10T00:00:00"/>
    <d v="2002-03-12T00:00:00"/>
    <d v="2002-03-12T00:00:00"/>
    <d v="2002-03-17T00:00:00"/>
    <d v="2002-03-23T00:00:00"/>
    <s v="OTIF FAIL"/>
    <n v="12"/>
    <s v="1210_FG_HPC"/>
    <x v="0"/>
    <n v="0"/>
    <m/>
  </r>
  <r>
    <s v="0558113419-6"/>
    <s v="CRC"/>
    <n v="4"/>
    <n v="1150"/>
    <n v="2150"/>
    <n v="11"/>
    <n v="6.657"/>
    <s v="HRAP"/>
    <d v="2001-08-02T00:00:00"/>
    <d v="2002-03-10T00:00:00"/>
    <s v="-"/>
    <s v="-"/>
    <d v="2002-04-06T00:00:00"/>
    <d v="2002-04-06T00:00:00"/>
    <s v="OTIF FAIL"/>
    <n v="6"/>
    <s v="1210_FG_HPC"/>
    <x v="6"/>
    <n v="0"/>
    <m/>
  </r>
  <r>
    <s v="0558115805-11"/>
    <s v="CST"/>
    <n v="5"/>
    <n v="1150"/>
    <n v="2940"/>
    <n v="27"/>
    <n v="27"/>
    <s v="HRAP"/>
    <d v="2001-08-30T00:00:00"/>
    <d v="2002-03-22T00:00:00"/>
    <d v="2002-03-25T00:00:00"/>
    <d v="2002-03-25T00:00:00"/>
    <d v="2002-04-01T00:00:00"/>
    <d v="2002-04-01T00:00:00"/>
    <s v="OTIF FAIL"/>
    <n v="11"/>
    <s v="1210_FG_HPC"/>
    <x v="6"/>
    <n v="1"/>
    <m/>
  </r>
  <r>
    <s v="0558110308-5"/>
    <s v="CST"/>
    <n v="22"/>
    <n v="1250"/>
    <n v="6400"/>
    <n v="2.2000000000000002"/>
    <n v="2.2000000000000002"/>
    <s v="PLATES"/>
    <d v="2001-09-25T00:00:00"/>
    <d v="2002-03-21T00:00:00"/>
    <d v="2002-03-23T00:00:00"/>
    <d v="2002-03-23T00:00:00"/>
    <d v="2002-03-23T00:00:00"/>
    <d v="2002-03-23T00:00:00"/>
    <s v="OTIF FAIL"/>
    <n v="5"/>
    <s v="1110_FG_HPC"/>
    <x v="0"/>
    <n v="1"/>
    <m/>
  </r>
  <r>
    <s v="0558115805-7"/>
    <s v="CRC"/>
    <n v="4"/>
    <n v="1200"/>
    <n v="7065"/>
    <n v="10"/>
    <n v="10"/>
    <s v="HRAP"/>
    <d v="2001-08-30T00:00:00"/>
    <d v="2002-03-22T00:00:00"/>
    <d v="2002-04-06T00:00:00"/>
    <d v="2002-04-06T00:00:00"/>
    <d v="2002-04-06T00:00:00"/>
    <d v="2002-04-06T00:00:00"/>
    <s v="OTIF FAIL"/>
    <n v="7"/>
    <s v="1210_FG_HPC"/>
    <x v="6"/>
    <n v="1"/>
    <m/>
  </r>
  <r>
    <s v="0558116426-1"/>
    <s v="HPC"/>
    <n v="8"/>
    <n v="1100"/>
    <n v="4500"/>
    <n v="6.0229999999999997"/>
    <n v="6.0229999999999997"/>
    <s v="PLATES"/>
    <d v="2002-01-02T00:00:00"/>
    <d v="2002-03-22T00:00:00"/>
    <s v="-"/>
    <s v="-"/>
    <d v="2002-03-22T00:00:00"/>
    <d v="2002-03-27T00:00:00"/>
    <s v="OTIF FAIL"/>
    <n v="1"/>
    <s v="1110_FG_HPC"/>
    <x v="9"/>
    <n v="1"/>
    <m/>
  </r>
  <r>
    <s v="0558116737-1"/>
    <s v="CST"/>
    <n v="8"/>
    <n v="1250"/>
    <n v="4890"/>
    <n v="150"/>
    <n v="150"/>
    <s v="PLATES"/>
    <d v="2002-03-28T00:00:00"/>
    <d v="2002-05-05T00:00:00"/>
    <d v="2002-05-05T00:00:00"/>
    <d v="2002-05-05T00:00:00"/>
    <s v="-"/>
    <d v="2002-04-23T00:00:00"/>
    <s v="OTIF PASS"/>
    <n v="1"/>
    <s v="1110_FG_HPC"/>
    <x v="2"/>
    <n v="0"/>
    <m/>
  </r>
  <r>
    <s v="0558113408-1"/>
    <s v="CST"/>
    <n v="4"/>
    <n v="1200"/>
    <n v="6000"/>
    <n v="105.215"/>
    <n v="25.548999999999999"/>
    <s v="HRAP"/>
    <d v="2001-08-02T00:00:00"/>
    <d v="2002-03-10T00:00:00"/>
    <d v="2002-03-15T00:00:00"/>
    <d v="2002-03-15T00:00:00"/>
    <d v="2002-03-15T00:00:00"/>
    <d v="2002-04-01T00:00:00"/>
    <s v="OTIF FAIL"/>
    <n v="1"/>
    <s v="1210_FG_HPC"/>
    <x v="6"/>
    <n v="0"/>
    <m/>
  </r>
  <r>
    <s v="0558113408-3"/>
    <s v="CRC"/>
    <n v="4"/>
    <n v="1095"/>
    <n v="4970"/>
    <n v="53.335000000000001"/>
    <n v="53.335000000000001"/>
    <s v="HRAP"/>
    <d v="2001-08-02T00:00:00"/>
    <d v="2002-03-22T00:00:00"/>
    <d v="2002-03-22T00:00:00"/>
    <d v="2002-03-22T00:00:00"/>
    <d v="2002-03-22T00:00:00"/>
    <d v="2002-03-23T00:00:00"/>
    <s v="OTIF PASS"/>
    <n v="3"/>
    <s v="1210_FG_HPC"/>
    <x v="0"/>
    <n v="1"/>
    <m/>
  </r>
  <r>
    <s v="0558115810-12"/>
    <s v="HRC"/>
    <n v="4"/>
    <n v="1095"/>
    <n v="4970"/>
    <n v="66"/>
    <n v="66"/>
    <s v="HRAP"/>
    <d v="2001-08-30T00:00:00"/>
    <d v="2002-03-22T00:00:00"/>
    <d v="2002-03-22T00:00:00"/>
    <d v="2002-03-22T00:00:00"/>
    <d v="2002-03-22T00:00:00"/>
    <d v="2002-03-23T00:00:00"/>
    <s v="OTIF PASS"/>
    <n v="12"/>
    <s v="1210_FG_HPC"/>
    <x v="0"/>
    <n v="1"/>
    <m/>
  </r>
  <r>
    <s v="0558115805-1"/>
    <s v="CST"/>
    <n v="4"/>
    <n v="883"/>
    <n v="2150"/>
    <n v="16"/>
    <n v="16"/>
    <s v="HRAP"/>
    <d v="2001-08-30T00:00:00"/>
    <d v="2002-03-22T00:00:00"/>
    <d v="2002-03-19T00:00:00"/>
    <d v="2002-03-22T00:00:00"/>
    <d v="2002-03-26T00:00:00"/>
    <d v="2002-03-26T00:00:00"/>
    <s v="OTIF PASS"/>
    <n v="1"/>
    <s v="1210_FG_HPC"/>
    <x v="9"/>
    <n v="1"/>
    <m/>
  </r>
  <r>
    <s v="0558115810-11"/>
    <s v="HRC"/>
    <n v="4"/>
    <n v="1200"/>
    <n v="6000"/>
    <n v="105"/>
    <n v="105"/>
    <s v="HRAP"/>
    <d v="2001-08-30T00:00:00"/>
    <d v="2002-03-22T00:00:00"/>
    <d v="2002-04-01T00:00:00"/>
    <d v="2002-04-01T00:00:00"/>
    <d v="2002-04-01T00:00:00"/>
    <d v="2002-04-01T00:00:00"/>
    <s v="OTIF FAIL"/>
    <n v="11"/>
    <s v="1210_FG_HPC"/>
    <x v="6"/>
    <n v="1"/>
    <m/>
  </r>
  <r>
    <s v="0558115805-5"/>
    <s v="HRC"/>
    <n v="4"/>
    <n v="911"/>
    <n v="2150"/>
    <n v="10.779"/>
    <n v="10.779"/>
    <s v="HRAP"/>
    <d v="2001-08-30T00:00:00"/>
    <d v="2002-03-22T00:00:00"/>
    <d v="2002-03-25T00:00:00"/>
    <d v="2002-03-25T00:00:00"/>
    <d v="2002-04-01T00:00:00"/>
    <d v="2002-04-01T00:00:00"/>
    <s v="OTIF FAIL"/>
    <n v="5"/>
    <s v="1210_FG_HPC"/>
    <x v="6"/>
    <n v="1"/>
    <m/>
  </r>
  <r>
    <s v="0558115810-13"/>
    <s v="HRC"/>
    <n v="4"/>
    <n v="908"/>
    <n v="4970"/>
    <n v="106"/>
    <n v="106"/>
    <s v="HRAP"/>
    <d v="2001-08-30T00:00:00"/>
    <d v="2002-03-22T00:00:00"/>
    <d v="2002-04-08T00:00:00"/>
    <d v="2002-04-08T00:00:00"/>
    <d v="2002-04-08T00:00:00"/>
    <d v="2002-04-08T00:00:00"/>
    <s v="OTIF FAIL"/>
    <n v="13"/>
    <s v="1210_FG_HPC"/>
    <x v="7"/>
    <n v="1"/>
    <m/>
  </r>
  <r>
    <s v="0558115805-2"/>
    <s v="CRC"/>
    <n v="4"/>
    <n v="1200"/>
    <n v="2150"/>
    <n v="65"/>
    <n v="65"/>
    <s v="HRAP"/>
    <d v="2001-08-30T00:00:00"/>
    <d v="2002-03-22T00:00:00"/>
    <d v="2002-04-02T00:00:00"/>
    <d v="2002-04-02T00:00:00"/>
    <d v="2002-04-02T00:00:00"/>
    <d v="2002-04-02T00:00:00"/>
    <s v="OTIF FAIL"/>
    <n v="2"/>
    <s v="1210_FG_HPC"/>
    <x v="6"/>
    <n v="1"/>
    <m/>
  </r>
  <r>
    <s v="0558113408-2"/>
    <s v="HRC"/>
    <n v="4"/>
    <n v="908"/>
    <n v="4970"/>
    <n v="92.438000000000002"/>
    <n v="80.638000000000005"/>
    <s v="HRAP"/>
    <d v="2001-08-02T00:00:00"/>
    <d v="2002-03-22T00:00:00"/>
    <d v="2002-04-08T00:00:00"/>
    <d v="2002-04-08T00:00:00"/>
    <d v="2002-04-08T00:00:00"/>
    <d v="2002-04-08T00:00:00"/>
    <s v="OTIF FAIL"/>
    <n v="2"/>
    <s v="1210_FG_HPC"/>
    <x v="7"/>
    <n v="0"/>
    <m/>
  </r>
  <r>
    <s v="0558113419-11"/>
    <s v="HRC"/>
    <n v="5"/>
    <n v="1150"/>
    <n v="2940"/>
    <n v="27"/>
    <n v="27"/>
    <s v="HRAP"/>
    <d v="2001-08-02T00:00:00"/>
    <d v="2002-03-22T00:00:00"/>
    <d v="2002-03-25T00:00:00"/>
    <d v="2002-03-25T00:00:00"/>
    <d v="2002-04-01T00:00:00"/>
    <d v="2002-04-01T00:00:00"/>
    <s v="OTIF FAIL"/>
    <n v="11"/>
    <s v="1210_FG_HPC"/>
    <x v="6"/>
    <n v="1"/>
    <m/>
  </r>
  <r>
    <s v="0558113419-2"/>
    <s v="HRC"/>
    <n v="4"/>
    <n v="1200"/>
    <n v="2150"/>
    <n v="66"/>
    <n v="29.324000000000002"/>
    <s v="HRAP"/>
    <d v="2001-08-02T00:00:00"/>
    <d v="2002-03-10T00:00:00"/>
    <d v="2002-03-11T00:00:00"/>
    <d v="2002-03-11T00:00:00"/>
    <d v="2002-03-12T00:00:00"/>
    <d v="2002-04-02T00:00:00"/>
    <s v="OTIF FAIL"/>
    <n v="2"/>
    <s v="1210_FG_HPC"/>
    <x v="6"/>
    <n v="0"/>
    <m/>
  </r>
  <r>
    <s v="0558116657-1"/>
    <s v="CST"/>
    <n v="8"/>
    <n v="1250"/>
    <n v="4890"/>
    <n v="150"/>
    <n v="150"/>
    <s v="PLATES"/>
    <d v="2002-03-20T00:00:00"/>
    <d v="2002-04-23T00:00:00"/>
    <d v="2002-04-23T00:00:00"/>
    <d v="2002-04-23T00:00:00"/>
    <d v="2002-04-23T00:00:00"/>
    <d v="2002-04-23T00:00:00"/>
    <s v="OTIF PASS"/>
    <n v="1"/>
    <s v="1110_FG_HPC"/>
    <x v="2"/>
    <n v="1"/>
    <m/>
  </r>
  <r>
    <s v="0558108802-3"/>
    <s v="HRC"/>
    <n v="4"/>
    <n v="1100"/>
    <n v="4600"/>
    <n v="70"/>
    <n v="70"/>
    <s v="HRAP"/>
    <d v="2001-09-25T00:00:00"/>
    <d v="2002-03-21T00:00:00"/>
    <d v="2002-03-26T00:00:00"/>
    <d v="2002-04-01T00:00:00"/>
    <d v="2002-04-02T00:00:00"/>
    <d v="2002-04-02T00:00:00"/>
    <s v="OTIF FAIL"/>
    <n v="3"/>
    <s v="1210_FG_HPC"/>
    <x v="6"/>
    <n v="1"/>
    <m/>
  </r>
  <r>
    <s v="0558108802-4"/>
    <s v="CST"/>
    <n v="4"/>
    <n v="1100"/>
    <n v="5600"/>
    <n v="50"/>
    <n v="50"/>
    <s v="HRAP"/>
    <d v="2001-09-25T00:00:00"/>
    <d v="2002-03-21T00:00:00"/>
    <d v="2002-03-26T00:00:00"/>
    <d v="2002-04-01T00:00:00"/>
    <d v="2002-04-02T00:00:00"/>
    <d v="2002-04-02T00:00:00"/>
    <s v="OTIF FAIL"/>
    <n v="4"/>
    <s v="1210_FG_HPC"/>
    <x v="6"/>
    <n v="1"/>
    <m/>
  </r>
  <r>
    <s v="0558113419-1"/>
    <s v="CST"/>
    <n v="4"/>
    <n v="883"/>
    <n v="2150"/>
    <n v="17"/>
    <n v="13.215"/>
    <s v="HRAP"/>
    <d v="2001-08-02T00:00:00"/>
    <d v="2002-03-10T00:00:00"/>
    <d v="2002-03-18T00:00:00"/>
    <d v="2002-03-18T00:00:00"/>
    <d v="2002-03-25T00:00:00"/>
    <d v="2002-03-26T00:00:00"/>
    <s v="OTIF FAIL"/>
    <n v="1"/>
    <s v="1210_FG_HPC"/>
    <x v="9"/>
    <n v="0"/>
    <m/>
  </r>
  <r>
    <s v="0558108789-3"/>
    <s v="HRC"/>
    <n v="4"/>
    <n v="1100"/>
    <n v="4600"/>
    <n v="70"/>
    <n v="70"/>
    <s v="HRAP"/>
    <d v="2001-09-25T00:00:00"/>
    <d v="2002-03-21T00:00:00"/>
    <d v="2002-03-18T00:00:00"/>
    <d v="2002-03-21T00:00:00"/>
    <d v="2002-03-25T00:00:00"/>
    <d v="2002-04-02T00:00:00"/>
    <s v="OTIF PASS"/>
    <n v="3"/>
    <s v="1210_FG_HPC"/>
    <x v="6"/>
    <n v="1"/>
    <m/>
  </r>
  <r>
    <s v="0558115805-6"/>
    <s v="HRC"/>
    <n v="4"/>
    <n v="1150"/>
    <n v="2150"/>
    <n v="10"/>
    <n v="10"/>
    <s v="HRAP"/>
    <d v="2001-08-30T00:00:00"/>
    <d v="2002-03-22T00:00:00"/>
    <d v="2002-04-06T00:00:00"/>
    <d v="2002-04-06T00:00:00"/>
    <d v="2002-04-06T00:00:00"/>
    <d v="2002-04-06T00:00:00"/>
    <s v="OTIF FAIL"/>
    <n v="6"/>
    <s v="1210_FG_HPC"/>
    <x v="6"/>
    <n v="1"/>
    <m/>
  </r>
  <r>
    <s v="0558108789-2"/>
    <s v="CRC"/>
    <n v="4"/>
    <n v="850"/>
    <n v="4850"/>
    <n v="40"/>
    <n v="40"/>
    <s v="HRAP"/>
    <d v="2001-09-25T00:00:00"/>
    <d v="2002-03-10T00:00:00"/>
    <d v="2002-03-10T00:00:00"/>
    <d v="2002-03-10T00:00:00"/>
    <d v="2002-03-10T00:00:00"/>
    <d v="2002-03-10T00:00:00"/>
    <s v="OTIF PASS"/>
    <n v="2"/>
    <s v="1210_FG_HPC"/>
    <x v="3"/>
    <n v="1"/>
    <m/>
  </r>
  <r>
    <s v="0558108789-4"/>
    <s v="CST"/>
    <n v="4"/>
    <n v="1100"/>
    <n v="5600"/>
    <n v="30"/>
    <n v="30"/>
    <s v="HRAP"/>
    <d v="2001-09-25T00:00:00"/>
    <d v="2002-03-21T00:00:00"/>
    <d v="2002-03-19T00:00:00"/>
    <d v="2002-03-21T00:00:00"/>
    <d v="2002-03-26T00:00:00"/>
    <d v="2002-04-02T00:00:00"/>
    <s v="OTIF PASS"/>
    <n v="4"/>
    <s v="1210_FG_HPC"/>
    <x v="6"/>
    <n v="1"/>
    <m/>
  </r>
  <r>
    <s v="0558111389-3"/>
    <s v="HRC"/>
    <n v="4"/>
    <n v="1095"/>
    <n v="4970"/>
    <n v="46.12"/>
    <n v="46.12"/>
    <s v="HRAP"/>
    <d v="2001-09-25T00:00:00"/>
    <d v="2002-03-10T00:00:00"/>
    <d v="2002-03-12T00:00:00"/>
    <d v="2002-03-12T00:00:00"/>
    <d v="2002-03-19T00:00:00"/>
    <d v="2002-03-23T00:00:00"/>
    <s v="OTIF FAIL"/>
    <n v="3"/>
    <s v="1210_FG_HPC"/>
    <x v="0"/>
    <n v="1"/>
    <m/>
  </r>
  <r>
    <s v="0558115805-15"/>
    <s v="CST"/>
    <n v="6"/>
    <n v="1150"/>
    <n v="6450"/>
    <n v="18"/>
    <n v="18"/>
    <s v="HRAP"/>
    <d v="2001-08-30T00:00:00"/>
    <d v="2002-03-22T00:00:00"/>
    <d v="2002-04-02T00:00:00"/>
    <d v="2002-04-02T00:00:00"/>
    <d v="2002-04-02T00:00:00"/>
    <d v="2002-04-05T00:00:00"/>
    <s v="OTIF FAIL"/>
    <n v="15"/>
    <s v="1210_FG_HPC"/>
    <x v="6"/>
    <n v="1"/>
    <m/>
  </r>
  <r>
    <s v="0558116634-1"/>
    <s v="CST"/>
    <n v="8"/>
    <n v="1250"/>
    <n v="4890"/>
    <n v="150"/>
    <n v="150"/>
    <s v="PLATES"/>
    <d v="2002-03-20T00:00:00"/>
    <d v="2002-04-23T00:00:00"/>
    <s v="-"/>
    <s v="-"/>
    <d v="2002-04-23T00:00:00"/>
    <d v="2002-04-23T00:00:00"/>
    <s v="OTIF FAIL"/>
    <n v="1"/>
    <s v="1110_FG_HPC"/>
    <x v="2"/>
    <n v="1"/>
    <m/>
  </r>
  <r>
    <s v="0558095677-18"/>
    <s v="CST"/>
    <n v="6"/>
    <n v="800"/>
    <n v="5150"/>
    <n v="60"/>
    <n v="11.474"/>
    <s v="HRAP"/>
    <d v="2001-09-25T00:00:00"/>
    <d v="2002-03-10T00:00:00"/>
    <d v="2002-03-12T00:00:00"/>
    <d v="2002-03-12T00:00:00"/>
    <d v="2002-03-13T00:00:00"/>
    <d v="2002-03-13T00:00:00"/>
    <s v="OTIF FAIL"/>
    <n v="18"/>
    <s v="1210_FG_HPC"/>
    <x v="3"/>
    <n v="0"/>
    <m/>
  </r>
  <r>
    <s v="0558115805-4"/>
    <s v="CST"/>
    <n v="4"/>
    <n v="1050"/>
    <n v="2470"/>
    <n v="3"/>
    <n v="3"/>
    <s v="HRAP"/>
    <d v="2001-08-30T00:00:00"/>
    <d v="2002-03-22T00:00:00"/>
    <d v="2002-03-30T00:00:00"/>
    <d v="2002-03-30T00:00:00"/>
    <d v="2002-03-30T00:00:00"/>
    <d v="2002-03-30T00:00:00"/>
    <s v="OTIF FAIL"/>
    <n v="4"/>
    <s v="1210_FG_HPC"/>
    <x v="9"/>
    <n v="1"/>
    <m/>
  </r>
  <r>
    <s v="0558105244-1"/>
    <s v="CST"/>
    <n v="6"/>
    <n v="1250"/>
    <n v="5600"/>
    <n v="34.700000000000003"/>
    <n v="34.700000000000003"/>
    <s v="HRAP"/>
    <d v="2001-09-25T00:00:00"/>
    <d v="2002-03-21T00:00:00"/>
    <s v="-"/>
    <s v="-"/>
    <d v="2002-03-21T00:00:00"/>
    <d v="2002-03-21T00:00:00"/>
    <s v="OTIF FAIL"/>
    <n v="1"/>
    <s v="1210_FG_HPC"/>
    <x v="0"/>
    <n v="1"/>
    <m/>
  </r>
  <r>
    <s v="0558110305-2"/>
    <s v="CST"/>
    <n v="4"/>
    <n v="908"/>
    <n v="4970"/>
    <n v="73.436000000000007"/>
    <n v="39.829000000000001"/>
    <s v="HRAP"/>
    <d v="2001-09-25T00:00:00"/>
    <d v="2002-03-21T00:00:00"/>
    <d v="2002-03-23T00:00:00"/>
    <d v="2002-03-23T00:00:00"/>
    <d v="2002-03-23T00:00:00"/>
    <d v="2002-04-08T00:00:00"/>
    <s v="OTIF FAIL"/>
    <n v="2"/>
    <s v="1210_FG_HPC"/>
    <x v="7"/>
    <n v="0"/>
    <m/>
  </r>
  <r>
    <s v="0558113408-4"/>
    <s v="CST"/>
    <n v="8"/>
    <n v="1100"/>
    <n v="4500"/>
    <n v="165.24299999999999"/>
    <n v="165.24299999999999"/>
    <s v="PLATES"/>
    <d v="2001-08-02T00:00:00"/>
    <d v="2002-03-22T00:00:00"/>
    <d v="2002-03-27T00:00:00"/>
    <d v="2002-03-27T00:00:00"/>
    <d v="2002-03-27T00:00:00"/>
    <d v="2002-03-27T00:00:00"/>
    <s v="OTIF FAIL"/>
    <n v="4"/>
    <s v="1110_FG_HPC"/>
    <x v="9"/>
    <n v="1"/>
    <m/>
  </r>
  <r>
    <s v="0558111387-13"/>
    <s v="CST"/>
    <n v="4"/>
    <n v="908"/>
    <n v="4970"/>
    <n v="107"/>
    <n v="107"/>
    <s v="HRAP"/>
    <d v="2001-09-25T00:00:00"/>
    <d v="2002-03-22T00:00:00"/>
    <d v="2002-04-08T00:00:00"/>
    <d v="2002-04-08T00:00:00"/>
    <d v="2002-04-08T00:00:00"/>
    <d v="2002-04-08T00:00:00"/>
    <s v="OTIF FAIL"/>
    <n v="13"/>
    <s v="1210_FG_HPC"/>
    <x v="7"/>
    <n v="1"/>
    <m/>
  </r>
  <r>
    <s v="0558116690-1"/>
    <s v="CST"/>
    <n v="8"/>
    <n v="1250"/>
    <n v="4890"/>
    <n v="150"/>
    <n v="150"/>
    <s v="PLATES"/>
    <d v="2002-03-28T00:00:00"/>
    <d v="2002-05-08T00:00:00"/>
    <s v="-"/>
    <s v="-"/>
    <s v="-"/>
    <d v="2002-04-23T00:00:00"/>
    <s v="OTIF FAIL"/>
    <n v="1"/>
    <s v="1110_FG_HPC"/>
    <x v="2"/>
    <n v="0"/>
    <m/>
  </r>
  <r>
    <s v="0558115810-16"/>
    <s v="JBS"/>
    <n v="8"/>
    <n v="1100"/>
    <n v="4500"/>
    <n v="191"/>
    <n v="191"/>
    <s v="PLATES"/>
    <d v="2001-08-30T00:00:00"/>
    <d v="2002-03-22T00:00:00"/>
    <d v="2002-03-24T00:00:00"/>
    <d v="2002-03-24T00:00:00"/>
    <d v="2002-03-24T00:00:00"/>
    <d v="2002-03-27T00:00:00"/>
    <s v="OTIF FAIL"/>
    <n v="16"/>
    <s v="1110_FG_HPC"/>
    <x v="9"/>
    <n v="1"/>
    <m/>
  </r>
  <r>
    <s v="0558111385-2"/>
    <s v="HRC"/>
    <n v="4"/>
    <n v="908"/>
    <n v="4970"/>
    <n v="92.436999999999998"/>
    <n v="92.436999999999998"/>
    <s v="HRAP"/>
    <d v="2001-09-25T00:00:00"/>
    <d v="2002-03-22T00:00:00"/>
    <d v="2002-04-01T00:00:00"/>
    <d v="2002-04-01T00:00:00"/>
    <d v="2002-04-08T00:00:00"/>
    <d v="2002-04-08T00:00:00"/>
    <s v="OTIF FAIL"/>
    <n v="2"/>
    <s v="1210_FG_HPC"/>
    <x v="7"/>
    <n v="1"/>
    <m/>
  </r>
  <r>
    <s v="0558111385-4"/>
    <s v="CST"/>
    <n v="8"/>
    <n v="1100"/>
    <n v="4500"/>
    <n v="165.24299999999999"/>
    <n v="14.561999999999999"/>
    <s v="PLATES"/>
    <d v="2001-09-25T00:00:00"/>
    <d v="2002-03-22T00:00:00"/>
    <d v="2002-03-27T00:00:00"/>
    <d v="2002-03-27T00:00:00"/>
    <d v="2002-03-27T00:00:00"/>
    <d v="2002-03-27T00:00:00"/>
    <s v="OTIF FAIL"/>
    <n v="4"/>
    <s v="1110_FG_HPC"/>
    <x v="9"/>
    <n v="0"/>
    <m/>
  </r>
  <r>
    <s v="0558111387-16"/>
    <s v="CRC"/>
    <n v="8"/>
    <n v="1100"/>
    <n v="4500"/>
    <n v="190"/>
    <n v="147.23599999999999"/>
    <s v="PLATES"/>
    <d v="2001-09-25T00:00:00"/>
    <d v="2002-03-10T00:00:00"/>
    <d v="2002-03-13T00:00:00"/>
    <d v="2002-03-13T00:00:00"/>
    <d v="2002-03-14T00:00:00"/>
    <d v="2002-03-27T00:00:00"/>
    <s v="OTIF FAIL"/>
    <n v="16"/>
    <s v="1110_FG_HPC"/>
    <x v="9"/>
    <n v="0"/>
    <m/>
  </r>
  <r>
    <s v="0558110223-2"/>
    <s v="CST"/>
    <n v="3"/>
    <n v="865"/>
    <n v="3500"/>
    <n v="3.6539999999999999"/>
    <n v="3.6539999999999999"/>
    <s v="HRAP"/>
    <d v="2001-08-19T00:00:00"/>
    <d v="2002-02-27T00:00:00"/>
    <d v="2002-03-20T00:00:00"/>
    <d v="2002-03-20T00:00:00"/>
    <d v="2002-03-20T00:00:00"/>
    <d v="2002-03-20T00:00:00"/>
    <s v="OTIF FAIL"/>
    <n v="2"/>
    <s v="1210_FG_HPC"/>
    <x v="0"/>
    <n v="1"/>
    <m/>
  </r>
  <r>
    <s v="0569022683-4"/>
    <s v="CST"/>
    <n v="3"/>
    <n v="1250"/>
    <n v="2500"/>
    <n v="5"/>
    <n v="5"/>
    <s v="HRAP"/>
    <d v="2001-09-25T00:00:00"/>
    <d v="2002-03-10T00:00:00"/>
    <d v="2002-04-29T00:00:00"/>
    <d v="2002-04-29T00:00:00"/>
    <d v="2002-04-13T00:00:00"/>
    <d v="2002-04-13T00:00:00"/>
    <s v="OTIF FAIL"/>
    <n v="4"/>
    <s v="1210_FG_HPC"/>
    <x v="7"/>
    <n v="1"/>
    <m/>
  </r>
  <r>
    <s v="0569022267-2"/>
    <s v="CST"/>
    <n v="6"/>
    <n v="1250"/>
    <n v="6000"/>
    <n v="25"/>
    <n v="25"/>
    <s v="HRAP"/>
    <d v="2001-09-25T00:00:00"/>
    <d v="2002-03-10T00:00:00"/>
    <d v="2002-04-01T00:00:00"/>
    <d v="2002-04-01T00:00:00"/>
    <d v="2002-04-01T00:00:00"/>
    <d v="2002-04-05T00:00:00"/>
    <s v="OTIF FAIL"/>
    <n v="2"/>
    <s v="1210_FG_HPC"/>
    <x v="6"/>
    <n v="1"/>
    <m/>
  </r>
  <r>
    <s v="0569022949-7"/>
    <s v="CST"/>
    <n v="4"/>
    <n v="1250"/>
    <n v="2500"/>
    <n v="13"/>
    <n v="13"/>
    <s v="HRAP"/>
    <d v="2001-08-07T00:00:00"/>
    <d v="2002-03-09T00:00:00"/>
    <d v="2002-03-16T00:00:00"/>
    <d v="2002-03-16T00:00:00"/>
    <d v="2002-03-16T00:00:00"/>
    <d v="2002-04-05T00:00:00"/>
    <s v="OTIF FAIL"/>
    <n v="7"/>
    <s v="1210_FG_HPC"/>
    <x v="6"/>
    <n v="1"/>
    <m/>
  </r>
  <r>
    <s v="0569022136-1"/>
    <s v="HPC"/>
    <n v="3"/>
    <n v="1250"/>
    <n v="5000"/>
    <n v="8"/>
    <n v="4.0449999999999999"/>
    <s v="HRAP"/>
    <d v="2001-09-25T00:00:00"/>
    <d v="2002-03-10T00:00:00"/>
    <d v="2002-04-29T00:00:00"/>
    <d v="2002-04-29T00:00:00"/>
    <d v="2002-04-13T00:00:00"/>
    <d v="2002-04-13T00:00:00"/>
    <s v="OTIF FAIL"/>
    <n v="1"/>
    <s v="1210_FG_HPC"/>
    <x v="7"/>
    <n v="0"/>
    <m/>
  </r>
  <r>
    <s v="0569022200-4"/>
    <s v="CST"/>
    <n v="5"/>
    <n v="1250"/>
    <n v="50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69022200-2"/>
    <s v="HRC"/>
    <n v="5"/>
    <n v="1250"/>
    <n v="6000"/>
    <n v="8"/>
    <n v="8"/>
    <s v="HRAP"/>
    <d v="2001-09-25T00:00:00"/>
    <d v="2002-03-10T00:00:00"/>
    <d v="2002-04-06T00:00:00"/>
    <d v="2002-04-06T00:00:00"/>
    <d v="2002-04-06T00:00:00"/>
    <d v="2002-04-06T00:00:00"/>
    <s v="OTIF FAIL"/>
    <n v="2"/>
    <s v="1210_FG_HPC"/>
    <x v="6"/>
    <n v="1"/>
    <m/>
  </r>
  <r>
    <s v="0569022267-4"/>
    <s v="HPC"/>
    <n v="5"/>
    <n v="1250"/>
    <n v="2500"/>
    <n v="15"/>
    <n v="15"/>
    <s v="HRAP"/>
    <d v="2001-09-25T00:00:00"/>
    <d v="2002-03-10T00:00:00"/>
    <d v="2002-04-01T00:00:00"/>
    <d v="2002-04-01T00:00:00"/>
    <d v="2002-04-01T00:00:00"/>
    <d v="2002-04-06T00:00:00"/>
    <s v="OTIF FAIL"/>
    <n v="4"/>
    <s v="1210_FG_HPC"/>
    <x v="6"/>
    <n v="1"/>
    <m/>
  </r>
  <r>
    <s v="0569022267-3"/>
    <s v="CST"/>
    <n v="3"/>
    <n v="1250"/>
    <n v="5000"/>
    <n v="15"/>
    <n v="15"/>
    <s v="HRAP"/>
    <d v="2001-09-25T00:00:00"/>
    <d v="2002-03-10T00:00:00"/>
    <s v="-"/>
    <s v="-"/>
    <d v="2002-04-08T00:00:00"/>
    <d v="2002-04-13T00:00:00"/>
    <s v="OTIF FAIL"/>
    <n v="3"/>
    <s v="1210_FG_HPC"/>
    <x v="7"/>
    <n v="1"/>
    <m/>
  </r>
  <r>
    <s v="0569022326-1"/>
    <s v="HRC"/>
    <n v="6"/>
    <n v="1250"/>
    <n v="6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2326-3"/>
    <s v="CST"/>
    <n v="3"/>
    <n v="1250"/>
    <n v="5000"/>
    <n v="22"/>
    <n v="22"/>
    <s v="HRAP"/>
    <d v="2001-09-25T00:00:00"/>
    <d v="2002-03-10T00:00:00"/>
    <d v="2002-03-12T00:00:00"/>
    <d v="2002-03-12T00:00:00"/>
    <d v="2002-03-17T00:00:00"/>
    <d v="2002-04-13T00:00:00"/>
    <s v="OTIF FAIL"/>
    <n v="3"/>
    <s v="1210_FG_HPC"/>
    <x v="7"/>
    <n v="1"/>
    <m/>
  </r>
  <r>
    <s v="0569022326-4"/>
    <s v="CST"/>
    <n v="5"/>
    <n v="1250"/>
    <n v="2500"/>
    <n v="22"/>
    <n v="3.6179999999999999"/>
    <s v="HRAP"/>
    <d v="2001-09-25T00:00:00"/>
    <d v="2002-03-10T00:00:00"/>
    <d v="2002-03-13T00:00:00"/>
    <d v="2002-03-13T00:00:00"/>
    <d v="2002-03-13T00:00:00"/>
    <d v="2002-04-06T00:00:00"/>
    <s v="OTIF FAIL"/>
    <n v="4"/>
    <s v="1210_FG_HPC"/>
    <x v="6"/>
    <n v="0"/>
    <m/>
  </r>
  <r>
    <s v="0569022683-5"/>
    <s v="CST"/>
    <n v="3"/>
    <n v="1250"/>
    <n v="5000"/>
    <n v="5"/>
    <n v="5"/>
    <s v="HRAP"/>
    <d v="2001-09-25T00:00:00"/>
    <d v="2002-03-10T00:00:00"/>
    <d v="2002-04-29T00:00:00"/>
    <d v="2002-04-29T00:00:00"/>
    <d v="2002-04-13T00:00:00"/>
    <d v="2002-04-13T00:00:00"/>
    <s v="OTIF FAIL"/>
    <n v="5"/>
    <s v="1210_FG_HPC"/>
    <x v="7"/>
    <n v="1"/>
    <m/>
  </r>
  <r>
    <s v="0569022683-3"/>
    <s v="CRC"/>
    <n v="6"/>
    <n v="1250"/>
    <n v="6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3"/>
    <s v="1210_FG_HPC"/>
    <x v="6"/>
    <n v="1"/>
    <m/>
  </r>
  <r>
    <s v="0569022350-1"/>
    <s v="CST"/>
    <n v="3"/>
    <n v="1250"/>
    <n v="2500"/>
    <n v="17"/>
    <n v="7.9509999999999996"/>
    <s v="HRAP"/>
    <d v="2001-09-25T00:00:00"/>
    <d v="2002-03-10T00:00:00"/>
    <d v="2002-04-29T00:00:00"/>
    <d v="2002-04-29T00:00:00"/>
    <d v="2002-04-13T00:00:00"/>
    <d v="2002-04-13T00:00:00"/>
    <s v="OTIF FAIL"/>
    <n v="1"/>
    <s v="1210_FG_HPC"/>
    <x v="7"/>
    <n v="0"/>
    <m/>
  </r>
  <r>
    <s v="0569022749-4"/>
    <s v="CST"/>
    <n v="5"/>
    <n v="1250"/>
    <n v="25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69022350-5"/>
    <s v="HRC"/>
    <n v="5"/>
    <n v="1250"/>
    <n v="25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5"/>
    <s v="1210_FG_HPC"/>
    <x v="6"/>
    <n v="1"/>
    <m/>
  </r>
  <r>
    <s v="0569022381-1"/>
    <s v="JBS"/>
    <n v="3"/>
    <n v="1250"/>
    <n v="2500"/>
    <n v="41"/>
    <n v="41"/>
    <s v="HRAP"/>
    <d v="2001-09-25T00:00:00"/>
    <d v="2002-03-10T00:00:00"/>
    <d v="2002-03-12T00:00:00"/>
    <d v="2002-03-12T00:00:00"/>
    <d v="2002-03-15T00:00:00"/>
    <d v="2002-04-13T00:00:00"/>
    <s v="OTIF FAIL"/>
    <n v="1"/>
    <s v="1210_FG_HPC"/>
    <x v="7"/>
    <n v="1"/>
    <m/>
  </r>
  <r>
    <s v="0569022381-2"/>
    <s v="HPC"/>
    <n v="4"/>
    <n v="1250"/>
    <n v="2500"/>
    <n v="43"/>
    <n v="35.848999999999997"/>
    <s v="HRAP"/>
    <d v="2001-09-25T00:00:00"/>
    <d v="2002-03-10T00:00:00"/>
    <d v="2002-04-03T00:00:00"/>
    <d v="2002-04-03T00:00:00"/>
    <d v="2002-04-01T00:00:00"/>
    <d v="2002-04-05T00:00:00"/>
    <s v="OTIF FAIL"/>
    <n v="2"/>
    <s v="1210_FG_HPC"/>
    <x v="6"/>
    <n v="0"/>
    <m/>
  </r>
  <r>
    <s v="0569022381-3"/>
    <s v="CST"/>
    <n v="6"/>
    <n v="1250"/>
    <n v="2500"/>
    <n v="35"/>
    <n v="35"/>
    <s v="HRAP"/>
    <d v="2001-09-25T00:00:00"/>
    <d v="2002-03-10T00:00:00"/>
    <d v="2002-03-09T00:00:00"/>
    <d v="2002-03-10T00:00:00"/>
    <d v="2002-03-12T00:00:00"/>
    <d v="2002-04-05T00:00:00"/>
    <s v="OTIF PASS"/>
    <n v="3"/>
    <s v="1210_FG_HPC"/>
    <x v="6"/>
    <n v="1"/>
    <m/>
  </r>
  <r>
    <s v="0569022381-8"/>
    <s v="HPC"/>
    <n v="5"/>
    <n v="1250"/>
    <n v="2500"/>
    <n v="91"/>
    <n v="91"/>
    <s v="HRAP"/>
    <d v="2001-09-25T00:00:00"/>
    <d v="2002-03-10T00:00:00"/>
    <d v="2002-04-01T00:00:00"/>
    <d v="2002-04-01T00:00:00"/>
    <d v="2002-04-01T00:00:00"/>
    <d v="2002-04-06T00:00:00"/>
    <s v="OTIF FAIL"/>
    <n v="8"/>
    <s v="1210_FG_HPC"/>
    <x v="6"/>
    <n v="1"/>
    <m/>
  </r>
  <r>
    <s v="0569023071-12"/>
    <s v="HPC"/>
    <n v="8"/>
    <n v="1250"/>
    <n v="2500"/>
    <n v="5"/>
    <n v="5"/>
    <s v="PLATES"/>
    <d v="2001-08-23T00:00:00"/>
    <d v="2002-03-04T00:00:00"/>
    <s v="-"/>
    <s v="-"/>
    <d v="2002-04-01T00:00:00"/>
    <d v="2002-04-01T00:00:00"/>
    <s v="OTIF FAIL"/>
    <n v="12"/>
    <s v="1110_FG_HPC"/>
    <x v="6"/>
    <n v="1"/>
    <m/>
  </r>
  <r>
    <s v="0569023272-1"/>
    <s v="HRC"/>
    <n v="20"/>
    <n v="1250"/>
    <n v="6000"/>
    <n v="5"/>
    <n v="5"/>
    <s v="PLATES"/>
    <d v="2002-03-20T00:00:00"/>
    <d v="2002-04-24T00:00:00"/>
    <d v="2002-04-24T00:00:00"/>
    <d v="2002-04-24T00:00:00"/>
    <d v="2002-04-24T00:00:00"/>
    <d v="2002-04-24T00:00:00"/>
    <s v="OTIF PASS"/>
    <n v="1"/>
    <s v="1110_FG_HPC"/>
    <x v="2"/>
    <n v="1"/>
    <m/>
  </r>
  <r>
    <s v="0569022748-6"/>
    <s v="CST"/>
    <n v="12"/>
    <n v="1250"/>
    <n v="5000"/>
    <n v="19"/>
    <n v="8.5169999999999995"/>
    <s v="PLATES"/>
    <d v="2001-07-26T00:00:00"/>
    <d v="2002-03-10T00:00:00"/>
    <s v="-"/>
    <s v="-"/>
    <d v="2002-03-22T00:00:00"/>
    <d v="2002-03-22T00:00:00"/>
    <s v="OTIF FAIL"/>
    <n v="6"/>
    <s v="1110_FG_HPC"/>
    <x v="0"/>
    <n v="0"/>
    <m/>
  </r>
  <r>
    <s v="0569022968-4"/>
    <s v="HPC"/>
    <n v="5"/>
    <n v="1250"/>
    <n v="2500"/>
    <n v="10"/>
    <n v="10"/>
    <s v="HRAP"/>
    <d v="2001-08-13T00:00:00"/>
    <d v="2002-03-09T00:00:00"/>
    <d v="2002-04-06T00:00:00"/>
    <d v="2002-04-06T00:00:00"/>
    <d v="2002-04-06T00:00:00"/>
    <d v="2002-04-06T00:00:00"/>
    <s v="OTIF FAIL"/>
    <n v="4"/>
    <s v="1210_FG_HPC"/>
    <x v="6"/>
    <n v="1"/>
    <m/>
  </r>
  <r>
    <s v="0569023271-1"/>
    <s v="CST"/>
    <n v="20"/>
    <n v="1250"/>
    <n v="6000"/>
    <n v="5"/>
    <n v="5"/>
    <s v="PLATES"/>
    <d v="2002-03-20T00:00:00"/>
    <d v="2002-04-24T00:00:00"/>
    <d v="2002-04-24T00:00:00"/>
    <d v="2002-04-24T00:00:00"/>
    <d v="2002-04-24T00:00:00"/>
    <d v="2002-04-24T00:00:00"/>
    <s v="OTIF PASS"/>
    <n v="1"/>
    <s v="1110_FG_HPC"/>
    <x v="2"/>
    <n v="1"/>
    <m/>
  </r>
  <r>
    <s v="0558116458-2"/>
    <s v="HRC"/>
    <n v="40"/>
    <n v="1250"/>
    <n v="5100"/>
    <n v="6.4340000000000002"/>
    <n v="6.4340000000000002"/>
    <s v="PLATES"/>
    <d v="2002-01-02T00:00:00"/>
    <d v="2002-02-27T00:00:00"/>
    <d v="2002-03-08T00:00:00"/>
    <d v="2002-03-08T00:00:00"/>
    <d v="2002-03-03T00:00:00"/>
    <d v="2002-03-03T00:00:00"/>
    <s v="OTIF FAIL"/>
    <n v="2"/>
    <s v="1110_FG_HPC"/>
    <x v="1"/>
    <n v="1"/>
    <m/>
  </r>
  <r>
    <s v="0558115769-1"/>
    <s v="HPC"/>
    <n v="14"/>
    <n v="1250"/>
    <n v="2500"/>
    <n v="33"/>
    <n v="23.478999999999999"/>
    <s v="PLATES"/>
    <d v="2001-09-25T00:00:00"/>
    <d v="2002-03-08T00:00:00"/>
    <d v="2002-02-13T00:00:00"/>
    <d v="2002-03-08T00:00:00"/>
    <d v="2002-01-20T00:00:00"/>
    <d v="2002-01-20T00:00:00"/>
    <s v="OTIF PASS"/>
    <n v="1"/>
    <s v="1110_FG_HPC"/>
    <x v="8"/>
    <n v="0"/>
    <m/>
  </r>
  <r>
    <s v="0569023257-1"/>
    <s v="CRC"/>
    <n v="10"/>
    <n v="1250"/>
    <n v="6000"/>
    <n v="15"/>
    <n v="15"/>
    <s v="PLATES"/>
    <d v="2002-01-02T00:00:00"/>
    <d v="2002-03-02T00:00:00"/>
    <d v="2002-03-22T00:00:00"/>
    <d v="2002-03-22T00:00:00"/>
    <d v="2002-03-22T00:00:00"/>
    <d v="2002-03-24T00:00:00"/>
    <s v="OTIF FAIL"/>
    <n v="1"/>
    <s v="1110_FG_HPC"/>
    <x v="9"/>
    <n v="1"/>
    <m/>
  </r>
  <r>
    <s v="0569023250-8"/>
    <s v="CST"/>
    <n v="12"/>
    <n v="1250"/>
    <n v="6000"/>
    <n v="10.473000000000001"/>
    <n v="10.473000000000001"/>
    <s v="PLATES"/>
    <d v="2002-01-01T00:00:00"/>
    <d v="2002-03-02T00:00:00"/>
    <s v="-"/>
    <s v="-"/>
    <d v="2002-03-21T00:00:00"/>
    <d v="2002-04-01T00:00:00"/>
    <s v="OTIF FAIL"/>
    <n v="8"/>
    <s v="1110_FG_HPC"/>
    <x v="6"/>
    <n v="1"/>
    <m/>
  </r>
  <r>
    <s v="0569022749-2"/>
    <s v="CRC"/>
    <n v="4"/>
    <n v="1250"/>
    <n v="2500"/>
    <n v="10"/>
    <n v="10"/>
    <s v="HRAP"/>
    <d v="2001-09-25T00:00:00"/>
    <d v="2002-03-10T00:00:00"/>
    <d v="2002-04-17T00:00:00"/>
    <d v="2002-04-17T00:00:00"/>
    <d v="2002-04-05T00:00:00"/>
    <d v="2002-04-05T00:00:00"/>
    <s v="OTIF FAIL"/>
    <n v="2"/>
    <s v="1210_FG_HPC"/>
    <x v="6"/>
    <n v="1"/>
    <m/>
  </r>
  <r>
    <s v="0558116458-3"/>
    <s v="CST"/>
    <n v="40"/>
    <n v="1250"/>
    <n v="7200"/>
    <n v="3.028"/>
    <n v="3.028"/>
    <s v="PLATES"/>
    <d v="2002-01-02T00:00:00"/>
    <d v="2002-02-27T00:00:00"/>
    <d v="2002-03-08T00:00:00"/>
    <d v="2002-03-08T00:00:00"/>
    <d v="2002-03-01T00:00:00"/>
    <d v="2002-03-01T00:00:00"/>
    <s v="OTIF FAIL"/>
    <n v="3"/>
    <s v="1110_FG_HPC"/>
    <x v="5"/>
    <n v="1"/>
    <m/>
  </r>
  <r>
    <s v="0569023270-1"/>
    <s v="CST"/>
    <n v="5"/>
    <n v="1250"/>
    <n v="6000"/>
    <n v="50"/>
    <n v="50"/>
    <s v="HRAP"/>
    <d v="2002-02-17T00:00:00"/>
    <d v="2002-02-27T00:00:00"/>
    <d v="2002-02-27T00:00:00"/>
    <d v="2002-02-27T00:00:00"/>
    <d v="2002-03-03T00:00:00"/>
    <d v="2002-04-06T00:00:00"/>
    <s v="OTIF PASS"/>
    <n v="1"/>
    <s v="1210_FG_HPC"/>
    <x v="6"/>
    <n v="1"/>
    <m/>
  </r>
  <r>
    <s v="0558116458-1"/>
    <s v="CST"/>
    <n v="15"/>
    <n v="1250"/>
    <n v="6000"/>
    <n v="25.545999999999999"/>
    <n v="25.545999999999999"/>
    <s v="PLATES"/>
    <d v="2002-01-02T00:00:00"/>
    <d v="2002-02-27T00:00:00"/>
    <d v="2002-03-08T00:00:00"/>
    <d v="2002-03-08T00:00:00"/>
    <d v="2002-03-03T00:00:00"/>
    <d v="2002-03-03T00:00:00"/>
    <s v="OTIF FAIL"/>
    <n v="1"/>
    <s v="1110_FG_HPC"/>
    <x v="1"/>
    <n v="1"/>
    <m/>
  </r>
  <r>
    <s v="0569022749-1"/>
    <s v="CST"/>
    <n v="3"/>
    <n v="1250"/>
    <n v="2500"/>
    <n v="10"/>
    <n v="10"/>
    <s v="HRAP"/>
    <d v="2001-09-25T00:00:00"/>
    <d v="2002-03-10T00:00:00"/>
    <d v="2002-04-29T00:00:00"/>
    <d v="2002-04-29T00:00:00"/>
    <d v="2002-04-13T00:00:00"/>
    <d v="2002-04-13T00:00:00"/>
    <s v="OTIF FAIL"/>
    <n v="1"/>
    <s v="1210_FG_HPC"/>
    <x v="7"/>
    <n v="1"/>
    <m/>
  </r>
  <r>
    <s v="0558114897-2"/>
    <s v="CRC"/>
    <n v="5"/>
    <n v="1250"/>
    <n v="2500"/>
    <n v="5"/>
    <n v="5"/>
    <s v="HRAP"/>
    <d v="2001-09-25T00:00:00"/>
    <d v="2002-03-08T00:00:00"/>
    <d v="2002-03-18T00:00:00"/>
    <d v="2002-03-18T00:00:00"/>
    <d v="2002-03-18T00:00:00"/>
    <d v="2002-03-18T00:00:00"/>
    <s v="OTIF FAIL"/>
    <n v="2"/>
    <s v="1210_FG_HPC"/>
    <x v="0"/>
    <n v="1"/>
    <m/>
  </r>
  <r>
    <s v="0558116155-1"/>
    <s v="HRC"/>
    <n v="4"/>
    <n v="1250"/>
    <n v="2500"/>
    <n v="6"/>
    <n v="6"/>
    <s v="HRAP"/>
    <d v="2001-09-25T00:00:00"/>
    <d v="2002-02-27T00:00:00"/>
    <d v="2002-03-14T00:00:00"/>
    <d v="2002-03-14T00:00:00"/>
    <d v="2002-03-14T00:00:00"/>
    <d v="2002-03-14T00:00:00"/>
    <s v="OTIF FAIL"/>
    <n v="1"/>
    <s v="1210_FG_HPC"/>
    <x v="3"/>
    <n v="1"/>
    <m/>
  </r>
  <r>
    <s v="0569023269-4"/>
    <s v="HRC"/>
    <n v="12"/>
    <n v="1250"/>
    <n v="6000"/>
    <n v="15"/>
    <n v="15"/>
    <s v="PLATES"/>
    <d v="2002-02-15T00:00:00"/>
    <d v="2002-02-21T00:00:00"/>
    <d v="2002-03-02T00:00:00"/>
    <d v="2002-03-02T00:00:00"/>
    <d v="2002-03-02T00:00:00"/>
    <d v="2002-04-01T00:00:00"/>
    <s v="OTIF FAIL"/>
    <n v="4"/>
    <s v="1110_FG_HPC"/>
    <x v="6"/>
    <n v="1"/>
    <m/>
  </r>
  <r>
    <s v="0569022749-3"/>
    <s v="CST"/>
    <n v="6"/>
    <n v="1250"/>
    <n v="2500"/>
    <n v="15"/>
    <n v="15"/>
    <s v="HRAP"/>
    <d v="2001-09-25T00:00:00"/>
    <d v="2002-03-10T00:00:00"/>
    <d v="2002-04-02T00:00:00"/>
    <d v="2002-04-02T00:00:00"/>
    <d v="2002-04-01T00:00:00"/>
    <d v="2002-04-05T00:00:00"/>
    <s v="OTIF FAIL"/>
    <n v="3"/>
    <s v="1210_FG_HPC"/>
    <x v="6"/>
    <n v="1"/>
    <m/>
  </r>
  <r>
    <s v="0558113702-1"/>
    <s v="HPC"/>
    <n v="12"/>
    <n v="1250"/>
    <n v="2500"/>
    <n v="5"/>
    <n v="5"/>
    <s v="PLATES"/>
    <d v="2001-08-08T00:00:00"/>
    <d v="2002-03-06T00:00:00"/>
    <s v="-"/>
    <s v="-"/>
    <d v="2002-03-22T00:00:00"/>
    <d v="2002-04-22T00:00:00"/>
    <s v="OTIF FAIL"/>
    <n v="1"/>
    <s v="1110_FG_HPC"/>
    <x v="2"/>
    <n v="1"/>
    <m/>
  </r>
  <r>
    <s v="0558114774-4"/>
    <s v="CST"/>
    <n v="6"/>
    <n v="1250"/>
    <n v="6000"/>
    <n v="10"/>
    <n v="10"/>
    <s v="HRAP"/>
    <d v="2001-09-25T00:00:00"/>
    <d v="2002-03-07T00:00:00"/>
    <d v="2002-03-16T00:00:00"/>
    <d v="2002-03-16T00:00:00"/>
    <d v="2002-03-16T00:00:00"/>
    <d v="2002-03-16T00:00:00"/>
    <s v="OTIF FAIL"/>
    <n v="4"/>
    <s v="1210_FG_HPC"/>
    <x v="3"/>
    <n v="1"/>
    <m/>
  </r>
  <r>
    <s v="0569023175-6"/>
    <s v="HPC"/>
    <n v="10"/>
    <n v="1250"/>
    <n v="6000"/>
    <n v="5"/>
    <n v="3.746"/>
    <s v="PLATES"/>
    <d v="2001-08-30T00:00:00"/>
    <d v="2002-03-04T00:00:00"/>
    <d v="2002-03-18T00:00:00"/>
    <d v="2002-03-18T00:00:00"/>
    <d v="2002-03-18T00:00:00"/>
    <d v="2002-03-18T00:00:00"/>
    <s v="OTIF FAIL"/>
    <n v="6"/>
    <s v="1110_FG_HPC"/>
    <x v="0"/>
    <n v="0"/>
    <m/>
  </r>
  <r>
    <s v="0558115769-3"/>
    <s v="CST"/>
    <n v="25"/>
    <n v="1250"/>
    <n v="2500"/>
    <n v="48"/>
    <n v="48"/>
    <s v="PLATES"/>
    <d v="2001-09-25T00:00:00"/>
    <d v="2002-03-10T00:00:00"/>
    <d v="2002-04-21T00:00:00"/>
    <d v="2002-04-21T00:00:00"/>
    <d v="2002-01-15T00:00:00"/>
    <d v="2002-01-15T00:00:00"/>
    <s v="OTIF FAIL"/>
    <n v="3"/>
    <s v="1110_FG_HPC"/>
    <x v="13"/>
    <n v="1"/>
    <m/>
  </r>
  <r>
    <s v="0558110709-1"/>
    <s v="HRC"/>
    <n v="36"/>
    <n v="1250"/>
    <n v="6000"/>
    <n v="5"/>
    <n v="5"/>
    <s v="PLATES"/>
    <d v="2001-09-25T00:00:00"/>
    <d v="2002-03-04T00:00:00"/>
    <d v="2002-02-25T00:00:00"/>
    <d v="2002-03-04T00:00:00"/>
    <d v="2002-01-26T00:00:00"/>
    <d v="2002-01-26T00:00:00"/>
    <s v="OTIF PASS"/>
    <n v="1"/>
    <s v="1110_FG_HPC"/>
    <x v="8"/>
    <n v="1"/>
    <m/>
  </r>
  <r>
    <s v="0569023269-2"/>
    <s v="HPC"/>
    <n v="10"/>
    <n v="1250"/>
    <n v="5000"/>
    <n v="5"/>
    <n v="5"/>
    <s v="PLATES"/>
    <d v="2002-02-15T00:00:00"/>
    <d v="2002-02-21T00:00:00"/>
    <s v="-"/>
    <s v="-"/>
    <d v="2002-04-01T00:00:00"/>
    <d v="2002-04-27T00:00:00"/>
    <s v="OTIF FAIL"/>
    <n v="2"/>
    <s v="1110_FG_HPC"/>
    <x v="2"/>
    <n v="1"/>
    <m/>
  </r>
  <r>
    <s v="0569023175-7"/>
    <s v="CST"/>
    <n v="8"/>
    <n v="1250"/>
    <n v="6000"/>
    <n v="2"/>
    <n v="2"/>
    <s v="PLATES"/>
    <d v="2001-08-30T00:00:00"/>
    <d v="2002-03-04T00:00:00"/>
    <s v="-"/>
    <s v="-"/>
    <d v="2002-04-01T00:00:00"/>
    <d v="2002-04-01T00:00:00"/>
    <s v="OTIF FAIL"/>
    <n v="7"/>
    <s v="1110_FG_HPC"/>
    <x v="6"/>
    <n v="1"/>
    <m/>
  </r>
  <r>
    <s v="0558116640-1"/>
    <s v="HRC"/>
    <n v="16"/>
    <n v="1250"/>
    <n v="2500"/>
    <n v="5"/>
    <n v="5"/>
    <s v="PLATES"/>
    <d v="2002-03-20T00:00:00"/>
    <d v="2002-04-22T00:00:00"/>
    <s v="-"/>
    <s v="-"/>
    <d v="2002-04-22T00:00:00"/>
    <d v="2002-05-03T00:00:00"/>
    <s v="OTIF FAIL"/>
    <n v="1"/>
    <s v="1110_FG_HPC"/>
    <x v="16"/>
    <n v="1"/>
    <m/>
  </r>
  <r>
    <s v="0558116639-1"/>
    <s v="CST"/>
    <n v="12"/>
    <n v="1250"/>
    <n v="5000"/>
    <n v="5"/>
    <n v="5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58116637-1"/>
    <s v="CST"/>
    <n v="16"/>
    <n v="1250"/>
    <n v="5000"/>
    <n v="4"/>
    <n v="4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58116635-1"/>
    <s v="CST"/>
    <n v="12"/>
    <n v="1250"/>
    <n v="2500"/>
    <n v="5"/>
    <n v="5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69023250-7"/>
    <s v="HRC"/>
    <n v="16"/>
    <n v="1250"/>
    <n v="6000"/>
    <n v="6.8129999999999997"/>
    <n v="6.8129999999999997"/>
    <s v="PLATES"/>
    <d v="2002-01-01T00:00:00"/>
    <d v="2002-03-02T00:00:00"/>
    <s v="-"/>
    <s v="-"/>
    <d v="2002-03-23T00:00:00"/>
    <d v="2002-04-21T00:00:00"/>
    <s v="OTIF FAIL"/>
    <n v="7"/>
    <s v="1110_FG_HPC"/>
    <x v="2"/>
    <n v="1"/>
    <m/>
  </r>
  <r>
    <s v="0569023266-2"/>
    <s v="HPC"/>
    <n v="10"/>
    <n v="1250"/>
    <n v="5000"/>
    <n v="5"/>
    <n v="5"/>
    <s v="PLATES"/>
    <d v="2002-02-06T00:00:00"/>
    <d v="2002-02-21T00:00:00"/>
    <s v="-"/>
    <s v="-"/>
    <d v="2002-04-01T00:00:00"/>
    <d v="2002-04-27T00:00:00"/>
    <s v="OTIF FAIL"/>
    <n v="2"/>
    <s v="1110_FG_HPC"/>
    <x v="2"/>
    <n v="1"/>
    <m/>
  </r>
  <r>
    <s v="0569023266-4"/>
    <s v="CST"/>
    <n v="12"/>
    <n v="1250"/>
    <n v="6000"/>
    <n v="15"/>
    <n v="15"/>
    <s v="PLATES"/>
    <d v="2002-02-06T00:00:00"/>
    <d v="2002-02-21T00:00:00"/>
    <s v="-"/>
    <s v="-"/>
    <d v="2002-03-28T00:00:00"/>
    <d v="2002-04-01T00:00:00"/>
    <s v="OTIF FAIL"/>
    <n v="4"/>
    <s v="1110_FG_HPC"/>
    <x v="6"/>
    <n v="1"/>
    <m/>
  </r>
  <r>
    <s v="0558114774-5"/>
    <s v="CST"/>
    <n v="8"/>
    <n v="1250"/>
    <n v="6000"/>
    <n v="12"/>
    <n v="12"/>
    <s v="PLATES"/>
    <d v="2001-09-25T00:00:00"/>
    <d v="2002-03-07T00:00:00"/>
    <s v="-"/>
    <s v="-"/>
    <d v="2002-03-13T00:00:00"/>
    <d v="2002-03-13T00:00:00"/>
    <s v="OTIF FAIL"/>
    <n v="5"/>
    <s v="1110_FG_HPC"/>
    <x v="3"/>
    <n v="1"/>
    <m/>
  </r>
  <r>
    <s v="0558116626-1"/>
    <s v="HPC"/>
    <n v="16"/>
    <n v="1250"/>
    <n v="6000"/>
    <n v="5"/>
    <n v="5"/>
    <s v="PLATES"/>
    <d v="2002-03-20T00:00:00"/>
    <d v="2002-04-21T00:00:00"/>
    <s v="-"/>
    <s v="-"/>
    <d v="2002-04-21T00:00:00"/>
    <d v="2002-04-21T00:00:00"/>
    <s v="OTIF FAIL"/>
    <n v="1"/>
    <s v="1110_FG_HPC"/>
    <x v="2"/>
    <n v="1"/>
    <m/>
  </r>
  <r>
    <s v="0569022550-5"/>
    <s v="CST"/>
    <n v="6"/>
    <n v="1250"/>
    <n v="25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5"/>
    <s v="1210_FG_HPC"/>
    <x v="6"/>
    <n v="1"/>
    <m/>
  </r>
  <r>
    <s v="0558114774-6"/>
    <s v="HRC"/>
    <n v="10"/>
    <n v="1250"/>
    <n v="6000"/>
    <n v="8"/>
    <n v="8"/>
    <s v="PLATES"/>
    <d v="2001-09-25T00:00:00"/>
    <d v="2002-03-10T00:00:00"/>
    <d v="2002-03-09T00:00:00"/>
    <d v="2002-03-10T00:00:00"/>
    <d v="2002-03-10T00:00:00"/>
    <d v="2002-03-10T00:00:00"/>
    <s v="OTIF PASS"/>
    <n v="6"/>
    <s v="1110_FG_HPC"/>
    <x v="3"/>
    <n v="1"/>
    <m/>
  </r>
  <r>
    <s v="0569022754-2"/>
    <s v="NFA"/>
    <n v="3"/>
    <n v="1250"/>
    <n v="2500"/>
    <n v="14"/>
    <n v="14"/>
    <s v="HRAP"/>
    <d v="2001-09-25T00:00:00"/>
    <d v="2002-03-10T00:00:00"/>
    <s v="-"/>
    <s v="-"/>
    <d v="2002-04-08T00:00:00"/>
    <d v="2002-04-13T00:00:00"/>
    <s v="OTIF FAIL"/>
    <n v="2"/>
    <s v="1210_FG_HPC"/>
    <x v="7"/>
    <n v="1"/>
    <m/>
  </r>
  <r>
    <s v="0558115796-13"/>
    <s v="HRC"/>
    <n v="20"/>
    <n v="1250"/>
    <n v="5000"/>
    <n v="4"/>
    <n v="4"/>
    <s v="PLATES"/>
    <d v="2001-09-25T00:00:00"/>
    <d v="2002-03-08T00:00:00"/>
    <d v="2002-02-26T00:00:00"/>
    <d v="2002-03-08T00:00:00"/>
    <d v="2002-01-16T00:00:00"/>
    <d v="2002-01-16T00:00:00"/>
    <s v="OTIF PASS"/>
    <n v="13"/>
    <s v="1110_FG_HPC"/>
    <x v="13"/>
    <n v="1"/>
    <m/>
  </r>
  <r>
    <s v="0558114774-3"/>
    <s v="CST"/>
    <n v="5"/>
    <n v="1250"/>
    <n v="6000"/>
    <n v="10"/>
    <n v="10"/>
    <s v="HRAP"/>
    <d v="2001-09-25T00:00:00"/>
    <d v="2002-03-10T00:00:00"/>
    <d v="2002-03-16T00:00:00"/>
    <d v="2002-03-16T00:00:00"/>
    <d v="2002-03-16T00:00:00"/>
    <d v="2002-03-16T00:00:00"/>
    <s v="OTIF FAIL"/>
    <n v="3"/>
    <s v="1210_FG_HPC"/>
    <x v="3"/>
    <n v="1"/>
    <m/>
  </r>
  <r>
    <s v="0569023261-3"/>
    <s v="HRC"/>
    <n v="12"/>
    <n v="1250"/>
    <n v="6000"/>
    <n v="18"/>
    <n v="18"/>
    <s v="PLATES"/>
    <d v="2002-01-02T00:00:00"/>
    <d v="2002-02-27T00:00:00"/>
    <d v="2002-03-28T00:00:00"/>
    <d v="2002-04-01T00:00:00"/>
    <d v="2002-03-28T00:00:00"/>
    <d v="2002-04-01T00:00:00"/>
    <s v="OTIF FAIL"/>
    <n v="3"/>
    <s v="1110_FG_HPC"/>
    <x v="6"/>
    <n v="1"/>
    <m/>
  </r>
  <r>
    <s v="0558114206-4"/>
    <s v="HRC"/>
    <n v="8"/>
    <n v="1250"/>
    <n v="6000"/>
    <n v="8"/>
    <n v="8"/>
    <s v="PLATES"/>
    <d v="2001-08-23T00:00:00"/>
    <d v="2002-03-07T00:00:00"/>
    <s v="-"/>
    <s v="-"/>
    <d v="2002-03-13T00:00:00"/>
    <d v="2002-03-13T00:00:00"/>
    <s v="OTIF FAIL"/>
    <n v="4"/>
    <s v="1110_FG_HPC"/>
    <x v="3"/>
    <n v="1"/>
    <m/>
  </r>
  <r>
    <s v="0558113783-3"/>
    <s v="CRC"/>
    <n v="5"/>
    <n v="1250"/>
    <n v="5140"/>
    <n v="5.6740000000000004"/>
    <n v="5.6740000000000004"/>
    <s v="HRAP"/>
    <d v="2001-08-22T00:00:00"/>
    <d v="2002-02-24T00:00:00"/>
    <d v="2002-03-09T00:00:00"/>
    <d v="2002-03-09T00:00:00"/>
    <d v="2002-03-05T00:00:00"/>
    <d v="2002-03-05T00:00:00"/>
    <s v="OTIF FAIL"/>
    <n v="3"/>
    <s v="1210_FG_HPC"/>
    <x v="1"/>
    <n v="1"/>
    <m/>
  </r>
  <r>
    <s v="0569023261-4"/>
    <s v="HRC"/>
    <n v="16"/>
    <n v="1250"/>
    <n v="6000"/>
    <n v="8"/>
    <n v="8"/>
    <s v="PLATES"/>
    <d v="2002-01-02T00:00:00"/>
    <d v="2002-02-27T00:00:00"/>
    <s v="-"/>
    <s v="-"/>
    <d v="2002-03-23T00:00:00"/>
    <d v="2002-04-21T00:00:00"/>
    <s v="OTIF FAIL"/>
    <n v="4"/>
    <s v="1110_FG_HPC"/>
    <x v="2"/>
    <n v="1"/>
    <m/>
  </r>
  <r>
    <s v="0558116617-1"/>
    <s v="CRC"/>
    <n v="16"/>
    <n v="1250"/>
    <n v="2500"/>
    <n v="5"/>
    <n v="5"/>
    <s v="PLATES"/>
    <d v="2002-03-20T00:00:00"/>
    <d v="2002-04-22T00:00:00"/>
    <d v="2002-04-22T00:00:00"/>
    <d v="2002-04-22T00:00:00"/>
    <d v="2002-04-22T00:00:00"/>
    <d v="2002-05-03T00:00:00"/>
    <s v="OTIF PASS"/>
    <n v="1"/>
    <s v="1110_FG_HPC"/>
    <x v="16"/>
    <n v="1"/>
    <m/>
  </r>
  <r>
    <s v="0558113631-1"/>
    <s v="HRC"/>
    <n v="16"/>
    <n v="1250"/>
    <n v="2500"/>
    <n v="10"/>
    <n v="10"/>
    <s v="PLATES"/>
    <d v="2001-08-07T00:00:00"/>
    <d v="2002-03-06T00:00:00"/>
    <s v="-"/>
    <s v="-"/>
    <d v="2002-01-22T00:00:00"/>
    <d v="2002-05-03T00:00:00"/>
    <s v="OTIF FAIL"/>
    <n v="1"/>
    <s v="1110_FG_HPC"/>
    <x v="16"/>
    <n v="1"/>
    <m/>
  </r>
  <r>
    <s v="0558116672-1"/>
    <s v="CST"/>
    <n v="12"/>
    <n v="1250"/>
    <n v="5000"/>
    <n v="5"/>
    <n v="5"/>
    <s v="PLATES"/>
    <d v="2002-03-28T00:00:00"/>
    <d v="2002-05-01T00:00:00"/>
    <s v="-"/>
    <s v="-"/>
    <s v="-"/>
    <d v="2002-04-22T00:00:00"/>
    <s v="OTIF FAIL"/>
    <n v="1"/>
    <s v="1110_FG_HPC"/>
    <x v="2"/>
    <n v="0"/>
    <m/>
  </r>
  <r>
    <s v="0569022967-2"/>
    <s v="CST"/>
    <n v="12"/>
    <n v="1250"/>
    <n v="6000"/>
    <n v="32"/>
    <n v="32"/>
    <s v="PLATES"/>
    <d v="2001-08-13T00:00:00"/>
    <d v="2002-03-09T00:00:00"/>
    <s v="-"/>
    <s v="-"/>
    <d v="2002-04-01T00:00:00"/>
    <d v="2002-04-01T00:00:00"/>
    <s v="OTIF FAIL"/>
    <n v="2"/>
    <s v="1110_FG_HPC"/>
    <x v="6"/>
    <n v="1"/>
    <m/>
  </r>
  <r>
    <s v="0558116616-1"/>
    <s v="HPC"/>
    <n v="12"/>
    <n v="1250"/>
    <n v="5000"/>
    <n v="5"/>
    <n v="5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69022789-4"/>
    <s v="HRC"/>
    <n v="5"/>
    <n v="1250"/>
    <n v="2500"/>
    <n v="5"/>
    <n v="5"/>
    <s v="HRAP"/>
    <d v="2001-09-25T00:00:00"/>
    <d v="2002-03-10T00:00:00"/>
    <s v="-"/>
    <s v="-"/>
    <d v="2002-01-31T00:00:00"/>
    <d v="2002-04-06T00:00:00"/>
    <s v="OTIF FAIL"/>
    <n v="4"/>
    <s v="1210_FG_HPC"/>
    <x v="6"/>
    <n v="1"/>
    <m/>
  </r>
  <r>
    <s v="0569023259-8"/>
    <s v="CRC"/>
    <n v="12"/>
    <n v="1250"/>
    <n v="6000"/>
    <n v="10.473000000000001"/>
    <n v="10.473000000000001"/>
    <s v="PLATES"/>
    <d v="2002-01-02T00:00:00"/>
    <d v="2002-02-27T00:00:00"/>
    <s v="-"/>
    <s v="-"/>
    <d v="2002-03-20T00:00:00"/>
    <d v="2002-04-01T00:00:00"/>
    <s v="OTIF FAIL"/>
    <n v="8"/>
    <s v="1110_FG_HPC"/>
    <x v="6"/>
    <n v="1"/>
    <m/>
  </r>
  <r>
    <s v="0569023252-3"/>
    <s v="HPC"/>
    <n v="12"/>
    <n v="1250"/>
    <n v="6000"/>
    <n v="18"/>
    <n v="18"/>
    <s v="PLATES"/>
    <d v="2002-01-01T00:00:00"/>
    <d v="2002-03-02T00:00:00"/>
    <d v="2002-03-14T00:00:00"/>
    <d v="2002-03-14T00:00:00"/>
    <d v="2002-03-19T00:00:00"/>
    <d v="2002-04-01T00:00:00"/>
    <s v="OTIF FAIL"/>
    <n v="3"/>
    <s v="1110_FG_HPC"/>
    <x v="6"/>
    <n v="1"/>
    <m/>
  </r>
  <r>
    <s v="0558116614-1"/>
    <s v="CST"/>
    <n v="16"/>
    <n v="1250"/>
    <n v="5000"/>
    <n v="4"/>
    <n v="4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69023259-7"/>
    <s v="CST"/>
    <n v="16"/>
    <n v="1250"/>
    <n v="6000"/>
    <n v="6.8129999999999997"/>
    <n v="6.8129999999999997"/>
    <s v="PLATES"/>
    <d v="2002-01-02T00:00:00"/>
    <d v="2002-02-27T00:00:00"/>
    <s v="-"/>
    <s v="-"/>
    <d v="2002-03-23T00:00:00"/>
    <d v="2002-04-21T00:00:00"/>
    <s v="OTIF FAIL"/>
    <n v="7"/>
    <s v="1110_FG_HPC"/>
    <x v="2"/>
    <n v="1"/>
    <m/>
  </r>
  <r>
    <s v="0558116612-1"/>
    <s v="HRC"/>
    <n v="12"/>
    <n v="1250"/>
    <n v="2500"/>
    <n v="5"/>
    <n v="5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58112959-1"/>
    <s v="CST"/>
    <n v="3.9"/>
    <n v="1250"/>
    <n v="2600"/>
    <n v="30"/>
    <n v="20.600999999999999"/>
    <s v="HRAP"/>
    <d v="2001-08-22T00:00:00"/>
    <d v="2002-02-27T00:00:00"/>
    <d v="2002-02-28T00:00:00"/>
    <d v="2002-02-28T00:00:00"/>
    <d v="2002-03-04T00:00:00"/>
    <d v="2002-03-04T00:00:00"/>
    <s v="OTIF FAIL"/>
    <n v="1"/>
    <s v="1210_FG_HPC"/>
    <x v="1"/>
    <n v="0"/>
    <m/>
  </r>
  <r>
    <s v="0569023259-3"/>
    <s v="CRC"/>
    <n v="14"/>
    <n v="1250"/>
    <n v="6000"/>
    <n v="6.5650000000000004"/>
    <n v="6.5650000000000004"/>
    <s v="PLATES"/>
    <d v="2002-01-02T00:00:00"/>
    <d v="2002-03-02T00:00:00"/>
    <d v="2002-03-23T00:00:00"/>
    <d v="2002-04-01T00:00:00"/>
    <d v="2002-03-23T00:00:00"/>
    <d v="2002-05-10T00:00:00"/>
    <s v="OTIF FAIL"/>
    <n v="3"/>
    <s v="1110_FG_HPC"/>
    <x v="19"/>
    <n v="1"/>
    <m/>
  </r>
  <r>
    <s v="0569023259-4"/>
    <s v="CST"/>
    <n v="10"/>
    <n v="1250"/>
    <n v="6000"/>
    <n v="34.677999999999997"/>
    <n v="34.677999999999997"/>
    <s v="PLATES"/>
    <d v="2002-01-02T00:00:00"/>
    <d v="2002-03-02T00:00:00"/>
    <d v="2002-03-26T00:00:00"/>
    <d v="2002-03-26T00:00:00"/>
    <d v="2002-03-18T00:00:00"/>
    <d v="2002-03-18T00:00:00"/>
    <s v="OTIF FAIL"/>
    <n v="4"/>
    <s v="1110_FG_HPC"/>
    <x v="0"/>
    <n v="1"/>
    <m/>
  </r>
  <r>
    <s v="0558114418-2"/>
    <s v="CRC"/>
    <n v="16"/>
    <n v="1250"/>
    <n v="5000"/>
    <n v="4"/>
    <n v="4"/>
    <s v="PLATES"/>
    <d v="2001-08-21T00:00:00"/>
    <d v="2002-03-07T00:00:00"/>
    <s v="-"/>
    <s v="-"/>
    <d v="2002-01-05T00:00:00"/>
    <d v="2002-04-22T00:00:00"/>
    <s v="OTIF FAIL"/>
    <n v="2"/>
    <s v="1110_FG_HPC"/>
    <x v="2"/>
    <n v="1"/>
    <m/>
  </r>
  <r>
    <s v="0558113631-2"/>
    <s v="HPC"/>
    <n v="12"/>
    <n v="1250"/>
    <n v="2500"/>
    <n v="5"/>
    <n v="4.6859999999999999"/>
    <s v="PLATES"/>
    <d v="2001-08-07T00:00:00"/>
    <d v="2002-03-06T00:00:00"/>
    <s v="-"/>
    <s v="-"/>
    <d v="2002-03-22T00:00:00"/>
    <d v="2002-04-22T00:00:00"/>
    <s v="OTIF FAIL"/>
    <n v="2"/>
    <s v="1110_FG_HPC"/>
    <x v="2"/>
    <n v="0"/>
    <m/>
  </r>
  <r>
    <s v="0558114418-3"/>
    <s v="CST"/>
    <n v="18"/>
    <n v="1250"/>
    <n v="6000"/>
    <n v="5"/>
    <n v="5"/>
    <s v="PLATES"/>
    <d v="2001-08-21T00:00:00"/>
    <d v="2002-03-07T00:00:00"/>
    <d v="2002-02-25T00:00:00"/>
    <d v="2002-03-07T00:00:00"/>
    <d v="2002-01-05T00:00:00"/>
    <d v="2002-01-05T00:00:00"/>
    <s v="OTIF PASS"/>
    <n v="3"/>
    <s v="1110_FG_HPC"/>
    <x v="14"/>
    <n v="1"/>
    <m/>
  </r>
  <r>
    <s v="0569023259-2"/>
    <s v="CST"/>
    <n v="10"/>
    <n v="1250"/>
    <n v="2500"/>
    <n v="6.0860000000000003"/>
    <n v="6.0860000000000003"/>
    <s v="PLATES"/>
    <d v="2002-01-02T00:00:00"/>
    <d v="2002-03-02T00:00:00"/>
    <d v="2002-03-17T00:00:00"/>
    <d v="2002-03-17T00:00:00"/>
    <d v="2002-03-17T00:00:00"/>
    <d v="2002-03-19T00:00:00"/>
    <s v="OTIF FAIL"/>
    <n v="2"/>
    <s v="1110_FG_HPC"/>
    <x v="0"/>
    <n v="1"/>
    <m/>
  </r>
  <r>
    <s v="0569022638-1"/>
    <s v="CST"/>
    <n v="6"/>
    <n v="1250"/>
    <n v="60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58114539-1"/>
    <s v="CRC"/>
    <n v="16"/>
    <n v="1250"/>
    <n v="2500"/>
    <n v="5"/>
    <n v="5"/>
    <s v="PLATES"/>
    <d v="2001-08-21T00:00:00"/>
    <d v="2002-03-07T00:00:00"/>
    <d v="2002-02-22T00:00:00"/>
    <d v="2002-03-07T00:00:00"/>
    <d v="2002-01-07T00:00:00"/>
    <d v="2002-05-03T00:00:00"/>
    <s v="OTIF PASS"/>
    <n v="1"/>
    <s v="1110_FG_HPC"/>
    <x v="16"/>
    <n v="1"/>
    <m/>
  </r>
  <r>
    <s v="0558114575-2"/>
    <s v="HRC"/>
    <n v="12"/>
    <n v="1250"/>
    <n v="2500"/>
    <n v="5"/>
    <n v="5"/>
    <s v="PLATES"/>
    <d v="2001-08-21T00:00:00"/>
    <d v="2002-03-07T00:00:00"/>
    <s v="-"/>
    <s v="-"/>
    <d v="2002-03-22T00:00:00"/>
    <d v="2002-04-22T00:00:00"/>
    <s v="OTIF FAIL"/>
    <n v="2"/>
    <s v="1110_FG_HPC"/>
    <x v="2"/>
    <n v="1"/>
    <m/>
  </r>
  <r>
    <s v="0558116556-1"/>
    <s v="CST"/>
    <n v="30"/>
    <n v="1250"/>
    <n v="6000"/>
    <n v="80"/>
    <n v="80"/>
    <s v="PLATES"/>
    <d v="2002-02-17T00:00:00"/>
    <d v="2002-02-27T00:00:00"/>
    <d v="2002-02-26T00:00:00"/>
    <d v="2002-02-27T00:00:00"/>
    <d v="2002-02-27T00:00:00"/>
    <d v="2002-05-13T00:00:00"/>
    <s v="OTIF PASS"/>
    <n v="1"/>
    <s v="1110_FG_HPC"/>
    <x v="4"/>
    <n v="1"/>
    <m/>
  </r>
  <r>
    <s v="0558114638-4"/>
    <s v="CST"/>
    <n v="20"/>
    <n v="1250"/>
    <n v="6000"/>
    <n v="5"/>
    <n v="5"/>
    <s v="PLATES"/>
    <d v="2001-08-22T00:00:00"/>
    <d v="2002-03-07T00:00:00"/>
    <d v="2002-02-26T00:00:00"/>
    <d v="2002-03-07T00:00:00"/>
    <d v="2002-01-07T00:00:00"/>
    <d v="2002-04-24T00:00:00"/>
    <s v="OTIF PASS"/>
    <n v="4"/>
    <s v="1110_FG_HPC"/>
    <x v="2"/>
    <n v="1"/>
    <m/>
  </r>
  <r>
    <s v="0569023258-5"/>
    <s v="HRC"/>
    <n v="8"/>
    <n v="1250"/>
    <n v="6000"/>
    <n v="14.778"/>
    <n v="14.778"/>
    <s v="PLATES"/>
    <d v="2002-01-02T00:00:00"/>
    <d v="2002-03-02T00:00:00"/>
    <d v="2002-03-18T00:00:00"/>
    <d v="2002-03-18T00:00:00"/>
    <d v="2002-03-18T00:00:00"/>
    <d v="2002-04-01T00:00:00"/>
    <s v="OTIF FAIL"/>
    <n v="5"/>
    <s v="1110_FG_HPC"/>
    <x v="6"/>
    <n v="1"/>
    <m/>
  </r>
  <r>
    <s v="0569022949-6"/>
    <s v="CST"/>
    <n v="5"/>
    <n v="1250"/>
    <n v="5000"/>
    <n v="5"/>
    <n v="5"/>
    <s v="HRAP"/>
    <d v="2001-08-07T00:00:00"/>
    <d v="2002-03-09T00:00:00"/>
    <d v="2002-04-06T00:00:00"/>
    <d v="2002-04-06T00:00:00"/>
    <d v="2002-04-06T00:00:00"/>
    <d v="2002-04-06T00:00:00"/>
    <s v="OTIF FAIL"/>
    <n v="6"/>
    <s v="1210_FG_HPC"/>
    <x v="6"/>
    <n v="1"/>
    <m/>
  </r>
  <r>
    <s v="0558114648-1"/>
    <s v="CST"/>
    <n v="14"/>
    <n v="1250"/>
    <n v="5000"/>
    <n v="5"/>
    <n v="5"/>
    <s v="PLATES"/>
    <d v="2001-08-22T00:00:00"/>
    <d v="2002-03-07T00:00:00"/>
    <d v="2002-02-22T00:00:00"/>
    <d v="2002-03-07T00:00:00"/>
    <d v="2002-01-07T00:00:00"/>
    <d v="2002-01-07T00:00:00"/>
    <s v="OTIF PASS"/>
    <n v="1"/>
    <s v="1110_FG_HPC"/>
    <x v="17"/>
    <n v="1"/>
    <m/>
  </r>
  <r>
    <s v="0558113349-3"/>
    <s v="CRC"/>
    <n v="12"/>
    <n v="1250"/>
    <n v="2500"/>
    <n v="5"/>
    <n v="4.37"/>
    <s v="PLATES"/>
    <d v="2001-08-01T00:00:00"/>
    <d v="2002-03-10T00:00:00"/>
    <s v="-"/>
    <s v="-"/>
    <d v="2002-03-22T00:00:00"/>
    <d v="2002-04-22T00:00:00"/>
    <s v="OTIF FAIL"/>
    <n v="3"/>
    <s v="1110_FG_HPC"/>
    <x v="2"/>
    <n v="0"/>
    <m/>
  </r>
  <r>
    <s v="0569023258-3"/>
    <s v="HPC"/>
    <n v="10"/>
    <n v="1250"/>
    <n v="6000"/>
    <n v="5"/>
    <n v="5"/>
    <s v="PLATES"/>
    <d v="2002-01-02T00:00:00"/>
    <d v="2002-03-02T00:00:00"/>
    <d v="2002-03-17T00:00:00"/>
    <d v="2002-03-17T00:00:00"/>
    <d v="2002-03-17T00:00:00"/>
    <d v="2002-03-18T00:00:00"/>
    <s v="OTIF FAIL"/>
    <n v="3"/>
    <s v="1110_FG_HPC"/>
    <x v="0"/>
    <n v="1"/>
    <m/>
  </r>
  <r>
    <s v="0569023258-1"/>
    <s v="HPC"/>
    <n v="25"/>
    <n v="1250"/>
    <n v="6000"/>
    <n v="5"/>
    <n v="5"/>
    <s v="PLATES"/>
    <d v="2002-01-02T00:00:00"/>
    <d v="2002-03-02T00:00:00"/>
    <s v="-"/>
    <s v="-"/>
    <d v="2002-03-23T00:00:00"/>
    <d v="2002-03-23T00:00:00"/>
    <s v="OTIF FAIL"/>
    <n v="1"/>
    <s v="1110_FG_HPC"/>
    <x v="0"/>
    <n v="1"/>
    <m/>
  </r>
  <r>
    <s v="0558116540-1"/>
    <s v="CST"/>
    <n v="30"/>
    <n v="1250"/>
    <n v="6000"/>
    <n v="80"/>
    <n v="60"/>
    <s v="PLATES"/>
    <d v="2002-02-12T00:00:00"/>
    <d v="2002-02-21T00:00:00"/>
    <d v="2002-02-26T00:00:00"/>
    <d v="2002-02-26T00:00:00"/>
    <d v="2002-02-28T00:00:00"/>
    <d v="2002-05-13T00:00:00"/>
    <s v="OTIF FAIL"/>
    <n v="1"/>
    <s v="1110_FG_HPC"/>
    <x v="4"/>
    <n v="0"/>
    <m/>
  </r>
  <r>
    <s v="0569023257-2"/>
    <s v="CRC"/>
    <n v="12"/>
    <n v="1250"/>
    <n v="5000"/>
    <n v="3.758"/>
    <n v="3.758"/>
    <s v="PLATES"/>
    <d v="2002-01-02T00:00:00"/>
    <d v="2002-03-02T00:00:00"/>
    <s v="-"/>
    <s v="-"/>
    <d v="2002-03-20T00:00:00"/>
    <d v="2002-03-22T00:00:00"/>
    <s v="OTIF FAIL"/>
    <n v="2"/>
    <s v="1110_FG_HPC"/>
    <x v="0"/>
    <n v="1"/>
    <m/>
  </r>
  <r>
    <s v="0558116696-1"/>
    <s v="CST"/>
    <n v="16"/>
    <n v="1250"/>
    <n v="2500"/>
    <n v="5"/>
    <n v="5"/>
    <s v="PLATES"/>
    <d v="2002-03-28T00:00:00"/>
    <d v="2002-05-11T00:00:00"/>
    <s v="-"/>
    <s v="-"/>
    <s v="-"/>
    <d v="2002-05-03T00:00:00"/>
    <s v="OTIF FAIL"/>
    <n v="1"/>
    <s v="1110_FG_HPC"/>
    <x v="16"/>
    <n v="0"/>
    <m/>
  </r>
  <r>
    <s v="0558090273-6"/>
    <s v="PSS"/>
    <n v="8"/>
    <n v="1250"/>
    <n v="7000"/>
    <n v="20"/>
    <n v="20"/>
    <s v="PLATES"/>
    <d v="2001-09-25T00:00:00"/>
    <d v="2002-02-27T00:00:00"/>
    <d v="2002-03-08T00:00:00"/>
    <d v="2002-03-08T00:00:00"/>
    <d v="2002-03-10T00:00:00"/>
    <d v="2002-03-10T00:00:00"/>
    <s v="OTIF FAIL"/>
    <n v="6"/>
    <s v="1110_FG_HPC"/>
    <x v="3"/>
    <n v="1"/>
    <m/>
  </r>
  <r>
    <s v="0558116705-1"/>
    <s v="CST"/>
    <n v="16"/>
    <n v="1250"/>
    <n v="6000"/>
    <n v="5"/>
    <n v="5"/>
    <s v="PLATES"/>
    <d v="2002-03-28T00:00:00"/>
    <d v="2002-05-03T00:00:00"/>
    <s v="-"/>
    <s v="-"/>
    <s v="-"/>
    <d v="2002-04-21T00:00:00"/>
    <s v="OTIF FAIL"/>
    <n v="1"/>
    <s v="1110_FG_HPC"/>
    <x v="2"/>
    <n v="0"/>
    <m/>
  </r>
  <r>
    <s v="0558116715-1"/>
    <s v="CST"/>
    <n v="12"/>
    <n v="1250"/>
    <n v="2500"/>
    <n v="5"/>
    <n v="5"/>
    <s v="PLATES"/>
    <d v="2002-03-28T00:00:00"/>
    <d v="2002-05-03T00:00:00"/>
    <s v="-"/>
    <s v="-"/>
    <s v="-"/>
    <d v="2002-04-22T00:00:00"/>
    <s v="OTIF FAIL"/>
    <n v="1"/>
    <s v="1110_FG_HPC"/>
    <x v="2"/>
    <n v="0"/>
    <m/>
  </r>
  <r>
    <s v="0558116717-1"/>
    <s v="HRC"/>
    <n v="16"/>
    <n v="1250"/>
    <n v="5000"/>
    <n v="4"/>
    <n v="4"/>
    <s v="PLATES"/>
    <d v="2002-03-28T00:00:00"/>
    <d v="2002-05-03T00:00:00"/>
    <s v="-"/>
    <s v="-"/>
    <s v="-"/>
    <d v="2002-04-22T00:00:00"/>
    <s v="OTIF FAIL"/>
    <n v="1"/>
    <s v="1110_FG_HPC"/>
    <x v="2"/>
    <n v="0"/>
    <m/>
  </r>
  <r>
    <s v="0558116719-1"/>
    <s v="HRC"/>
    <n v="12"/>
    <n v="1250"/>
    <n v="5000"/>
    <n v="5"/>
    <n v="5"/>
    <s v="PLATES"/>
    <d v="2002-03-28T00:00:00"/>
    <d v="2002-05-07T00:00:00"/>
    <s v="-"/>
    <s v="-"/>
    <s v="-"/>
    <d v="2002-04-22T00:00:00"/>
    <s v="OTIF FAIL"/>
    <n v="1"/>
    <s v="1110_FG_HPC"/>
    <x v="2"/>
    <n v="0"/>
    <m/>
  </r>
  <r>
    <s v="0558116720-1"/>
    <s v="JBS"/>
    <n v="16"/>
    <n v="1250"/>
    <n v="2500"/>
    <n v="5"/>
    <n v="5"/>
    <s v="PLATES"/>
    <d v="2002-03-28T00:00:00"/>
    <d v="2002-05-07T00:00:00"/>
    <s v="-"/>
    <s v="-"/>
    <s v="-"/>
    <d v="2002-05-03T00:00:00"/>
    <s v="OTIF FAIL"/>
    <n v="1"/>
    <s v="1110_FG_HPC"/>
    <x v="16"/>
    <n v="0"/>
    <m/>
  </r>
  <r>
    <s v="0569022789-3"/>
    <s v="CST"/>
    <n v="6"/>
    <n v="1250"/>
    <n v="25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3"/>
    <s v="1210_FG_HPC"/>
    <x v="6"/>
    <n v="1"/>
    <m/>
  </r>
  <r>
    <s v="0569023243-6"/>
    <s v="HRC"/>
    <n v="10"/>
    <n v="1250"/>
    <n v="6000"/>
    <n v="6.2839999999999998"/>
    <n v="6.2839999999999998"/>
    <s v="PLATES"/>
    <d v="2002-01-01T00:00:00"/>
    <d v="2002-03-04T00:00:00"/>
    <s v="-"/>
    <s v="-"/>
    <d v="2002-03-18T00:00:00"/>
    <d v="2002-03-18T00:00:00"/>
    <s v="OTIF FAIL"/>
    <n v="6"/>
    <s v="1110_FG_HPC"/>
    <x v="0"/>
    <n v="1"/>
    <m/>
  </r>
  <r>
    <s v="0558116765-1"/>
    <s v="HRC"/>
    <n v="30"/>
    <n v="1250"/>
    <n v="6000"/>
    <n v="80"/>
    <n v="10.093999999999999"/>
    <s v="PLATES"/>
    <d v="2002-04-06T00:00:00"/>
    <d v="2002-05-13T00:00:00"/>
    <s v="-"/>
    <s v="-"/>
    <d v="2002-05-13T00:00:00"/>
    <d v="2002-05-13T00:00:00"/>
    <s v="OTIF FAIL"/>
    <n v="1"/>
    <s v="1110_FG_HPC"/>
    <x v="4"/>
    <n v="0"/>
    <m/>
  </r>
  <r>
    <s v="0569023257-4"/>
    <s v="HRC"/>
    <n v="8"/>
    <n v="1250"/>
    <n v="5000"/>
    <n v="5"/>
    <n v="5"/>
    <s v="PLATES"/>
    <d v="2002-01-02T00:00:00"/>
    <d v="2002-03-02T00:00:00"/>
    <s v="-"/>
    <s v="-"/>
    <d v="2002-04-01T00:00:00"/>
    <d v="2002-04-19T00:00:00"/>
    <s v="OTIF FAIL"/>
    <n v="4"/>
    <s v="1110_FG_HPC"/>
    <x v="15"/>
    <n v="1"/>
    <m/>
  </r>
  <r>
    <s v="0569022326-5"/>
    <s v="CST"/>
    <n v="6"/>
    <n v="1250"/>
    <n v="2500"/>
    <n v="8"/>
    <n v="3.714"/>
    <s v="HRAP"/>
    <d v="2001-09-25T00:00:00"/>
    <d v="2002-03-10T00:00:00"/>
    <d v="2002-04-07T00:00:00"/>
    <d v="2002-04-07T00:00:00"/>
    <d v="2002-04-05T00:00:00"/>
    <d v="2002-04-05T00:00:00"/>
    <s v="OTIF FAIL"/>
    <n v="5"/>
    <s v="1210_FG_HPC"/>
    <x v="6"/>
    <n v="0"/>
    <m/>
  </r>
  <r>
    <s v="0569023256-1"/>
    <s v="CST"/>
    <n v="10"/>
    <n v="1250"/>
    <n v="2500"/>
    <n v="5"/>
    <n v="5"/>
    <s v="PLATES"/>
    <d v="2002-01-02T00:00:00"/>
    <d v="2002-03-02T00:00:00"/>
    <d v="2002-03-17T00:00:00"/>
    <d v="2002-03-17T00:00:00"/>
    <d v="2002-03-17T00:00:00"/>
    <d v="2002-03-19T00:00:00"/>
    <s v="OTIF FAIL"/>
    <n v="1"/>
    <s v="1110_FG_HPC"/>
    <x v="0"/>
    <n v="1"/>
    <m/>
  </r>
  <r>
    <s v="0569023255-7"/>
    <s v="CST"/>
    <n v="12"/>
    <n v="1250"/>
    <n v="6000"/>
    <n v="12.526"/>
    <n v="12.526"/>
    <s v="PLATES"/>
    <d v="2002-01-02T00:00:00"/>
    <d v="2002-03-02T00:00:00"/>
    <d v="2002-03-14T00:00:00"/>
    <d v="2002-03-14T00:00:00"/>
    <d v="2002-03-16T00:00:00"/>
    <d v="2002-04-01T00:00:00"/>
    <s v="OTIF FAIL"/>
    <n v="7"/>
    <s v="1110_FG_HPC"/>
    <x v="6"/>
    <n v="1"/>
    <m/>
  </r>
  <r>
    <s v="0558111358-11"/>
    <s v="HRC"/>
    <n v="5"/>
    <n v="1250"/>
    <n v="2500"/>
    <n v="6"/>
    <n v="6"/>
    <s v="HRAP"/>
    <d v="2001-09-25T00:00:00"/>
    <d v="2002-03-22T00:00:00"/>
    <s v="-"/>
    <s v="-"/>
    <d v="2002-04-06T00:00:00"/>
    <d v="2002-04-06T00:00:00"/>
    <s v="OTIF FAIL"/>
    <n v="11"/>
    <s v="1210_FG_HPC"/>
    <x v="6"/>
    <n v="1"/>
    <m/>
  </r>
  <r>
    <s v="0569022638-2"/>
    <s v="HPC"/>
    <n v="3"/>
    <n v="1250"/>
    <n v="2500"/>
    <n v="17"/>
    <n v="17"/>
    <s v="HRAP"/>
    <d v="2001-09-25T00:00:00"/>
    <d v="2002-03-10T00:00:00"/>
    <s v="-"/>
    <s v="-"/>
    <d v="2002-04-08T00:00:00"/>
    <d v="2002-04-13T00:00:00"/>
    <s v="OTIF FAIL"/>
    <n v="2"/>
    <s v="1210_FG_HPC"/>
    <x v="7"/>
    <n v="1"/>
    <m/>
  </r>
  <r>
    <s v="0569023255-6"/>
    <s v="CST"/>
    <n v="10"/>
    <n v="1250"/>
    <n v="6000"/>
    <n v="6.2839999999999998"/>
    <n v="6.2839999999999998"/>
    <s v="PLATES"/>
    <d v="2002-01-02T00:00:00"/>
    <d v="2002-03-02T00:00:00"/>
    <s v="-"/>
    <s v="-"/>
    <d v="2002-03-18T00:00:00"/>
    <d v="2002-03-18T00:00:00"/>
    <s v="OTIF FAIL"/>
    <n v="6"/>
    <s v="1110_FG_HPC"/>
    <x v="0"/>
    <n v="1"/>
    <m/>
  </r>
  <r>
    <s v="0569023273-1"/>
    <s v="CRC"/>
    <n v="20"/>
    <n v="1250"/>
    <n v="6000"/>
    <n v="5"/>
    <n v="5"/>
    <s v="PLATES"/>
    <d v="2002-03-28T00:00:00"/>
    <d v="2002-05-10T00:00:00"/>
    <s v="-"/>
    <s v="-"/>
    <s v="-"/>
    <d v="2002-04-24T00:00:00"/>
    <s v="OTIF FAIL"/>
    <n v="1"/>
    <s v="1110_FG_HPC"/>
    <x v="2"/>
    <n v="0"/>
    <m/>
  </r>
  <r>
    <s v="0569023274-1"/>
    <s v="HRC"/>
    <n v="20"/>
    <n v="1250"/>
    <n v="6000"/>
    <n v="5"/>
    <n v="5"/>
    <s v="PLATES"/>
    <d v="2002-03-28T00:00:00"/>
    <d v="2002-05-10T00:00:00"/>
    <s v="-"/>
    <s v="-"/>
    <s v="-"/>
    <d v="2002-04-24T00:00:00"/>
    <s v="OTIF FAIL"/>
    <n v="1"/>
    <s v="1110_FG_HPC"/>
    <x v="2"/>
    <n v="0"/>
    <m/>
  </r>
  <r>
    <s v="0569023023-2"/>
    <s v="CST"/>
    <n v="3"/>
    <n v="1250"/>
    <n v="5000"/>
    <n v="5"/>
    <n v="5"/>
    <s v="HRAP"/>
    <d v="2001-08-19T00:00:00"/>
    <d v="2002-03-04T00:00:00"/>
    <d v="2002-04-29T00:00:00"/>
    <d v="2002-04-29T00:00:00"/>
    <d v="2002-04-13T00:00:00"/>
    <d v="2002-04-13T00:00:00"/>
    <s v="OTIF FAIL"/>
    <n v="2"/>
    <s v="1210_FG_HPC"/>
    <x v="7"/>
    <n v="1"/>
    <m/>
  </r>
  <r>
    <s v="0558116670-1"/>
    <s v="HRC"/>
    <n v="16"/>
    <n v="1250"/>
    <n v="5000"/>
    <n v="4"/>
    <n v="4"/>
    <s v="PLATES"/>
    <d v="2002-03-28T00:00:00"/>
    <d v="2002-05-03T00:00:00"/>
    <s v="-"/>
    <s v="-"/>
    <s v="-"/>
    <d v="2002-04-22T00:00:00"/>
    <s v="OTIF FAIL"/>
    <n v="1"/>
    <s v="1110_FG_HPC"/>
    <x v="2"/>
    <n v="0"/>
    <m/>
  </r>
  <r>
    <s v="0558116673-1"/>
    <s v="CST"/>
    <n v="16"/>
    <n v="1250"/>
    <n v="2500"/>
    <n v="5"/>
    <n v="5"/>
    <s v="PLATES"/>
    <d v="2002-03-28T00:00:00"/>
    <d v="2002-05-01T00:00:00"/>
    <s v="-"/>
    <s v="-"/>
    <d v="2002-05-03T00:00:00"/>
    <d v="2002-05-03T00:00:00"/>
    <s v="OTIF FAIL"/>
    <n v="1"/>
    <s v="1110_FG_HPC"/>
    <x v="16"/>
    <n v="1"/>
    <m/>
  </r>
  <r>
    <s v="0558116682-1"/>
    <s v="HPC"/>
    <n v="16"/>
    <n v="1250"/>
    <n v="6000"/>
    <n v="5"/>
    <n v="5"/>
    <s v="PLATES"/>
    <d v="2002-03-28T00:00:00"/>
    <d v="2002-05-08T00:00:00"/>
    <s v="-"/>
    <s v="-"/>
    <s v="-"/>
    <d v="2002-04-21T00:00:00"/>
    <s v="OTIF FAIL"/>
    <n v="1"/>
    <s v="1110_FG_HPC"/>
    <x v="2"/>
    <n v="0"/>
    <m/>
  </r>
  <r>
    <s v="0569023255-1"/>
    <s v="HPC"/>
    <n v="16"/>
    <n v="1250"/>
    <n v="6000"/>
    <n v="37.012"/>
    <n v="37.012"/>
    <s v="PLATES"/>
    <d v="2002-01-02T00:00:00"/>
    <d v="2002-03-02T00:00:00"/>
    <s v="-"/>
    <s v="-"/>
    <d v="2002-03-20T00:00:00"/>
    <d v="2002-04-21T00:00:00"/>
    <s v="OTIF FAIL"/>
    <n v="1"/>
    <s v="1110_FG_HPC"/>
    <x v="2"/>
    <n v="1"/>
    <m/>
  </r>
  <r>
    <s v="0569023255-2"/>
    <s v="CST"/>
    <n v="25"/>
    <n v="1250"/>
    <n v="6000"/>
    <n v="10"/>
    <n v="10"/>
    <s v="PLATES"/>
    <d v="2002-01-02T00:00:00"/>
    <d v="2002-03-02T00:00:00"/>
    <s v="-"/>
    <s v="-"/>
    <d v="2002-03-23T00:00:00"/>
    <d v="2002-03-23T00:00:00"/>
    <s v="OTIF FAIL"/>
    <n v="2"/>
    <s v="1110_FG_HPC"/>
    <x v="0"/>
    <n v="1"/>
    <m/>
  </r>
  <r>
    <s v="0569023071-2"/>
    <s v="CRC"/>
    <n v="12"/>
    <n v="1250"/>
    <n v="6000"/>
    <n v="9"/>
    <n v="9"/>
    <s v="PLATES"/>
    <d v="2001-08-23T00:00:00"/>
    <d v="2002-03-04T00:00:00"/>
    <s v="-"/>
    <s v="-"/>
    <d v="2002-03-22T00:00:00"/>
    <d v="2002-04-01T00:00:00"/>
    <s v="OTIF FAIL"/>
    <n v="2"/>
    <s v="1110_FG_HPC"/>
    <x v="6"/>
    <n v="1"/>
    <m/>
  </r>
  <r>
    <s v="0558116693-1"/>
    <s v="CST"/>
    <n v="16"/>
    <n v="1250"/>
    <n v="5000"/>
    <n v="4"/>
    <n v="4"/>
    <s v="PLATES"/>
    <d v="2002-03-28T00:00:00"/>
    <d v="2002-05-08T00:00:00"/>
    <s v="-"/>
    <s v="-"/>
    <s v="-"/>
    <d v="2002-04-22T00:00:00"/>
    <s v="OTIF FAIL"/>
    <n v="1"/>
    <s v="1110_FG_HPC"/>
    <x v="2"/>
    <n v="0"/>
    <m/>
  </r>
  <r>
    <s v="0569022550-3"/>
    <s v="HRC"/>
    <n v="4"/>
    <n v="1250"/>
    <n v="2500"/>
    <n v="5"/>
    <n v="5"/>
    <s v="HRAP"/>
    <d v="2001-09-25T00:00:00"/>
    <d v="2002-03-10T00:00:00"/>
    <d v="2002-04-17T00:00:00"/>
    <d v="2002-04-17T00:00:00"/>
    <d v="2002-04-01T00:00:00"/>
    <d v="2002-04-05T00:00:00"/>
    <s v="OTIF FAIL"/>
    <n v="3"/>
    <s v="1210_FG_HPC"/>
    <x v="6"/>
    <n v="1"/>
    <m/>
  </r>
  <r>
    <s v="0569023077-4"/>
    <s v="HRC"/>
    <n v="3"/>
    <n v="1250"/>
    <n v="2500"/>
    <n v="15"/>
    <n v="15"/>
    <s v="HRAP"/>
    <d v="2001-08-23T00:00:00"/>
    <d v="2002-03-04T00:00:00"/>
    <d v="2002-03-10T00:00:00"/>
    <d v="2002-03-10T00:00:00"/>
    <d v="2002-03-15T00:00:00"/>
    <d v="2002-04-13T00:00:00"/>
    <s v="OTIF FAIL"/>
    <n v="4"/>
    <s v="1210_FG_HPC"/>
    <x v="7"/>
    <n v="1"/>
    <m/>
  </r>
  <r>
    <s v="0569022945-1"/>
    <s v="CST"/>
    <n v="3"/>
    <n v="1250"/>
    <n v="2500"/>
    <n v="10"/>
    <n v="10"/>
    <s v="HRAP"/>
    <d v="2001-08-07T00:00:00"/>
    <d v="2002-03-09T00:00:00"/>
    <d v="2002-04-29T00:00:00"/>
    <d v="2002-04-29T00:00:00"/>
    <d v="2002-04-13T00:00:00"/>
    <d v="2002-04-13T00:00:00"/>
    <s v="OTIF FAIL"/>
    <n v="1"/>
    <s v="1210_FG_HPC"/>
    <x v="7"/>
    <n v="1"/>
    <m/>
  </r>
  <r>
    <s v="0569022971-4"/>
    <s v="HRC"/>
    <n v="6"/>
    <n v="1250"/>
    <n v="2500"/>
    <n v="7"/>
    <n v="7"/>
    <s v="HRAP"/>
    <d v="2001-08-13T00:00:00"/>
    <d v="2002-03-09T00:00:00"/>
    <d v="2002-04-07T00:00:00"/>
    <d v="2002-04-07T00:00:00"/>
    <d v="2002-04-05T00:00:00"/>
    <d v="2002-04-05T00:00:00"/>
    <s v="OTIF FAIL"/>
    <n v="4"/>
    <s v="1210_FG_HPC"/>
    <x v="6"/>
    <n v="1"/>
    <m/>
  </r>
  <r>
    <s v="0558113288-1"/>
    <s v="HRC"/>
    <n v="16"/>
    <n v="1250"/>
    <n v="2500"/>
    <n v="5"/>
    <n v="5"/>
    <s v="PLATES"/>
    <d v="2001-08-01T00:00:00"/>
    <d v="2002-03-05T00:00:00"/>
    <s v="-"/>
    <s v="-"/>
    <d v="2002-01-16T00:00:00"/>
    <d v="2002-05-03T00:00:00"/>
    <s v="OTIF FAIL"/>
    <n v="1"/>
    <s v="1110_FG_HPC"/>
    <x v="16"/>
    <n v="1"/>
    <m/>
  </r>
  <r>
    <s v="0569023023-4"/>
    <s v="HRC"/>
    <n v="5"/>
    <n v="1250"/>
    <n v="2500"/>
    <n v="9"/>
    <n v="9"/>
    <s v="HRAP"/>
    <d v="2001-08-19T00:00:00"/>
    <d v="2002-03-04T00:00:00"/>
    <d v="2002-04-06T00:00:00"/>
    <d v="2002-04-06T00:00:00"/>
    <d v="2002-04-06T00:00:00"/>
    <d v="2002-04-06T00:00:00"/>
    <s v="OTIF FAIL"/>
    <n v="4"/>
    <s v="1210_FG_HPC"/>
    <x v="6"/>
    <n v="1"/>
    <m/>
  </r>
  <r>
    <s v="0569023243-2"/>
    <s v="HPC"/>
    <n v="25"/>
    <n v="1250"/>
    <n v="6000"/>
    <n v="10"/>
    <n v="10"/>
    <s v="PLATES"/>
    <d v="2002-01-01T00:00:00"/>
    <d v="2002-03-04T00:00:00"/>
    <s v="-"/>
    <s v="-"/>
    <d v="2002-03-23T00:00:00"/>
    <d v="2002-03-23T00:00:00"/>
    <s v="OTIF FAIL"/>
    <n v="2"/>
    <s v="1110_FG_HPC"/>
    <x v="0"/>
    <n v="1"/>
    <m/>
  </r>
  <r>
    <s v="0569022944-10"/>
    <s v="CST"/>
    <n v="8"/>
    <n v="1250"/>
    <n v="6000"/>
    <n v="20"/>
    <n v="20"/>
    <s v="PLATES"/>
    <d v="2001-08-07T00:00:00"/>
    <d v="2002-03-09T00:00:00"/>
    <s v="-"/>
    <s v="-"/>
    <d v="2002-04-01T00:00:00"/>
    <d v="2002-04-01T00:00:00"/>
    <s v="OTIF FAIL"/>
    <n v="10"/>
    <s v="1110_FG_HPC"/>
    <x v="6"/>
    <n v="1"/>
    <m/>
  </r>
  <r>
    <s v="0569022944-15"/>
    <s v="CST"/>
    <n v="20"/>
    <n v="1250"/>
    <n v="6000"/>
    <n v="5"/>
    <n v="5"/>
    <s v="PLATES"/>
    <d v="2001-08-07T00:00:00"/>
    <d v="2002-03-09T00:00:00"/>
    <d v="2002-03-07T00:00:00"/>
    <d v="2002-03-09T00:00:00"/>
    <d v="2001-11-30T00:00:00"/>
    <d v="2002-04-24T00:00:00"/>
    <s v="OTIF PASS"/>
    <n v="15"/>
    <s v="1110_FG_HPC"/>
    <x v="2"/>
    <n v="1"/>
    <m/>
  </r>
  <r>
    <s v="0569022944-7"/>
    <s v="CST"/>
    <n v="12"/>
    <n v="1250"/>
    <n v="5000"/>
    <n v="10"/>
    <n v="10"/>
    <s v="PLATES"/>
    <d v="2001-08-07T00:00:00"/>
    <d v="2002-03-09T00:00:00"/>
    <s v="-"/>
    <s v="-"/>
    <d v="2002-03-22T00:00:00"/>
    <d v="2002-03-22T00:00:00"/>
    <s v="OTIF FAIL"/>
    <n v="7"/>
    <s v="1110_FG_HPC"/>
    <x v="0"/>
    <n v="1"/>
    <m/>
  </r>
  <r>
    <s v="0569022944-5"/>
    <s v="CST"/>
    <n v="16"/>
    <n v="1250"/>
    <n v="6000"/>
    <n v="6"/>
    <n v="6"/>
    <s v="PLATES"/>
    <d v="2001-08-07T00:00:00"/>
    <d v="2002-03-09T00:00:00"/>
    <s v="-"/>
    <s v="-"/>
    <d v="2001-11-30T00:00:00"/>
    <d v="2002-04-21T00:00:00"/>
    <s v="OTIF FAIL"/>
    <n v="5"/>
    <s v="1110_FG_HPC"/>
    <x v="2"/>
    <n v="1"/>
    <m/>
  </r>
  <r>
    <s v="0569022944-3"/>
    <s v="CST"/>
    <n v="10"/>
    <n v="1250"/>
    <n v="5000"/>
    <n v="18"/>
    <n v="18"/>
    <s v="PLATES"/>
    <d v="2001-08-07T00:00:00"/>
    <d v="2002-03-09T00:00:00"/>
    <s v="-"/>
    <s v="-"/>
    <d v="2002-04-01T00:00:00"/>
    <d v="2002-04-27T00:00:00"/>
    <s v="OTIF FAIL"/>
    <n v="3"/>
    <s v="1110_FG_HPC"/>
    <x v="2"/>
    <n v="1"/>
    <m/>
  </r>
  <r>
    <s v="0569022945-2"/>
    <s v="HRC"/>
    <n v="4"/>
    <n v="1250"/>
    <n v="2500"/>
    <n v="5"/>
    <n v="5"/>
    <s v="HRAP"/>
    <d v="2001-08-07T00:00:00"/>
    <d v="2002-03-09T00:00:00"/>
    <d v="2002-04-17T00:00:00"/>
    <d v="2002-04-17T00:00:00"/>
    <d v="2002-04-05T00:00:00"/>
    <d v="2002-04-05T00:00:00"/>
    <s v="OTIF FAIL"/>
    <n v="2"/>
    <s v="1210_FG_HPC"/>
    <x v="6"/>
    <n v="1"/>
    <m/>
  </r>
  <r>
    <s v="0569022949-1"/>
    <s v="HRC"/>
    <n v="6"/>
    <n v="1250"/>
    <n v="5000"/>
    <n v="6"/>
    <n v="6"/>
    <s v="HRAP"/>
    <d v="2001-08-07T00:00:00"/>
    <d v="2002-03-09T00:00:00"/>
    <d v="2002-04-07T00:00:00"/>
    <d v="2002-04-07T00:00:00"/>
    <d v="2002-04-05T00:00:00"/>
    <d v="2002-04-05T00:00:00"/>
    <s v="OTIF FAIL"/>
    <n v="1"/>
    <s v="1210_FG_HPC"/>
    <x v="6"/>
    <n v="1"/>
    <m/>
  </r>
  <r>
    <s v="0569022949-4"/>
    <s v="CRC"/>
    <n v="3"/>
    <n v="1250"/>
    <n v="2500"/>
    <n v="8"/>
    <n v="8"/>
    <s v="HRAP"/>
    <d v="2001-08-07T00:00:00"/>
    <d v="2002-03-09T00:00:00"/>
    <d v="2002-04-29T00:00:00"/>
    <d v="2002-04-29T00:00:00"/>
    <d v="2002-04-13T00:00:00"/>
    <d v="2002-04-13T00:00:00"/>
    <s v="OTIF FAIL"/>
    <n v="4"/>
    <s v="1210_FG_HPC"/>
    <x v="7"/>
    <n v="1"/>
    <m/>
  </r>
  <r>
    <s v="0569022949-3"/>
    <s v="CST"/>
    <n v="6"/>
    <n v="1250"/>
    <n v="6000"/>
    <n v="9"/>
    <n v="9"/>
    <s v="HRAP"/>
    <d v="2001-08-07T00:00:00"/>
    <d v="2002-03-09T00:00:00"/>
    <d v="2002-04-07T00:00:00"/>
    <d v="2002-04-07T00:00:00"/>
    <d v="2002-04-05T00:00:00"/>
    <d v="2002-04-05T00:00:00"/>
    <s v="OTIF FAIL"/>
    <n v="3"/>
    <s v="1210_FG_HPC"/>
    <x v="6"/>
    <n v="1"/>
    <m/>
  </r>
  <r>
    <s v="0569022949-2"/>
    <s v="CRC"/>
    <n v="5"/>
    <n v="1250"/>
    <n v="6000"/>
    <n v="5"/>
    <n v="5"/>
    <s v="HRAP"/>
    <d v="2001-08-07T00:00:00"/>
    <d v="2002-03-09T00:00:00"/>
    <d v="2002-04-06T00:00:00"/>
    <d v="2002-04-06T00:00:00"/>
    <d v="2002-04-06T00:00:00"/>
    <d v="2002-04-06T00:00:00"/>
    <s v="OTIF FAIL"/>
    <n v="2"/>
    <s v="1210_FG_HPC"/>
    <x v="6"/>
    <n v="1"/>
    <m/>
  </r>
  <r>
    <s v="0569022944-4"/>
    <s v="HRC"/>
    <n v="12"/>
    <n v="1250"/>
    <n v="6000"/>
    <n v="34"/>
    <n v="29.512"/>
    <s v="PLATES"/>
    <d v="2001-08-07T00:00:00"/>
    <d v="2002-03-09T00:00:00"/>
    <d v="2002-04-03T00:00:00"/>
    <d v="2002-04-03T00:00:00"/>
    <d v="2002-04-01T00:00:00"/>
    <d v="2002-04-01T00:00:00"/>
    <s v="OTIF FAIL"/>
    <n v="4"/>
    <s v="1110_FG_HPC"/>
    <x v="6"/>
    <n v="0"/>
    <m/>
  </r>
  <r>
    <s v="0569022967-6"/>
    <s v="CST"/>
    <n v="8"/>
    <n v="1250"/>
    <n v="2500"/>
    <n v="6"/>
    <n v="6"/>
    <s v="PLATES"/>
    <d v="2001-08-13T00:00:00"/>
    <d v="2002-03-09T00:00:00"/>
    <s v="-"/>
    <s v="-"/>
    <d v="2002-04-01T00:00:00"/>
    <d v="2002-04-01T00:00:00"/>
    <s v="OTIF FAIL"/>
    <n v="6"/>
    <s v="1110_FG_HPC"/>
    <x v="6"/>
    <n v="1"/>
    <m/>
  </r>
  <r>
    <s v="0569022971-1"/>
    <s v="CST"/>
    <n v="5"/>
    <n v="1250"/>
    <n v="6000"/>
    <n v="9"/>
    <n v="9"/>
    <s v="HRAP"/>
    <d v="2001-08-13T00:00:00"/>
    <d v="2002-03-09T00:00:00"/>
    <d v="2002-03-18T00:00:00"/>
    <d v="2002-03-18T00:00:00"/>
    <d v="2002-03-18T00:00:00"/>
    <d v="2002-04-06T00:00:00"/>
    <s v="OTIF FAIL"/>
    <n v="1"/>
    <s v="1210_FG_HPC"/>
    <x v="6"/>
    <n v="1"/>
    <m/>
  </r>
  <r>
    <s v="0569022971-3"/>
    <s v="HRC"/>
    <n v="5"/>
    <n v="1250"/>
    <n v="2500"/>
    <n v="9"/>
    <n v="9"/>
    <s v="HRAP"/>
    <d v="2001-08-13T00:00:00"/>
    <d v="2002-03-09T00:00:00"/>
    <d v="2002-04-06T00:00:00"/>
    <d v="2002-04-06T00:00:00"/>
    <d v="2002-04-06T00:00:00"/>
    <d v="2002-04-06T00:00:00"/>
    <s v="OTIF FAIL"/>
    <n v="3"/>
    <s v="1210_FG_HPC"/>
    <x v="6"/>
    <n v="1"/>
    <m/>
  </r>
  <r>
    <s v="0569022971-2"/>
    <s v="CST"/>
    <n v="6"/>
    <n v="1250"/>
    <n v="6000"/>
    <n v="5"/>
    <n v="5"/>
    <s v="HRAP"/>
    <d v="2001-08-13T00:00:00"/>
    <d v="2002-03-09T00:00:00"/>
    <d v="2002-04-07T00:00:00"/>
    <d v="2002-04-07T00:00:00"/>
    <d v="2002-04-05T00:00:00"/>
    <d v="2002-04-05T00:00:00"/>
    <s v="OTIF FAIL"/>
    <n v="2"/>
    <s v="1210_FG_HPC"/>
    <x v="6"/>
    <n v="1"/>
    <m/>
  </r>
  <r>
    <s v="0569022592-6"/>
    <s v="HRC"/>
    <n v="5"/>
    <n v="1250"/>
    <n v="5000"/>
    <n v="13"/>
    <n v="13"/>
    <s v="HRAP"/>
    <d v="2001-09-25T00:00:00"/>
    <d v="2002-03-10T00:00:00"/>
    <d v="2002-03-09T00:00:00"/>
    <d v="2002-03-10T00:00:00"/>
    <d v="2002-03-11T00:00:00"/>
    <d v="2002-04-06T00:00:00"/>
    <s v="OTIF PASS"/>
    <n v="6"/>
    <s v="1210_FG_HPC"/>
    <x v="6"/>
    <n v="1"/>
    <m/>
  </r>
  <r>
    <s v="0569023254-3"/>
    <s v="HRC"/>
    <n v="10"/>
    <n v="1250"/>
    <n v="2500"/>
    <n v="5.2619999999999996"/>
    <n v="5.2619999999999996"/>
    <s v="PLATES"/>
    <d v="2002-01-02T00:00:00"/>
    <d v="2002-03-02T00:00:00"/>
    <d v="2002-03-17T00:00:00"/>
    <d v="2002-03-17T00:00:00"/>
    <d v="2002-03-17T00:00:00"/>
    <d v="2002-03-19T00:00:00"/>
    <s v="OTIF FAIL"/>
    <n v="3"/>
    <s v="1110_FG_HPC"/>
    <x v="0"/>
    <n v="1"/>
    <m/>
  </r>
  <r>
    <s v="0569023017-5"/>
    <s v="CRC"/>
    <n v="8"/>
    <n v="1250"/>
    <n v="2500"/>
    <n v="7"/>
    <n v="7"/>
    <s v="PLATES"/>
    <d v="2001-08-19T00:00:00"/>
    <d v="2002-03-04T00:00:00"/>
    <d v="2002-04-01T00:00:00"/>
    <d v="2002-04-01T00:00:00"/>
    <d v="2002-04-01T00:00:00"/>
    <d v="2002-04-01T00:00:00"/>
    <s v="OTIF FAIL"/>
    <n v="5"/>
    <s v="1110_FG_HPC"/>
    <x v="6"/>
    <n v="1"/>
    <m/>
  </r>
  <r>
    <s v="0569023018-1"/>
    <s v="CST"/>
    <n v="3"/>
    <n v="1250"/>
    <n v="2500"/>
    <n v="5"/>
    <n v="5"/>
    <s v="HRAP"/>
    <d v="2001-08-19T00:00:00"/>
    <d v="2002-03-04T00:00:00"/>
    <d v="2002-04-29T00:00:00"/>
    <d v="2002-04-29T00:00:00"/>
    <d v="2002-04-13T00:00:00"/>
    <d v="2002-04-13T00:00:00"/>
    <s v="OTIF FAIL"/>
    <n v="1"/>
    <s v="1210_FG_HPC"/>
    <x v="7"/>
    <n v="1"/>
    <m/>
  </r>
  <r>
    <s v="0569023018-3"/>
    <s v="HPC"/>
    <n v="6"/>
    <n v="1250"/>
    <n v="2500"/>
    <n v="5"/>
    <n v="5"/>
    <s v="HRAP"/>
    <d v="2001-08-19T00:00:00"/>
    <d v="2002-03-04T00:00:00"/>
    <d v="2002-04-07T00:00:00"/>
    <d v="2002-04-07T00:00:00"/>
    <d v="2002-04-05T00:00:00"/>
    <d v="2002-04-05T00:00:00"/>
    <s v="OTIF FAIL"/>
    <n v="3"/>
    <s v="1210_FG_HPC"/>
    <x v="6"/>
    <n v="1"/>
    <m/>
  </r>
  <r>
    <s v="0569022944-17"/>
    <s v="CST"/>
    <n v="10"/>
    <n v="1250"/>
    <n v="2500"/>
    <n v="5"/>
    <n v="5"/>
    <s v="PLATES"/>
    <d v="2001-08-07T00:00:00"/>
    <d v="2002-03-09T00:00:00"/>
    <d v="2002-03-19T00:00:00"/>
    <d v="2002-03-19T00:00:00"/>
    <d v="2002-03-19T00:00:00"/>
    <d v="2002-03-19T00:00:00"/>
    <s v="OTIF FAIL"/>
    <n v="17"/>
    <s v="1110_FG_HPC"/>
    <x v="0"/>
    <n v="1"/>
    <m/>
  </r>
  <r>
    <s v="0569023018-6"/>
    <s v="HRC"/>
    <n v="5"/>
    <n v="1250"/>
    <n v="2500"/>
    <n v="10"/>
    <n v="10"/>
    <s v="HRAP"/>
    <d v="2001-08-19T00:00:00"/>
    <d v="2002-03-04T00:00:00"/>
    <d v="2002-04-06T00:00:00"/>
    <d v="2002-04-06T00:00:00"/>
    <d v="2002-04-06T00:00:00"/>
    <d v="2002-04-06T00:00:00"/>
    <s v="OTIF FAIL"/>
    <n v="6"/>
    <s v="1210_FG_HPC"/>
    <x v="6"/>
    <n v="1"/>
    <m/>
  </r>
  <r>
    <s v="0569023023-3"/>
    <s v="HRC"/>
    <n v="4"/>
    <n v="1250"/>
    <n v="2500"/>
    <n v="9"/>
    <n v="9"/>
    <s v="HRAP"/>
    <d v="2001-08-19T00:00:00"/>
    <d v="2002-03-04T00:00:00"/>
    <d v="2002-04-17T00:00:00"/>
    <d v="2002-04-17T00:00:00"/>
    <d v="2002-04-05T00:00:00"/>
    <d v="2002-04-05T00:00:00"/>
    <s v="OTIF FAIL"/>
    <n v="3"/>
    <s v="1210_FG_HPC"/>
    <x v="6"/>
    <n v="1"/>
    <m/>
  </r>
  <r>
    <s v="0569023023-5"/>
    <s v="CST"/>
    <n v="6"/>
    <n v="1250"/>
    <n v="2500"/>
    <n v="17"/>
    <n v="17"/>
    <s v="HRAP"/>
    <d v="2001-08-19T00:00:00"/>
    <d v="2002-03-04T00:00:00"/>
    <d v="2002-03-12T00:00:00"/>
    <d v="2002-03-12T00:00:00"/>
    <d v="2002-03-18T00:00:00"/>
    <d v="2002-04-05T00:00:00"/>
    <s v="OTIF FAIL"/>
    <n v="5"/>
    <s v="1210_FG_HPC"/>
    <x v="6"/>
    <n v="1"/>
    <m/>
  </r>
  <r>
    <s v="0569023023-1"/>
    <s v="HPC"/>
    <n v="3"/>
    <n v="1250"/>
    <n v="2500"/>
    <n v="22"/>
    <n v="22"/>
    <s v="HRAP"/>
    <d v="2001-08-19T00:00:00"/>
    <d v="2002-03-04T00:00:00"/>
    <d v="2002-03-11T00:00:00"/>
    <d v="2002-03-11T00:00:00"/>
    <d v="2002-03-15T00:00:00"/>
    <d v="2002-04-13T00:00:00"/>
    <s v="OTIF FAIL"/>
    <n v="1"/>
    <s v="1210_FG_HPC"/>
    <x v="7"/>
    <n v="1"/>
    <m/>
  </r>
  <r>
    <s v="0569023077-2"/>
    <s v="CST"/>
    <n v="5"/>
    <n v="1250"/>
    <n v="6000"/>
    <n v="25"/>
    <n v="25"/>
    <s v="HRAP"/>
    <d v="2001-08-23T00:00:00"/>
    <d v="2002-03-04T00:00:00"/>
    <d v="2002-03-18T00:00:00"/>
    <d v="2002-03-18T00:00:00"/>
    <d v="2002-03-18T00:00:00"/>
    <d v="2002-04-06T00:00:00"/>
    <s v="OTIF FAIL"/>
    <n v="2"/>
    <s v="1210_FG_HPC"/>
    <x v="6"/>
    <n v="1"/>
    <m/>
  </r>
  <r>
    <s v="0569023071-10"/>
    <s v="CST"/>
    <n v="20"/>
    <n v="1250"/>
    <n v="6000"/>
    <n v="24"/>
    <n v="0.38300000000000001"/>
    <s v="PLATES"/>
    <d v="2001-08-23T00:00:00"/>
    <d v="2002-03-04T00:00:00"/>
    <s v="-"/>
    <s v="-"/>
    <d v="2002-01-31T00:00:00"/>
    <d v="2002-04-24T00:00:00"/>
    <s v="OTIF FAIL"/>
    <n v="10"/>
    <s v="1110_FG_HPC"/>
    <x v="2"/>
    <n v="0"/>
    <m/>
  </r>
  <r>
    <s v="0569023071-3"/>
    <s v="CRC"/>
    <n v="16"/>
    <n v="1250"/>
    <n v="6000"/>
    <n v="9"/>
    <n v="9"/>
    <s v="PLATES"/>
    <d v="2001-08-23T00:00:00"/>
    <d v="2002-02-20T00:00:00"/>
    <d v="2002-02-22T00:00:00"/>
    <d v="2002-02-22T00:00:00"/>
    <d v="2002-01-31T00:00:00"/>
    <d v="2002-04-21T00:00:00"/>
    <s v="OTIF FAIL"/>
    <n v="3"/>
    <s v="1110_FG_HPC"/>
    <x v="2"/>
    <n v="1"/>
    <m/>
  </r>
  <r>
    <s v="0569023072-1"/>
    <s v="CRC"/>
    <n v="3"/>
    <n v="1250"/>
    <n v="2500"/>
    <n v="10"/>
    <n v="10"/>
    <s v="HRAP"/>
    <d v="2001-08-23T00:00:00"/>
    <d v="2002-02-24T00:00:00"/>
    <d v="2002-04-29T00:00:00"/>
    <d v="2002-04-29T00:00:00"/>
    <d v="2002-04-06T00:00:00"/>
    <d v="2002-04-13T00:00:00"/>
    <s v="OTIF FAIL"/>
    <n v="1"/>
    <s v="1210_FG_HPC"/>
    <x v="7"/>
    <n v="1"/>
    <m/>
  </r>
  <r>
    <s v="0569023077-3"/>
    <s v="HRC"/>
    <n v="6"/>
    <n v="1250"/>
    <n v="6000"/>
    <n v="15"/>
    <n v="15"/>
    <s v="HRAP"/>
    <d v="2001-08-23T00:00:00"/>
    <d v="2002-03-04T00:00:00"/>
    <d v="2002-03-12T00:00:00"/>
    <d v="2002-03-12T00:00:00"/>
    <d v="2002-03-18T00:00:00"/>
    <d v="2002-04-05T00:00:00"/>
    <s v="OTIF FAIL"/>
    <n v="3"/>
    <s v="1210_FG_HPC"/>
    <x v="6"/>
    <n v="1"/>
    <m/>
  </r>
  <r>
    <s v="0569023077-5"/>
    <s v="CST"/>
    <n v="3"/>
    <n v="1250"/>
    <n v="5000"/>
    <n v="8"/>
    <n v="8"/>
    <s v="HRAP"/>
    <d v="2001-08-23T00:00:00"/>
    <d v="2002-03-04T00:00:00"/>
    <d v="2002-04-29T00:00:00"/>
    <d v="2002-04-29T00:00:00"/>
    <d v="2002-04-13T00:00:00"/>
    <d v="2002-04-13T00:00:00"/>
    <s v="OTIF FAIL"/>
    <n v="5"/>
    <s v="1210_FG_HPC"/>
    <x v="7"/>
    <n v="1"/>
    <m/>
  </r>
  <r>
    <s v="0569023077-6"/>
    <s v="HRC"/>
    <n v="5"/>
    <n v="1250"/>
    <n v="5000"/>
    <n v="6"/>
    <n v="6"/>
    <s v="HRAP"/>
    <d v="2001-08-23T00:00:00"/>
    <d v="2002-02-26T00:00:00"/>
    <d v="2002-04-06T00:00:00"/>
    <d v="2002-04-06T00:00:00"/>
    <d v="2002-04-06T00:00:00"/>
    <d v="2002-04-06T00:00:00"/>
    <s v="OTIF FAIL"/>
    <n v="6"/>
    <s v="1210_FG_HPC"/>
    <x v="6"/>
    <n v="1"/>
    <m/>
  </r>
  <r>
    <s v="0569023077-8"/>
    <s v="CST"/>
    <n v="5"/>
    <n v="1250"/>
    <n v="2500"/>
    <n v="11"/>
    <n v="11"/>
    <s v="HRAP"/>
    <d v="2001-08-23T00:00:00"/>
    <d v="2002-03-04T00:00:00"/>
    <d v="2002-04-06T00:00:00"/>
    <d v="2002-04-06T00:00:00"/>
    <d v="2002-04-06T00:00:00"/>
    <d v="2002-04-06T00:00:00"/>
    <s v="OTIF FAIL"/>
    <n v="8"/>
    <s v="1210_FG_HPC"/>
    <x v="6"/>
    <n v="1"/>
    <m/>
  </r>
  <r>
    <s v="0569023077-9"/>
    <s v="HRC"/>
    <n v="6"/>
    <n v="1250"/>
    <n v="2500"/>
    <n v="9"/>
    <n v="9"/>
    <s v="HRAP"/>
    <d v="2001-08-23T00:00:00"/>
    <d v="2002-03-04T00:00:00"/>
    <d v="2002-04-07T00:00:00"/>
    <d v="2002-04-07T00:00:00"/>
    <d v="2002-04-05T00:00:00"/>
    <d v="2002-04-05T00:00:00"/>
    <s v="OTIF FAIL"/>
    <n v="9"/>
    <s v="1210_FG_HPC"/>
    <x v="6"/>
    <n v="1"/>
    <m/>
  </r>
  <r>
    <s v="0569023122-1"/>
    <s v="HRC"/>
    <n v="8"/>
    <n v="1250"/>
    <n v="2500"/>
    <n v="5"/>
    <n v="5"/>
    <s v="PLATES"/>
    <d v="2001-08-27T00:00:00"/>
    <d v="2002-02-28T00:00:00"/>
    <d v="2002-04-01T00:00:00"/>
    <d v="2002-04-01T00:00:00"/>
    <d v="2002-04-01T00:00:00"/>
    <d v="2002-04-01T00:00:00"/>
    <s v="OTIF FAIL"/>
    <n v="1"/>
    <s v="1110_FG_HPC"/>
    <x v="6"/>
    <n v="1"/>
    <m/>
  </r>
  <r>
    <s v="0569023122-2"/>
    <s v="CST"/>
    <n v="10"/>
    <n v="1250"/>
    <n v="2500"/>
    <n v="5"/>
    <n v="5"/>
    <s v="PLATES"/>
    <d v="2001-08-27T00:00:00"/>
    <d v="2002-02-22T00:00:00"/>
    <d v="2002-03-17T00:00:00"/>
    <d v="2002-03-17T00:00:00"/>
    <d v="2002-03-17T00:00:00"/>
    <d v="2002-03-19T00:00:00"/>
    <s v="OTIF FAIL"/>
    <n v="2"/>
    <s v="1110_FG_HPC"/>
    <x v="0"/>
    <n v="1"/>
    <m/>
  </r>
  <r>
    <s v="0569023126-1"/>
    <s v="CRC"/>
    <n v="5"/>
    <n v="1250"/>
    <n v="2500"/>
    <n v="5"/>
    <n v="5"/>
    <s v="HRAP"/>
    <d v="2001-08-27T00:00:00"/>
    <d v="2002-02-27T00:00:00"/>
    <d v="2002-04-06T00:00:00"/>
    <d v="2002-04-06T00:00:00"/>
    <d v="2002-04-06T00:00:00"/>
    <d v="2002-04-06T00:00:00"/>
    <s v="OTIF FAIL"/>
    <n v="1"/>
    <s v="1210_FG_HPC"/>
    <x v="6"/>
    <n v="1"/>
    <m/>
  </r>
  <r>
    <s v="0569022683-6"/>
    <s v="CST"/>
    <n v="5"/>
    <n v="1250"/>
    <n v="5000"/>
    <n v="10"/>
    <n v="10"/>
    <s v="HRAP"/>
    <d v="2001-09-25T00:00:00"/>
    <d v="2002-03-10T00:00:00"/>
    <d v="2002-04-06T00:00:00"/>
    <d v="2002-04-06T00:00:00"/>
    <d v="2002-04-06T00:00:00"/>
    <d v="2002-04-06T00:00:00"/>
    <s v="OTIF FAIL"/>
    <n v="6"/>
    <s v="1210_FG_HPC"/>
    <x v="6"/>
    <n v="1"/>
    <m/>
  </r>
  <r>
    <s v="0569023175-13"/>
    <s v="CST"/>
    <n v="8"/>
    <n v="1250"/>
    <n v="2500"/>
    <n v="8"/>
    <n v="8"/>
    <s v="PLATES"/>
    <d v="2001-08-30T00:00:00"/>
    <d v="2002-03-04T00:00:00"/>
    <s v="-"/>
    <s v="-"/>
    <d v="2002-04-01T00:00:00"/>
    <d v="2002-04-01T00:00:00"/>
    <s v="OTIF FAIL"/>
    <n v="13"/>
    <s v="1110_FG_HPC"/>
    <x v="6"/>
    <n v="1"/>
    <m/>
  </r>
  <r>
    <s v="0569022200-6"/>
    <s v="CRC"/>
    <n v="5"/>
    <n v="1250"/>
    <n v="2500"/>
    <n v="15"/>
    <n v="15"/>
    <s v="HRAP"/>
    <d v="2001-09-25T00:00:00"/>
    <d v="2002-03-10T00:00:00"/>
    <d v="2002-04-01T00:00:00"/>
    <d v="2002-04-01T00:00:00"/>
    <d v="2002-04-01T00:00:00"/>
    <d v="2002-04-06T00:00:00"/>
    <s v="OTIF FAIL"/>
    <n v="6"/>
    <s v="1210_FG_HPC"/>
    <x v="6"/>
    <n v="1"/>
    <m/>
  </r>
  <r>
    <s v="0569023175-11"/>
    <s v="HRC"/>
    <n v="20"/>
    <n v="1250"/>
    <n v="6000"/>
    <n v="8"/>
    <n v="8"/>
    <s v="PLATES"/>
    <d v="2001-08-30T00:00:00"/>
    <d v="2002-03-04T00:00:00"/>
    <s v="-"/>
    <s v="-"/>
    <d v="2002-01-31T00:00:00"/>
    <d v="2002-04-24T00:00:00"/>
    <s v="OTIF FAIL"/>
    <n v="11"/>
    <s v="1110_FG_HPC"/>
    <x v="2"/>
    <n v="1"/>
    <m/>
  </r>
  <r>
    <s v="0569023175-14"/>
    <s v="HRC"/>
    <n v="10"/>
    <n v="1250"/>
    <n v="2500"/>
    <n v="5"/>
    <n v="5"/>
    <s v="PLATES"/>
    <d v="2001-08-30T00:00:00"/>
    <d v="2002-03-04T00:00:00"/>
    <d v="2002-03-18T00:00:00"/>
    <d v="2002-03-18T00:00:00"/>
    <d v="2002-03-18T00:00:00"/>
    <d v="2002-03-19T00:00:00"/>
    <s v="OTIF FAIL"/>
    <n v="14"/>
    <s v="1110_FG_HPC"/>
    <x v="0"/>
    <n v="1"/>
    <m/>
  </r>
  <r>
    <s v="0569023175-2"/>
    <s v="HRC"/>
    <n v="12"/>
    <n v="1250"/>
    <n v="6000"/>
    <n v="8"/>
    <n v="8"/>
    <s v="PLATES"/>
    <d v="2001-08-30T00:00:00"/>
    <d v="2002-03-04T00:00:00"/>
    <s v="-"/>
    <s v="-"/>
    <d v="2002-03-22T00:00:00"/>
    <d v="2002-04-01T00:00:00"/>
    <s v="OTIF FAIL"/>
    <n v="2"/>
    <s v="1110_FG_HPC"/>
    <x v="6"/>
    <n v="1"/>
    <m/>
  </r>
  <r>
    <s v="0569023175-12"/>
    <s v="CST"/>
    <n v="25"/>
    <n v="1250"/>
    <n v="6000"/>
    <n v="10"/>
    <n v="10"/>
    <s v="PLATES"/>
    <d v="2001-08-30T00:00:00"/>
    <d v="2002-03-04T00:00:00"/>
    <s v="-"/>
    <s v="-"/>
    <d v="2002-01-31T00:00:00"/>
    <d v="2002-03-23T00:00:00"/>
    <s v="OTIF FAIL"/>
    <n v="12"/>
    <s v="1110_FG_HPC"/>
    <x v="0"/>
    <n v="1"/>
    <m/>
  </r>
  <r>
    <s v="0569022638-6"/>
    <s v="CRC"/>
    <n v="5"/>
    <n v="1250"/>
    <n v="2500"/>
    <n v="10"/>
    <n v="10"/>
    <s v="HRAP"/>
    <d v="2001-09-25T00:00:00"/>
    <d v="2002-03-10T00:00:00"/>
    <d v="2002-04-06T00:00:00"/>
    <d v="2002-04-06T00:00:00"/>
    <d v="2002-04-06T00:00:00"/>
    <d v="2002-04-06T00:00:00"/>
    <s v="OTIF FAIL"/>
    <n v="6"/>
    <s v="1210_FG_HPC"/>
    <x v="6"/>
    <n v="1"/>
    <m/>
  </r>
  <r>
    <s v="0569023175-3"/>
    <s v="CST"/>
    <n v="16"/>
    <n v="1250"/>
    <n v="6000"/>
    <n v="2"/>
    <n v="2"/>
    <s v="PLATES"/>
    <d v="2001-08-30T00:00:00"/>
    <d v="2002-03-04T00:00:00"/>
    <s v="-"/>
    <s v="-"/>
    <d v="2002-01-31T00:00:00"/>
    <d v="2002-04-21T00:00:00"/>
    <s v="OTIF FAIL"/>
    <n v="3"/>
    <s v="1110_FG_HPC"/>
    <x v="2"/>
    <n v="1"/>
    <m/>
  </r>
  <r>
    <s v="0569023181-1"/>
    <s v="CST"/>
    <n v="5"/>
    <n v="1250"/>
    <n v="6000"/>
    <n v="10"/>
    <n v="10"/>
    <s v="HRAP"/>
    <d v="2001-08-30T00:00:00"/>
    <d v="2002-03-04T00:00:00"/>
    <d v="2002-04-06T00:00:00"/>
    <d v="2002-04-06T00:00:00"/>
    <d v="2002-04-06T00:00:00"/>
    <d v="2002-04-06T00:00:00"/>
    <s v="OTIF FAIL"/>
    <n v="1"/>
    <s v="1210_FG_HPC"/>
    <x v="6"/>
    <n v="1"/>
    <m/>
  </r>
  <r>
    <s v="0569023181-4"/>
    <s v="CRC"/>
    <n v="6"/>
    <n v="1250"/>
    <n v="2500"/>
    <n v="4"/>
    <n v="4"/>
    <s v="HRAP"/>
    <d v="2001-08-30T00:00:00"/>
    <d v="2002-03-04T00:00:00"/>
    <d v="2002-04-07T00:00:00"/>
    <d v="2002-04-07T00:00:00"/>
    <d v="2002-04-05T00:00:00"/>
    <d v="2002-04-05T00:00:00"/>
    <s v="OTIF FAIL"/>
    <n v="4"/>
    <s v="1210_FG_HPC"/>
    <x v="6"/>
    <n v="1"/>
    <m/>
  </r>
  <r>
    <s v="0569023181-3"/>
    <s v="CST"/>
    <n v="4"/>
    <n v="1250"/>
    <n v="2500"/>
    <n v="10"/>
    <n v="10"/>
    <s v="HRAP"/>
    <d v="2001-08-30T00:00:00"/>
    <d v="2002-03-04T00:00:00"/>
    <d v="2002-04-17T00:00:00"/>
    <d v="2002-04-17T00:00:00"/>
    <d v="2002-04-05T00:00:00"/>
    <d v="2002-04-05T00:00:00"/>
    <s v="OTIF FAIL"/>
    <n v="3"/>
    <s v="1210_FG_HPC"/>
    <x v="6"/>
    <n v="1"/>
    <m/>
  </r>
  <r>
    <s v="0569023181-2"/>
    <s v="HRC"/>
    <n v="3"/>
    <n v="1250"/>
    <n v="2500"/>
    <n v="14"/>
    <n v="14"/>
    <s v="HRAP"/>
    <d v="2001-08-30T00:00:00"/>
    <d v="2002-03-04T00:00:00"/>
    <d v="2002-03-09T00:00:00"/>
    <d v="2002-03-09T00:00:00"/>
    <d v="2002-03-15T00:00:00"/>
    <d v="2002-04-13T00:00:00"/>
    <s v="OTIF FAIL"/>
    <n v="2"/>
    <s v="1210_FG_HPC"/>
    <x v="7"/>
    <n v="1"/>
    <m/>
  </r>
  <r>
    <s v="0558113119-5"/>
    <s v="CRC"/>
    <n v="12"/>
    <n v="1250"/>
    <n v="2500"/>
    <n v="5"/>
    <n v="4.0540000000000003"/>
    <s v="PLATES"/>
    <d v="2001-09-25T00:00:00"/>
    <d v="2002-03-05T00:00:00"/>
    <s v="-"/>
    <s v="-"/>
    <d v="2002-03-22T00:00:00"/>
    <d v="2002-04-22T00:00:00"/>
    <s v="OTIF FAIL"/>
    <n v="5"/>
    <s v="1110_FG_HPC"/>
    <x v="2"/>
    <n v="0"/>
    <m/>
  </r>
  <r>
    <s v="0558113124-2"/>
    <s v="CST"/>
    <n v="20"/>
    <n v="1250"/>
    <n v="5000"/>
    <n v="4"/>
    <n v="4"/>
    <s v="PLATES"/>
    <d v="2001-09-25T00:00:00"/>
    <d v="2002-03-10T00:00:00"/>
    <d v="2002-02-26T00:00:00"/>
    <d v="2002-03-10T00:00:00"/>
    <d v="2002-01-15T00:00:00"/>
    <d v="2002-01-16T00:00:00"/>
    <s v="OTIF PASS"/>
    <n v="2"/>
    <s v="1110_FG_HPC"/>
    <x v="13"/>
    <n v="1"/>
    <m/>
  </r>
  <r>
    <s v="0558113124-1"/>
    <s v="CRC"/>
    <n v="16"/>
    <n v="1250"/>
    <n v="5000"/>
    <n v="4"/>
    <n v="3.1760000000000002"/>
    <s v="PLATES"/>
    <d v="2001-09-25T00:00:00"/>
    <d v="2002-03-10T00:00:00"/>
    <s v="-"/>
    <s v="-"/>
    <d v="2002-01-15T00:00:00"/>
    <d v="2002-01-15T00:00:00"/>
    <s v="OTIF FAIL"/>
    <n v="1"/>
    <s v="1110_FG_HPC"/>
    <x v="13"/>
    <n v="0"/>
    <m/>
  </r>
  <r>
    <s v="0558115470-3"/>
    <s v="CST"/>
    <n v="16"/>
    <n v="1250"/>
    <n v="2500"/>
    <n v="5"/>
    <n v="5"/>
    <s v="PLATES"/>
    <d v="2001-08-30T00:00:00"/>
    <d v="2002-03-08T00:00:00"/>
    <s v="-"/>
    <s v="-"/>
    <d v="2002-01-14T00:00:00"/>
    <d v="2002-05-03T00:00:00"/>
    <s v="OTIF FAIL"/>
    <n v="3"/>
    <s v="1110_FG_HPC"/>
    <x v="16"/>
    <n v="1"/>
    <m/>
  </r>
  <r>
    <s v="0558113093-2"/>
    <s v="CRC"/>
    <n v="20"/>
    <n v="1250"/>
    <n v="5000"/>
    <n v="4"/>
    <n v="4"/>
    <s v="PLATES"/>
    <d v="2001-09-25T00:00:00"/>
    <d v="2002-03-10T00:00:00"/>
    <s v="-"/>
    <s v="-"/>
    <d v="2002-01-15T00:00:00"/>
    <d v="2002-01-15T00:00:00"/>
    <s v="OTIF FAIL"/>
    <n v="2"/>
    <s v="1110_FG_HPC"/>
    <x v="13"/>
    <n v="1"/>
    <m/>
  </r>
  <r>
    <s v="0558113319-3"/>
    <s v="PSS"/>
    <n v="25"/>
    <n v="1250"/>
    <n v="2500"/>
    <n v="3"/>
    <n v="3"/>
    <s v="PLATES"/>
    <d v="2001-08-01T00:00:00"/>
    <d v="2002-03-05T00:00:00"/>
    <d v="2002-02-25T00:00:00"/>
    <d v="2002-03-05T00:00:00"/>
    <d v="2002-01-16T00:00:00"/>
    <d v="2002-01-16T00:00:00"/>
    <s v="OTIF PASS"/>
    <n v="3"/>
    <s v="1110_FG_HPC"/>
    <x v="13"/>
    <n v="1"/>
    <m/>
  </r>
  <r>
    <s v="0569023242-3"/>
    <s v="CRC"/>
    <n v="10"/>
    <n v="1250"/>
    <n v="2500"/>
    <n v="5.2619999999999996"/>
    <n v="5.2619999999999996"/>
    <s v="PLATES"/>
    <d v="2002-01-01T00:00:00"/>
    <d v="2002-03-04T00:00:00"/>
    <d v="2002-03-18T00:00:00"/>
    <d v="2002-03-18T00:00:00"/>
    <d v="2002-03-18T00:00:00"/>
    <d v="2002-03-19T00:00:00"/>
    <s v="OTIF FAIL"/>
    <n v="3"/>
    <s v="1110_FG_HPC"/>
    <x v="0"/>
    <n v="1"/>
    <m/>
  </r>
  <r>
    <s v="0569023250-3"/>
    <s v="HRC"/>
    <n v="14"/>
    <n v="1250"/>
    <n v="6000"/>
    <n v="6.5650000000000004"/>
    <n v="6.5650000000000004"/>
    <s v="PLATES"/>
    <d v="2002-01-01T00:00:00"/>
    <d v="2002-03-02T00:00:00"/>
    <s v="-"/>
    <s v="-"/>
    <d v="2002-05-10T00:00:00"/>
    <d v="2002-05-10T00:00:00"/>
    <s v="OTIF FAIL"/>
    <n v="3"/>
    <s v="1110_FG_HPC"/>
    <x v="19"/>
    <n v="1"/>
    <m/>
  </r>
  <r>
    <s v="0558114206-3"/>
    <s v="HPC"/>
    <n v="6"/>
    <n v="1250"/>
    <n v="6000"/>
    <n v="8"/>
    <n v="8"/>
    <s v="HRAP"/>
    <d v="2001-08-22T00:00:00"/>
    <d v="2002-03-07T00:00:00"/>
    <d v="2002-03-16T00:00:00"/>
    <d v="2002-03-16T00:00:00"/>
    <d v="2002-03-16T00:00:00"/>
    <d v="2002-03-16T00:00:00"/>
    <s v="OTIF FAIL"/>
    <n v="3"/>
    <s v="1210_FG_HPC"/>
    <x v="3"/>
    <n v="1"/>
    <m/>
  </r>
  <r>
    <s v="0558114206-5"/>
    <s v="CRC"/>
    <n v="10"/>
    <n v="1250"/>
    <n v="6000"/>
    <n v="8"/>
    <n v="8"/>
    <s v="PLATES"/>
    <d v="2001-08-23T00:00:00"/>
    <d v="2002-02-25T00:00:00"/>
    <d v="2002-03-06T00:00:00"/>
    <d v="2002-03-06T00:00:00"/>
    <d v="2002-03-04T00:00:00"/>
    <d v="2002-03-04T00:00:00"/>
    <s v="OTIF FAIL"/>
    <n v="5"/>
    <s v="1110_FG_HPC"/>
    <x v="1"/>
    <n v="1"/>
    <m/>
  </r>
  <r>
    <s v="0569023254-1"/>
    <s v="CST"/>
    <n v="8"/>
    <n v="1250"/>
    <n v="5000"/>
    <n v="7.9859999999999998"/>
    <n v="7.9859999999999998"/>
    <s v="PLATES"/>
    <d v="2002-01-02T00:00:00"/>
    <d v="2002-03-02T00:00:00"/>
    <s v="-"/>
    <s v="-"/>
    <d v="2002-04-01T00:00:00"/>
    <d v="2002-04-19T00:00:00"/>
    <s v="OTIF FAIL"/>
    <n v="1"/>
    <s v="1110_FG_HPC"/>
    <x v="15"/>
    <n v="1"/>
    <m/>
  </r>
  <r>
    <s v="0558114570-8"/>
    <s v="CST"/>
    <n v="22"/>
    <n v="1250"/>
    <n v="6000"/>
    <n v="5"/>
    <n v="3.6219999999999999"/>
    <s v="PLATES"/>
    <d v="2001-08-22T00:00:00"/>
    <d v="2002-02-28T00:00:00"/>
    <d v="2002-02-24T00:00:00"/>
    <d v="2002-02-28T00:00:00"/>
    <d v="2002-01-07T00:00:00"/>
    <d v="2002-01-07T00:00:00"/>
    <s v="OTIF PASS"/>
    <n v="8"/>
    <s v="1110_FG_HPC"/>
    <x v="17"/>
    <n v="0"/>
    <m/>
  </r>
  <r>
    <s v="0558115332-2"/>
    <s v="CST"/>
    <n v="12"/>
    <n v="1250"/>
    <n v="2500"/>
    <n v="5"/>
    <n v="5"/>
    <s v="PLATES"/>
    <d v="2001-08-28T00:00:00"/>
    <d v="2002-02-22T00:00:00"/>
    <s v="-"/>
    <s v="-"/>
    <d v="2002-03-20T00:00:00"/>
    <d v="2002-04-22T00:00:00"/>
    <s v="OTIF FAIL"/>
    <n v="2"/>
    <s v="1110_FG_HPC"/>
    <x v="2"/>
    <n v="1"/>
    <m/>
  </r>
  <r>
    <s v="0569022754-1"/>
    <s v="HRC"/>
    <n v="5"/>
    <n v="1250"/>
    <n v="60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1"/>
    <s v="1210_FG_HPC"/>
    <x v="6"/>
    <n v="1"/>
    <m/>
  </r>
  <r>
    <s v="0558113783-1"/>
    <s v="CRC"/>
    <n v="5"/>
    <n v="1250"/>
    <n v="4960"/>
    <n v="3.65"/>
    <n v="3.65"/>
    <s v="HRAP"/>
    <d v="2001-08-22T00:00:00"/>
    <d v="2002-02-22T00:00:00"/>
    <d v="2002-03-09T00:00:00"/>
    <d v="2002-03-09T00:00:00"/>
    <d v="2002-03-05T00:00:00"/>
    <d v="2002-03-05T00:00:00"/>
    <s v="OTIF FAIL"/>
    <n v="1"/>
    <s v="1210_FG_HPC"/>
    <x v="1"/>
    <n v="1"/>
    <m/>
  </r>
  <r>
    <s v="0569023255-4"/>
    <s v="CST"/>
    <n v="12"/>
    <n v="1250"/>
    <n v="6000"/>
    <n v="16.712"/>
    <n v="16.712"/>
    <s v="PLATES"/>
    <d v="2002-01-02T00:00:00"/>
    <d v="2002-03-02T00:00:00"/>
    <s v="-"/>
    <s v="-"/>
    <d v="2002-03-20T00:00:00"/>
    <d v="2002-04-24T00:00:00"/>
    <s v="OTIF FAIL"/>
    <n v="4"/>
    <s v="1110_FG_HPC"/>
    <x v="2"/>
    <n v="1"/>
    <m/>
  </r>
  <r>
    <s v="0569022847-1"/>
    <s v="CRC"/>
    <n v="6"/>
    <n v="1250"/>
    <n v="5000"/>
    <n v="5"/>
    <n v="5"/>
    <s v="HRAP"/>
    <d v="2001-08-01T00:00:00"/>
    <d v="2002-03-10T00:00:00"/>
    <d v="2002-04-07T00:00:00"/>
    <d v="2002-04-07T00:00:00"/>
    <d v="2002-04-05T00:00:00"/>
    <d v="2002-04-05T00:00:00"/>
    <s v="OTIF FAIL"/>
    <n v="1"/>
    <s v="1210_FG_HPC"/>
    <x v="6"/>
    <n v="1"/>
    <m/>
  </r>
  <r>
    <s v="0569023255-5"/>
    <s v="CST"/>
    <n v="14"/>
    <n v="1250"/>
    <n v="6000"/>
    <n v="30.73"/>
    <n v="30.73"/>
    <s v="PLATES"/>
    <d v="2002-01-02T00:00:00"/>
    <d v="2002-03-02T00:00:00"/>
    <s v="-"/>
    <s v="-"/>
    <d v="2002-03-20T00:00:00"/>
    <d v="2002-03-20T00:00:00"/>
    <s v="OTIF FAIL"/>
    <n v="5"/>
    <s v="1110_FG_HPC"/>
    <x v="0"/>
    <n v="1"/>
    <m/>
  </r>
  <r>
    <s v="0569023242-2"/>
    <s v="HRC"/>
    <n v="25"/>
    <n v="1250"/>
    <n v="6000"/>
    <n v="22.488"/>
    <n v="22.488"/>
    <s v="PLATES"/>
    <d v="2002-01-01T00:00:00"/>
    <d v="2002-03-04T00:00:00"/>
    <s v="-"/>
    <s v="-"/>
    <d v="2002-03-20T00:00:00"/>
    <d v="2002-03-23T00:00:00"/>
    <s v="OTIF FAIL"/>
    <n v="2"/>
    <s v="1110_FG_HPC"/>
    <x v="0"/>
    <n v="1"/>
    <m/>
  </r>
  <r>
    <s v="0569023243-7"/>
    <s v="CST"/>
    <n v="12"/>
    <n v="1250"/>
    <n v="6000"/>
    <n v="12.526"/>
    <n v="12.526"/>
    <s v="PLATES"/>
    <d v="2002-01-01T00:00:00"/>
    <d v="2002-03-04T00:00:00"/>
    <d v="2002-03-16T00:00:00"/>
    <d v="2002-03-16T00:00:00"/>
    <d v="2002-03-16T00:00:00"/>
    <d v="2002-04-01T00:00:00"/>
    <s v="OTIF FAIL"/>
    <n v="7"/>
    <s v="1110_FG_HPC"/>
    <x v="6"/>
    <n v="1"/>
    <m/>
  </r>
  <r>
    <s v="0569023246-1"/>
    <s v="PSS"/>
    <n v="10"/>
    <n v="1250"/>
    <n v="2500"/>
    <n v="5"/>
    <n v="5"/>
    <s v="PLATES"/>
    <d v="2002-01-01T00:00:00"/>
    <d v="2002-03-04T00:00:00"/>
    <s v="-"/>
    <s v="-"/>
    <d v="2002-03-18T00:00:00"/>
    <d v="2002-03-19T00:00:00"/>
    <s v="OTIF FAIL"/>
    <n v="1"/>
    <s v="1110_FG_HPC"/>
    <x v="0"/>
    <n v="1"/>
    <m/>
  </r>
  <r>
    <s v="0569023247-2"/>
    <s v="HRC"/>
    <n v="12"/>
    <n v="1250"/>
    <n v="5000"/>
    <n v="3.758"/>
    <n v="3.758"/>
    <s v="PLATES"/>
    <d v="2002-01-01T00:00:00"/>
    <d v="2002-03-04T00:00:00"/>
    <s v="-"/>
    <s v="-"/>
    <d v="2002-03-22T00:00:00"/>
    <d v="2002-03-22T00:00:00"/>
    <s v="OTIF FAIL"/>
    <n v="2"/>
    <s v="1110_FG_HPC"/>
    <x v="0"/>
    <n v="1"/>
    <m/>
  </r>
  <r>
    <s v="0569023248-5"/>
    <s v="CST"/>
    <n v="8"/>
    <n v="1250"/>
    <n v="6000"/>
    <n v="14.778"/>
    <n v="14.778"/>
    <s v="PLATES"/>
    <d v="2002-01-01T00:00:00"/>
    <d v="2002-03-02T00:00:00"/>
    <d v="2002-03-16T00:00:00"/>
    <d v="2002-03-16T00:00:00"/>
    <d v="2002-03-16T00:00:00"/>
    <d v="2002-04-01T00:00:00"/>
    <s v="OTIF FAIL"/>
    <n v="5"/>
    <s v="1110_FG_HPC"/>
    <x v="6"/>
    <n v="1"/>
    <m/>
  </r>
  <r>
    <s v="0558114087-2"/>
    <s v="HRC"/>
    <n v="27.2"/>
    <n v="1000"/>
    <n v="6100"/>
    <n v="16.745000000000001"/>
    <n v="16.745000000000001"/>
    <s v="PLATES"/>
    <d v="2001-08-19T00:00:00"/>
    <d v="2002-02-27T00:00:00"/>
    <d v="2002-03-03T00:00:00"/>
    <d v="2002-03-03T00:00:00"/>
    <d v="2002-03-03T00:00:00"/>
    <d v="2002-03-03T00:00:00"/>
    <s v="OTIF FAIL"/>
    <n v="2"/>
    <s v="1110_FG_HPC"/>
    <x v="1"/>
    <n v="1"/>
    <m/>
  </r>
  <r>
    <s v="0569023248-3"/>
    <s v="CST"/>
    <n v="10"/>
    <n v="1250"/>
    <n v="6000"/>
    <n v="5"/>
    <n v="5"/>
    <s v="PLATES"/>
    <d v="2002-01-01T00:00:00"/>
    <d v="2002-03-02T00:00:00"/>
    <d v="2002-03-17T00:00:00"/>
    <d v="2002-03-17T00:00:00"/>
    <d v="2002-03-17T00:00:00"/>
    <d v="2002-03-18T00:00:00"/>
    <s v="OTIF FAIL"/>
    <n v="3"/>
    <s v="1110_FG_HPC"/>
    <x v="0"/>
    <n v="1"/>
    <m/>
  </r>
  <r>
    <s v="0569022587-2"/>
    <s v="CST"/>
    <n v="6"/>
    <n v="1250"/>
    <n v="2500"/>
    <n v="5"/>
    <n v="5"/>
    <s v="HRAP"/>
    <d v="2001-09-25T00:00:00"/>
    <d v="2002-03-10T00:00:00"/>
    <d v="2002-04-07T00:00:00"/>
    <d v="2002-04-07T00:00:00"/>
    <d v="2002-04-05T00:00:00"/>
    <d v="2002-04-05T00:00:00"/>
    <s v="OTIF FAIL"/>
    <n v="2"/>
    <s v="1210_FG_HPC"/>
    <x v="6"/>
    <n v="1"/>
    <m/>
  </r>
  <r>
    <s v="0569023248-1"/>
    <s v="CRC"/>
    <n v="25"/>
    <n v="1250"/>
    <n v="6000"/>
    <n v="5"/>
    <n v="5"/>
    <s v="PLATES"/>
    <d v="2002-01-01T00:00:00"/>
    <d v="2002-03-02T00:00:00"/>
    <s v="-"/>
    <s v="-"/>
    <d v="2002-03-23T00:00:00"/>
    <d v="2002-03-23T00:00:00"/>
    <s v="OTIF FAIL"/>
    <n v="1"/>
    <s v="1110_FG_HPC"/>
    <x v="0"/>
    <n v="1"/>
    <m/>
  </r>
  <r>
    <s v="0569023250-2"/>
    <s v="HRC"/>
    <n v="10"/>
    <n v="1250"/>
    <n v="2500"/>
    <n v="6.0860000000000003"/>
    <n v="6.0860000000000003"/>
    <s v="PLATES"/>
    <d v="2002-01-01T00:00:00"/>
    <d v="2002-03-02T00:00:00"/>
    <d v="2002-03-17T00:00:00"/>
    <d v="2002-03-17T00:00:00"/>
    <d v="2002-03-17T00:00:00"/>
    <d v="2002-03-19T00:00:00"/>
    <s v="OTIF FAIL"/>
    <n v="2"/>
    <s v="1110_FG_HPC"/>
    <x v="0"/>
    <n v="1"/>
    <m/>
  </r>
  <r>
    <s v="0569023252-4"/>
    <s v="HRC"/>
    <n v="16"/>
    <n v="1250"/>
    <n v="6000"/>
    <n v="8"/>
    <n v="8"/>
    <s v="PLATES"/>
    <d v="2002-01-01T00:00:00"/>
    <d v="2002-03-02T00:00:00"/>
    <s v="-"/>
    <s v="-"/>
    <d v="2002-03-23T00:00:00"/>
    <d v="2002-04-21T00:00:00"/>
    <s v="OTIF FAIL"/>
    <n v="4"/>
    <s v="1110_FG_HPC"/>
    <x v="2"/>
    <n v="1"/>
    <m/>
  </r>
  <r>
    <s v="0569023254-2"/>
    <s v="CRC"/>
    <n v="25"/>
    <n v="1250"/>
    <n v="6000"/>
    <n v="22.488"/>
    <n v="22.488"/>
    <s v="PLATES"/>
    <d v="2002-01-02T00:00:00"/>
    <d v="2002-03-02T00:00:00"/>
    <s v="-"/>
    <s v="-"/>
    <d v="2002-03-20T00:00:00"/>
    <d v="2002-03-23T00:00:00"/>
    <s v="OTIF FAIL"/>
    <n v="2"/>
    <s v="1110_FG_HPC"/>
    <x v="0"/>
    <n v="1"/>
    <m/>
  </r>
  <r>
    <s v="0569022794-4"/>
    <s v="CST"/>
    <n v="3"/>
    <n v="1250"/>
    <n v="2500"/>
    <n v="30"/>
    <n v="30"/>
    <s v="HRAP"/>
    <d v="2001-09-25T00:00:00"/>
    <d v="2002-03-10T00:00:00"/>
    <s v="-"/>
    <s v="-"/>
    <d v="2002-04-08T00:00:00"/>
    <d v="2002-04-13T00:00:00"/>
    <s v="OTIF FAIL"/>
    <n v="4"/>
    <s v="1210_FG_HPC"/>
    <x v="7"/>
    <n v="1"/>
    <m/>
  </r>
  <r>
    <s v="0569022503-2"/>
    <s v="CST"/>
    <n v="4"/>
    <n v="1250"/>
    <n v="2500"/>
    <n v="5"/>
    <n v="5"/>
    <s v="HRAP"/>
    <d v="2001-09-25T00:00:00"/>
    <d v="2002-03-10T00:00:00"/>
    <d v="2002-04-17T00:00:00"/>
    <d v="2002-04-17T00:00:00"/>
    <d v="2002-04-01T00:00:00"/>
    <d v="2002-04-05T00:00:00"/>
    <s v="OTIF FAIL"/>
    <n v="2"/>
    <s v="1210_FG_HPC"/>
    <x v="6"/>
    <n v="1"/>
    <m/>
  </r>
  <r>
    <s v="0569023072-6"/>
    <s v="CRC"/>
    <n v="5"/>
    <n v="1250"/>
    <n v="2500"/>
    <n v="5"/>
    <n v="5"/>
    <s v="HRAP"/>
    <d v="2001-08-23T00:00:00"/>
    <d v="2002-03-04T00:00:00"/>
    <d v="2002-04-06T00:00:00"/>
    <d v="2002-04-06T00:00:00"/>
    <d v="2002-04-06T00:00:00"/>
    <d v="2002-04-06T00:00:00"/>
    <s v="OTIF FAIL"/>
    <n v="6"/>
    <s v="1210_FG_HPC"/>
    <x v="6"/>
    <n v="1"/>
    <m/>
  </r>
  <r>
    <s v="0558113740-1"/>
    <s v="CST"/>
    <n v="20"/>
    <n v="1250"/>
    <n v="2500"/>
    <n v="3"/>
    <n v="3"/>
    <s v="PLATES"/>
    <d v="2001-08-08T00:00:00"/>
    <d v="2002-03-06T00:00:00"/>
    <d v="2002-02-26T00:00:00"/>
    <d v="2002-03-06T00:00:00"/>
    <d v="2002-01-24T00:00:00"/>
    <d v="2002-01-24T00:00:00"/>
    <s v="OTIF PASS"/>
    <n v="1"/>
    <s v="1110_FG_HPC"/>
    <x v="8"/>
    <n v="1"/>
    <m/>
  </r>
  <r>
    <s v="0569022638-4"/>
    <s v="CST"/>
    <n v="5"/>
    <n v="1250"/>
    <n v="5000"/>
    <n v="5"/>
    <n v="5"/>
    <s v="HRAP"/>
    <d v="2001-09-25T00:00:00"/>
    <d v="2002-03-10T00:00:00"/>
    <d v="2002-04-06T00:00:00"/>
    <d v="2002-04-06T00:00:00"/>
    <d v="2002-04-06T00:00:00"/>
    <d v="2002-04-06T00:00:00"/>
    <s v="OTIF FAIL"/>
    <n v="4"/>
    <s v="1210_FG_HPC"/>
    <x v="6"/>
    <n v="1"/>
    <m/>
  </r>
  <r>
    <s v="0558116556-2"/>
    <s v="CST"/>
    <n v="32"/>
    <n v="1250"/>
    <n v="6000"/>
    <n v="80"/>
    <n v="80"/>
    <s v="PLATES"/>
    <d v="2002-02-17T00:00:00"/>
    <d v="2002-02-27T00:00:00"/>
    <d v="2002-02-26T00:00:00"/>
    <d v="2002-02-27T00:00:00"/>
    <d v="2002-02-27T00:00:00"/>
    <d v="2002-05-13T00:00:00"/>
    <s v="OTIF PASS"/>
    <n v="2"/>
    <s v="1110_FG_HPC"/>
    <x v="4"/>
    <n v="1"/>
    <m/>
  </r>
  <r>
    <s v="0558090273-3"/>
    <s v="CST"/>
    <n v="16"/>
    <n v="1250"/>
    <n v="2500"/>
    <n v="7"/>
    <n v="7"/>
    <s v="PLATES"/>
    <d v="2001-09-25T00:00:00"/>
    <d v="2002-02-27T00:00:00"/>
    <d v="2002-03-11T00:00:00"/>
    <d v="2002-03-11T00:00:00"/>
    <d v="2002-03-10T00:00:00"/>
    <d v="2002-03-10T00:00:00"/>
    <s v="OTIF FAIL"/>
    <n v="3"/>
    <s v="1110_FG_HPC"/>
    <x v="3"/>
    <n v="1"/>
    <m/>
  </r>
  <r>
    <s v="0558106063-1"/>
    <s v="HRC"/>
    <n v="12"/>
    <n v="1250"/>
    <n v="2500"/>
    <n v="8.4830000000000005"/>
    <n v="8.4830000000000005"/>
    <s v="PLATES"/>
    <d v="2001-09-25T00:00:00"/>
    <d v="2002-02-27T00:00:00"/>
    <d v="2002-03-07T00:00:00"/>
    <d v="2002-03-07T00:00:00"/>
    <d v="2002-03-04T00:00:00"/>
    <d v="2002-03-04T00:00:00"/>
    <s v="OTIF FAIL"/>
    <n v="1"/>
    <s v="1110_FG_HPC"/>
    <x v="1"/>
    <n v="1"/>
    <m/>
  </r>
  <r>
    <s v="0558090273-1"/>
    <s v="PSS"/>
    <n v="8"/>
    <n v="1250"/>
    <n v="7000"/>
    <n v="20"/>
    <n v="20"/>
    <s v="PLATES"/>
    <d v="2001-09-25T00:00:00"/>
    <d v="2002-03-10T00:00:00"/>
    <d v="2002-03-10T00:00:00"/>
    <d v="2002-03-10T00:00:00"/>
    <d v="2002-03-10T00:00:00"/>
    <d v="2002-03-10T00:00:00"/>
    <s v="OTIF PASS"/>
    <n v="1"/>
    <s v="1110_FG_HPC"/>
    <x v="3"/>
    <n v="1"/>
    <m/>
  </r>
  <r>
    <s v="0558090273-8"/>
    <s v="HRC"/>
    <n v="8"/>
    <n v="1250"/>
    <n v="7000"/>
    <n v="20"/>
    <n v="20"/>
    <s v="PLATES"/>
    <d v="2001-09-25T00:00:00"/>
    <d v="2002-02-27T00:00:00"/>
    <d v="2002-03-06T00:00:00"/>
    <d v="2002-03-06T00:00:00"/>
    <d v="2002-03-08T00:00:00"/>
    <d v="2002-03-10T00:00:00"/>
    <s v="OTIF FAIL"/>
    <n v="8"/>
    <s v="1110_FG_HPC"/>
    <x v="3"/>
    <n v="1"/>
    <m/>
  </r>
  <r>
    <s v="0558113604-2"/>
    <s v="HRC"/>
    <n v="8"/>
    <n v="1250"/>
    <n v="7000"/>
    <n v="5.67"/>
    <n v="3.3279999999999998"/>
    <s v="PLATES"/>
    <d v="2001-08-07T00:00:00"/>
    <d v="2002-02-27T00:00:00"/>
    <d v="2002-03-10T00:00:00"/>
    <d v="2002-03-10T00:00:00"/>
    <d v="2002-03-08T00:00:00"/>
    <d v="2002-03-10T00:00:00"/>
    <s v="OTIF FAIL"/>
    <n v="2"/>
    <s v="1110_FG_HPC"/>
    <x v="3"/>
    <n v="0"/>
    <m/>
  </r>
  <r>
    <s v="0558090273-5"/>
    <s v="HRC"/>
    <n v="8"/>
    <n v="1250"/>
    <n v="7000"/>
    <n v="20"/>
    <n v="20"/>
    <s v="PLATES"/>
    <d v="2001-09-25T00:00:00"/>
    <d v="2002-02-27T00:00:00"/>
    <d v="2002-03-03T00:00:00"/>
    <d v="2002-03-03T00:00:00"/>
    <d v="2002-03-04T00:00:00"/>
    <d v="2002-03-10T00:00:00"/>
    <s v="OTIF FAIL"/>
    <n v="5"/>
    <s v="1110_FG_HPC"/>
    <x v="3"/>
    <n v="1"/>
    <m/>
  </r>
  <r>
    <s v="0558090273-7"/>
    <s v="CRC"/>
    <n v="8"/>
    <n v="1250"/>
    <n v="7000"/>
    <n v="20"/>
    <n v="20"/>
    <s v="PLATES"/>
    <d v="2001-09-25T00:00:00"/>
    <d v="2002-02-27T00:00:00"/>
    <d v="2002-03-07T00:00:00"/>
    <d v="2002-03-07T00:00:00"/>
    <d v="2002-03-08T00:00:00"/>
    <d v="2002-03-10T00:00:00"/>
    <s v="OTIF FAIL"/>
    <n v="7"/>
    <s v="1110_FG_HPC"/>
    <x v="3"/>
    <n v="1"/>
    <m/>
  </r>
  <r>
    <s v="0558090273-4"/>
    <s v="CST"/>
    <n v="8"/>
    <n v="1250"/>
    <n v="7000"/>
    <n v="20"/>
    <n v="20"/>
    <s v="PLATES"/>
    <d v="2001-09-25T00:00:00"/>
    <d v="2002-02-27T00:00:00"/>
    <d v="2002-03-08T00:00:00"/>
    <d v="2002-03-08T00:00:00"/>
    <d v="2002-03-08T00:00:00"/>
    <d v="2002-03-10T00:00:00"/>
    <s v="OTIF FAIL"/>
    <n v="4"/>
    <s v="1110_FG_HPC"/>
    <x v="3"/>
    <n v="1"/>
    <m/>
  </r>
  <r>
    <s v="0558090273-9"/>
    <s v="CST"/>
    <n v="8"/>
    <n v="1250"/>
    <n v="7000"/>
    <n v="20"/>
    <n v="20"/>
    <s v="PLATES"/>
    <d v="2001-09-25T00:00:00"/>
    <d v="2002-02-27T00:00:00"/>
    <d v="2002-03-09T00:00:00"/>
    <d v="2002-03-09T00:00:00"/>
    <d v="2002-03-10T00:00:00"/>
    <d v="2002-03-10T00:00:00"/>
    <s v="OTIF FAIL"/>
    <n v="9"/>
    <s v="1110_FG_HPC"/>
    <x v="3"/>
    <n v="1"/>
    <m/>
  </r>
  <r>
    <s v="0558090273-10"/>
    <s v="CST"/>
    <n v="8"/>
    <n v="1250"/>
    <n v="7000"/>
    <n v="12"/>
    <n v="12"/>
    <s v="PLATES"/>
    <d v="2001-09-25T00:00:00"/>
    <d v="2002-02-27T00:00:00"/>
    <d v="2002-03-10T00:00:00"/>
    <d v="2002-03-10T00:00:00"/>
    <d v="2002-03-08T00:00:00"/>
    <d v="2002-03-10T00:00:00"/>
    <s v="OTIF FAIL"/>
    <n v="10"/>
    <s v="1110_FG_HPC"/>
    <x v="3"/>
    <n v="1"/>
    <m/>
  </r>
  <r>
    <s v="0558112279-1"/>
    <s v="CST"/>
    <n v="6.3"/>
    <n v="1000"/>
    <n v="5800"/>
    <n v="11.063000000000001"/>
    <n v="11.063000000000001"/>
    <s v="PLATES"/>
    <d v="2001-09-25T00:00:00"/>
    <d v="2002-02-27T00:00:00"/>
    <d v="2002-03-03T00:00:00"/>
    <d v="2002-03-03T00:00:00"/>
    <d v="2002-03-04T00:00:00"/>
    <d v="2002-03-04T00:00:00"/>
    <s v="OTIF FAIL"/>
    <n v="1"/>
    <s v="1110_FG_HPC"/>
    <x v="1"/>
    <n v="1"/>
    <m/>
  </r>
  <r>
    <s v="0558114630-1"/>
    <s v="CRC"/>
    <n v="6"/>
    <n v="1250"/>
    <n v="6000"/>
    <n v="18"/>
    <n v="18"/>
    <s v="HRAP"/>
    <d v="2001-09-25T00:00:00"/>
    <d v="2002-03-07T00:00:00"/>
    <d v="2002-03-07T00:00:00"/>
    <d v="2002-03-07T00:00:00"/>
    <d v="2002-03-09T00:00:00"/>
    <d v="2002-03-09T00:00:00"/>
    <s v="OTIF PASS"/>
    <n v="1"/>
    <s v="1210_FG_HPC"/>
    <x v="1"/>
    <n v="1"/>
    <m/>
  </r>
  <r>
    <s v="0558112279-3"/>
    <s v="CST"/>
    <n v="8"/>
    <n v="1000"/>
    <n v="5750"/>
    <n v="8.5109999999999992"/>
    <n v="8.5109999999999992"/>
    <s v="PLATES"/>
    <d v="2001-09-25T00:00:00"/>
    <d v="2002-02-27T00:00:00"/>
    <d v="2002-03-08T00:00:00"/>
    <d v="2002-03-08T00:00:00"/>
    <d v="2002-03-04T00:00:00"/>
    <d v="2002-03-10T00:00:00"/>
    <s v="OTIF FAIL"/>
    <n v="3"/>
    <s v="1110_FG_HPC"/>
    <x v="3"/>
    <n v="1"/>
    <m/>
  </r>
  <r>
    <s v="0558112279-2"/>
    <s v="CST"/>
    <n v="8"/>
    <n v="1000"/>
    <n v="5750"/>
    <n v="21.664999999999999"/>
    <n v="21.664999999999999"/>
    <s v="PLATES"/>
    <d v="2001-09-25T00:00:00"/>
    <d v="2002-03-10T00:00:00"/>
    <d v="2002-03-10T00:00:00"/>
    <d v="2002-03-10T00:00:00"/>
    <d v="2002-03-10T00:00:00"/>
    <d v="2002-03-10T00:00:00"/>
    <s v="OTIF PASS"/>
    <n v="2"/>
    <s v="1110_FG_HPC"/>
    <x v="3"/>
    <n v="1"/>
    <m/>
  </r>
  <r>
    <s v="0558114630-2"/>
    <s v="HRC"/>
    <n v="12"/>
    <n v="1250"/>
    <n v="6000"/>
    <n v="25.734999999999999"/>
    <n v="25.734999999999999"/>
    <s v="PLATES"/>
    <d v="2001-09-25T00:00:00"/>
    <d v="2002-03-07T00:00:00"/>
    <d v="2002-03-07T00:00:00"/>
    <d v="2002-03-07T00:00:00"/>
    <d v="2002-03-07T00:00:00"/>
    <d v="2002-03-07T00:00:00"/>
    <s v="OTIF PASS"/>
    <n v="2"/>
    <s v="1110_FG_HPC"/>
    <x v="1"/>
    <n v="1"/>
    <m/>
  </r>
  <r>
    <s v="0558113970-1"/>
    <s v="CST"/>
    <n v="8"/>
    <n v="1250"/>
    <n v="2500"/>
    <n v="8"/>
    <n v="8"/>
    <s v="PLATES"/>
    <d v="2001-08-27T00:00:00"/>
    <d v="2002-02-28T00:00:00"/>
    <d v="2002-03-13T00:00:00"/>
    <d v="2002-03-13T00:00:00"/>
    <d v="2002-03-11T00:00:00"/>
    <d v="2002-05-13T00:00:00"/>
    <s v="OTIF FAIL"/>
    <n v="1"/>
    <s v="1110_FG_HPC"/>
    <x v="4"/>
    <n v="1"/>
    <m/>
  </r>
  <r>
    <s v="0558116261-1"/>
    <s v="HRC"/>
    <n v="9"/>
    <n v="1250"/>
    <n v="2450"/>
    <n v="10"/>
    <n v="10"/>
    <s v="PLATES"/>
    <d v="2001-11-27T00:00:00"/>
    <d v="2002-03-04T00:00:00"/>
    <d v="2002-03-15T00:00:00"/>
    <d v="2002-03-15T00:00:00"/>
    <d v="2002-03-11T00:00:00"/>
    <d v="2002-03-11T00:00:00"/>
    <s v="OTIF FAIL"/>
    <n v="1"/>
    <s v="1110_FG_HPC"/>
    <x v="3"/>
    <n v="1"/>
    <m/>
  </r>
  <r>
    <s v="0558116539-1"/>
    <s v="CST"/>
    <n v="8"/>
    <n v="1250"/>
    <n v="2500"/>
    <n v="15"/>
    <n v="15"/>
    <s v="PLATES"/>
    <d v="2002-02-12T00:00:00"/>
    <d v="2002-02-21T00:00:00"/>
    <d v="2002-03-03T00:00:00"/>
    <d v="2002-03-03T00:00:00"/>
    <d v="2002-03-05T00:00:00"/>
    <d v="2002-05-13T00:00:00"/>
    <s v="OTIF FAIL"/>
    <n v="1"/>
    <s v="1110_FG_HPC"/>
    <x v="4"/>
    <n v="1"/>
    <m/>
  </r>
  <r>
    <s v="0558114414-1"/>
    <s v="HRC"/>
    <n v="6"/>
    <n v="1250"/>
    <n v="6000"/>
    <n v="10"/>
    <n v="10"/>
    <s v="HRAP"/>
    <d v="2001-08-22T00:00:00"/>
    <d v="2002-03-07T00:00:00"/>
    <d v="2002-03-13T00:00:00"/>
    <d v="2002-03-13T00:00:00"/>
    <d v="2002-03-09T00:00:00"/>
    <d v="2002-03-09T00:00:00"/>
    <s v="OTIF FAIL"/>
    <n v="1"/>
    <s v="1210_FG_HPC"/>
    <x v="1"/>
    <n v="1"/>
    <m/>
  </r>
  <r>
    <s v="0558105505-1"/>
    <s v="CST"/>
    <n v="10"/>
    <n v="1250"/>
    <n v="3000"/>
    <n v="12"/>
    <n v="11.378"/>
    <s v="PLATES"/>
    <d v="2001-09-25T00:00:00"/>
    <d v="2002-02-28T00:00:00"/>
    <d v="2002-03-12T00:00:00"/>
    <d v="2002-03-12T00:00:00"/>
    <d v="2002-03-09T00:00:00"/>
    <d v="2002-03-09T00:00:00"/>
    <s v="OTIF FAIL"/>
    <n v="1"/>
    <s v="1110_FG_HPC"/>
    <x v="1"/>
    <n v="0"/>
    <m/>
  </r>
  <r>
    <s v="0558115334-1"/>
    <s v="CST"/>
    <n v="10"/>
    <n v="1250"/>
    <n v="2500"/>
    <n v="8.7729999999999997"/>
    <n v="4.4829999999999997"/>
    <s v="PLATES"/>
    <d v="2001-08-30T00:00:00"/>
    <d v="2002-02-28T00:00:00"/>
    <d v="2002-03-12T00:00:00"/>
    <d v="2002-03-12T00:00:00"/>
    <d v="2002-03-09T00:00:00"/>
    <d v="2002-03-09T00:00:00"/>
    <s v="OTIF FAIL"/>
    <n v="1"/>
    <s v="1110_FG_HPC"/>
    <x v="1"/>
    <n v="0"/>
    <m/>
  </r>
  <r>
    <s v="0558116758-1"/>
    <s v="HPC"/>
    <n v="8"/>
    <n v="1250"/>
    <n v="2500"/>
    <n v="15"/>
    <n v="15"/>
    <s v="PLATES"/>
    <d v="2002-04-06T00:00:00"/>
    <d v="2002-05-13T00:00:00"/>
    <s v="-"/>
    <s v="-"/>
    <d v="2002-05-13T00:00:00"/>
    <d v="2002-05-13T00:00:00"/>
    <s v="OTIF FAIL"/>
    <n v="1"/>
    <s v="1110_FG_HPC"/>
    <x v="4"/>
    <n v="1"/>
    <m/>
  </r>
  <r>
    <s v="0558114923-2"/>
    <s v="CST"/>
    <n v="10"/>
    <n v="1250"/>
    <n v="3000"/>
    <n v="20"/>
    <n v="20"/>
    <s v="PLATES"/>
    <d v="2001-09-25T00:00:00"/>
    <d v="2002-02-28T00:00:00"/>
    <d v="2002-03-09T00:00:00"/>
    <d v="2002-03-09T00:00:00"/>
    <d v="2002-03-09T00:00:00"/>
    <d v="2002-03-09T00:00:00"/>
    <s v="OTIF FAIL"/>
    <n v="2"/>
    <s v="1110_FG_HPC"/>
    <x v="1"/>
    <n v="1"/>
    <m/>
  </r>
  <r>
    <s v="0569022994-1"/>
    <s v="CRC"/>
    <n v="10"/>
    <n v="1250"/>
    <n v="2500"/>
    <n v="20"/>
    <n v="6.58"/>
    <s v="PLATES"/>
    <d v="2001-08-19T00:00:00"/>
    <d v="2002-02-28T00:00:00"/>
    <d v="2002-03-13T00:00:00"/>
    <d v="2002-03-13T00:00:00"/>
    <d v="2002-03-09T00:00:00"/>
    <d v="2002-03-09T00:00:00"/>
    <s v="OTIF FAIL"/>
    <n v="1"/>
    <s v="1110_FG_HPC"/>
    <x v="1"/>
    <n v="0"/>
    <m/>
  </r>
  <r>
    <s v="0558113971-1"/>
    <s v="CST"/>
    <n v="8"/>
    <n v="1250"/>
    <n v="2500"/>
    <n v="8"/>
    <n v="8"/>
    <s v="PLATES"/>
    <d v="2001-08-27T00:00:00"/>
    <d v="2002-02-21T00:00:00"/>
    <d v="2002-03-13T00:00:00"/>
    <d v="2002-03-13T00:00:00"/>
    <d v="2002-03-11T00:00:00"/>
    <d v="2002-05-13T00:00:00"/>
    <s v="OTIF FAIL"/>
    <n v="1"/>
    <s v="1110_FG_HPC"/>
    <x v="4"/>
    <n v="1"/>
    <m/>
  </r>
  <r>
    <s v="0558113131-3"/>
    <s v="HRC"/>
    <n v="7"/>
    <n v="1250"/>
    <n v="7830"/>
    <n v="2.8809999999999998"/>
    <n v="2.8809999999999998"/>
    <s v="PLATES"/>
    <d v="2001-08-01T00:00:00"/>
    <d v="2002-02-27T00:00:00"/>
    <d v="2002-03-08T00:00:00"/>
    <d v="2002-03-08T00:00:00"/>
    <d v="2002-03-07T00:00:00"/>
    <d v="2002-03-07T00:00:00"/>
    <s v="OTIF FAIL"/>
    <n v="3"/>
    <s v="1110_FG_HPC"/>
    <x v="1"/>
    <n v="1"/>
    <m/>
  </r>
  <r>
    <s v="0558113131-2"/>
    <s v="CST"/>
    <n v="7"/>
    <n v="1250"/>
    <n v="7270"/>
    <n v="2.14"/>
    <n v="2.14"/>
    <s v="PLATES"/>
    <d v="2001-08-01T00:00:00"/>
    <d v="2002-02-27T00:00:00"/>
    <d v="2002-03-08T00:00:00"/>
    <d v="2002-03-08T00:00:00"/>
    <d v="2002-03-07T00:00:00"/>
    <d v="2002-03-07T00:00:00"/>
    <s v="OTIF FAIL"/>
    <n v="2"/>
    <s v="1110_FG_HPC"/>
    <x v="1"/>
    <n v="1"/>
    <m/>
  </r>
  <r>
    <s v="0558113549-1"/>
    <s v="CRC"/>
    <n v="25"/>
    <n v="1250"/>
    <n v="6000"/>
    <n v="7.5"/>
    <n v="7.5"/>
    <s v="PLATES"/>
    <d v="2001-08-07T00:00:00"/>
    <d v="2002-02-27T00:00:00"/>
    <d v="2002-03-06T00:00:00"/>
    <d v="2002-03-06T00:00:00"/>
    <d v="2002-03-03T00:00:00"/>
    <d v="2002-03-03T00:00:00"/>
    <s v="OTIF FAIL"/>
    <n v="1"/>
    <s v="1110_FG_HPC"/>
    <x v="1"/>
    <n v="1"/>
    <m/>
  </r>
  <r>
    <s v="0569022674-1"/>
    <s v="NFA"/>
    <n v="6"/>
    <n v="1250"/>
    <n v="6000"/>
    <n v="10"/>
    <n v="10"/>
    <s v="HRAP"/>
    <d v="2001-08-20T00:00:00"/>
    <d v="2002-02-27T00:00:00"/>
    <d v="2002-03-13T00:00:00"/>
    <d v="2002-03-13T00:00:00"/>
    <d v="2002-03-09T00:00:00"/>
    <d v="2002-03-09T00:00:00"/>
    <s v="OTIF FAIL"/>
    <n v="1"/>
    <s v="1210_FG_HPC"/>
    <x v="1"/>
    <n v="1"/>
    <m/>
  </r>
  <r>
    <s v="0569022423-4"/>
    <s v="CST"/>
    <n v="4.9000000000000004"/>
    <n v="1250"/>
    <n v="2500"/>
    <n v="6"/>
    <n v="6"/>
    <s v="HRAP"/>
    <d v="2001-09-25T00:00:00"/>
    <d v="2002-02-25T00:00:00"/>
    <d v="2002-03-06T00:00:00"/>
    <d v="2002-03-06T00:00:00"/>
    <d v="2002-03-04T00:00:00"/>
    <d v="2002-03-04T00:00:00"/>
    <s v="OTIF FAIL"/>
    <n v="4"/>
    <s v="1210_FG_HPC"/>
    <x v="1"/>
    <n v="1"/>
    <m/>
  </r>
  <r>
    <s v="0569022423-5"/>
    <s v="CST"/>
    <n v="5.8"/>
    <n v="1250"/>
    <n v="2500"/>
    <n v="3"/>
    <n v="3"/>
    <s v="HRAP"/>
    <d v="2001-09-25T00:00:00"/>
    <d v="2002-02-25T00:00:00"/>
    <d v="2002-03-06T00:00:00"/>
    <d v="2002-03-06T00:00:00"/>
    <d v="2002-03-04T00:00:00"/>
    <d v="2002-03-04T00:00:00"/>
    <s v="OTIF FAIL"/>
    <n v="5"/>
    <s v="1210_FG_HPC"/>
    <x v="1"/>
    <n v="1"/>
    <m/>
  </r>
  <r>
    <s v="0558116671-2"/>
    <s v="CST"/>
    <n v="20"/>
    <n v="1250"/>
    <n v="6000"/>
    <n v="5"/>
    <n v="5"/>
    <s v="PLATES"/>
    <d v="2002-03-28T00:00:00"/>
    <d v="2002-05-05T00:00:00"/>
    <s v="-"/>
    <s v="-"/>
    <s v="-"/>
    <d v="2002-04-22T00:00:00"/>
    <s v="OTIF FAIL"/>
    <n v="2"/>
    <s v="1110_FG_HPC"/>
    <x v="2"/>
    <n v="0"/>
    <m/>
  </r>
  <r>
    <s v="0558116638-1"/>
    <s v="CRC"/>
    <n v="16"/>
    <n v="1250"/>
    <n v="6000"/>
    <n v="5"/>
    <n v="5"/>
    <s v="PLATES"/>
    <d v="2002-03-20T00:00:00"/>
    <d v="2002-04-22T00:00:00"/>
    <s v="-"/>
    <s v="-"/>
    <d v="2002-04-22T00:00:00"/>
    <d v="2002-04-22T00:00:00"/>
    <s v="OTIF FAIL"/>
    <n v="1"/>
    <s v="1110_FG_HPC"/>
    <x v="2"/>
    <n v="1"/>
    <m/>
  </r>
  <r>
    <s v="0558116638-2"/>
    <s v="CST"/>
    <n v="20"/>
    <n v="1250"/>
    <n v="6000"/>
    <n v="5"/>
    <n v="5"/>
    <s v="PLATES"/>
    <d v="2002-03-20T00:00:00"/>
    <d v="2002-04-22T00:00:00"/>
    <s v="-"/>
    <s v="-"/>
    <d v="2002-04-22T00:00:00"/>
    <d v="2002-04-22T00:00:00"/>
    <s v="OTIF FAIL"/>
    <n v="2"/>
    <s v="1110_FG_HPC"/>
    <x v="2"/>
    <n v="1"/>
    <m/>
  </r>
  <r>
    <s v="0558114477-1"/>
    <s v="CST"/>
    <n v="14"/>
    <n v="1250"/>
    <n v="6000"/>
    <n v="5"/>
    <n v="5"/>
    <s v="PLATES"/>
    <d v="2001-08-22T00:00:00"/>
    <d v="2002-02-25T00:00:00"/>
    <d v="2002-02-24T00:00:00"/>
    <d v="2002-02-25T00:00:00"/>
    <d v="2002-01-06T00:00:00"/>
    <d v="2002-02-20T00:00:00"/>
    <s v="OTIF PASS"/>
    <n v="1"/>
    <s v="1110_FG_HPC"/>
    <x v="24"/>
    <n v="1"/>
    <m/>
  </r>
  <r>
    <s v="0558116615-1"/>
    <s v="CRC"/>
    <n v="16"/>
    <n v="1250"/>
    <n v="6000"/>
    <n v="5"/>
    <n v="5"/>
    <s v="PLATES"/>
    <d v="2002-03-20T00:00:00"/>
    <d v="2002-04-22T00:00:00"/>
    <d v="2002-04-22T00:00:00"/>
    <d v="2002-04-22T00:00:00"/>
    <d v="2002-04-22T00:00:00"/>
    <d v="2002-04-22T00:00:00"/>
    <s v="OTIF PASS"/>
    <n v="1"/>
    <s v="1110_FG_HPC"/>
    <x v="2"/>
    <n v="1"/>
    <m/>
  </r>
  <r>
    <s v="0558115764-1"/>
    <s v="HPC"/>
    <n v="20"/>
    <n v="1250"/>
    <n v="2500"/>
    <n v="28"/>
    <n v="28"/>
    <s v="PLATES"/>
    <d v="2001-09-25T00:00:00"/>
    <d v="2002-03-10T00:00:00"/>
    <d v="2002-02-13T00:00:00"/>
    <d v="2002-03-10T00:00:00"/>
    <d v="2002-01-15T00:00:00"/>
    <d v="2002-01-15T00:00:00"/>
    <s v="OTIF PASS"/>
    <n v="1"/>
    <s v="1110_FG_HPC"/>
    <x v="13"/>
    <n v="1"/>
    <m/>
  </r>
  <r>
    <s v="0558110621-2"/>
    <s v="CST"/>
    <n v="10"/>
    <n v="1250"/>
    <n v="6100"/>
    <n v="10"/>
    <n v="10"/>
    <s v="PLATES"/>
    <d v="2001-09-25T00:00:00"/>
    <d v="2002-03-10T00:00:00"/>
    <d v="2002-03-20T00:00:00"/>
    <d v="2002-03-20T00:00:00"/>
    <d v="2002-03-13T00:00:00"/>
    <d v="2002-03-13T00:00:00"/>
    <s v="OTIF FAIL"/>
    <n v="2"/>
    <s v="1110_FG_HPC"/>
    <x v="3"/>
    <n v="1"/>
    <m/>
  </r>
  <r>
    <s v="0558116273-1"/>
    <s v="CST"/>
    <n v="20"/>
    <n v="1250"/>
    <n v="6100"/>
    <n v="8"/>
    <n v="8"/>
    <s v="PLATES"/>
    <d v="2001-10-25T00:00:00"/>
    <d v="2002-03-10T00:00:00"/>
    <d v="2002-03-10T00:00:00"/>
    <d v="2002-03-10T00:00:00"/>
    <d v="2002-03-10T00:00:00"/>
    <d v="2002-03-10T00:00:00"/>
    <s v="OTIF PASS"/>
    <n v="1"/>
    <s v="1110_FG_HPC"/>
    <x v="3"/>
    <n v="1"/>
    <m/>
  </r>
  <r>
    <s v="0558111153-1"/>
    <s v="HRC"/>
    <n v="12"/>
    <n v="1250"/>
    <n v="6100"/>
    <n v="8"/>
    <n v="8"/>
    <s v="PLATES"/>
    <d v="2001-09-25T00:00:00"/>
    <d v="2002-03-04T00:00:00"/>
    <d v="2002-03-13T00:00:00"/>
    <d v="2002-03-13T00:00:00"/>
    <d v="2002-03-11T00:00:00"/>
    <d v="2002-03-11T00:00:00"/>
    <s v="OTIF FAIL"/>
    <n v="1"/>
    <s v="1110_FG_HPC"/>
    <x v="3"/>
    <n v="1"/>
    <m/>
  </r>
  <r>
    <s v="0558116615-2"/>
    <s v="CST"/>
    <n v="20"/>
    <n v="1250"/>
    <n v="6000"/>
    <n v="5"/>
    <n v="5"/>
    <s v="PLATES"/>
    <d v="2002-03-20T00:00:00"/>
    <d v="2002-04-22T00:00:00"/>
    <s v="-"/>
    <s v="-"/>
    <d v="2002-04-22T00:00:00"/>
    <d v="2002-04-22T00:00:00"/>
    <s v="OTIF FAIL"/>
    <n v="2"/>
    <s v="1110_FG_HPC"/>
    <x v="2"/>
    <n v="1"/>
    <m/>
  </r>
  <r>
    <s v="0558110621-1"/>
    <s v="CST"/>
    <n v="8"/>
    <n v="1250"/>
    <n v="6100"/>
    <n v="10"/>
    <n v="10"/>
    <s v="PLATES"/>
    <d v="2001-09-25T00:00:00"/>
    <d v="2002-03-04T00:00:00"/>
    <d v="2002-03-20T00:00:00"/>
    <d v="2002-03-20T00:00:00"/>
    <d v="2002-03-13T00:00:00"/>
    <d v="2002-03-13T00:00:00"/>
    <s v="OTIF FAIL"/>
    <n v="1"/>
    <s v="1110_FG_HPC"/>
    <x v="3"/>
    <n v="1"/>
    <m/>
  </r>
  <r>
    <s v="0558110621-4"/>
    <s v="HRC"/>
    <n v="16"/>
    <n v="1250"/>
    <n v="6100"/>
    <n v="10"/>
    <n v="10"/>
    <s v="PLATES"/>
    <d v="2001-09-25T00:00:00"/>
    <d v="2002-03-04T00:00:00"/>
    <d v="2002-03-13T00:00:00"/>
    <d v="2002-03-13T00:00:00"/>
    <d v="2002-03-11T00:00:00"/>
    <d v="2002-03-11T00:00:00"/>
    <s v="OTIF FAIL"/>
    <n v="4"/>
    <s v="1110_FG_HPC"/>
    <x v="3"/>
    <n v="1"/>
    <m/>
  </r>
  <r>
    <s v="0558110621-3"/>
    <s v="CRC"/>
    <n v="12"/>
    <n v="1250"/>
    <n v="6100"/>
    <n v="10"/>
    <n v="10"/>
    <s v="PLATES"/>
    <d v="2001-09-25T00:00:00"/>
    <d v="2002-03-10T00:00:00"/>
    <s v="-"/>
    <s v="-"/>
    <d v="2002-03-13T00:00:00"/>
    <d v="2002-03-13T00:00:00"/>
    <s v="OTIF FAIL"/>
    <n v="3"/>
    <s v="1110_FG_HPC"/>
    <x v="3"/>
    <n v="1"/>
    <m/>
  </r>
  <r>
    <s v="0558111172-2"/>
    <s v="HRC"/>
    <n v="12"/>
    <n v="1250"/>
    <n v="4500"/>
    <n v="14"/>
    <n v="14"/>
    <s v="PLATES"/>
    <d v="2001-09-25T00:00:00"/>
    <d v="2002-02-27T00:00:00"/>
    <d v="2002-03-02T00:00:00"/>
    <d v="2002-03-02T00:00:00"/>
    <d v="2002-03-03T00:00:00"/>
    <d v="2002-03-03T00:00:00"/>
    <s v="OTIF FAIL"/>
    <n v="2"/>
    <s v="1110_FG_HPC"/>
    <x v="1"/>
    <n v="1"/>
    <m/>
  </r>
  <r>
    <s v="0558111289-1"/>
    <s v="CST"/>
    <n v="8"/>
    <n v="1250"/>
    <n v="6100"/>
    <n v="8"/>
    <n v="8"/>
    <s v="PLATES"/>
    <d v="2001-09-25T00:00:00"/>
    <d v="2002-03-04T00:00:00"/>
    <s v="-"/>
    <s v="-"/>
    <d v="2002-03-13T00:00:00"/>
    <d v="2002-03-13T00:00:00"/>
    <s v="OTIF FAIL"/>
    <n v="1"/>
    <s v="1110_FG_HPC"/>
    <x v="3"/>
    <n v="1"/>
    <m/>
  </r>
  <r>
    <s v="0558112282-1"/>
    <s v="CST"/>
    <n v="16"/>
    <n v="1250"/>
    <n v="6150"/>
    <n v="8"/>
    <n v="8"/>
    <s v="PLATES"/>
    <d v="2001-09-25T00:00:00"/>
    <d v="2002-03-10T00:00:00"/>
    <s v="-"/>
    <s v="-"/>
    <d v="2002-03-13T00:00:00"/>
    <d v="2002-03-13T00:00:00"/>
    <s v="OTIF FAIL"/>
    <n v="1"/>
    <s v="1110_FG_HPC"/>
    <x v="3"/>
    <n v="1"/>
    <m/>
  </r>
  <r>
    <s v="0558110895-1"/>
    <s v="CST"/>
    <n v="14"/>
    <n v="1100"/>
    <n v="6000"/>
    <n v="25"/>
    <n v="25"/>
    <s v="PLATES"/>
    <d v="2001-08-01T00:00:00"/>
    <d v="2002-03-04T00:00:00"/>
    <d v="2002-03-17T00:00:00"/>
    <d v="2002-03-17T00:00:00"/>
    <d v="2002-03-17T00:00:00"/>
    <d v="2002-03-17T00:00:00"/>
    <s v="OTIF FAIL"/>
    <n v="1"/>
    <s v="1110_FG_HPC"/>
    <x v="0"/>
    <n v="1"/>
    <m/>
  </r>
  <r>
    <s v="0558110895-2"/>
    <s v="HRC"/>
    <n v="10"/>
    <n v="1100"/>
    <n v="6000"/>
    <n v="10"/>
    <n v="10"/>
    <s v="PLATES"/>
    <d v="2001-08-01T00:00:00"/>
    <d v="2002-03-04T00:00:00"/>
    <d v="2002-03-18T00:00:00"/>
    <d v="2002-03-18T00:00:00"/>
    <d v="2002-03-18T00:00:00"/>
    <d v="2002-03-18T00:00:00"/>
    <s v="OTIF FAIL"/>
    <n v="2"/>
    <s v="1110_FG_HPC"/>
    <x v="0"/>
    <n v="1"/>
    <m/>
  </r>
  <r>
    <s v="0558112846-1"/>
    <s v="CST"/>
    <n v="12"/>
    <n v="1250"/>
    <n v="2500"/>
    <n v="20"/>
    <n v="19.684999999999999"/>
    <s v="PLATES"/>
    <d v="2001-08-01T00:00:00"/>
    <d v="2002-03-10T00:00:00"/>
    <d v="2002-03-10T00:00:00"/>
    <d v="2002-03-10T00:00:00"/>
    <d v="2002-03-10T00:00:00"/>
    <d v="2002-03-10T00:00:00"/>
    <s v="OTIF PASS"/>
    <n v="1"/>
    <s v="1110_FG_HPC"/>
    <x v="3"/>
    <n v="0"/>
    <m/>
  </r>
  <r>
    <s v="0558114338-2"/>
    <s v="HRC"/>
    <n v="12.6"/>
    <n v="1250"/>
    <n v="2420"/>
    <n v="80"/>
    <n v="80"/>
    <s v="PLATES"/>
    <d v="2001-08-18T00:00:00"/>
    <d v="2002-02-28T00:00:00"/>
    <d v="2002-02-27T00:00:00"/>
    <d v="2002-02-28T00:00:00"/>
    <d v="2002-03-02T00:00:00"/>
    <d v="2002-03-02T00:00:00"/>
    <s v="OTIF PASS"/>
    <n v="2"/>
    <s v="1110_FG_HPC"/>
    <x v="5"/>
    <n v="1"/>
    <m/>
  </r>
  <r>
    <s v="0558115175-1"/>
    <s v="CST"/>
    <n v="10"/>
    <n v="1250"/>
    <n v="3260"/>
    <n v="20"/>
    <n v="20"/>
    <s v="PLATES"/>
    <d v="2001-08-28T00:00:00"/>
    <d v="2002-02-27T00:00:00"/>
    <d v="2002-02-27T00:00:00"/>
    <d v="2002-02-27T00:00:00"/>
    <d v="2002-03-02T00:00:00"/>
    <d v="2002-03-02T00:00:00"/>
    <s v="OTIF PASS"/>
    <n v="1"/>
    <s v="1110_FG_HPC"/>
    <x v="5"/>
    <n v="1"/>
    <m/>
  </r>
  <r>
    <s v="0558111353-1"/>
    <s v="CST"/>
    <n v="3"/>
    <n v="1250"/>
    <n v="2350"/>
    <n v="20"/>
    <n v="20"/>
    <s v="HRAP"/>
    <d v="2001-09-25T00:00:00"/>
    <d v="2002-03-10T00:00:00"/>
    <d v="2002-03-09T00:00:00"/>
    <d v="2002-03-10T00:00:00"/>
    <d v="2002-03-10T00:00:00"/>
    <d v="2002-03-10T00:00:00"/>
    <s v="OTIF PASS"/>
    <n v="1"/>
    <s v="1210_FG_HPC"/>
    <x v="3"/>
    <n v="1"/>
    <m/>
  </r>
  <r>
    <s v="0558114338-1"/>
    <s v="HPC"/>
    <n v="10.5"/>
    <n v="1250"/>
    <n v="3135"/>
    <n v="80"/>
    <n v="80"/>
    <s v="PLATES"/>
    <d v="2001-08-18T00:00:00"/>
    <d v="2002-02-28T00:00:00"/>
    <d v="2002-03-02T00:00:00"/>
    <d v="2002-03-02T00:00:00"/>
    <d v="2002-03-05T00:00:00"/>
    <d v="2002-03-05T00:00:00"/>
    <s v="OTIF FAIL"/>
    <n v="1"/>
    <s v="1110_FG_HPC"/>
    <x v="1"/>
    <n v="1"/>
    <m/>
  </r>
  <r>
    <s v="0558112536-1"/>
    <s v="CST"/>
    <n v="10.5"/>
    <n v="1250"/>
    <n v="3135"/>
    <n v="140"/>
    <n v="140"/>
    <s v="PLATES"/>
    <d v="2001-08-01T00:00:00"/>
    <d v="2002-02-28T00:00:00"/>
    <d v="2002-03-03T00:00:00"/>
    <d v="2002-03-03T00:00:00"/>
    <d v="2002-03-04T00:00:00"/>
    <d v="2002-03-05T00:00:00"/>
    <s v="OTIF FAIL"/>
    <n v="1"/>
    <s v="1110_FG_HPC"/>
    <x v="1"/>
    <n v="1"/>
    <m/>
  </r>
  <r>
    <s v="0558114458-5"/>
    <s v="HRC"/>
    <n v="20"/>
    <n v="1250"/>
    <n v="6000"/>
    <n v="5"/>
    <n v="2.2069999999999999"/>
    <s v="PLATES"/>
    <d v="2001-08-22T00:00:00"/>
    <d v="2002-03-07T00:00:00"/>
    <s v="-"/>
    <s v="-"/>
    <d v="2002-01-06T00:00:00"/>
    <d v="2002-04-22T00:00:00"/>
    <s v="OTIF FAIL"/>
    <n v="5"/>
    <s v="1110_FG_HPC"/>
    <x v="2"/>
    <n v="0"/>
    <m/>
  </r>
  <r>
    <s v="0558108803-2"/>
    <s v="HRC"/>
    <n v="25"/>
    <n v="1250"/>
    <n v="6000"/>
    <n v="8"/>
    <n v="8"/>
    <s v="PLATES"/>
    <d v="2001-09-25T00:00:00"/>
    <d v="2002-02-27T00:00:00"/>
    <d v="2002-03-13T00:00:00"/>
    <d v="2002-03-13T00:00:00"/>
    <d v="2002-03-13T00:00:00"/>
    <d v="2002-03-13T00:00:00"/>
    <s v="OTIF FAIL"/>
    <n v="2"/>
    <s v="1110_FG_HPC"/>
    <x v="3"/>
    <n v="1"/>
    <m/>
  </r>
  <r>
    <s v="0558116671-1"/>
    <s v="CST"/>
    <n v="16"/>
    <n v="1250"/>
    <n v="6000"/>
    <n v="5"/>
    <n v="5"/>
    <s v="PLATES"/>
    <d v="2002-03-28T00:00:00"/>
    <d v="2002-05-05T00:00:00"/>
    <s v="-"/>
    <s v="-"/>
    <s v="-"/>
    <d v="2002-04-22T00:00:00"/>
    <s v="OTIF FAIL"/>
    <n v="1"/>
    <s v="1110_FG_HPC"/>
    <x v="2"/>
    <n v="0"/>
    <m/>
  </r>
  <r>
    <s v="0558113109-4"/>
    <s v="CRC"/>
    <n v="14"/>
    <n v="1250"/>
    <n v="6000"/>
    <n v="5"/>
    <n v="5"/>
    <s v="PLATES"/>
    <d v="2001-09-25T00:00:00"/>
    <d v="2002-03-10T00:00:00"/>
    <s v="-"/>
    <s v="-"/>
    <d v="2001-11-25T00:00:00"/>
    <d v="2002-02-20T00:00:00"/>
    <s v="OTIF FAIL"/>
    <n v="4"/>
    <s v="1110_FG_HPC"/>
    <x v="24"/>
    <n v="1"/>
    <m/>
  </r>
  <r>
    <s v="0558116694-1"/>
    <s v="CST"/>
    <n v="16"/>
    <n v="1250"/>
    <n v="6000"/>
    <n v="5"/>
    <n v="5"/>
    <s v="PLATES"/>
    <d v="2002-03-28T00:00:00"/>
    <d v="2002-05-11T00:00:00"/>
    <s v="-"/>
    <s v="-"/>
    <s v="-"/>
    <d v="2002-04-22T00:00:00"/>
    <s v="OTIF FAIL"/>
    <n v="1"/>
    <s v="1110_FG_HPC"/>
    <x v="2"/>
    <n v="0"/>
    <m/>
  </r>
  <r>
    <s v="0558108226-12"/>
    <s v="HPC"/>
    <n v="5"/>
    <n v="1250"/>
    <n v="3000"/>
    <n v="5"/>
    <n v="5"/>
    <s v="HRAP"/>
    <d v="2001-08-07T00:00:00"/>
    <d v="2002-03-21T00:00:00"/>
    <d v="2002-03-21T00:00:00"/>
    <d v="2002-03-21T00:00:00"/>
    <d v="2002-03-21T00:00:00"/>
    <d v="2002-03-21T00:00:00"/>
    <s v="OTIF PASS"/>
    <n v="12"/>
    <s v="1210_FG_HPC"/>
    <x v="0"/>
    <n v="1"/>
    <m/>
  </r>
  <r>
    <s v="0558108226-11"/>
    <s v="HRC"/>
    <n v="5"/>
    <n v="1250"/>
    <n v="3000"/>
    <n v="5"/>
    <n v="5"/>
    <s v="HRAP"/>
    <d v="2001-08-07T00:00:00"/>
    <d v="2002-03-21T00:00:00"/>
    <d v="2002-03-21T00:00:00"/>
    <d v="2002-03-21T00:00:00"/>
    <d v="2002-03-21T00:00:00"/>
    <d v="2002-03-21T00:00:00"/>
    <s v="OTIF PASS"/>
    <n v="11"/>
    <s v="1210_FG_HPC"/>
    <x v="0"/>
    <n v="1"/>
    <m/>
  </r>
  <r>
    <s v="0558116694-2"/>
    <s v="CST"/>
    <n v="20"/>
    <n v="1250"/>
    <n v="6000"/>
    <n v="5"/>
    <n v="5"/>
    <s v="PLATES"/>
    <d v="2002-03-28T00:00:00"/>
    <d v="2002-05-11T00:00:00"/>
    <s v="-"/>
    <s v="-"/>
    <s v="-"/>
    <d v="2002-04-22T00:00:00"/>
    <s v="OTIF FAIL"/>
    <n v="2"/>
    <s v="1110_FG_HPC"/>
    <x v="2"/>
    <n v="0"/>
    <m/>
  </r>
  <r>
    <s v="0558116767-6"/>
    <s v="HRC"/>
    <n v="2"/>
    <n v="680"/>
    <n v="0"/>
    <n v="20"/>
    <n v="20"/>
    <s v="BLACK"/>
    <d v="2002-04-06T00:00:00"/>
    <d v="2002-05-10T00:00:00"/>
    <s v="-"/>
    <s v="-"/>
    <d v="2002-05-10T00:00:00"/>
    <d v="2002-05-10T00:00:00"/>
    <s v="OTIF FAIL"/>
    <n v="6"/>
    <s v="1110_FG_HRC"/>
    <x v="19"/>
    <n v="1"/>
    <m/>
  </r>
  <r>
    <s v="0558116567-3"/>
    <s v="CST"/>
    <n v="2.2999999999999998"/>
    <n v="1100"/>
    <n v="0"/>
    <n v="70"/>
    <n v="24.85"/>
    <s v="BLACK"/>
    <d v="2002-02-15T00:00:00"/>
    <d v="2002-02-22T00:00:00"/>
    <d v="2002-02-26T00:00:00"/>
    <d v="2002-02-26T00:00:00"/>
    <d v="2002-03-03T00:00:00"/>
    <d v="2002-03-03T00:00:00"/>
    <s v="OTIF FAIL"/>
    <n v="3"/>
    <s v="1110_FG_HRC"/>
    <x v="1"/>
    <n v="0"/>
    <m/>
  </r>
  <r>
    <s v="0558116767-5"/>
    <s v="CST"/>
    <n v="2"/>
    <n v="680"/>
    <n v="0"/>
    <n v="20"/>
    <n v="20"/>
    <s v="BLACK"/>
    <d v="2002-04-06T00:00:00"/>
    <d v="2002-05-10T00:00:00"/>
    <s v="-"/>
    <s v="-"/>
    <s v="-"/>
    <d v="2002-05-10T00:00:00"/>
    <s v="OTIF FAIL"/>
    <n v="5"/>
    <s v="1110_FG_HRC"/>
    <x v="19"/>
    <n v="0"/>
    <m/>
  </r>
  <r>
    <s v="0558116767-2"/>
    <s v="CST"/>
    <n v="2.5"/>
    <n v="680"/>
    <n v="0"/>
    <n v="20"/>
    <n v="20"/>
    <s v="BLACK"/>
    <d v="2002-04-06T00:00:00"/>
    <d v="2002-05-10T00:00:00"/>
    <s v="-"/>
    <s v="-"/>
    <d v="2002-05-10T00:00:00"/>
    <d v="2002-05-10T00:00:00"/>
    <s v="OTIF FAIL"/>
    <n v="2"/>
    <s v="1110_FG_HRC"/>
    <x v="19"/>
    <n v="1"/>
    <m/>
  </r>
  <r>
    <s v="0558116767-7"/>
    <s v="HRC"/>
    <n v="2"/>
    <n v="580"/>
    <n v="0"/>
    <n v="20"/>
    <n v="10.356"/>
    <s v="BLACK"/>
    <d v="2002-04-06T00:00:00"/>
    <d v="2002-05-10T00:00:00"/>
    <s v="-"/>
    <s v="-"/>
    <s v="-"/>
    <d v="2002-04-05T00:00:00"/>
    <s v="OTIF FAIL"/>
    <n v="7"/>
    <s v="1110_FG_HRC"/>
    <x v="6"/>
    <n v="0"/>
    <m/>
  </r>
  <r>
    <s v="0558116567-2"/>
    <s v="HRC"/>
    <n v="2"/>
    <n v="1250"/>
    <n v="0"/>
    <n v="40"/>
    <n v="40"/>
    <s v="BLACK"/>
    <d v="2002-02-15T00:00:00"/>
    <d v="2002-02-22T00:00:00"/>
    <d v="2002-02-26T00:00:00"/>
    <d v="2002-02-26T00:00:00"/>
    <d v="2002-03-01T00:00:00"/>
    <d v="2002-03-01T00:00:00"/>
    <s v="OTIF FAIL"/>
    <n v="2"/>
    <s v="1110_FG_HRC"/>
    <x v="5"/>
    <n v="1"/>
    <m/>
  </r>
  <r>
    <s v="0558116767-3"/>
    <s v="CRC"/>
    <n v="2"/>
    <n v="580"/>
    <n v="0"/>
    <n v="20"/>
    <n v="20"/>
    <s v="BLACK"/>
    <d v="2002-04-06T00:00:00"/>
    <d v="2002-05-10T00:00:00"/>
    <s v="-"/>
    <s v="-"/>
    <s v="-"/>
    <d v="2002-04-05T00:00:00"/>
    <s v="OTIF FAIL"/>
    <n v="3"/>
    <s v="1110_FG_HRC"/>
    <x v="6"/>
    <n v="0"/>
    <m/>
  </r>
  <r>
    <s v="0558116767-4"/>
    <s v="CST"/>
    <n v="2"/>
    <n v="580"/>
    <n v="0"/>
    <n v="20"/>
    <n v="20"/>
    <s v="BLACK"/>
    <d v="2002-04-06T00:00:00"/>
    <d v="2002-05-10T00:00:00"/>
    <s v="-"/>
    <s v="-"/>
    <s v="-"/>
    <d v="2002-04-05T00:00:00"/>
    <s v="OTIF FAIL"/>
    <n v="4"/>
    <s v="1110_FG_HRC"/>
    <x v="6"/>
    <n v="0"/>
    <m/>
  </r>
  <r>
    <s v="0558116767-1"/>
    <s v="HRC"/>
    <n v="2.5"/>
    <n v="580"/>
    <n v="0"/>
    <n v="20"/>
    <n v="20"/>
    <s v="BLACK"/>
    <d v="2002-04-06T00:00:00"/>
    <d v="2002-05-10T00:00:00"/>
    <s v="-"/>
    <s v="-"/>
    <d v="2002-05-10T00:00:00"/>
    <d v="2002-05-10T00:00:00"/>
    <s v="OTIF FAIL"/>
    <n v="1"/>
    <s v="1110_FG_HRC"/>
    <x v="19"/>
    <n v="1"/>
    <m/>
  </r>
  <r>
    <s v="0568012913-1"/>
    <s v="CST"/>
    <n v="1.5"/>
    <n v="450"/>
    <n v="0"/>
    <n v="30"/>
    <n v="30"/>
    <s v="JBS"/>
    <d v="2002-04-23T00:00:00"/>
    <d v="2002-04-22T00:00:00"/>
    <d v="2002-05-06T00:00:00"/>
    <d v="2002-05-06T00:00:00"/>
    <s v="-"/>
    <d v="2002-05-06T00:00:00"/>
    <s v="OTIF FAIL"/>
    <n v="1"/>
    <s v="1210_FG_JBS"/>
    <x v="19"/>
    <n v="0"/>
    <m/>
  </r>
  <r>
    <s v="0558114956-1"/>
    <s v="CRC"/>
    <n v="0.4"/>
    <n v="325"/>
    <n v="0"/>
    <n v="15"/>
    <n v="13.920999999999999"/>
    <s v="JBS"/>
    <d v="2001-08-28T00:00:00"/>
    <d v="2002-02-28T00:00:00"/>
    <d v="2002-04-21T00:00:00"/>
    <d v="2002-04-21T00:00:00"/>
    <d v="2002-03-29T00:00:00"/>
    <d v="2002-03-29T00:00:00"/>
    <s v="OTIF FAIL"/>
    <n v="1"/>
    <s v="1210_FG_JBS"/>
    <x v="9"/>
    <n v="0"/>
    <m/>
  </r>
  <r>
    <s v="0558116214-1"/>
    <s v="HPC"/>
    <n v="0.4"/>
    <n v="325"/>
    <n v="0"/>
    <n v="15"/>
    <n v="15"/>
    <s v="JBS"/>
    <d v="2001-10-28T00:00:00"/>
    <d v="2002-02-28T00:00:00"/>
    <d v="2002-03-29T00:00:00"/>
    <d v="2002-03-29T00:00:00"/>
    <d v="2002-03-29T00:00:00"/>
    <d v="2002-03-29T00:00:00"/>
    <s v="OTIF FAIL"/>
    <n v="1"/>
    <s v="1210_FG_JBS"/>
    <x v="9"/>
    <n v="1"/>
    <m/>
  </r>
  <r>
    <s v="0558116206-1"/>
    <s v="HPC"/>
    <n v="0.4"/>
    <n v="305"/>
    <n v="0"/>
    <n v="2.5"/>
    <n v="0.28399999999999997"/>
    <s v="JBS"/>
    <d v="2001-10-28T00:00:00"/>
    <d v="2002-02-28T00:00:00"/>
    <d v="2002-03-29T00:00:00"/>
    <d v="2002-03-29T00:00:00"/>
    <d v="2002-03-29T00:00:00"/>
    <d v="2002-03-29T00:00:00"/>
    <s v="OTIF FAIL"/>
    <n v="1"/>
    <s v="1210_FG_JBS"/>
    <x v="9"/>
    <n v="0"/>
    <m/>
  </r>
  <r>
    <s v="0558116559-1"/>
    <s v="CST"/>
    <n v="9.9000000000000005E-2"/>
    <n v="22.4"/>
    <n v="0"/>
    <n v="20"/>
    <n v="20"/>
    <s v="JBS"/>
    <d v="2002-02-17T00:00:00"/>
    <d v="2002-02-27T00:00:00"/>
    <d v="2002-04-05T00:00:00"/>
    <d v="2002-04-05T00:00:00"/>
    <d v="2002-04-05T00:00:00"/>
    <d v="2002-05-15T00:00:00"/>
    <s v="OTIF FAIL"/>
    <n v="1"/>
    <s v="1210_FG_JBS"/>
    <x v="4"/>
    <n v="1"/>
    <m/>
  </r>
  <r>
    <s v="0558116749-1"/>
    <s v="CST"/>
    <n v="9.9000000000000005E-2"/>
    <n v="22.4"/>
    <n v="0"/>
    <n v="15"/>
    <n v="15"/>
    <s v="JBS"/>
    <d v="2002-04-06T00:00:00"/>
    <d v="2002-05-15T00:00:00"/>
    <s v="-"/>
    <s v="-"/>
    <d v="2002-05-15T00:00:00"/>
    <d v="2002-05-15T00:00:00"/>
    <s v="OTIF FAIL"/>
    <n v="1"/>
    <s v="1210_FG_JBS"/>
    <x v="4"/>
    <n v="1"/>
    <m/>
  </r>
  <r>
    <s v="0558116750-1"/>
    <s v="CST"/>
    <n v="9.9000000000000005E-2"/>
    <n v="22.4"/>
    <n v="0"/>
    <n v="20"/>
    <n v="20"/>
    <s v="JBS"/>
    <d v="2002-04-06T00:00:00"/>
    <d v="2002-05-15T00:00:00"/>
    <s v="-"/>
    <s v="-"/>
    <d v="2002-05-15T00:00:00"/>
    <d v="2002-05-15T00:00:00"/>
    <s v="OTIF FAIL"/>
    <n v="1"/>
    <s v="1210_FG_JBS"/>
    <x v="4"/>
    <n v="1"/>
    <m/>
  </r>
  <r>
    <s v="0558107626-1"/>
    <s v="HPC"/>
    <n v="9.5000000000000001E-2"/>
    <n v="22.2"/>
    <n v="0"/>
    <n v="3"/>
    <n v="3"/>
    <s v="JBS"/>
    <d v="2001-09-25T00:00:00"/>
    <d v="2002-02-27T00:00:00"/>
    <d v="2002-04-27T00:00:00"/>
    <d v="2002-04-27T00:00:00"/>
    <d v="2002-04-06T00:00:00"/>
    <d v="2002-05-10T00:00:00"/>
    <s v="OTIF FAIL"/>
    <n v="1"/>
    <s v="1210_FG_JBS"/>
    <x v="19"/>
    <n v="1"/>
    <m/>
  </r>
  <r>
    <s v="0558115359-1"/>
    <s v="CST"/>
    <n v="0.09"/>
    <n v="22.2"/>
    <n v="0"/>
    <n v="55"/>
    <n v="55"/>
    <s v="JBS"/>
    <d v="2001-08-28T00:00:00"/>
    <d v="2002-02-27T00:00:00"/>
    <d v="2002-04-20T00:00:00"/>
    <d v="2002-04-20T00:00:00"/>
    <d v="2002-03-29T00:00:00"/>
    <d v="2002-04-19T00:00:00"/>
    <s v="OTIF FAIL"/>
    <n v="1"/>
    <s v="1210_FG_JBS"/>
    <x v="15"/>
    <n v="1"/>
    <m/>
  </r>
  <r>
    <s v="0558116312-1"/>
    <s v="HRC"/>
    <n v="9.5000000000000001E-2"/>
    <n v="22.2"/>
    <n v="0"/>
    <n v="7.3"/>
    <n v="7.3"/>
    <s v="JBS"/>
    <d v="2001-10-29T00:00:00"/>
    <d v="2002-02-28T00:00:00"/>
    <d v="2002-04-27T00:00:00"/>
    <d v="2002-04-27T00:00:00"/>
    <d v="2002-04-06T00:00:00"/>
    <d v="2002-05-10T00:00:00"/>
    <s v="OTIF FAIL"/>
    <n v="1"/>
    <s v="1210_FG_JBS"/>
    <x v="19"/>
    <n v="1"/>
    <m/>
  </r>
  <r>
    <s v="0558116221-1"/>
    <s v="CST"/>
    <n v="0.09"/>
    <n v="22.2"/>
    <n v="0"/>
    <n v="110"/>
    <n v="110"/>
    <s v="JBS"/>
    <d v="2001-10-28T00:00:00"/>
    <d v="2002-02-28T00:00:00"/>
    <d v="2002-05-09T00:00:00"/>
    <d v="2002-05-09T00:00:00"/>
    <d v="2002-03-14T00:00:00"/>
    <d v="2002-04-19T00:00:00"/>
    <s v="OTIF FAIL"/>
    <n v="1"/>
    <s v="1210_FG_JBS"/>
    <x v="15"/>
    <n v="1"/>
    <m/>
  </r>
  <r>
    <s v="0558116313-1"/>
    <s v="CRC"/>
    <n v="9.5000000000000001E-2"/>
    <n v="22.2"/>
    <n v="0"/>
    <n v="13"/>
    <n v="13"/>
    <s v="JBS"/>
    <d v="2001-10-29T00:00:00"/>
    <d v="2002-02-28T00:00:00"/>
    <d v="2002-05-04T00:00:00"/>
    <d v="2002-05-04T00:00:00"/>
    <d v="2002-04-02T00:00:00"/>
    <d v="2002-05-10T00:00:00"/>
    <s v="OTIF FAIL"/>
    <n v="1"/>
    <s v="1210_FG_JBS"/>
    <x v="19"/>
    <n v="1"/>
    <m/>
  </r>
  <r>
    <s v="0568011535-1"/>
    <s v="HRC"/>
    <n v="0.09"/>
    <n v="22.1"/>
    <n v="0"/>
    <n v="50"/>
    <n v="32.249000000000002"/>
    <s v="JBS"/>
    <d v="2001-09-25T00:00:00"/>
    <d v="2002-02-28T00:00:00"/>
    <d v="2002-04-26T00:00:00"/>
    <d v="2002-04-26T00:00:00"/>
    <d v="2002-04-19T00:00:00"/>
    <d v="2002-04-19T00:00:00"/>
    <s v="OTIF FAIL"/>
    <n v="1"/>
    <s v="1210_FG_JBS"/>
    <x v="15"/>
    <n v="0"/>
    <m/>
  </r>
  <r>
    <s v="0558107623-1"/>
    <s v="HPC"/>
    <n v="0.09"/>
    <n v="22.2"/>
    <n v="0"/>
    <n v="24"/>
    <n v="13.601000000000001"/>
    <s v="JBS"/>
    <d v="2001-09-25T00:00:00"/>
    <d v="2002-02-27T00:00:00"/>
    <d v="2002-04-27T00:00:00"/>
    <d v="2002-04-27T00:00:00"/>
    <d v="2002-04-12T00:00:00"/>
    <d v="2002-04-19T00:00:00"/>
    <s v="OTIF FAIL"/>
    <n v="1"/>
    <s v="1210_FG_JBS"/>
    <x v="15"/>
    <n v="0"/>
    <m/>
  </r>
  <r>
    <s v="0568012857-2"/>
    <s v="CST"/>
    <n v="0.09"/>
    <n v="16.97"/>
    <n v="0"/>
    <n v="6"/>
    <n v="5.8920000000000003"/>
    <s v="JBS"/>
    <d v="2001-08-28T00:00:00"/>
    <d v="2002-02-28T00:00:00"/>
    <d v="2002-05-03T00:00:00"/>
    <d v="2002-05-03T00:00:00"/>
    <d v="2002-04-19T00:00:00"/>
    <d v="2002-04-19T00:00:00"/>
    <s v="OTIF FAIL"/>
    <n v="2"/>
    <s v="1210_FG_JBS"/>
    <x v="15"/>
    <n v="0"/>
    <m/>
  </r>
  <r>
    <s v="0558110164-1"/>
    <s v="HRC"/>
    <n v="9.5000000000000001E-2"/>
    <n v="22.2"/>
    <n v="0"/>
    <n v="35"/>
    <n v="8.3629999999999995"/>
    <s v="JBS"/>
    <d v="2001-09-25T00:00:00"/>
    <d v="2002-02-27T00:00:00"/>
    <d v="2002-04-23T00:00:00"/>
    <d v="2002-04-23T00:00:00"/>
    <d v="2002-03-14T00:00:00"/>
    <d v="2002-05-10T00:00:00"/>
    <s v="OTIF FAIL"/>
    <n v="1"/>
    <s v="1210_FG_JBS"/>
    <x v="19"/>
    <n v="0"/>
    <m/>
  </r>
  <r>
    <s v="0558104044-1"/>
    <s v="CST"/>
    <n v="0.09"/>
    <n v="22.2"/>
    <n v="0"/>
    <n v="16"/>
    <n v="6.3369999999999997"/>
    <s v="JBS"/>
    <d v="2001-09-25T00:00:00"/>
    <d v="2002-02-27T00:00:00"/>
    <d v="2002-03-22T00:00:00"/>
    <d v="2002-03-22T00:00:00"/>
    <d v="2002-03-22T00:00:00"/>
    <d v="2002-04-19T00:00:00"/>
    <s v="OTIF FAIL"/>
    <n v="1"/>
    <s v="1210_FG_JBS"/>
    <x v="15"/>
    <n v="0"/>
    <m/>
  </r>
  <r>
    <s v="0558114967-1"/>
    <s v="CST"/>
    <n v="9.5000000000000001E-2"/>
    <n v="22.2"/>
    <n v="0"/>
    <n v="5"/>
    <n v="5"/>
    <s v="JBS"/>
    <d v="2001-08-28T00:00:00"/>
    <d v="2002-02-28T00:00:00"/>
    <d v="2002-04-27T00:00:00"/>
    <d v="2002-04-27T00:00:00"/>
    <d v="2002-04-06T00:00:00"/>
    <d v="2002-05-10T00:00:00"/>
    <s v="OTIF FAIL"/>
    <n v="1"/>
    <s v="1210_FG_JBS"/>
    <x v="19"/>
    <n v="1"/>
    <m/>
  </r>
  <r>
    <s v="0558116314-1"/>
    <s v="HPC"/>
    <n v="0.09"/>
    <n v="22.2"/>
    <n v="0"/>
    <n v="65"/>
    <n v="65"/>
    <s v="JBS"/>
    <d v="2001-10-29T00:00:00"/>
    <d v="2002-02-28T00:00:00"/>
    <d v="2002-03-17T00:00:00"/>
    <d v="2002-03-17T00:00:00"/>
    <d v="2002-03-17T00:00:00"/>
    <d v="2002-04-19T00:00:00"/>
    <s v="OTIF FAIL"/>
    <n v="1"/>
    <s v="1210_FG_JBS"/>
    <x v="15"/>
    <n v="1"/>
    <m/>
  </r>
  <r>
    <s v="0558110181-2"/>
    <s v="CST"/>
    <n v="0.09"/>
    <n v="22.2"/>
    <n v="0"/>
    <n v="192"/>
    <n v="76.739999999999995"/>
    <s v="JBS"/>
    <d v="2001-08-03T00:00:00"/>
    <d v="2002-02-28T00:00:00"/>
    <d v="2002-04-20T00:00:00"/>
    <d v="2002-04-20T00:00:00"/>
    <d v="2002-04-05T00:00:00"/>
    <d v="2002-04-05T00:00:00"/>
    <s v="OTIF FAIL"/>
    <n v="2"/>
    <s v="1210_FG_JBS"/>
    <x v="6"/>
    <n v="0"/>
    <m/>
  </r>
  <r>
    <s v="0568012187-2"/>
    <s v="HRC"/>
    <n v="0.09"/>
    <n v="22.2"/>
    <n v="0"/>
    <n v="18"/>
    <n v="18"/>
    <s v="JBS"/>
    <d v="2001-09-25T00:00:00"/>
    <d v="2002-02-27T00:00:00"/>
    <s v="-"/>
    <s v="-"/>
    <d v="2002-03-22T00:00:00"/>
    <d v="2002-03-22T00:00:00"/>
    <s v="OTIF FAIL"/>
    <n v="2"/>
    <s v="1210_FG_JBS"/>
    <x v="0"/>
    <n v="1"/>
    <m/>
  </r>
  <r>
    <s v="0558116560-1"/>
    <s v="HRC"/>
    <n v="9.9000000000000005E-2"/>
    <n v="22.4"/>
    <n v="0"/>
    <n v="15"/>
    <n v="15"/>
    <s v="JBS"/>
    <d v="2002-02-17T00:00:00"/>
    <d v="2002-02-28T00:00:00"/>
    <d v="2002-04-20T00:00:00"/>
    <d v="2002-04-20T00:00:00"/>
    <d v="2002-04-05T00:00:00"/>
    <d v="2002-05-15T00:00:00"/>
    <s v="OTIF FAIL"/>
    <n v="1"/>
    <s v="1210_FG_JBS"/>
    <x v="4"/>
    <n v="1"/>
    <m/>
  </r>
  <r>
    <s v="0558116804-2"/>
    <s v="CST"/>
    <n v="0.09"/>
    <n v="22.2"/>
    <n v="0"/>
    <n v="1"/>
    <n v="0.83299999999999996"/>
    <s v="JBS"/>
    <d v="2002-04-24T00:00:00"/>
    <d v="2002-04-30T00:00:00"/>
    <s v="-"/>
    <s v="-"/>
    <s v="-"/>
    <d v="2002-04-05T00:00:00"/>
    <s v="OTIF FAIL"/>
    <n v="2"/>
    <s v="1210_FG_JBS"/>
    <x v="6"/>
    <n v="0"/>
    <m/>
  </r>
  <r>
    <s v="0558110181-4"/>
    <s v="HPC"/>
    <n v="0.09"/>
    <n v="22.2"/>
    <n v="0"/>
    <n v="18"/>
    <n v="11.808"/>
    <s v="JBS"/>
    <d v="2001-08-30T00:00:00"/>
    <d v="2002-02-28T00:00:00"/>
    <d v="2002-03-20T00:00:00"/>
    <d v="2002-03-20T00:00:00"/>
    <d v="2002-03-07T00:00:00"/>
    <d v="2002-04-05T00:00:00"/>
    <s v="OTIF FAIL"/>
    <n v="4"/>
    <s v="1210_FG_JBS"/>
    <x v="6"/>
    <n v="0"/>
    <m/>
  </r>
  <r>
    <s v="0558116317-1"/>
    <s v="HRC"/>
    <n v="9.5000000000000001E-2"/>
    <n v="22.2"/>
    <n v="0"/>
    <n v="6.5"/>
    <n v="6.5"/>
    <s v="JBS"/>
    <d v="2001-10-29T00:00:00"/>
    <d v="2002-02-28T00:00:00"/>
    <d v="2002-04-27T00:00:00"/>
    <d v="2002-04-27T00:00:00"/>
    <d v="2002-04-06T00:00:00"/>
    <d v="2002-05-10T00:00:00"/>
    <s v="OTIF FAIL"/>
    <n v="1"/>
    <s v="1210_FG_JBS"/>
    <x v="19"/>
    <n v="1"/>
    <m/>
  </r>
  <r>
    <s v="0558116223-1"/>
    <s v="HPC"/>
    <n v="0.09"/>
    <n v="22.2"/>
    <n v="0"/>
    <n v="15"/>
    <n v="15"/>
    <s v="JBS"/>
    <d v="2001-10-28T00:00:00"/>
    <d v="2002-02-28T00:00:00"/>
    <d v="2002-04-13T00:00:00"/>
    <d v="2002-04-13T00:00:00"/>
    <d v="2002-04-13T00:00:00"/>
    <d v="2002-04-19T00:00:00"/>
    <s v="OTIF FAIL"/>
    <n v="1"/>
    <s v="1210_FG_JBS"/>
    <x v="15"/>
    <n v="1"/>
    <m/>
  </r>
  <r>
    <s v="0558114797-1"/>
    <s v="HPC"/>
    <n v="0.09"/>
    <n v="22.2"/>
    <n v="0"/>
    <n v="35"/>
    <n v="28.754999999999999"/>
    <s v="JBS"/>
    <d v="2001-08-28T00:00:00"/>
    <d v="2002-02-28T00:00:00"/>
    <d v="2002-04-20T00:00:00"/>
    <d v="2002-04-20T00:00:00"/>
    <d v="2002-03-29T00:00:00"/>
    <d v="2002-04-19T00:00:00"/>
    <s v="OTIF FAIL"/>
    <n v="1"/>
    <s v="1210_FG_JBS"/>
    <x v="15"/>
    <n v="0"/>
    <m/>
  </r>
  <r>
    <s v="0558114965-1"/>
    <s v="CST"/>
    <n v="9.5000000000000001E-2"/>
    <n v="22.2"/>
    <n v="0"/>
    <n v="5"/>
    <n v="5"/>
    <s v="JBS"/>
    <d v="2001-08-28T00:00:00"/>
    <d v="2002-02-28T00:00:00"/>
    <d v="2002-04-27T00:00:00"/>
    <d v="2002-04-27T00:00:00"/>
    <d v="2002-04-06T00:00:00"/>
    <d v="2002-05-10T00:00:00"/>
    <s v="OTIF FAIL"/>
    <n v="1"/>
    <s v="1210_FG_JBS"/>
    <x v="19"/>
    <n v="1"/>
    <m/>
  </r>
  <r>
    <s v="0558116222-1"/>
    <s v="HRC"/>
    <n v="0.09"/>
    <n v="22.2"/>
    <n v="0"/>
    <n v="48"/>
    <n v="48"/>
    <s v="JBS"/>
    <d v="2001-10-28T00:00:00"/>
    <d v="2002-02-28T00:00:00"/>
    <d v="2002-04-13T00:00:00"/>
    <d v="2002-04-13T00:00:00"/>
    <d v="2002-03-29T00:00:00"/>
    <d v="2002-04-19T00:00:00"/>
    <s v="OTIF FAIL"/>
    <n v="1"/>
    <s v="1210_FG_JBS"/>
    <x v="15"/>
    <n v="1"/>
    <m/>
  </r>
  <r>
    <s v="0568012841-1"/>
    <s v="HPC"/>
    <n v="0.09"/>
    <n v="22.1"/>
    <n v="0"/>
    <n v="50"/>
    <n v="50"/>
    <s v="JBS"/>
    <d v="2001-08-28T00:00:00"/>
    <d v="2002-02-28T00:00:00"/>
    <s v="-"/>
    <s v="-"/>
    <d v="2002-03-13T00:00:00"/>
    <d v="2002-04-19T00:00:00"/>
    <s v="OTIF FAIL"/>
    <n v="1"/>
    <s v="1210_FG_JBS"/>
    <x v="15"/>
    <n v="1"/>
    <m/>
  </r>
  <r>
    <s v="0558108056-1"/>
    <s v="CST"/>
    <n v="0.09"/>
    <n v="22.2"/>
    <n v="0"/>
    <n v="10"/>
    <n v="10"/>
    <s v="JBS"/>
    <d v="2001-09-25T00:00:00"/>
    <d v="2002-02-27T00:00:00"/>
    <d v="2002-05-04T00:00:00"/>
    <d v="2002-05-04T00:00:00"/>
    <d v="2002-04-19T00:00:00"/>
    <d v="2002-04-19T00:00:00"/>
    <s v="OTIF FAIL"/>
    <n v="1"/>
    <s v="1210_FG_JBS"/>
    <x v="15"/>
    <n v="1"/>
    <m/>
  </r>
  <r>
    <s v="0558113324-2"/>
    <s v="HRC"/>
    <n v="0.09"/>
    <n v="22.2"/>
    <n v="0"/>
    <n v="100"/>
    <n v="50.899000000000001"/>
    <s v="JBS"/>
    <d v="2001-09-25T00:00:00"/>
    <d v="2002-02-28T00:00:00"/>
    <d v="2002-03-20T00:00:00"/>
    <d v="2002-03-20T00:00:00"/>
    <d v="2002-03-18T00:00:00"/>
    <d v="2002-04-19T00:00:00"/>
    <s v="OTIF FAIL"/>
    <n v="2"/>
    <s v="1210_FG_JBS"/>
    <x v="15"/>
    <n v="0"/>
    <m/>
  </r>
  <r>
    <s v="0558114932-1"/>
    <s v="HPC"/>
    <n v="0.09"/>
    <n v="22.2"/>
    <n v="0"/>
    <n v="32"/>
    <n v="32"/>
    <s v="JBS"/>
    <d v="2001-08-28T00:00:00"/>
    <d v="2002-02-28T00:00:00"/>
    <d v="2002-04-20T00:00:00"/>
    <d v="2002-04-20T00:00:00"/>
    <d v="2002-03-29T00:00:00"/>
    <d v="2002-04-19T00:00:00"/>
    <s v="OTIF FAIL"/>
    <n v="1"/>
    <s v="1210_FG_JBS"/>
    <x v="15"/>
    <n v="1"/>
    <m/>
  </r>
  <r>
    <s v="0558114798-1"/>
    <s v="HRC"/>
    <n v="9.5000000000000001E-2"/>
    <n v="22.2"/>
    <n v="0"/>
    <n v="13"/>
    <n v="13"/>
    <s v="JBS"/>
    <d v="2001-08-23T00:00:00"/>
    <d v="2002-02-28T00:00:00"/>
    <s v="-"/>
    <s v="-"/>
    <d v="2002-05-10T00:00:00"/>
    <d v="2002-05-10T00:00:00"/>
    <s v="OTIF FAIL"/>
    <n v="1"/>
    <s v="1210_FG_JBS"/>
    <x v="19"/>
    <n v="1"/>
    <m/>
  </r>
  <r>
    <s v="0568012857-1"/>
    <s v="CST"/>
    <n v="0.09"/>
    <n v="22.2"/>
    <n v="0"/>
    <n v="15"/>
    <n v="15"/>
    <s v="JBS"/>
    <d v="2001-08-28T00:00:00"/>
    <d v="2002-02-28T00:00:00"/>
    <d v="2002-05-03T00:00:00"/>
    <d v="2002-05-03T00:00:00"/>
    <d v="2002-04-19T00:00:00"/>
    <d v="2002-04-19T00:00:00"/>
    <s v="OTIF FAIL"/>
    <n v="1"/>
    <s v="1210_FG_JBS"/>
    <x v="15"/>
    <n v="1"/>
    <m/>
  </r>
  <r>
    <s v="0558116768-1"/>
    <s v="HRC"/>
    <n v="0.09"/>
    <n v="22.2"/>
    <n v="0"/>
    <n v="48"/>
    <n v="48"/>
    <s v="JBS"/>
    <d v="2002-04-07T00:00:00"/>
    <d v="2002-05-16T00:00:00"/>
    <s v="-"/>
    <s v="-"/>
    <s v="-"/>
    <d v="2002-04-19T00:00:00"/>
    <s v="OTIF FAIL"/>
    <n v="1"/>
    <s v="1210_FG_JBS"/>
    <x v="15"/>
    <n v="0"/>
    <m/>
  </r>
  <r>
    <s v="0558108396-1"/>
    <s v="HRC"/>
    <n v="0.09"/>
    <n v="22.2"/>
    <n v="0"/>
    <n v="3"/>
    <n v="3"/>
    <s v="JBS"/>
    <d v="2001-09-25T00:00:00"/>
    <d v="2002-02-27T00:00:00"/>
    <d v="2002-05-04T00:00:00"/>
    <d v="2002-05-04T00:00:00"/>
    <d v="2002-04-05T00:00:00"/>
    <d v="2002-04-19T00:00:00"/>
    <s v="OTIF FAIL"/>
    <n v="1"/>
    <s v="1210_FG_JBS"/>
    <x v="15"/>
    <n v="1"/>
    <m/>
  </r>
  <r>
    <s v="0558114632-1"/>
    <s v="HRC"/>
    <n v="0.09"/>
    <n v="22.2"/>
    <n v="0"/>
    <n v="50"/>
    <n v="10.907"/>
    <s v="JBS"/>
    <d v="2001-08-22T00:00:00"/>
    <d v="2002-02-28T00:00:00"/>
    <d v="2002-04-27T00:00:00"/>
    <d v="2002-04-27T00:00:00"/>
    <d v="2002-04-12T00:00:00"/>
    <d v="2002-04-19T00:00:00"/>
    <s v="OTIF FAIL"/>
    <n v="1"/>
    <s v="1210_FG_JBS"/>
    <x v="15"/>
    <n v="0"/>
    <m/>
  </r>
  <r>
    <s v="0558110599-3"/>
    <s v="CST"/>
    <n v="9.5000000000000001E-2"/>
    <n v="22.2"/>
    <n v="0"/>
    <n v="9"/>
    <n v="3.5379999999999998"/>
    <s v="JBS"/>
    <d v="2001-09-25T00:00:00"/>
    <d v="2002-02-28T00:00:00"/>
    <d v="2002-04-20T00:00:00"/>
    <d v="2002-04-20T00:00:00"/>
    <d v="2002-03-29T00:00:00"/>
    <d v="2002-05-10T00:00:00"/>
    <s v="OTIF FAIL"/>
    <n v="3"/>
    <s v="1210_FG_JBS"/>
    <x v="19"/>
    <n v="0"/>
    <m/>
  </r>
  <r>
    <s v="0558110727-4"/>
    <s v="CST"/>
    <n v="0.09"/>
    <n v="22.2"/>
    <n v="0"/>
    <n v="55"/>
    <n v="10.831"/>
    <s v="JBS"/>
    <d v="2001-08-01T00:00:00"/>
    <d v="2002-03-10T00:00:00"/>
    <d v="2002-04-27T00:00:00"/>
    <d v="2002-04-27T00:00:00"/>
    <d v="2002-04-13T00:00:00"/>
    <d v="2002-04-19T00:00:00"/>
    <s v="OTIF FAIL"/>
    <n v="4"/>
    <s v="1210_FG_JBS"/>
    <x v="15"/>
    <n v="0"/>
    <m/>
  </r>
  <r>
    <s v="0558116218-1"/>
    <s v="CST"/>
    <n v="0.09"/>
    <n v="22.2"/>
    <n v="0"/>
    <n v="35"/>
    <n v="35"/>
    <s v="JBS"/>
    <d v="2001-10-28T00:00:00"/>
    <d v="2002-02-28T00:00:00"/>
    <d v="2002-04-23T00:00:00"/>
    <d v="2002-04-23T00:00:00"/>
    <d v="2002-03-08T00:00:00"/>
    <d v="2002-04-19T00:00:00"/>
    <s v="OTIF FAIL"/>
    <n v="1"/>
    <s v="1210_FG_JBS"/>
    <x v="15"/>
    <n v="1"/>
    <m/>
  </r>
  <r>
    <s v="0558114987-1"/>
    <s v="CST"/>
    <n v="0.09"/>
    <n v="22.2"/>
    <n v="0"/>
    <n v="15"/>
    <n v="15"/>
    <s v="JBS"/>
    <d v="2001-08-27T00:00:00"/>
    <d v="2002-02-28T00:00:00"/>
    <d v="2002-04-27T00:00:00"/>
    <d v="2002-04-27T00:00:00"/>
    <d v="2002-04-06T00:00:00"/>
    <d v="2002-04-19T00:00:00"/>
    <s v="OTIF FAIL"/>
    <n v="1"/>
    <s v="1210_FG_JBS"/>
    <x v="15"/>
    <n v="1"/>
    <m/>
  </r>
  <r>
    <s v="0558110599-1"/>
    <s v="CST"/>
    <n v="9.5000000000000001E-2"/>
    <n v="22.2"/>
    <n v="0"/>
    <n v="17"/>
    <n v="3.7949999999999999"/>
    <s v="JBS"/>
    <d v="2001-09-25T00:00:00"/>
    <d v="2002-02-28T00:00:00"/>
    <d v="2002-04-20T00:00:00"/>
    <d v="2002-04-20T00:00:00"/>
    <d v="2002-03-22T00:00:00"/>
    <d v="2002-05-10T00:00:00"/>
    <s v="OTIF FAIL"/>
    <n v="1"/>
    <s v="1210_FG_JBS"/>
    <x v="19"/>
    <n v="0"/>
    <m/>
  </r>
  <r>
    <s v="0558116215-1"/>
    <s v="CST"/>
    <n v="0.09"/>
    <n v="22.2"/>
    <n v="0"/>
    <n v="16"/>
    <n v="16"/>
    <s v="JBS"/>
    <d v="2001-10-28T00:00:00"/>
    <d v="2002-02-28T00:00:00"/>
    <d v="2002-03-29T00:00:00"/>
    <d v="2002-03-29T00:00:00"/>
    <d v="2002-03-29T00:00:00"/>
    <d v="2002-04-19T00:00:00"/>
    <s v="OTIF FAIL"/>
    <n v="1"/>
    <s v="1210_FG_JBS"/>
    <x v="15"/>
    <n v="1"/>
    <m/>
  </r>
  <r>
    <s v="0558114937-1"/>
    <s v="HRC"/>
    <n v="0.09"/>
    <n v="22.2"/>
    <n v="0"/>
    <n v="20"/>
    <n v="10.135999999999999"/>
    <s v="JBS"/>
    <d v="2001-08-28T00:00:00"/>
    <d v="2002-02-28T00:00:00"/>
    <d v="2002-04-27T00:00:00"/>
    <d v="2002-04-27T00:00:00"/>
    <d v="2002-04-13T00:00:00"/>
    <d v="2002-04-19T00:00:00"/>
    <s v="OTIF FAIL"/>
    <n v="1"/>
    <s v="1210_FG_JBS"/>
    <x v="15"/>
    <n v="0"/>
    <m/>
  </r>
  <r>
    <s v="0568012838-1"/>
    <s v="CRC"/>
    <n v="0.09"/>
    <n v="22.2"/>
    <n v="0"/>
    <n v="8"/>
    <n v="8"/>
    <s v="JBS"/>
    <d v="2001-08-28T00:00:00"/>
    <d v="2002-02-28T00:00:00"/>
    <d v="2002-05-04T00:00:00"/>
    <d v="2002-05-04T00:00:00"/>
    <d v="2002-04-14T00:00:00"/>
    <d v="2002-04-19T00:00:00"/>
    <s v="OTIF FAIL"/>
    <n v="1"/>
    <s v="1210_FG_JBS"/>
    <x v="15"/>
    <n v="1"/>
    <m/>
  </r>
  <r>
    <s v="0558113603-1"/>
    <s v="CRC"/>
    <n v="9.5000000000000001E-2"/>
    <n v="22.2"/>
    <n v="0"/>
    <n v="13"/>
    <n v="3.1560000000000001"/>
    <s v="JBS"/>
    <d v="2001-08-07T00:00:00"/>
    <d v="2002-02-28T00:00:00"/>
    <d v="2002-04-20T00:00:00"/>
    <d v="2002-04-20T00:00:00"/>
    <d v="2002-04-19T00:00:00"/>
    <d v="2002-05-10T00:00:00"/>
    <s v="OTIF FAIL"/>
    <n v="1"/>
    <s v="1210_FG_JBS"/>
    <x v="19"/>
    <n v="0"/>
    <m/>
  </r>
  <r>
    <s v="0568012277-1"/>
    <s v="HPC"/>
    <n v="9.9000000000000005E-2"/>
    <n v="22.4"/>
    <n v="0"/>
    <n v="36"/>
    <n v="36"/>
    <s v="JBS"/>
    <d v="2001-09-25T00:00:00"/>
    <d v="2002-02-28T00:00:00"/>
    <d v="2002-04-27T00:00:00"/>
    <d v="2002-04-27T00:00:00"/>
    <d v="2002-04-05T00:00:00"/>
    <d v="2002-05-15T00:00:00"/>
    <s v="OTIF FAIL"/>
    <n v="1"/>
    <s v="1210_FG_JBS"/>
    <x v="4"/>
    <n v="1"/>
    <m/>
  </r>
  <r>
    <s v="0558116568-1"/>
    <s v="CRC"/>
    <n v="0.09"/>
    <n v="22.2"/>
    <n v="0"/>
    <n v="35"/>
    <n v="34.829000000000001"/>
    <s v="JBS"/>
    <d v="2002-02-19T00:00:00"/>
    <d v="2002-02-19T00:00:00"/>
    <d v="2002-04-20T00:00:00"/>
    <d v="2002-04-20T00:00:00"/>
    <d v="2002-03-26T00:00:00"/>
    <d v="2002-04-19T00:00:00"/>
    <s v="OTIF FAIL"/>
    <n v="1"/>
    <s v="1210_FG_JBS"/>
    <x v="15"/>
    <n v="0"/>
    <m/>
  </r>
  <r>
    <s v="0558115015-1"/>
    <s v="HPC"/>
    <n v="0.09"/>
    <n v="22.2"/>
    <n v="0"/>
    <n v="135"/>
    <n v="135"/>
    <s v="JBS"/>
    <d v="2001-08-28T00:00:00"/>
    <d v="2002-02-28T00:00:00"/>
    <d v="2002-04-20T00:00:00"/>
    <d v="2002-04-20T00:00:00"/>
    <d v="2002-04-12T00:00:00"/>
    <d v="2002-04-19T00:00:00"/>
    <s v="OTIF FAIL"/>
    <n v="1"/>
    <s v="1210_FG_JBS"/>
    <x v="15"/>
    <n v="1"/>
    <m/>
  </r>
  <r>
    <s v="0558116533-1"/>
    <s v="HRC"/>
    <n v="9.9000000000000005E-2"/>
    <n v="22.4"/>
    <n v="0"/>
    <n v="15"/>
    <n v="15"/>
    <s v="JBS"/>
    <d v="2002-02-12T00:00:00"/>
    <d v="2002-02-21T00:00:00"/>
    <d v="2002-04-20T00:00:00"/>
    <d v="2002-04-20T00:00:00"/>
    <d v="2002-04-05T00:00:00"/>
    <d v="2002-05-15T00:00:00"/>
    <s v="OTIF FAIL"/>
    <n v="1"/>
    <s v="1210_FG_JBS"/>
    <x v="4"/>
    <n v="1"/>
    <m/>
  </r>
  <r>
    <s v="0558116532-1"/>
    <s v="HRC"/>
    <n v="9.9000000000000005E-2"/>
    <n v="22.4"/>
    <n v="0"/>
    <n v="20"/>
    <n v="20"/>
    <s v="JBS"/>
    <d v="2002-02-12T00:00:00"/>
    <d v="2002-02-21T00:00:00"/>
    <d v="2002-04-20T00:00:00"/>
    <d v="2002-04-20T00:00:00"/>
    <d v="2002-03-29T00:00:00"/>
    <d v="2002-05-15T00:00:00"/>
    <s v="OTIF FAIL"/>
    <n v="1"/>
    <s v="1210_FG_JBS"/>
    <x v="4"/>
    <n v="1"/>
    <m/>
  </r>
  <r>
    <s v="0568011493-1"/>
    <s v="CST"/>
    <n v="0.1"/>
    <n v="22.4"/>
    <n v="0"/>
    <n v="10"/>
    <n v="10"/>
    <s v="JBS"/>
    <d v="2001-09-25T00:00:00"/>
    <d v="2002-02-28T00:00:00"/>
    <d v="2002-04-27T00:00:00"/>
    <d v="2002-04-27T00:00:00"/>
    <d v="2002-04-06T00:00:00"/>
    <d v="2002-04-06T00:00:00"/>
    <s v="OTIF FAIL"/>
    <n v="1"/>
    <s v="1210_FG_JBS"/>
    <x v="6"/>
    <n v="1"/>
    <m/>
  </r>
  <r>
    <s v="0558114771-1"/>
    <s v="CST"/>
    <n v="9.5000000000000001E-2"/>
    <n v="22.2"/>
    <n v="0"/>
    <n v="25"/>
    <n v="25"/>
    <s v="JBS"/>
    <d v="2001-08-28T00:00:00"/>
    <d v="2002-02-28T00:00:00"/>
    <s v="-"/>
    <s v="-"/>
    <d v="2002-03-22T00:00:00"/>
    <d v="2002-05-10T00:00:00"/>
    <s v="OTIF FAIL"/>
    <n v="1"/>
    <s v="1210_FG_JBS"/>
    <x v="19"/>
    <n v="1"/>
    <m/>
  </r>
  <r>
    <s v="0558115359-2"/>
    <s v="CST"/>
    <n v="0.09"/>
    <n v="22.2"/>
    <n v="0"/>
    <n v="10"/>
    <n v="10"/>
    <s v="JBS"/>
    <d v="2001-08-28T00:00:00"/>
    <d v="2002-02-28T00:00:00"/>
    <d v="2002-05-04T00:00:00"/>
    <d v="2002-05-04T00:00:00"/>
    <d v="2002-04-14T00:00:00"/>
    <d v="2002-04-19T00:00:00"/>
    <s v="OTIF FAIL"/>
    <n v="2"/>
    <s v="1210_FG_JBS"/>
    <x v="15"/>
    <n v="1"/>
    <m/>
  </r>
  <r>
    <s v="0568012842-1"/>
    <s v="CST"/>
    <n v="0.09"/>
    <n v="22.1"/>
    <n v="0"/>
    <n v="50"/>
    <n v="50"/>
    <s v="JBS"/>
    <d v="2001-08-28T00:00:00"/>
    <d v="2002-02-28T00:00:00"/>
    <d v="2002-04-27T00:00:00"/>
    <d v="2002-04-27T00:00:00"/>
    <d v="2002-04-13T00:00:00"/>
    <d v="2002-04-19T00:00:00"/>
    <s v="OTIF FAIL"/>
    <n v="1"/>
    <s v="1210_FG_JBS"/>
    <x v="15"/>
    <n v="1"/>
    <m/>
  </r>
  <r>
    <s v="0568012677-1"/>
    <s v="CRC"/>
    <n v="0.09"/>
    <n v="22.1"/>
    <n v="0"/>
    <n v="12"/>
    <n v="12"/>
    <s v="JBS"/>
    <d v="2001-08-03T00:00:00"/>
    <d v="2002-02-28T00:00:00"/>
    <d v="2002-04-20T00:00:00"/>
    <d v="2002-04-20T00:00:00"/>
    <d v="2002-04-12T00:00:00"/>
    <d v="2002-04-19T00:00:00"/>
    <s v="OTIF FAIL"/>
    <n v="1"/>
    <s v="1210_FG_JBS"/>
    <x v="15"/>
    <n v="1"/>
    <m/>
  </r>
  <r>
    <s v="0558116216-1"/>
    <s v="CBL"/>
    <n v="0.09"/>
    <n v="22.2"/>
    <n v="0"/>
    <n v="30"/>
    <n v="30"/>
    <s v="JBS"/>
    <d v="2001-10-28T00:00:00"/>
    <d v="2002-02-28T00:00:00"/>
    <d v="2002-04-27T00:00:00"/>
    <d v="2002-04-27T00:00:00"/>
    <d v="2002-04-05T00:00:00"/>
    <d v="2002-04-19T00:00:00"/>
    <s v="OTIF FAIL"/>
    <n v="1"/>
    <s v="1210_FG_JBS"/>
    <x v="15"/>
    <n v="1"/>
    <m/>
  </r>
  <r>
    <s v="0558116804-1"/>
    <s v="CST"/>
    <n v="0.09"/>
    <n v="22.2"/>
    <n v="0"/>
    <n v="1"/>
    <n v="0.748"/>
    <s v="JBS"/>
    <d v="2002-04-24T00:00:00"/>
    <d v="2002-04-30T00:00:00"/>
    <d v="2002-05-07T00:00:00"/>
    <d v="2002-05-07T00:00:00"/>
    <s v="-"/>
    <d v="2002-04-05T00:00:00"/>
    <s v="OTIF FAIL"/>
    <n v="1"/>
    <s v="1210_FG_JBS"/>
    <x v="6"/>
    <n v="0"/>
    <m/>
  </r>
  <r>
    <s v="0558107622-1"/>
    <s v="CST"/>
    <n v="0.09"/>
    <n v="22.2"/>
    <n v="0"/>
    <n v="15"/>
    <n v="10.91"/>
    <s v="JBS"/>
    <d v="2001-09-25T00:00:00"/>
    <d v="2002-02-27T00:00:00"/>
    <d v="2002-04-27T00:00:00"/>
    <d v="2002-04-27T00:00:00"/>
    <d v="2002-04-12T00:00:00"/>
    <d v="2002-04-19T00:00:00"/>
    <s v="OTIF FAIL"/>
    <n v="1"/>
    <s v="1210_FG_JBS"/>
    <x v="15"/>
    <n v="0"/>
    <m/>
  </r>
  <r>
    <s v="0558114443-1"/>
    <s v="CST"/>
    <n v="9.5000000000000001E-2"/>
    <n v="22.2"/>
    <n v="0"/>
    <n v="35"/>
    <n v="28.151"/>
    <s v="JBS"/>
    <d v="2001-08-20T00:00:00"/>
    <d v="2002-02-28T00:00:00"/>
    <d v="2002-04-27T00:00:00"/>
    <d v="2002-04-27T00:00:00"/>
    <d v="2002-04-19T00:00:00"/>
    <d v="2002-05-10T00:00:00"/>
    <s v="OTIF FAIL"/>
    <n v="1"/>
    <s v="1210_FG_JBS"/>
    <x v="19"/>
    <n v="0"/>
    <m/>
  </r>
  <r>
    <s v="0558114966-1"/>
    <s v="CST"/>
    <n v="9.5000000000000001E-2"/>
    <n v="22.2"/>
    <n v="0"/>
    <n v="5"/>
    <n v="5"/>
    <s v="JBS"/>
    <d v="2001-08-28T00:00:00"/>
    <d v="2002-02-28T00:00:00"/>
    <d v="2002-04-27T00:00:00"/>
    <d v="2002-04-27T00:00:00"/>
    <d v="2002-04-06T00:00:00"/>
    <d v="2002-05-10T00:00:00"/>
    <s v="OTIF FAIL"/>
    <n v="1"/>
    <s v="1210_FG_JBS"/>
    <x v="19"/>
    <n v="1"/>
    <m/>
  </r>
  <r>
    <s v="0568012854-1"/>
    <s v="CST"/>
    <n v="0.09"/>
    <n v="22.1"/>
    <n v="0"/>
    <n v="24"/>
    <n v="24"/>
    <s v="JBS"/>
    <d v="2001-08-28T00:00:00"/>
    <d v="2002-02-28T00:00:00"/>
    <d v="2002-04-26T00:00:00"/>
    <d v="2002-04-26T00:00:00"/>
    <d v="2002-04-19T00:00:00"/>
    <d v="2002-04-19T00:00:00"/>
    <s v="OTIF FAIL"/>
    <n v="1"/>
    <s v="1210_FG_JBS"/>
    <x v="15"/>
    <n v="1"/>
    <m/>
  </r>
  <r>
    <s v="0558116220-1"/>
    <s v="CST"/>
    <n v="9.5000000000000001E-2"/>
    <n v="22.2"/>
    <n v="0"/>
    <n v="30"/>
    <n v="30"/>
    <s v="JBS"/>
    <d v="2001-10-28T00:00:00"/>
    <d v="2002-02-28T00:00:00"/>
    <d v="2002-03-21T00:00:00"/>
    <d v="2002-03-21T00:00:00"/>
    <d v="2002-03-21T00:00:00"/>
    <d v="2002-05-10T00:00:00"/>
    <s v="OTIF FAIL"/>
    <n v="1"/>
    <s v="1210_FG_JBS"/>
    <x v="19"/>
    <n v="1"/>
    <m/>
  </r>
  <r>
    <s v="0558107622-2"/>
    <s v="CST"/>
    <n v="0.09"/>
    <n v="22.2"/>
    <n v="0"/>
    <n v="6"/>
    <n v="6"/>
    <s v="JBS"/>
    <d v="2001-09-25T00:00:00"/>
    <d v="2002-02-27T00:00:00"/>
    <d v="2002-04-12T00:00:00"/>
    <d v="2002-04-12T00:00:00"/>
    <d v="2002-04-12T00:00:00"/>
    <d v="2002-04-19T00:00:00"/>
    <s v="OTIF FAIL"/>
    <n v="2"/>
    <s v="1210_FG_JBS"/>
    <x v="15"/>
    <n v="1"/>
    <m/>
  </r>
  <r>
    <s v="0558116217-1"/>
    <s v="CRC"/>
    <n v="9.5000000000000001E-2"/>
    <n v="22.2"/>
    <n v="0"/>
    <n v="30"/>
    <n v="30"/>
    <s v="JBS"/>
    <d v="2001-10-28T00:00:00"/>
    <d v="2002-02-28T00:00:00"/>
    <d v="2002-04-20T00:00:00"/>
    <d v="2002-04-20T00:00:00"/>
    <d v="2002-03-29T00:00:00"/>
    <d v="2002-05-10T00:00:00"/>
    <s v="OTIF FAIL"/>
    <n v="1"/>
    <s v="1210_FG_JBS"/>
    <x v="19"/>
    <n v="1"/>
    <m/>
  </r>
  <r>
    <s v="0568012838-2"/>
    <s v="CST"/>
    <n v="7.3999999999999996E-2"/>
    <n v="7.2140000000000004"/>
    <n v="0"/>
    <n v="16"/>
    <n v="16"/>
    <s v="JBS"/>
    <d v="2001-08-28T00:00:00"/>
    <d v="2002-02-26T00:00:00"/>
    <d v="2002-04-08T00:00:00"/>
    <d v="2002-04-08T00:00:00"/>
    <d v="2002-04-01T00:00:00"/>
    <d v="2002-04-01T00:00:00"/>
    <s v="OTIF FAIL"/>
    <n v="2"/>
    <s v="1210_FG_JBS"/>
    <x v="6"/>
    <n v="1"/>
    <m/>
  </r>
  <r>
    <s v="0568012858-1"/>
    <s v="HRC"/>
    <n v="7.4999999999999997E-2"/>
    <n v="4.53"/>
    <n v="0"/>
    <n v="3"/>
    <n v="3"/>
    <s v="JBS"/>
    <d v="2001-08-28T00:00:00"/>
    <d v="2002-02-24T00:00:00"/>
    <d v="2002-04-26T00:00:00"/>
    <d v="2002-04-26T00:00:00"/>
    <d v="2002-04-19T00:00:00"/>
    <d v="2002-05-03T00:00:00"/>
    <s v="OTIF FAIL"/>
    <n v="1"/>
    <s v="1210_FG_JBS"/>
    <x v="16"/>
    <n v="1"/>
    <m/>
  </r>
  <r>
    <s v="0568012859-1"/>
    <s v="CST"/>
    <n v="7.4999999999999997E-2"/>
    <n v="4.53"/>
    <n v="0"/>
    <n v="2"/>
    <n v="2"/>
    <s v="JBS"/>
    <d v="2001-08-28T00:00:00"/>
    <d v="2002-02-28T00:00:00"/>
    <s v="-"/>
    <s v="-"/>
    <d v="2002-05-03T00:00:00"/>
    <d v="2002-05-03T00:00:00"/>
    <s v="OTIF FAIL"/>
    <n v="1"/>
    <s v="1210_FG_JBS"/>
    <x v="16"/>
    <n v="1"/>
    <m/>
  </r>
  <r>
    <s v="0558116551-1"/>
    <s v="CRC"/>
    <n v="7.3999999999999996E-2"/>
    <n v="5.74"/>
    <n v="0"/>
    <n v="20"/>
    <n v="20"/>
    <s v="JBS"/>
    <d v="2002-02-17T00:00:00"/>
    <d v="2002-02-22T00:00:00"/>
    <d v="2002-05-12T00:00:00"/>
    <d v="2002-05-12T00:00:00"/>
    <d v="2002-03-29T00:00:00"/>
    <d v="2002-05-13T00:00:00"/>
    <s v="OTIF FAIL"/>
    <n v="1"/>
    <s v="1210_FG_JBS"/>
    <x v="4"/>
    <n v="1"/>
    <m/>
  </r>
  <r>
    <s v="0568012661-1"/>
    <s v="CST"/>
    <n v="7.5999999999999998E-2"/>
    <n v="22.1"/>
    <n v="0"/>
    <n v="12"/>
    <n v="12"/>
    <s v="JBS"/>
    <d v="2001-08-03T00:00:00"/>
    <d v="2002-02-28T00:00:00"/>
    <d v="2002-05-11T00:00:00"/>
    <d v="2002-05-11T00:00:00"/>
    <d v="2002-05-04T00:00:00"/>
    <d v="2002-05-04T00:00:00"/>
    <s v="OTIF FAIL"/>
    <n v="1"/>
    <s v="1210_FG_JBS"/>
    <x v="16"/>
    <n v="1"/>
    <m/>
  </r>
  <r>
    <s v="0558116531-1"/>
    <s v="HRC"/>
    <n v="7.3999999999999996E-2"/>
    <n v="5.74"/>
    <n v="0"/>
    <n v="10"/>
    <n v="10"/>
    <s v="JBS"/>
    <d v="2002-02-12T00:00:00"/>
    <d v="2002-02-21T00:00:00"/>
    <d v="2002-05-12T00:00:00"/>
    <d v="2002-05-12T00:00:00"/>
    <d v="2002-04-19T00:00:00"/>
    <d v="2002-05-13T00:00:00"/>
    <s v="OTIF FAIL"/>
    <n v="1"/>
    <s v="1210_FG_JBS"/>
    <x v="4"/>
    <n v="1"/>
    <m/>
  </r>
  <r>
    <s v="0568012661-2"/>
    <s v="CST"/>
    <n v="7.3999999999999996E-2"/>
    <n v="16.77"/>
    <n v="0"/>
    <n v="12"/>
    <n v="12"/>
    <s v="JBS"/>
    <d v="2001-08-03T00:00:00"/>
    <d v="2002-02-28T00:00:00"/>
    <d v="2002-05-12T00:00:00"/>
    <d v="2002-05-12T00:00:00"/>
    <d v="2002-05-05T00:00:00"/>
    <d v="2002-05-05T00:00:00"/>
    <s v="OTIF FAIL"/>
    <n v="2"/>
    <s v="1210_FG_JBS"/>
    <x v="19"/>
    <n v="1"/>
    <m/>
  </r>
  <r>
    <s v="0558116751-1"/>
    <s v="CST"/>
    <n v="7.3999999999999996E-2"/>
    <n v="5.74"/>
    <n v="0"/>
    <n v="10"/>
    <n v="9.9960000000000004"/>
    <s v="JBS"/>
    <d v="2002-04-06T00:00:00"/>
    <d v="2002-05-13T00:00:00"/>
    <s v="-"/>
    <s v="-"/>
    <d v="2002-05-13T00:00:00"/>
    <d v="2002-05-13T00:00:00"/>
    <s v="OTIF FAIL"/>
    <n v="1"/>
    <s v="1210_FG_JBS"/>
    <x v="4"/>
    <n v="0"/>
    <m/>
  </r>
  <r>
    <s v="0568012095-1"/>
    <s v="CST"/>
    <n v="7.4999999999999997E-2"/>
    <n v="5.74"/>
    <n v="0"/>
    <n v="7"/>
    <n v="7"/>
    <s v="JBS"/>
    <d v="2001-09-25T00:00:00"/>
    <d v="2002-02-28T00:00:00"/>
    <s v="-"/>
    <s v="-"/>
    <d v="2002-04-26T00:00:00"/>
    <d v="2002-04-26T00:00:00"/>
    <s v="OTIF FAIL"/>
    <n v="1"/>
    <s v="1210_FG_JBS"/>
    <x v="2"/>
    <n v="1"/>
    <m/>
  </r>
  <r>
    <s v="0558116530-1"/>
    <s v="CST"/>
    <n v="7.3999999999999996E-2"/>
    <n v="5.74"/>
    <n v="0"/>
    <n v="20"/>
    <n v="20"/>
    <s v="JBS"/>
    <d v="2002-02-12T00:00:00"/>
    <d v="2002-02-21T00:00:00"/>
    <d v="2002-05-12T00:00:00"/>
    <d v="2002-05-12T00:00:00"/>
    <d v="2002-04-12T00:00:00"/>
    <d v="2002-05-13T00:00:00"/>
    <s v="OTIF FAIL"/>
    <n v="1"/>
    <s v="1210_FG_JBS"/>
    <x v="4"/>
    <n v="1"/>
    <m/>
  </r>
  <r>
    <s v="0558116558-1"/>
    <s v="HRC"/>
    <n v="7.3999999999999996E-2"/>
    <n v="5.74"/>
    <n v="0"/>
    <n v="10"/>
    <n v="10"/>
    <s v="JBS"/>
    <d v="2002-02-17T00:00:00"/>
    <d v="2002-02-28T00:00:00"/>
    <d v="2002-05-12T00:00:00"/>
    <d v="2002-05-12T00:00:00"/>
    <d v="2002-04-26T00:00:00"/>
    <d v="2002-05-13T00:00:00"/>
    <s v="OTIF FAIL"/>
    <n v="1"/>
    <s v="1210_FG_JBS"/>
    <x v="4"/>
    <n v="1"/>
    <m/>
  </r>
  <r>
    <s v="0558116752-1"/>
    <s v="CST"/>
    <n v="7.3999999999999996E-2"/>
    <n v="5.74"/>
    <n v="0"/>
    <n v="20"/>
    <n v="20"/>
    <s v="JBS"/>
    <d v="2002-04-06T00:00:00"/>
    <d v="2002-04-28T00:00:00"/>
    <d v="2002-05-12T00:00:00"/>
    <d v="2002-05-12T00:00:00"/>
    <d v="2002-05-05T00:00:00"/>
    <d v="2002-05-13T00:00:00"/>
    <s v="OTIF FAIL"/>
    <n v="1"/>
    <s v="1210_FG_JBS"/>
    <x v="4"/>
    <n v="1"/>
    <m/>
  </r>
  <r>
    <s v="0558116544-3"/>
    <s v="CST"/>
    <n v="1"/>
    <n v="48"/>
    <n v="0"/>
    <n v="3"/>
    <n v="3"/>
    <s v="NFA"/>
    <d v="2002-02-12T00:00:00"/>
    <d v="2002-02-27T00:00:00"/>
    <d v="2002-02-27T00:00:00"/>
    <d v="2002-02-27T00:00:00"/>
    <s v="-"/>
    <d v="2002-03-21T00:00:00"/>
    <s v="OTIF PASS"/>
    <n v="3"/>
    <s v="1110_FG_NFA"/>
    <x v="0"/>
    <n v="0"/>
    <m/>
  </r>
  <r>
    <s v="0558116544-1"/>
    <s v="CST"/>
    <n v="1"/>
    <n v="41"/>
    <n v="0"/>
    <n v="1"/>
    <n v="0.73"/>
    <s v="NFA"/>
    <d v="2002-02-12T00:00:00"/>
    <d v="2002-02-27T00:00:00"/>
    <d v="2002-02-27T00:00:00"/>
    <d v="2002-02-27T00:00:00"/>
    <s v="-"/>
    <d v="2002-03-21T00:00:00"/>
    <s v="OTIF PASS"/>
    <n v="1"/>
    <s v="1110_FG_NFA"/>
    <x v="0"/>
    <n v="0"/>
    <m/>
  </r>
  <r>
    <s v="0558116544-2"/>
    <s v="CST"/>
    <n v="1"/>
    <n v="47"/>
    <n v="0"/>
    <n v="2"/>
    <n v="2"/>
    <s v="NFA"/>
    <d v="2002-02-12T00:00:00"/>
    <d v="2002-02-27T00:00:00"/>
    <d v="2002-02-27T00:00:00"/>
    <d v="2002-02-27T00:00:00"/>
    <s v="-"/>
    <d v="2002-03-21T00:00:00"/>
    <s v="OTIF PASS"/>
    <n v="2"/>
    <s v="1110_FG_NFA"/>
    <x v="0"/>
    <n v="0"/>
    <m/>
  </r>
  <r>
    <s v="0558116563-3"/>
    <s v="CRC"/>
    <n v="1"/>
    <n v="48"/>
    <n v="0"/>
    <n v="3"/>
    <n v="3"/>
    <s v="NFA"/>
    <d v="2002-02-17T00:00:00"/>
    <d v="2002-02-27T00:00:00"/>
    <d v="2002-03-12T00:00:00"/>
    <d v="2002-03-12T00:00:00"/>
    <d v="2002-03-21T00:00:00"/>
    <d v="2002-03-21T00:00:00"/>
    <s v="OTIF FAIL"/>
    <n v="3"/>
    <s v="1110_FG_NFA"/>
    <x v="0"/>
    <n v="1"/>
    <m/>
  </r>
  <r>
    <s v="0558116563-1"/>
    <s v="HRC"/>
    <n v="1"/>
    <n v="41"/>
    <n v="0"/>
    <n v="1"/>
    <n v="1"/>
    <s v="NFA"/>
    <d v="2002-02-17T00:00:00"/>
    <d v="2002-02-27T00:00:00"/>
    <d v="2002-03-12T00:00:00"/>
    <d v="2002-03-12T00:00:00"/>
    <d v="2002-03-21T00:00:00"/>
    <d v="2002-03-21T00:00:00"/>
    <s v="OTIF FAIL"/>
    <n v="1"/>
    <s v="1110_FG_NFA"/>
    <x v="0"/>
    <n v="1"/>
    <m/>
  </r>
  <r>
    <s v="0558116764-2"/>
    <s v="CRC"/>
    <n v="1"/>
    <n v="47"/>
    <n v="0"/>
    <n v="2"/>
    <n v="2"/>
    <s v="NFA"/>
    <d v="2002-04-06T00:00:00"/>
    <d v="2002-05-16T00:00:00"/>
    <s v="-"/>
    <s v="-"/>
    <s v="-"/>
    <d v="2002-03-21T00:00:00"/>
    <s v="OTIF FAIL"/>
    <n v="2"/>
    <s v="1110_FG_NFA"/>
    <x v="0"/>
    <n v="0"/>
    <m/>
  </r>
  <r>
    <s v="0558116764-1"/>
    <s v="HRC"/>
    <n v="1"/>
    <n v="41"/>
    <n v="0"/>
    <n v="1"/>
    <n v="1"/>
    <s v="NFA"/>
    <d v="2002-04-06T00:00:00"/>
    <d v="2002-05-16T00:00:00"/>
    <s v="-"/>
    <s v="-"/>
    <s v="-"/>
    <d v="2002-03-21T00:00:00"/>
    <s v="OTIF FAIL"/>
    <n v="1"/>
    <s v="1110_FG_NFA"/>
    <x v="0"/>
    <n v="0"/>
    <m/>
  </r>
  <r>
    <s v="0558116563-2"/>
    <s v="HRC"/>
    <n v="1"/>
    <n v="47"/>
    <n v="0"/>
    <n v="2"/>
    <n v="2"/>
    <s v="NFA"/>
    <d v="2002-02-17T00:00:00"/>
    <d v="2002-02-27T00:00:00"/>
    <d v="2002-03-14T00:00:00"/>
    <d v="2002-03-14T00:00:00"/>
    <d v="2002-03-21T00:00:00"/>
    <d v="2002-03-21T00:00:00"/>
    <s v="OTIF FAIL"/>
    <n v="2"/>
    <s v="1110_FG_NFA"/>
    <x v="0"/>
    <n v="1"/>
    <m/>
  </r>
  <r>
    <s v="0558116764-3"/>
    <s v="CRC"/>
    <n v="1"/>
    <n v="48"/>
    <n v="0"/>
    <n v="3"/>
    <n v="3"/>
    <s v="NFA"/>
    <d v="2002-04-06T00:00:00"/>
    <d v="2002-05-16T00:00:00"/>
    <s v="-"/>
    <s v="-"/>
    <s v="-"/>
    <d v="2002-03-21T00:00:00"/>
    <s v="OTIF FAIL"/>
    <n v="3"/>
    <s v="1110_FG_NFA"/>
    <x v="0"/>
    <n v="0"/>
    <m/>
  </r>
  <r>
    <s v="0558116784-1"/>
    <s v="CST"/>
    <n v="1.87"/>
    <n v="186"/>
    <n v="0"/>
    <n v="300"/>
    <n v="299.39999999999998"/>
    <s v="NFA"/>
    <d v="2002-04-11T00:00:00"/>
    <d v="2002-04-11T00:00:00"/>
    <d v="2002-04-18T00:00:00"/>
    <d v="2002-04-18T00:00:00"/>
    <s v="-"/>
    <d v="2002-03-13T00:00:00"/>
    <s v="OTIF FAIL"/>
    <n v="1"/>
    <s v="1110_FG_NFA"/>
    <x v="3"/>
    <n v="0"/>
    <m/>
  </r>
  <r>
    <s v="0558113514-1"/>
    <s v="HPC"/>
    <n v="1.87"/>
    <n v="186"/>
    <n v="0"/>
    <n v="300"/>
    <n v="226.32400000000001"/>
    <s v="NFA"/>
    <d v="2001-08-05T00:00:00"/>
    <d v="2002-02-27T00:00:00"/>
    <d v="2002-03-27T00:00:00"/>
    <d v="2002-03-27T00:00:00"/>
    <d v="2002-03-13T00:00:00"/>
    <d v="2002-03-13T00:00:00"/>
    <s v="OTIF FAIL"/>
    <n v="1"/>
    <s v="1110_FG_NFA"/>
    <x v="3"/>
    <n v="0"/>
    <m/>
  </r>
  <r>
    <s v="0558116784-3"/>
    <s v="CST"/>
    <n v="1.88"/>
    <n v="179"/>
    <n v="0"/>
    <n v="200"/>
    <n v="191.79900000000001"/>
    <s v="NFA"/>
    <d v="2002-04-11T00:00:00"/>
    <d v="2002-04-11T00:00:00"/>
    <d v="2002-04-25T00:00:00"/>
    <d v="2002-04-25T00:00:00"/>
    <s v="-"/>
    <d v="2002-03-21T00:00:00"/>
    <s v="OTIF FAIL"/>
    <n v="3"/>
    <s v="1110_FG_NFA"/>
    <x v="0"/>
    <n v="0"/>
    <m/>
  </r>
  <r>
    <s v="0558116803-3"/>
    <s v="CBL"/>
    <n v="1.88"/>
    <n v="179"/>
    <n v="0"/>
    <n v="200"/>
    <n v="200"/>
    <s v="NFA"/>
    <d v="2002-04-23T00:00:00"/>
    <d v="2002-04-23T00:00:00"/>
    <d v="2002-05-13T00:00:00"/>
    <d v="2002-05-13T00:00:00"/>
    <s v="-"/>
    <d v="2002-03-21T00:00:00"/>
    <s v="OTIF FAIL"/>
    <n v="3"/>
    <s v="1110_FG_NFA"/>
    <x v="0"/>
    <n v="0"/>
    <m/>
  </r>
  <r>
    <s v="0558113514-3"/>
    <s v="NFA"/>
    <n v="1.88"/>
    <n v="179"/>
    <n v="0"/>
    <n v="200"/>
    <n v="119.91200000000001"/>
    <s v="NFA"/>
    <d v="2001-08-05T00:00:00"/>
    <d v="2002-02-27T00:00:00"/>
    <d v="2002-04-29T00:00:00"/>
    <d v="2002-04-29T00:00:00"/>
    <d v="2002-03-21T00:00:00"/>
    <d v="2002-03-21T00:00:00"/>
    <s v="OTIF FAIL"/>
    <n v="3"/>
    <s v="1110_FG_NFA"/>
    <x v="0"/>
    <n v="0"/>
    <m/>
  </r>
  <r>
    <s v="0558116513-1"/>
    <s v="HRC"/>
    <n v="0.2"/>
    <n v="24"/>
    <n v="0"/>
    <n v="0.3"/>
    <n v="0.3"/>
    <s v="NFA"/>
    <d v="2002-01-25T00:00:00"/>
    <d v="2002-02-27T00:00:00"/>
    <d v="2002-03-12T00:00:00"/>
    <d v="2002-03-12T00:00:00"/>
    <d v="2002-03-21T00:00:00"/>
    <d v="2002-03-21T00:00:00"/>
    <s v="OTIF FAIL"/>
    <n v="1"/>
    <s v="1110_FG_NFA"/>
    <x v="0"/>
    <n v="1"/>
    <m/>
  </r>
  <r>
    <s v="0558113765-4"/>
    <s v="HRC"/>
    <n v="1"/>
    <n v="43"/>
    <n v="0"/>
    <n v="0.6"/>
    <n v="0.59099999999999997"/>
    <s v="NFA"/>
    <d v="2002-01-27T00:00:00"/>
    <d v="2002-02-27T00:00:00"/>
    <d v="2002-04-05T00:00:00"/>
    <d v="2002-04-05T00:00:00"/>
    <d v="2002-03-29T00:00:00"/>
    <d v="2002-03-29T00:00:00"/>
    <s v="OTIF FAIL"/>
    <n v="4"/>
    <s v="1110_FG_NFA"/>
    <x v="9"/>
    <n v="0"/>
    <m/>
  </r>
  <r>
    <s v="0558113700-5"/>
    <s v="HRC"/>
    <n v="0.3"/>
    <n v="356"/>
    <n v="0"/>
    <n v="0.8"/>
    <n v="0.8"/>
    <s v="NFA"/>
    <d v="2002-01-27T00:00:00"/>
    <d v="2002-02-27T00:00:00"/>
    <d v="2002-02-27T00:00:00"/>
    <d v="2002-02-27T00:00:00"/>
    <d v="2002-02-27T00:00:00"/>
    <d v="2002-02-27T00:00:00"/>
    <s v="OTIF PASS"/>
    <n v="5"/>
    <s v="1110_FG_NFA"/>
    <x v="5"/>
    <n v="1"/>
    <m/>
  </r>
  <r>
    <s v="0558113765-2"/>
    <s v="HPC"/>
    <n v="1"/>
    <n v="38.5"/>
    <n v="0"/>
    <n v="2.5"/>
    <n v="0.88600000000000001"/>
    <s v="NFA"/>
    <d v="2001-08-09T00:00:00"/>
    <d v="2002-02-27T00:00:00"/>
    <d v="2002-04-05T00:00:00"/>
    <d v="2002-04-05T00:00:00"/>
    <d v="2002-03-29T00:00:00"/>
    <d v="2002-03-29T00:00:00"/>
    <s v="OTIF FAIL"/>
    <n v="2"/>
    <s v="1110_FG_NFA"/>
    <x v="9"/>
    <n v="0"/>
    <m/>
  </r>
  <r>
    <s v="0558114260-1"/>
    <s v="HRC"/>
    <n v="0.2"/>
    <n v="61"/>
    <n v="0"/>
    <n v="1"/>
    <n v="1"/>
    <s v="NFA"/>
    <d v="2002-01-27T00:00:00"/>
    <d v="2002-02-27T00:00:00"/>
    <s v="-"/>
    <s v="-"/>
    <d v="2002-03-22T00:00:00"/>
    <d v="2002-03-22T00:00:00"/>
    <s v="OTIF FAIL"/>
    <n v="1"/>
    <s v="1110_FG_NFA"/>
    <x v="0"/>
    <n v="1"/>
    <m/>
  </r>
  <r>
    <s v="0558116514-3"/>
    <s v="PSS"/>
    <n v="0.2"/>
    <n v="70"/>
    <n v="0"/>
    <n v="0.7"/>
    <n v="0.7"/>
    <s v="NFA"/>
    <d v="2002-01-27T00:00:00"/>
    <d v="2002-03-31T00:00:00"/>
    <d v="2002-04-07T00:00:00"/>
    <d v="2002-04-07T00:00:00"/>
    <d v="2002-03-31T00:00:00"/>
    <d v="2002-03-31T00:00:00"/>
    <s v="OTIF FAIL"/>
    <n v="3"/>
    <s v="1110_FG_NFA"/>
    <x v="6"/>
    <n v="1"/>
    <m/>
  </r>
  <r>
    <s v="0558113765-3"/>
    <s v="HRC"/>
    <n v="1"/>
    <n v="40"/>
    <n v="0"/>
    <n v="1.25"/>
    <n v="0.86799999999999999"/>
    <s v="NFA"/>
    <d v="2002-01-27T00:00:00"/>
    <d v="2002-02-27T00:00:00"/>
    <d v="2002-04-05T00:00:00"/>
    <d v="2002-04-05T00:00:00"/>
    <d v="2002-03-29T00:00:00"/>
    <d v="2002-03-29T00:00:00"/>
    <s v="OTIF FAIL"/>
    <n v="3"/>
    <s v="1110_FG_NFA"/>
    <x v="9"/>
    <n v="0"/>
    <m/>
  </r>
  <r>
    <s v="0558114260-4"/>
    <s v="CST"/>
    <n v="0.2"/>
    <n v="39.5"/>
    <n v="0"/>
    <n v="0.7"/>
    <n v="0.7"/>
    <s v="NFA"/>
    <d v="2002-01-27T00:00:00"/>
    <d v="2002-02-27T00:00:00"/>
    <d v="2002-04-04T00:00:00"/>
    <d v="2002-04-04T00:00:00"/>
    <d v="2002-03-21T00:00:00"/>
    <d v="2002-03-21T00:00:00"/>
    <s v="OTIF FAIL"/>
    <n v="4"/>
    <s v="1110_FG_NFA"/>
    <x v="0"/>
    <n v="1"/>
    <m/>
  </r>
  <r>
    <s v="0558116514-4"/>
    <s v="CRC"/>
    <n v="0.2"/>
    <n v="60"/>
    <n v="0"/>
    <n v="0.7"/>
    <n v="0.7"/>
    <s v="NFA"/>
    <d v="2002-01-27T00:00:00"/>
    <d v="2002-03-31T00:00:00"/>
    <d v="2002-04-07T00:00:00"/>
    <d v="2002-04-07T00:00:00"/>
    <d v="2002-04-07T00:00:00"/>
    <d v="2002-04-07T00:00:00"/>
    <s v="OTIF FAIL"/>
    <n v="4"/>
    <s v="1110_FG_NFA"/>
    <x v="7"/>
    <n v="1"/>
    <m/>
  </r>
  <r>
    <s v="0558116514-2"/>
    <s v="HRC"/>
    <n v="0.2"/>
    <n v="39.5"/>
    <n v="0"/>
    <n v="0.5"/>
    <n v="0.5"/>
    <s v="NFA"/>
    <d v="2002-01-27T00:00:00"/>
    <d v="2002-03-31T00:00:00"/>
    <d v="2002-04-07T00:00:00"/>
    <d v="2002-04-07T00:00:00"/>
    <d v="2002-03-31T00:00:00"/>
    <d v="2002-03-31T00:00:00"/>
    <s v="OTIF FAIL"/>
    <n v="2"/>
    <s v="1110_FG_NFA"/>
    <x v="6"/>
    <n v="1"/>
    <m/>
  </r>
  <r>
    <s v="0558114260-7"/>
    <s v="HPC"/>
    <n v="0.2"/>
    <n v="41.3"/>
    <n v="0"/>
    <n v="1.1499999999999999"/>
    <n v="1.1499999999999999"/>
    <s v="NFA"/>
    <d v="2002-01-27T00:00:00"/>
    <d v="2002-03-01T00:00:00"/>
    <s v="-"/>
    <s v="-"/>
    <d v="2002-03-22T00:00:00"/>
    <d v="2002-03-22T00:00:00"/>
    <s v="OTIF FAIL"/>
    <n v="7"/>
    <s v="1110_FG_NFA"/>
    <x v="0"/>
    <n v="1"/>
    <m/>
  </r>
  <r>
    <s v="0558114260-2"/>
    <s v="CRC"/>
    <n v="0.2"/>
    <n v="46"/>
    <n v="0"/>
    <n v="0.8"/>
    <n v="0.8"/>
    <s v="NFA"/>
    <d v="2002-01-27T00:00:00"/>
    <d v="2002-02-27T00:00:00"/>
    <s v="-"/>
    <s v="-"/>
    <d v="2002-03-22T00:00:00"/>
    <d v="2002-03-22T00:00:00"/>
    <s v="OTIF FAIL"/>
    <n v="2"/>
    <s v="1110_FG_NFA"/>
    <x v="0"/>
    <n v="1"/>
    <m/>
  </r>
  <r>
    <s v="0558116514-1"/>
    <s v="HPC"/>
    <n v="0.2"/>
    <n v="24"/>
    <n v="0"/>
    <n v="0.3"/>
    <n v="0.3"/>
    <s v="NFA"/>
    <d v="2002-01-27T00:00:00"/>
    <d v="2002-02-27T00:00:00"/>
    <d v="2002-03-12T00:00:00"/>
    <d v="2002-03-12T00:00:00"/>
    <d v="2002-03-21T00:00:00"/>
    <d v="2002-03-21T00:00:00"/>
    <s v="OTIF FAIL"/>
    <n v="1"/>
    <s v="1110_FG_NFA"/>
    <x v="0"/>
    <n v="1"/>
    <m/>
  </r>
  <r>
    <s v="0558116514-5"/>
    <s v="CST"/>
    <n v="0.2"/>
    <n v="54.5"/>
    <n v="0"/>
    <n v="0.6"/>
    <n v="0.6"/>
    <s v="NFA"/>
    <d v="2002-01-27T00:00:00"/>
    <d v="2002-03-31T00:00:00"/>
    <d v="2002-04-07T00:00:00"/>
    <d v="2002-04-07T00:00:00"/>
    <d v="2002-04-07T00:00:00"/>
    <d v="2002-04-07T00:00:00"/>
    <s v="OTIF FAIL"/>
    <n v="5"/>
    <s v="1110_FG_NFA"/>
    <x v="7"/>
    <n v="1"/>
    <m/>
  </r>
  <r>
    <s v="0558114005-1"/>
    <s v="CST"/>
    <n v="0.2"/>
    <n v="108.7"/>
    <n v="0"/>
    <n v="73"/>
    <n v="73"/>
    <s v="PSS"/>
    <d v="2001-08-13T00:00:00"/>
    <d v="2002-03-25T00:00:00"/>
    <d v="2002-05-07T00:00:00"/>
    <d v="2002-05-07T00:00:00"/>
    <d v="2002-04-15T00:00:00"/>
    <d v="2002-04-15T00:00:00"/>
    <s v="OTIF FAIL"/>
    <n v="1"/>
    <s v="1210_FG_PSS"/>
    <x v="15"/>
    <n v="1"/>
    <m/>
  </r>
  <r>
    <s v="0558113641-1"/>
    <s v="HPC"/>
    <n v="0.4"/>
    <n v="75.400000000000006"/>
    <n v="0"/>
    <n v="40"/>
    <n v="31.419"/>
    <s v="PSS"/>
    <d v="2001-08-08T00:00:00"/>
    <d v="2002-03-25T00:00:00"/>
    <d v="2002-05-07T00:00:00"/>
    <d v="2002-05-07T00:00:00"/>
    <d v="2002-04-01T00:00:00"/>
    <d v="2002-04-16T00:00:00"/>
    <s v="OTIF FAIL"/>
    <n v="1"/>
    <s v="1210_FG_PSS"/>
    <x v="15"/>
    <n v="0"/>
    <m/>
  </r>
  <r>
    <s v="0558114751-1"/>
    <s v="CRC"/>
    <n v="0.4"/>
    <n v="75.400000000000006"/>
    <n v="0"/>
    <n v="20"/>
    <n v="20"/>
    <s v="PSS"/>
    <d v="2001-08-23T00:00:00"/>
    <d v="2002-03-26T00:00:00"/>
    <d v="2002-05-07T00:00:00"/>
    <d v="2002-05-07T00:00:00"/>
    <d v="2002-04-16T00:00:00"/>
    <d v="2002-04-16T00:00:00"/>
    <s v="OTIF FAIL"/>
    <n v="1"/>
    <s v="1210_FG_PSS"/>
    <x v="15"/>
    <n v="1"/>
    <m/>
  </r>
  <r>
    <s v="0558116208-5"/>
    <s v="HRC"/>
    <n v="0.2"/>
    <n v="285"/>
    <n v="0"/>
    <n v="2"/>
    <n v="2"/>
    <s v="PSS"/>
    <d v="2001-10-28T00:00:00"/>
    <d v="2002-03-26T00:00:00"/>
    <d v="2002-04-02T00:00:00"/>
    <d v="2002-04-02T00:00:00"/>
    <d v="2002-04-02T00:00:00"/>
    <d v="2002-04-02T00:00:00"/>
    <s v="OTIF FAIL"/>
    <n v="5"/>
    <s v="1210_FG_PSS"/>
    <x v="6"/>
    <n v="1"/>
    <m/>
  </r>
  <r>
    <s v="0558116210-4"/>
    <s v="CRC"/>
    <n v="0.15"/>
    <n v="305"/>
    <n v="0"/>
    <n v="5"/>
    <n v="5"/>
    <s v="PSS"/>
    <d v="2001-10-28T00:00:00"/>
    <d v="2002-03-27T00:00:00"/>
    <d v="2002-04-17T00:00:00"/>
    <d v="2002-04-17T00:00:00"/>
    <d v="2002-04-17T00:00:00"/>
    <d v="2002-04-17T00:00:00"/>
    <s v="OTIF FAIL"/>
    <n v="4"/>
    <s v="1210_FG_PSS"/>
    <x v="15"/>
    <n v="1"/>
    <m/>
  </r>
  <r>
    <s v="0568012530-2"/>
    <s v="CRC"/>
    <n v="0.19800000000000001"/>
    <n v="582.29499999999996"/>
    <n v="0"/>
    <n v="18.143999999999998"/>
    <n v="18.143999999999998"/>
    <s v="PSS"/>
    <d v="2001-09-25T00:00:00"/>
    <d v="2002-03-27T00:00:00"/>
    <d v="2002-04-17T00:00:00"/>
    <d v="2002-04-17T00:00:00"/>
    <d v="2002-04-17T00:00:00"/>
    <d v="2002-04-17T00:00:00"/>
    <s v="OTIF FAIL"/>
    <n v="2"/>
    <s v="1210_FG_PSS"/>
    <x v="15"/>
    <n v="1"/>
    <m/>
  </r>
  <r>
    <s v="0568012530-7"/>
    <s v="CST"/>
    <n v="0.19800000000000001"/>
    <n v="582.29499999999996"/>
    <n v="0"/>
    <n v="18.143999999999998"/>
    <n v="18.143999999999998"/>
    <s v="PSS"/>
    <d v="2001-09-25T00:00:00"/>
    <d v="2002-03-27T00:00:00"/>
    <d v="2002-04-17T00:00:00"/>
    <d v="2002-04-17T00:00:00"/>
    <d v="2002-04-17T00:00:00"/>
    <d v="2002-04-17T00:00:00"/>
    <s v="OTIF FAIL"/>
    <n v="7"/>
    <s v="1210_FG_PSS"/>
    <x v="15"/>
    <n v="1"/>
    <m/>
  </r>
  <r>
    <s v="0568012530-4"/>
    <s v="PSS"/>
    <n v="0.19800000000000001"/>
    <n v="582.29499999999996"/>
    <n v="0"/>
    <n v="18.143999999999998"/>
    <n v="18.143999999999998"/>
    <s v="PSS"/>
    <d v="2001-09-25T00:00:00"/>
    <d v="2002-03-27T00:00:00"/>
    <d v="2002-04-17T00:00:00"/>
    <d v="2002-04-17T00:00:00"/>
    <d v="2002-04-17T00:00:00"/>
    <d v="2002-04-17T00:00:00"/>
    <s v="OTIF FAIL"/>
    <n v="4"/>
    <s v="1210_FG_PSS"/>
    <x v="15"/>
    <n v="1"/>
    <m/>
  </r>
  <r>
    <s v="0568012739-1"/>
    <s v="CST"/>
    <n v="0.19800000000000001"/>
    <n v="582.29499999999996"/>
    <n v="0"/>
    <n v="18.143999999999998"/>
    <n v="18.143999999999998"/>
    <s v="PSS"/>
    <d v="2001-08-09T00:00:00"/>
    <d v="2002-03-28T00:00:00"/>
    <s v="-"/>
    <s v="-"/>
    <d v="2002-04-05T00:00:00"/>
    <d v="2002-04-17T00:00:00"/>
    <s v="OTIF FAIL"/>
    <n v="1"/>
    <s v="1210_FG_PSS"/>
    <x v="15"/>
    <n v="1"/>
    <m/>
  </r>
  <r>
    <s v="0568012530-3"/>
    <s v="CST"/>
    <n v="0.19800000000000001"/>
    <n v="582.29499999999996"/>
    <n v="0"/>
    <n v="18.143999999999998"/>
    <n v="18.143999999999998"/>
    <s v="PSS"/>
    <d v="2001-09-25T00:00:00"/>
    <d v="2002-03-27T00:00:00"/>
    <d v="2002-04-10T00:00:00"/>
    <d v="2002-04-10T00:00:00"/>
    <d v="2002-04-10T00:00:00"/>
    <d v="2002-04-17T00:00:00"/>
    <s v="OTIF FAIL"/>
    <n v="3"/>
    <s v="1210_FG_PSS"/>
    <x v="15"/>
    <n v="1"/>
    <m/>
  </r>
  <r>
    <s v="0558114496-5"/>
    <s v="CST"/>
    <n v="0.2"/>
    <n v="297"/>
    <n v="0"/>
    <n v="2"/>
    <n v="2"/>
    <s v="PSS"/>
    <d v="2001-08-21T00:00:00"/>
    <d v="2002-03-26T00:00:00"/>
    <d v="2002-04-30T00:00:00"/>
    <d v="2002-04-30T00:00:00"/>
    <d v="2002-04-23T00:00:00"/>
    <d v="2002-04-23T00:00:00"/>
    <s v="OTIF FAIL"/>
    <n v="5"/>
    <s v="1210_FG_PSS"/>
    <x v="2"/>
    <n v="1"/>
    <m/>
  </r>
  <r>
    <s v="0558113510-1"/>
    <s v="CST"/>
    <n v="0.15"/>
    <n v="297"/>
    <n v="0"/>
    <n v="4"/>
    <n v="4"/>
    <s v="PSS"/>
    <d v="2001-08-06T00:00:00"/>
    <d v="2002-03-25T00:00:00"/>
    <d v="2002-03-30T00:00:00"/>
    <d v="2002-03-30T00:00:00"/>
    <d v="2002-03-30T00:00:00"/>
    <d v="2002-04-02T00:00:00"/>
    <s v="OTIF FAIL"/>
    <n v="1"/>
    <s v="1210_FG_PSS"/>
    <x v="6"/>
    <n v="1"/>
    <m/>
  </r>
  <r>
    <s v="0558113510-2"/>
    <s v="HRC"/>
    <n v="0.15"/>
    <n v="305"/>
    <n v="0"/>
    <n v="6"/>
    <n v="6"/>
    <s v="PSS"/>
    <d v="2001-08-06T00:00:00"/>
    <d v="2002-03-25T00:00:00"/>
    <s v="-"/>
    <s v="-"/>
    <d v="2002-04-17T00:00:00"/>
    <d v="2002-04-17T00:00:00"/>
    <s v="OTIF FAIL"/>
    <n v="2"/>
    <s v="1210_FG_PSS"/>
    <x v="15"/>
    <n v="1"/>
    <m/>
  </r>
  <r>
    <s v="0558113510-4"/>
    <s v="CST"/>
    <n v="0.2"/>
    <n v="179"/>
    <n v="0"/>
    <n v="4"/>
    <n v="4"/>
    <s v="PSS"/>
    <d v="2001-08-06T00:00:00"/>
    <d v="2002-03-25T00:00:00"/>
    <d v="2002-03-31T00:00:00"/>
    <d v="2002-03-31T00:00:00"/>
    <d v="2002-03-31T00:00:00"/>
    <d v="2002-03-31T00:00:00"/>
    <s v="OTIF FAIL"/>
    <n v="4"/>
    <s v="1210_FG_PSS"/>
    <x v="6"/>
    <n v="1"/>
    <m/>
  </r>
  <r>
    <s v="0558114496-4"/>
    <s v="PSS"/>
    <n v="0.2"/>
    <n v="196"/>
    <n v="0"/>
    <n v="2"/>
    <n v="2"/>
    <s v="PSS"/>
    <d v="2001-08-21T00:00:00"/>
    <d v="2002-03-26T00:00:00"/>
    <d v="2002-04-30T00:00:00"/>
    <d v="2002-04-30T00:00:00"/>
    <d v="2002-04-23T00:00:00"/>
    <d v="2002-04-23T00:00:00"/>
    <s v="OTIF FAIL"/>
    <n v="4"/>
    <s v="1210_FG_PSS"/>
    <x v="2"/>
    <n v="1"/>
    <m/>
  </r>
  <r>
    <s v="0558116209-5"/>
    <s v="HRC"/>
    <n v="0.2"/>
    <n v="285"/>
    <n v="0"/>
    <n v="2"/>
    <n v="2"/>
    <s v="PSS"/>
    <d v="2001-10-28T00:00:00"/>
    <d v="2002-03-26T00:00:00"/>
    <d v="2002-03-31T00:00:00"/>
    <d v="2002-03-31T00:00:00"/>
    <d v="2002-03-31T00:00:00"/>
    <d v="2002-04-02T00:00:00"/>
    <s v="OTIF FAIL"/>
    <n v="5"/>
    <s v="1210_FG_PSS"/>
    <x v="6"/>
    <n v="1"/>
    <m/>
  </r>
  <r>
    <s v="0558107995-1"/>
    <s v="HPC"/>
    <n v="0.2"/>
    <n v="250"/>
    <n v="0"/>
    <n v="2.5"/>
    <n v="2.5"/>
    <s v="PSS"/>
    <d v="2001-09-25T00:00:00"/>
    <d v="2002-03-24T00:00:00"/>
    <d v="2002-03-31T00:00:00"/>
    <d v="2002-03-31T00:00:00"/>
    <d v="2002-03-31T00:00:00"/>
    <d v="2002-03-31T00:00:00"/>
    <s v="OTIF FAIL"/>
    <n v="1"/>
    <s v="1210_FG_PSS"/>
    <x v="6"/>
    <n v="1"/>
    <m/>
  </r>
  <r>
    <s v="0558115768-15"/>
    <s v="CST"/>
    <n v="0.2"/>
    <n v="120"/>
    <n v="0"/>
    <n v="2"/>
    <n v="2"/>
    <s v="PSS"/>
    <d v="2001-08-31T00:00:00"/>
    <d v="2002-03-26T00:00:00"/>
    <d v="2002-04-24T00:00:00"/>
    <d v="2002-04-24T00:00:00"/>
    <d v="2002-04-17T00:00:00"/>
    <d v="2002-04-17T00:00:00"/>
    <s v="OTIF FAIL"/>
    <n v="15"/>
    <s v="1210_FG_PSS"/>
    <x v="15"/>
    <n v="1"/>
    <m/>
  </r>
  <r>
    <s v="0558113979-1"/>
    <s v="HRC"/>
    <n v="0.15"/>
    <n v="250"/>
    <n v="0"/>
    <n v="4"/>
    <n v="4"/>
    <s v="PSS"/>
    <d v="2001-08-13T00:00:00"/>
    <d v="2002-03-25T00:00:00"/>
    <d v="2002-04-08T00:00:00"/>
    <d v="2002-04-08T00:00:00"/>
    <d v="2002-04-08T00:00:00"/>
    <d v="2002-04-22T00:00:00"/>
    <s v="OTIF FAIL"/>
    <n v="1"/>
    <s v="1210_FG_PSS"/>
    <x v="2"/>
    <n v="1"/>
    <m/>
  </r>
  <r>
    <s v="0568012530-5"/>
    <s v="HRC"/>
    <n v="0.19800000000000001"/>
    <n v="582.29499999999996"/>
    <n v="0"/>
    <n v="18.143999999999998"/>
    <n v="18.143999999999998"/>
    <s v="PSS"/>
    <d v="2001-09-25T00:00:00"/>
    <d v="2002-03-27T00:00:00"/>
    <d v="2002-04-17T00:00:00"/>
    <d v="2002-04-17T00:00:00"/>
    <d v="2002-04-17T00:00:00"/>
    <d v="2002-04-17T00:00:00"/>
    <s v="OTIF FAIL"/>
    <n v="5"/>
    <s v="1210_FG_PSS"/>
    <x v="15"/>
    <n v="1"/>
    <m/>
  </r>
  <r>
    <s v="0558115768-13"/>
    <s v="HRC"/>
    <n v="0.25"/>
    <n v="110"/>
    <n v="0"/>
    <n v="2"/>
    <n v="2"/>
    <s v="PSS"/>
    <d v="2001-08-31T00:00:00"/>
    <d v="2002-03-26T00:00:00"/>
    <d v="2002-04-29T00:00:00"/>
    <d v="2002-04-29T00:00:00"/>
    <d v="2002-04-22T00:00:00"/>
    <d v="2002-04-22T00:00:00"/>
    <s v="OTIF FAIL"/>
    <n v="13"/>
    <s v="1210_FG_PSS"/>
    <x v="2"/>
    <n v="1"/>
    <m/>
  </r>
  <r>
    <s v="0558113979-4"/>
    <s v="HRC"/>
    <n v="0.15"/>
    <n v="286"/>
    <n v="0"/>
    <n v="4"/>
    <n v="4"/>
    <s v="PSS"/>
    <d v="2001-08-13T00:00:00"/>
    <d v="2002-03-25T00:00:00"/>
    <d v="2002-04-29T00:00:00"/>
    <d v="2002-04-29T00:00:00"/>
    <d v="2002-04-22T00:00:00"/>
    <d v="2002-04-22T00:00:00"/>
    <s v="OTIF FAIL"/>
    <n v="4"/>
    <s v="1210_FG_PSS"/>
    <x v="2"/>
    <n v="1"/>
    <m/>
  </r>
  <r>
    <s v="0558116211-4"/>
    <s v="CRC"/>
    <n v="0.15"/>
    <n v="305"/>
    <n v="0"/>
    <n v="5"/>
    <n v="5"/>
    <s v="PSS"/>
    <d v="2001-10-28T00:00:00"/>
    <d v="2002-03-27T00:00:00"/>
    <d v="2002-03-28T00:00:00"/>
    <d v="2002-03-28T00:00:00"/>
    <d v="2002-03-28T00:00:00"/>
    <d v="2002-04-17T00:00:00"/>
    <s v="OTIF FAIL"/>
    <n v="4"/>
    <s v="1210_FG_PSS"/>
    <x v="15"/>
    <n v="1"/>
    <m/>
  </r>
  <r>
    <s v="0558113979-6"/>
    <s v="HRC"/>
    <n v="0.15"/>
    <n v="250"/>
    <n v="0"/>
    <n v="2.5"/>
    <n v="2.5"/>
    <s v="PSS"/>
    <d v="2001-08-13T00:00:00"/>
    <d v="2002-03-25T00:00:00"/>
    <s v="-"/>
    <s v="-"/>
    <d v="2002-04-22T00:00:00"/>
    <d v="2002-04-22T00:00:00"/>
    <s v="OTIF FAIL"/>
    <n v="6"/>
    <s v="1210_FG_PSS"/>
    <x v="2"/>
    <n v="1"/>
    <m/>
  </r>
  <r>
    <s v="0558114496-6"/>
    <s v="CST"/>
    <n v="0.2"/>
    <n v="305"/>
    <n v="0"/>
    <n v="2"/>
    <n v="2"/>
    <s v="PSS"/>
    <d v="2001-08-21T00:00:00"/>
    <d v="2002-03-26T00:00:00"/>
    <s v="-"/>
    <s v="-"/>
    <d v="2002-04-17T00:00:00"/>
    <d v="2002-04-17T00:00:00"/>
    <s v="OTIF FAIL"/>
    <n v="6"/>
    <s v="1210_FG_PSS"/>
    <x v="15"/>
    <n v="1"/>
    <m/>
  </r>
  <r>
    <s v="0568012530-10"/>
    <s v="HRC"/>
    <n v="0.19800000000000001"/>
    <n v="582.29499999999996"/>
    <n v="0"/>
    <n v="18.143999999999998"/>
    <n v="18.143999999999998"/>
    <s v="PSS"/>
    <d v="2001-09-25T00:00:00"/>
    <d v="2002-03-27T00:00:00"/>
    <d v="2002-03-27T00:00:00"/>
    <d v="2002-03-27T00:00:00"/>
    <d v="2002-03-27T00:00:00"/>
    <d v="2002-04-17T00:00:00"/>
    <s v="OTIF PASS"/>
    <n v="10"/>
    <s v="1210_FG_PSS"/>
    <x v="15"/>
    <n v="1"/>
    <m/>
  </r>
  <r>
    <s v="0558114496-3"/>
    <s v="CST"/>
    <n v="0.2"/>
    <n v="179"/>
    <n v="0"/>
    <n v="2"/>
    <n v="2"/>
    <s v="PSS"/>
    <d v="2001-08-21T00:00:00"/>
    <d v="2002-03-26T00:00:00"/>
    <d v="2002-03-31T00:00:00"/>
    <d v="2002-03-31T00:00:00"/>
    <d v="2002-03-31T00:00:00"/>
    <d v="2002-03-31T00:00:00"/>
    <s v="OTIF FAIL"/>
    <n v="3"/>
    <s v="1210_FG_PSS"/>
    <x v="6"/>
    <n v="1"/>
    <m/>
  </r>
  <r>
    <s v="0558115771-1"/>
    <s v="HRC"/>
    <n v="0.2"/>
    <n v="330"/>
    <n v="0"/>
    <n v="2"/>
    <n v="2"/>
    <s v="PSS"/>
    <d v="2001-08-31T00:00:00"/>
    <d v="2002-03-26T00:00:00"/>
    <d v="2002-04-08T00:00:00"/>
    <d v="2002-04-08T00:00:00"/>
    <d v="2002-03-26T00:00:00"/>
    <d v="2002-03-26T00:00:00"/>
    <s v="OTIF FAIL"/>
    <n v="1"/>
    <s v="1210_FG_PSS"/>
    <x v="9"/>
    <n v="1"/>
    <m/>
  </r>
  <r>
    <s v="0558115772-1"/>
    <s v="PSS"/>
    <n v="0.3"/>
    <n v="170"/>
    <n v="0"/>
    <n v="2"/>
    <n v="2"/>
    <s v="PSS"/>
    <d v="2001-08-31T00:00:00"/>
    <d v="2002-03-10T00:00:00"/>
    <d v="2002-04-17T00:00:00"/>
    <d v="2002-04-17T00:00:00"/>
    <d v="2002-04-05T00:00:00"/>
    <d v="2002-04-05T00:00:00"/>
    <s v="OTIF FAIL"/>
    <n v="1"/>
    <s v="1210_FG_PSS"/>
    <x v="6"/>
    <n v="1"/>
    <m/>
  </r>
  <r>
    <s v="0568012911-1"/>
    <s v="HRC"/>
    <n v="7.5999999999999998E-2"/>
    <n v="8.5850000000000009"/>
    <n v="0"/>
    <n v="10"/>
    <n v="10"/>
    <s v="PSS"/>
    <d v="2002-04-22T00:00:00"/>
    <d v="2002-05-06T00:00:00"/>
    <s v="-"/>
    <s v="-"/>
    <s v="-"/>
    <d v="2002-04-05T00:00:00"/>
    <s v="OTIF FAIL"/>
    <n v="1"/>
    <s v="1210_FG_PSS"/>
    <x v="6"/>
    <n v="0"/>
    <m/>
  </r>
  <r>
    <s v="0558113979-8"/>
    <s v="CST"/>
    <n v="0.15"/>
    <n v="150"/>
    <n v="0"/>
    <n v="2.5"/>
    <n v="2.5"/>
    <s v="PSS"/>
    <d v="2001-08-13T00:00:00"/>
    <d v="2002-03-25T00:00:00"/>
    <d v="2002-04-15T00:00:00"/>
    <d v="2002-04-15T00:00:00"/>
    <d v="2002-04-15T00:00:00"/>
    <d v="2002-04-15T00:00:00"/>
    <s v="OTIF FAIL"/>
    <n v="8"/>
    <s v="1210_FG_PSS"/>
    <x v="15"/>
    <n v="1"/>
    <m/>
  </r>
  <r>
    <s v="0568012910-1"/>
    <s v="CRC"/>
    <n v="7.5999999999999998E-2"/>
    <n v="6.782"/>
    <n v="0"/>
    <n v="10"/>
    <n v="10"/>
    <s v="PSS"/>
    <d v="2002-04-22T00:00:00"/>
    <d v="2002-05-06T00:00:00"/>
    <s v="-"/>
    <s v="-"/>
    <s v="-"/>
    <d v="2002-04-05T00:00:00"/>
    <s v="OTIF FAIL"/>
    <n v="1"/>
    <s v="1210_FG_PSS"/>
    <x v="6"/>
    <n v="0"/>
    <m/>
  </r>
  <r>
    <s v="0568012530-8"/>
    <s v="CRC"/>
    <n v="0.19800000000000001"/>
    <n v="582.29499999999996"/>
    <n v="0"/>
    <n v="18.143999999999998"/>
    <n v="18.143999999999998"/>
    <s v="PSS"/>
    <d v="2001-09-25T00:00:00"/>
    <d v="2002-03-27T00:00:00"/>
    <d v="2002-04-11T00:00:00"/>
    <d v="2002-04-11T00:00:00"/>
    <d v="2002-04-11T00:00:00"/>
    <d v="2002-04-17T00:00:00"/>
    <s v="OTIF FAIL"/>
    <n v="8"/>
    <s v="1210_FG_PSS"/>
    <x v="15"/>
    <n v="1"/>
    <m/>
  </r>
  <r>
    <s v="0568012909-2"/>
    <s v="JBS"/>
    <n v="7.5999999999999998E-2"/>
    <n v="10.262"/>
    <n v="0"/>
    <n v="10"/>
    <n v="10"/>
    <s v="PSS"/>
    <d v="2002-04-22T00:00:00"/>
    <d v="2002-05-05T00:00:00"/>
    <s v="-"/>
    <s v="-"/>
    <s v="-"/>
    <d v="2002-04-05T00:00:00"/>
    <s v="OTIF FAIL"/>
    <n v="2"/>
    <s v="1210_FG_PSS"/>
    <x v="6"/>
    <n v="0"/>
    <m/>
  </r>
  <r>
    <s v="0558115768-14"/>
    <s v="HRC"/>
    <n v="0.25"/>
    <n v="110"/>
    <n v="0"/>
    <n v="3"/>
    <n v="3"/>
    <s v="PSS"/>
    <d v="2001-08-31T00:00:00"/>
    <d v="2002-03-26T00:00:00"/>
    <d v="2002-03-26T00:00:00"/>
    <d v="2002-03-26T00:00:00"/>
    <d v="2002-03-26T00:00:00"/>
    <d v="2002-04-22T00:00:00"/>
    <s v="OTIF PASS"/>
    <n v="14"/>
    <s v="1210_FG_PSS"/>
    <x v="2"/>
    <n v="1"/>
    <m/>
  </r>
  <r>
    <s v="0558116208-4"/>
    <s v="HRC"/>
    <n v="0.15"/>
    <n v="305"/>
    <n v="0"/>
    <n v="5"/>
    <n v="5"/>
    <s v="PSS"/>
    <d v="2001-10-28T00:00:00"/>
    <d v="2002-03-26T00:00:00"/>
    <d v="2002-03-28T00:00:00"/>
    <d v="2002-03-28T00:00:00"/>
    <d v="2002-03-28T00:00:00"/>
    <d v="2002-04-17T00:00:00"/>
    <s v="OTIF FAIL"/>
    <n v="4"/>
    <s v="1210_FG_PSS"/>
    <x v="15"/>
    <n v="1"/>
    <m/>
  </r>
  <r>
    <s v="0568012912-1"/>
    <s v="HRC"/>
    <n v="7.5999999999999998E-2"/>
    <n v="9.2959999999999994"/>
    <n v="0"/>
    <n v="10"/>
    <n v="10"/>
    <s v="PSS"/>
    <d v="2002-04-22T00:00:00"/>
    <d v="2002-05-05T00:00:00"/>
    <s v="-"/>
    <s v="-"/>
    <d v="2002-05-05T00:00:00"/>
    <d v="2002-05-05T00:00:00"/>
    <s v="OTIF FAIL"/>
    <n v="1"/>
    <s v="1210_FG_PSS"/>
    <x v="19"/>
    <n v="1"/>
    <m/>
  </r>
  <r>
    <s v="0568012739-12"/>
    <s v="CST"/>
    <n v="0.19800000000000001"/>
    <n v="582.29499999999996"/>
    <n v="0"/>
    <n v="18.143999999999998"/>
    <n v="18.143999999999998"/>
    <s v="PSS"/>
    <d v="2001-08-09T00:00:00"/>
    <d v="2002-03-28T00:00:00"/>
    <d v="2002-04-19T00:00:00"/>
    <d v="2002-04-19T00:00:00"/>
    <d v="2002-04-12T00:00:00"/>
    <d v="2002-04-17T00:00:00"/>
    <s v="OTIF FAIL"/>
    <n v="12"/>
    <s v="1210_FG_PSS"/>
    <x v="15"/>
    <n v="1"/>
    <m/>
  </r>
  <r>
    <s v="0558116212-4"/>
    <s v="CST"/>
    <n v="0.15"/>
    <n v="305"/>
    <n v="0"/>
    <n v="5"/>
    <n v="5"/>
    <s v="PSS"/>
    <d v="2001-10-28T00:00:00"/>
    <d v="2002-03-27T00:00:00"/>
    <d v="2002-03-28T00:00:00"/>
    <d v="2002-03-28T00:00:00"/>
    <d v="2002-03-28T00:00:00"/>
    <d v="2002-04-17T00:00:00"/>
    <s v="OTIF FAIL"/>
    <n v="4"/>
    <s v="1210_FG_PSS"/>
    <x v="15"/>
    <n v="1"/>
    <m/>
  </r>
  <r>
    <s v="0568012739-9"/>
    <s v="CRC"/>
    <n v="0.19800000000000001"/>
    <n v="582.29499999999996"/>
    <n v="0"/>
    <n v="18.143999999999998"/>
    <n v="18.143999999999998"/>
    <s v="PSS"/>
    <d v="2001-08-09T00:00:00"/>
    <d v="2002-03-28T00:00:00"/>
    <s v="-"/>
    <s v="-"/>
    <d v="2002-04-05T00:00:00"/>
    <d v="2002-04-17T00:00:00"/>
    <s v="OTIF FAIL"/>
    <n v="9"/>
    <s v="1210_FG_PSS"/>
    <x v="15"/>
    <n v="1"/>
    <m/>
  </r>
  <r>
    <s v="0568012739-8"/>
    <s v="HPC"/>
    <n v="0.19800000000000001"/>
    <n v="582.29499999999996"/>
    <n v="0"/>
    <n v="18.143999999999998"/>
    <n v="18.143999999999998"/>
    <s v="PSS"/>
    <d v="2001-08-09T00:00:00"/>
    <d v="2002-03-28T00:00:00"/>
    <d v="2002-04-04T00:00:00"/>
    <d v="2002-04-04T00:00:00"/>
    <d v="2002-04-04T00:00:00"/>
    <d v="2002-04-17T00:00:00"/>
    <s v="OTIF FAIL"/>
    <n v="8"/>
    <s v="1210_FG_PSS"/>
    <x v="15"/>
    <n v="1"/>
    <m/>
  </r>
  <r>
    <s v="0568012530-11"/>
    <s v="HRC"/>
    <n v="0.19800000000000001"/>
    <n v="582.29499999999996"/>
    <n v="0"/>
    <n v="18.143999999999998"/>
    <n v="18.143999999999998"/>
    <s v="PSS"/>
    <d v="2001-09-25T00:00:00"/>
    <d v="2002-03-27T00:00:00"/>
    <s v="-"/>
    <s v="-"/>
    <d v="2002-04-05T00:00:00"/>
    <d v="2002-04-17T00:00:00"/>
    <s v="OTIF FAIL"/>
    <n v="11"/>
    <s v="1210_FG_PSS"/>
    <x v="15"/>
    <n v="1"/>
    <m/>
  </r>
  <r>
    <s v="0568012530-9"/>
    <s v="HPC"/>
    <n v="0.19800000000000001"/>
    <n v="582.29499999999996"/>
    <n v="0"/>
    <n v="18.143999999999998"/>
    <n v="18.143999999999998"/>
    <s v="PSS"/>
    <d v="2001-09-25T00:00:00"/>
    <d v="2002-03-27T00:00:00"/>
    <d v="2002-04-17T00:00:00"/>
    <d v="2002-04-17T00:00:00"/>
    <d v="2002-04-17T00:00:00"/>
    <d v="2002-04-17T00:00:00"/>
    <s v="OTIF FAIL"/>
    <n v="9"/>
    <s v="1210_FG_PSS"/>
    <x v="15"/>
    <n v="1"/>
    <m/>
  </r>
  <r>
    <s v="0568012739-11"/>
    <s v="CST"/>
    <n v="0.19800000000000001"/>
    <n v="582.29499999999996"/>
    <n v="0"/>
    <n v="18.143999999999998"/>
    <n v="18.143999999999998"/>
    <s v="PSS"/>
    <d v="2001-08-09T00:00:00"/>
    <d v="2002-03-28T00:00:00"/>
    <d v="2002-04-17T00:00:00"/>
    <d v="2002-04-17T00:00:00"/>
    <d v="2002-04-17T00:00:00"/>
    <d v="2002-04-17T00:00:00"/>
    <s v="OTIF FAIL"/>
    <n v="11"/>
    <s v="1210_FG_PSS"/>
    <x v="15"/>
    <n v="1"/>
    <m/>
  </r>
  <r>
    <s v="0558113979-9"/>
    <s v="HRC"/>
    <n v="0.15"/>
    <n v="286"/>
    <n v="0"/>
    <n v="4"/>
    <n v="4"/>
    <s v="PSS"/>
    <d v="2001-08-13T00:00:00"/>
    <d v="2002-03-25T00:00:00"/>
    <d v="2002-04-01T00:00:00"/>
    <d v="2002-04-01T00:00:00"/>
    <d v="2002-04-01T00:00:00"/>
    <d v="2002-04-22T00:00:00"/>
    <s v="OTIF FAIL"/>
    <n v="9"/>
    <s v="1210_FG_PSS"/>
    <x v="2"/>
    <n v="1"/>
    <m/>
  </r>
  <r>
    <s v="0558113979-3"/>
    <s v="CST"/>
    <n v="0.15"/>
    <n v="150"/>
    <n v="0"/>
    <n v="2.5"/>
    <n v="2.5"/>
    <s v="PSS"/>
    <d v="2001-08-13T00:00:00"/>
    <d v="2002-03-25T00:00:00"/>
    <d v="2002-04-15T00:00:00"/>
    <d v="2002-04-15T00:00:00"/>
    <d v="2002-04-15T00:00:00"/>
    <d v="2002-04-15T00:00:00"/>
    <s v="OTIF FAIL"/>
    <n v="3"/>
    <s v="1210_FG_PSS"/>
    <x v="15"/>
    <n v="1"/>
    <m/>
  </r>
  <r>
    <s v="0568012530-1"/>
    <s v="CST"/>
    <n v="0.19800000000000001"/>
    <n v="582.29499999999996"/>
    <n v="0"/>
    <n v="18.143999999999998"/>
    <n v="16.239000000000001"/>
    <s v="PSS"/>
    <d v="2001-09-25T00:00:00"/>
    <d v="2002-03-27T00:00:00"/>
    <d v="2002-03-27T00:00:00"/>
    <d v="2002-03-27T00:00:00"/>
    <d v="2002-03-27T00:00:00"/>
    <d v="2002-04-17T00:00:00"/>
    <s v="OTIF PASS"/>
    <n v="1"/>
    <s v="1210_FG_PSS"/>
    <x v="15"/>
    <n v="0"/>
    <m/>
  </r>
  <r>
    <s v="0558112728-1"/>
    <s v="CST"/>
    <n v="0.2"/>
    <n v="108.7"/>
    <n v="0"/>
    <n v="20"/>
    <n v="6.7969999999999997"/>
    <s v="PSS"/>
    <d v="2001-09-25T00:00:00"/>
    <d v="2002-03-25T00:00:00"/>
    <d v="2002-05-07T00:00:00"/>
    <d v="2002-05-07T00:00:00"/>
    <d v="2002-04-10T00:00:00"/>
    <d v="2002-04-15T00:00:00"/>
    <s v="OTIF FAIL"/>
    <n v="1"/>
    <s v="1210_FG_PSS"/>
    <x v="15"/>
    <n v="0"/>
    <m/>
  </r>
  <r>
    <s v="0558113979-7"/>
    <s v="PSS"/>
    <n v="0.15"/>
    <n v="190"/>
    <n v="0"/>
    <n v="2.5"/>
    <n v="2.5"/>
    <s v="PSS"/>
    <d v="2001-08-13T00:00:00"/>
    <d v="2002-03-25T00:00:00"/>
    <d v="2002-04-08T00:00:00"/>
    <d v="2002-04-08T00:00:00"/>
    <d v="2002-04-08T00:00:00"/>
    <d v="2002-04-15T00:00:00"/>
    <s v="OTIF FAIL"/>
    <n v="7"/>
    <s v="1210_FG_PSS"/>
    <x v="15"/>
    <n v="1"/>
    <m/>
  </r>
  <r>
    <s v="0558113979-5"/>
    <s v="CST"/>
    <n v="0.15"/>
    <n v="271"/>
    <n v="0"/>
    <n v="4"/>
    <n v="2.9209999999999998"/>
    <s v="PSS"/>
    <d v="2001-08-13T00:00:00"/>
    <d v="2002-03-25T00:00:00"/>
    <d v="2002-04-22T00:00:00"/>
    <d v="2002-04-22T00:00:00"/>
    <d v="2002-04-22T00:00:00"/>
    <d v="2002-04-22T00:00:00"/>
    <s v="OTIF FAIL"/>
    <n v="5"/>
    <s v="1210_FG_PSS"/>
    <x v="2"/>
    <n v="0"/>
    <m/>
  </r>
  <r>
    <s v="0558116209-4"/>
    <s v="PSS"/>
    <n v="0.15"/>
    <n v="305"/>
    <n v="0"/>
    <n v="5"/>
    <n v="5"/>
    <s v="PSS"/>
    <d v="2001-10-28T00:00:00"/>
    <d v="2002-03-26T00:00:00"/>
    <d v="2002-03-28T00:00:00"/>
    <d v="2002-03-28T00:00:00"/>
    <d v="2002-03-28T00:00:00"/>
    <d v="2002-04-17T00:00:00"/>
    <s v="OTIF FAIL"/>
    <n v="4"/>
    <s v="1210_FG_PSS"/>
    <x v="15"/>
    <n v="1"/>
    <m/>
  </r>
  <r>
    <s v="0558116212-5"/>
    <s v="HRC"/>
    <n v="0.2"/>
    <n v="285"/>
    <n v="0"/>
    <n v="2"/>
    <n v="2"/>
    <s v="PSS"/>
    <d v="2001-10-28T00:00:00"/>
    <d v="2002-03-27T00:00:00"/>
    <d v="2002-03-27T00:00:00"/>
    <d v="2002-03-27T00:00:00"/>
    <d v="2002-03-27T00:00:00"/>
    <d v="2002-04-02T00:00:00"/>
    <s v="OTIF PASS"/>
    <n v="5"/>
    <s v="1210_FG_PSS"/>
    <x v="6"/>
    <n v="1"/>
    <m/>
  </r>
  <r>
    <s v="0558113979-10"/>
    <s v="HRC"/>
    <n v="0.15"/>
    <n v="271"/>
    <n v="0"/>
    <n v="4"/>
    <n v="4"/>
    <s v="PSS"/>
    <d v="2001-08-13T00:00:00"/>
    <d v="2002-03-25T00:00:00"/>
    <d v="2002-04-22T00:00:00"/>
    <d v="2002-04-22T00:00:00"/>
    <d v="2002-04-22T00:00:00"/>
    <d v="2002-04-22T00:00:00"/>
    <s v="OTIF FAIL"/>
    <n v="10"/>
    <s v="1210_FG_PSS"/>
    <x v="2"/>
    <n v="1"/>
    <m/>
  </r>
  <r>
    <s v="0558116211-5"/>
    <s v="CST"/>
    <n v="0.2"/>
    <n v="285"/>
    <n v="0"/>
    <n v="10"/>
    <n v="10"/>
    <s v="PSS"/>
    <d v="2001-10-28T00:00:00"/>
    <d v="2002-03-27T00:00:00"/>
    <d v="2002-03-27T00:00:00"/>
    <d v="2002-03-27T00:00:00"/>
    <d v="2002-03-27T00:00:00"/>
    <d v="2002-04-02T00:00:00"/>
    <s v="OTIF PASS"/>
    <n v="5"/>
    <s v="1210_FG_PSS"/>
    <x v="6"/>
    <n v="1"/>
    <m/>
  </r>
  <r>
    <s v="0558107995-2"/>
    <s v="CST"/>
    <n v="0.2"/>
    <n v="375"/>
    <n v="0"/>
    <n v="2"/>
    <n v="2"/>
    <s v="PSS"/>
    <d v="2001-09-25T00:00:00"/>
    <d v="2002-03-24T00:00:00"/>
    <d v="2002-03-24T00:00:00"/>
    <d v="2002-03-24T00:00:00"/>
    <d v="2002-03-31T00:00:00"/>
    <d v="2002-03-31T00:00:00"/>
    <s v="OTIF PASS"/>
    <n v="2"/>
    <s v="1210_FG_PSS"/>
    <x v="6"/>
    <n v="1"/>
    <m/>
  </r>
  <r>
    <s v="0568012739-5"/>
    <s v="CST"/>
    <n v="0.19800000000000001"/>
    <n v="582.29499999999996"/>
    <n v="0"/>
    <n v="18.143999999999998"/>
    <n v="18.143999999999998"/>
    <s v="PSS"/>
    <d v="2001-08-09T00:00:00"/>
    <d v="2002-03-28T00:00:00"/>
    <s v="-"/>
    <s v="-"/>
    <d v="2002-04-05T00:00:00"/>
    <d v="2002-04-17T00:00:00"/>
    <s v="OTIF FAIL"/>
    <n v="5"/>
    <s v="1210_FG_PSS"/>
    <x v="15"/>
    <n v="1"/>
    <m/>
  </r>
  <r>
    <s v="0568012739-10"/>
    <s v="HRC"/>
    <n v="0.19800000000000001"/>
    <n v="582.29499999999996"/>
    <n v="0"/>
    <n v="18.143999999999998"/>
    <n v="18.143999999999998"/>
    <s v="PSS"/>
    <d v="2001-08-09T00:00:00"/>
    <d v="2002-03-28T00:00:00"/>
    <d v="2002-04-11T00:00:00"/>
    <d v="2002-04-11T00:00:00"/>
    <d v="2002-04-11T00:00:00"/>
    <d v="2002-04-17T00:00:00"/>
    <s v="OTIF FAIL"/>
    <n v="10"/>
    <s v="1210_FG_PSS"/>
    <x v="15"/>
    <n v="1"/>
    <m/>
  </r>
  <r>
    <s v="0558114496-1"/>
    <s v="CST"/>
    <n v="0.15"/>
    <n v="297"/>
    <n v="0"/>
    <n v="2"/>
    <n v="2"/>
    <s v="PSS"/>
    <d v="2001-08-21T00:00:00"/>
    <d v="2002-03-26T00:00:00"/>
    <d v="2002-04-02T00:00:00"/>
    <d v="2002-04-02T00:00:00"/>
    <d v="2002-04-02T00:00:00"/>
    <d v="2002-04-02T00:00:00"/>
    <s v="OTIF FAIL"/>
    <n v="1"/>
    <s v="1210_FG_PSS"/>
    <x v="6"/>
    <n v="1"/>
    <m/>
  </r>
  <r>
    <s v="0568012739-6"/>
    <s v="CST"/>
    <n v="0.19800000000000001"/>
    <n v="582.29499999999996"/>
    <n v="0"/>
    <n v="18.143999999999998"/>
    <n v="18.143999999999998"/>
    <s v="PSS"/>
    <d v="2001-08-09T00:00:00"/>
    <d v="2002-03-28T00:00:00"/>
    <d v="2002-04-11T00:00:00"/>
    <d v="2002-04-11T00:00:00"/>
    <d v="2002-04-11T00:00:00"/>
    <d v="2002-04-17T00:00:00"/>
    <s v="OTIF FAIL"/>
    <n v="6"/>
    <s v="1210_FG_PSS"/>
    <x v="15"/>
    <n v="1"/>
    <m/>
  </r>
  <r>
    <s v="0568012739-7"/>
    <s v="CST"/>
    <n v="0.19800000000000001"/>
    <n v="582.29499999999996"/>
    <n v="0"/>
    <n v="18.143999999999998"/>
    <n v="18.143999999999998"/>
    <s v="PSS"/>
    <d v="2001-08-09T00:00:00"/>
    <d v="2002-03-28T00:00:00"/>
    <d v="2002-04-03T00:00:00"/>
    <d v="2002-04-03T00:00:00"/>
    <d v="2002-04-03T00:00:00"/>
    <d v="2002-04-17T00:00:00"/>
    <s v="OTIF FAIL"/>
    <n v="7"/>
    <s v="1210_FG_PSS"/>
    <x v="15"/>
    <n v="1"/>
    <m/>
  </r>
  <r>
    <s v="0558113979-2"/>
    <s v="CST"/>
    <n v="0.15"/>
    <n v="190"/>
    <n v="0"/>
    <n v="4"/>
    <n v="4"/>
    <s v="PSS"/>
    <d v="2001-08-13T00:00:00"/>
    <d v="2002-03-25T00:00:00"/>
    <d v="2002-04-22T00:00:00"/>
    <d v="2002-04-22T00:00:00"/>
    <d v="2002-04-15T00:00:00"/>
    <d v="2002-04-15T00:00:00"/>
    <s v="OTIF FAIL"/>
    <n v="2"/>
    <s v="1210_FG_PSS"/>
    <x v="15"/>
    <n v="1"/>
    <m/>
  </r>
  <r>
    <s v="0568012739-4"/>
    <s v="CST"/>
    <n v="0.19800000000000001"/>
    <n v="582.29499999999996"/>
    <n v="0"/>
    <n v="18.143999999999998"/>
    <n v="18.143999999999998"/>
    <s v="PSS"/>
    <d v="2001-08-09T00:00:00"/>
    <d v="2002-03-28T00:00:00"/>
    <d v="2002-04-11T00:00:00"/>
    <d v="2002-04-11T00:00:00"/>
    <d v="2002-04-11T00:00:00"/>
    <d v="2002-04-17T00:00:00"/>
    <s v="OTIF FAIL"/>
    <n v="4"/>
    <s v="1210_FG_PSS"/>
    <x v="15"/>
    <n v="1"/>
    <m/>
  </r>
  <r>
    <s v="0558116213-1"/>
    <s v="HRC"/>
    <n v="0.4"/>
    <n v="75.400000000000006"/>
    <n v="0"/>
    <n v="20"/>
    <n v="20"/>
    <s v="PSS"/>
    <d v="2002-02-24T00:00:00"/>
    <d v="2001-11-25T00:00:00"/>
    <d v="2002-05-07T00:00:00"/>
    <d v="2002-05-07T00:00:00"/>
    <d v="2001-11-25T00:00:00"/>
    <d v="2002-04-16T00:00:00"/>
    <s v="OTIF FAIL"/>
    <n v="1"/>
    <s v="1210_FG_PSS"/>
    <x v="15"/>
    <n v="1"/>
    <m/>
  </r>
  <r>
    <s v="0568012530-6"/>
    <s v="HRC"/>
    <n v="0.19800000000000001"/>
    <n v="582.29499999999996"/>
    <n v="0"/>
    <n v="18.143999999999998"/>
    <n v="18.143999999999998"/>
    <s v="PSS"/>
    <d v="2001-09-25T00:00:00"/>
    <d v="2002-03-27T00:00:00"/>
    <d v="2002-04-10T00:00:00"/>
    <d v="2002-04-10T00:00:00"/>
    <d v="2002-04-10T00:00:00"/>
    <d v="2002-04-17T00:00:00"/>
    <s v="OTIF FAIL"/>
    <n v="6"/>
    <s v="1210_FG_PSS"/>
    <x v="15"/>
    <n v="1"/>
    <m/>
  </r>
  <r>
    <s v="0568012739-3"/>
    <s v="CST"/>
    <n v="0.19800000000000001"/>
    <n v="582.29499999999996"/>
    <n v="0"/>
    <n v="18.143999999999998"/>
    <n v="18.143999999999998"/>
    <s v="PSS"/>
    <d v="2001-08-09T00:00:00"/>
    <d v="2002-03-28T00:00:00"/>
    <s v="-"/>
    <s v="-"/>
    <d v="2002-04-05T00:00:00"/>
    <d v="2002-04-17T00:00:00"/>
    <s v="OTIF FAIL"/>
    <n v="3"/>
    <s v="1210_FG_PSS"/>
    <x v="15"/>
    <n v="1"/>
    <m/>
  </r>
  <r>
    <s v="0568012739-2"/>
    <s v="HRC"/>
    <n v="0.19800000000000001"/>
    <n v="582.29499999999996"/>
    <n v="0"/>
    <n v="18.143999999999998"/>
    <n v="18.143999999999998"/>
    <s v="PSS"/>
    <d v="2001-08-09T00:00:00"/>
    <d v="2002-03-28T00:00:00"/>
    <d v="2002-04-04T00:00:00"/>
    <d v="2002-04-04T00:00:00"/>
    <d v="2002-04-04T00:00:00"/>
    <d v="2002-04-17T00:00:00"/>
    <s v="OTIF FAIL"/>
    <n v="2"/>
    <s v="1210_FG_PSS"/>
    <x v="15"/>
    <n v="1"/>
    <m/>
  </r>
  <r>
    <s v="0569022950-1"/>
    <s v="CST"/>
    <n v="0.19500000000000001"/>
    <n v="15.3"/>
    <n v="0"/>
    <n v="6"/>
    <n v="5.46"/>
    <s v="PSS"/>
    <d v="2001-08-08T00:00:00"/>
    <d v="2002-03-29T00:00:00"/>
    <d v="2002-04-12T00:00:00"/>
    <d v="2002-04-12T00:00:00"/>
    <d v="2002-04-12T00:00:00"/>
    <d v="2002-04-12T00:00:00"/>
    <s v="OTIF FAIL"/>
    <n v="1"/>
    <s v="1210_FG_PSS"/>
    <x v="7"/>
    <n v="0"/>
    <m/>
  </r>
  <r>
    <s v="0568012872-2"/>
    <s v="HRC"/>
    <n v="0.4"/>
    <n v="355.6"/>
    <n v="0"/>
    <n v="5.9"/>
    <n v="5.9"/>
    <s v="PSS"/>
    <d v="2001-08-30T00:00:00"/>
    <d v="2002-03-29T00:00:00"/>
    <d v="2002-04-19T00:00:00"/>
    <d v="2002-04-19T00:00:00"/>
    <d v="2002-04-12T00:00:00"/>
    <d v="2002-04-12T00:00:00"/>
    <s v="OTIF FAIL"/>
    <n v="2"/>
    <s v="1210_FG_PSS"/>
    <x v="7"/>
    <n v="1"/>
    <m/>
  </r>
  <r>
    <s v="0558116561-1"/>
    <s v="HRC"/>
    <n v="0.4"/>
    <n v="63.7"/>
    <n v="0"/>
    <n v="10"/>
    <n v="4.6879999999999997"/>
    <s v="PSS"/>
    <d v="2002-02-17T00:00:00"/>
    <d v="2002-03-27T00:00:00"/>
    <d v="2002-03-27T00:00:00"/>
    <d v="2002-03-27T00:00:00"/>
    <d v="2002-03-27T00:00:00"/>
    <d v="2002-05-13T00:00:00"/>
    <s v="OTIF PASS"/>
    <n v="1"/>
    <s v="1210_FG_PSS"/>
    <x v="4"/>
    <n v="0"/>
    <m/>
  </r>
  <r>
    <s v="0558113919-1"/>
    <s v="HRC"/>
    <n v="0.4"/>
    <n v="63.7"/>
    <n v="0"/>
    <n v="2"/>
    <n v="2"/>
    <s v="PSS"/>
    <d v="2001-08-10T00:00:00"/>
    <d v="2002-03-25T00:00:00"/>
    <d v="2002-05-01T00:00:00"/>
    <d v="2002-05-01T00:00:00"/>
    <d v="2002-03-25T00:00:00"/>
    <d v="2002-05-13T00:00:00"/>
    <s v="OTIF FAIL"/>
    <n v="1"/>
    <s v="1210_FG_PSS"/>
    <x v="4"/>
    <n v="1"/>
    <m/>
  </r>
  <r>
    <s v="0568012872-14"/>
    <s v="CST"/>
    <n v="0.4"/>
    <n v="292.10000000000002"/>
    <n v="0"/>
    <n v="18"/>
    <n v="10.5"/>
    <s v="PSS"/>
    <d v="2001-08-30T00:00:00"/>
    <d v="2002-03-29T00:00:00"/>
    <d v="2002-04-12T00:00:00"/>
    <d v="2002-04-12T00:00:00"/>
    <d v="2002-04-12T00:00:00"/>
    <d v="2002-04-12T00:00:00"/>
    <s v="OTIF FAIL"/>
    <n v="14"/>
    <s v="1210_FG_PSS"/>
    <x v="7"/>
    <n v="0"/>
    <m/>
  </r>
  <r>
    <s v="0568012592-1"/>
    <s v="CRC"/>
    <n v="0.15"/>
    <n v="305"/>
    <n v="0"/>
    <n v="18.3"/>
    <n v="18.3"/>
    <s v="PSS"/>
    <d v="2001-09-25T00:00:00"/>
    <d v="2002-03-27T00:00:00"/>
    <d v="2002-04-03T00:00:00"/>
    <d v="2002-04-03T00:00:00"/>
    <d v="2002-04-03T00:00:00"/>
    <d v="2002-04-03T00:00:00"/>
    <s v="OTIF FAIL"/>
    <n v="1"/>
    <s v="1210_FG_PSS"/>
    <x v="6"/>
    <n v="1"/>
    <m/>
  </r>
  <r>
    <s v="0568012873-1"/>
    <s v="CST"/>
    <n v="0.4"/>
    <n v="330.2"/>
    <n v="0"/>
    <n v="19.05"/>
    <n v="19.05"/>
    <s v="PSS"/>
    <d v="2001-08-30T00:00:00"/>
    <d v="2002-03-29T00:00:00"/>
    <d v="2002-04-19T00:00:00"/>
    <d v="2002-04-19T00:00:00"/>
    <d v="2002-04-12T00:00:00"/>
    <d v="2002-04-12T00:00:00"/>
    <s v="OTIF FAIL"/>
    <n v="1"/>
    <s v="1210_FG_PSS"/>
    <x v="7"/>
    <n v="1"/>
    <m/>
  </r>
  <r>
    <s v="0568012873-2"/>
    <s v="CST"/>
    <n v="0.4"/>
    <n v="355.6"/>
    <n v="0"/>
    <n v="4.99"/>
    <n v="4.99"/>
    <s v="PSS"/>
    <d v="2001-08-30T00:00:00"/>
    <d v="2002-03-29T00:00:00"/>
    <d v="2002-04-20T00:00:00"/>
    <d v="2002-04-20T00:00:00"/>
    <d v="2002-04-13T00:00:00"/>
    <d v="2002-04-13T00:00:00"/>
    <s v="OTIF FAIL"/>
    <n v="2"/>
    <s v="1210_FG_PSS"/>
    <x v="7"/>
    <n v="1"/>
    <m/>
  </r>
  <r>
    <s v="0568012861-2"/>
    <s v="HRC"/>
    <n v="0.1"/>
    <n v="381"/>
    <n v="0"/>
    <n v="6"/>
    <n v="6"/>
    <s v="PSS"/>
    <d v="2001-08-28T00:00:00"/>
    <d v="2002-03-29T00:00:00"/>
    <d v="2002-04-26T00:00:00"/>
    <d v="2002-04-26T00:00:00"/>
    <d v="2002-04-19T00:00:00"/>
    <d v="2002-04-19T00:00:00"/>
    <s v="OTIF FAIL"/>
    <n v="2"/>
    <s v="1210_FG_PSS"/>
    <x v="15"/>
    <n v="1"/>
    <m/>
  </r>
  <r>
    <s v="0558116550-1"/>
    <s v="JBS"/>
    <n v="0.4"/>
    <n v="98"/>
    <n v="0"/>
    <n v="15"/>
    <n v="15"/>
    <s v="PSS"/>
    <d v="2002-02-17T00:00:00"/>
    <d v="2002-02-26T00:00:00"/>
    <s v="-"/>
    <s v="-"/>
    <d v="2002-03-20T00:00:00"/>
    <d v="2002-05-10T00:00:00"/>
    <s v="OTIF FAIL"/>
    <n v="1"/>
    <s v="1210_FG_PSS"/>
    <x v="19"/>
    <n v="1"/>
    <m/>
  </r>
  <r>
    <s v="0558116550-2"/>
    <s v="CST"/>
    <n v="0.3"/>
    <n v="113"/>
    <n v="0"/>
    <n v="15"/>
    <n v="15"/>
    <s v="PSS"/>
    <d v="2002-02-17T00:00:00"/>
    <d v="2002-02-26T00:00:00"/>
    <d v="2002-03-12T00:00:00"/>
    <d v="2002-03-12T00:00:00"/>
    <d v="2002-03-03T00:00:00"/>
    <d v="2002-05-10T00:00:00"/>
    <s v="OTIF FAIL"/>
    <n v="2"/>
    <s v="1210_FG_PSS"/>
    <x v="19"/>
    <n v="1"/>
    <m/>
  </r>
  <r>
    <s v="0568012861-1"/>
    <s v="CST"/>
    <n v="0.1"/>
    <n v="533"/>
    <n v="0"/>
    <n v="12"/>
    <n v="12"/>
    <s v="PSS"/>
    <d v="2001-08-28T00:00:00"/>
    <d v="2002-03-29T00:00:00"/>
    <s v="-"/>
    <s v="-"/>
    <d v="2002-04-26T00:00:00"/>
    <d v="2002-04-26T00:00:00"/>
    <s v="OTIF FAIL"/>
    <n v="1"/>
    <s v="1210_FG_PSS"/>
    <x v="2"/>
    <n v="1"/>
    <m/>
  </r>
  <r>
    <s v="0568012662-5"/>
    <s v="HRC"/>
    <n v="0.4"/>
    <n v="292.10000000000002"/>
    <n v="0"/>
    <n v="12.701000000000001"/>
    <n v="12.701000000000001"/>
    <s v="PSS"/>
    <d v="2001-09-25T00:00:00"/>
    <d v="2002-03-27T00:00:00"/>
    <d v="2002-04-10T00:00:00"/>
    <d v="2002-04-10T00:00:00"/>
    <d v="2002-04-10T00:00:00"/>
    <d v="2002-04-12T00:00:00"/>
    <s v="OTIF FAIL"/>
    <n v="5"/>
    <s v="1210_FG_PSS"/>
    <x v="7"/>
    <n v="1"/>
    <m/>
  </r>
  <r>
    <s v="0568012662-2"/>
    <s v="CST"/>
    <n v="0.4"/>
    <n v="355.6"/>
    <n v="0"/>
    <n v="9.9789999999999992"/>
    <n v="9.9789999999999992"/>
    <s v="PSS"/>
    <d v="2001-09-25T00:00:00"/>
    <d v="2002-03-27T00:00:00"/>
    <d v="2002-04-03T00:00:00"/>
    <d v="2002-04-03T00:00:00"/>
    <d v="2002-04-03T00:00:00"/>
    <d v="2002-04-12T00:00:00"/>
    <s v="OTIF FAIL"/>
    <n v="2"/>
    <s v="1210_FG_PSS"/>
    <x v="7"/>
    <n v="1"/>
    <m/>
  </r>
  <r>
    <s v="0568012662-4"/>
    <s v="HPC"/>
    <n v="0.4"/>
    <n v="330.2"/>
    <n v="0"/>
    <n v="9.9789999999999992"/>
    <n v="6.5449999999999999"/>
    <s v="PSS"/>
    <d v="2001-09-25T00:00:00"/>
    <d v="2002-03-27T00:00:00"/>
    <d v="2002-04-10T00:00:00"/>
    <d v="2002-04-10T00:00:00"/>
    <d v="2002-04-10T00:00:00"/>
    <d v="2002-04-12T00:00:00"/>
    <s v="OTIF FAIL"/>
    <n v="4"/>
    <s v="1210_FG_PSS"/>
    <x v="7"/>
    <n v="0"/>
    <m/>
  </r>
  <r>
    <s v="0568012819-1"/>
    <s v="CST"/>
    <n v="0.38100000000000001"/>
    <n v="203.2"/>
    <n v="0"/>
    <n v="18.143999999999998"/>
    <n v="18.143999999999998"/>
    <s v="PSS"/>
    <d v="2001-08-23T00:00:00"/>
    <d v="2002-02-23T00:00:00"/>
    <s v="-"/>
    <s v="-"/>
    <d v="2002-03-19T00:00:00"/>
    <d v="2002-03-19T00:00:00"/>
    <s v="OTIF FAIL"/>
    <n v="1"/>
    <s v="1210_FG_PSS"/>
    <x v="0"/>
    <n v="1"/>
    <m/>
  </r>
  <r>
    <s v="0568012819-2"/>
    <s v="CST"/>
    <n v="0.38100000000000001"/>
    <n v="203.2"/>
    <n v="0"/>
    <n v="9.0719999999999992"/>
    <n v="9.0719999999999992"/>
    <s v="PSS"/>
    <d v="2001-08-23T00:00:00"/>
    <d v="2002-02-22T00:00:00"/>
    <d v="2002-03-19T00:00:00"/>
    <d v="2002-03-19T00:00:00"/>
    <d v="2002-03-19T00:00:00"/>
    <d v="2002-03-19T00:00:00"/>
    <s v="OTIF FAIL"/>
    <n v="2"/>
    <s v="1210_FG_PSS"/>
    <x v="0"/>
    <n v="1"/>
    <m/>
  </r>
  <r>
    <s v="0568012822-1"/>
    <s v="JBS"/>
    <n v="0.50800000000000001"/>
    <n v="609.6"/>
    <n v="0"/>
    <n v="9.0719999999999992"/>
    <n v="9.0719999999999992"/>
    <s v="PSS"/>
    <d v="2001-08-23T00:00:00"/>
    <d v="2002-02-27T00:00:00"/>
    <d v="2002-03-09T00:00:00"/>
    <d v="2002-03-09T00:00:00"/>
    <d v="2002-03-07T00:00:00"/>
    <d v="2002-03-07T00:00:00"/>
    <s v="OTIF FAIL"/>
    <n v="1"/>
    <s v="1210_FG_PSS"/>
    <x v="1"/>
    <n v="1"/>
    <m/>
  </r>
  <r>
    <s v="0568012817-2"/>
    <s v="CST"/>
    <n v="0.38100000000000001"/>
    <n v="203.2"/>
    <n v="0"/>
    <n v="18.143999999999998"/>
    <n v="18.143999999999998"/>
    <s v="PSS"/>
    <d v="2001-08-23T00:00:00"/>
    <d v="2002-02-24T00:00:00"/>
    <s v="-"/>
    <s v="-"/>
    <d v="2002-03-08T00:00:00"/>
    <d v="2002-03-19T00:00:00"/>
    <s v="OTIF FAIL"/>
    <n v="2"/>
    <s v="1210_FG_PSS"/>
    <x v="0"/>
    <n v="1"/>
    <m/>
  </r>
  <r>
    <s v="0568012817-1"/>
    <s v="CST"/>
    <n v="0.38100000000000001"/>
    <n v="203.2"/>
    <n v="0"/>
    <n v="18.143999999999998"/>
    <n v="18.143999999999998"/>
    <s v="PSS"/>
    <d v="2001-08-23T00:00:00"/>
    <d v="2002-02-21T00:00:00"/>
    <s v="-"/>
    <s v="-"/>
    <d v="2002-03-18T00:00:00"/>
    <d v="2002-03-19T00:00:00"/>
    <s v="OTIF FAIL"/>
    <n v="1"/>
    <s v="1210_FG_PSS"/>
    <x v="0"/>
    <n v="1"/>
    <m/>
  </r>
  <r>
    <s v="0558072317-1"/>
    <s v="HRC"/>
    <n v="0.4"/>
    <n v="98"/>
    <n v="0"/>
    <n v="5"/>
    <n v="5"/>
    <s v="PSS"/>
    <d v="2001-09-25T00:00:00"/>
    <d v="2002-03-24T00:00:00"/>
    <d v="2002-04-04T00:00:00"/>
    <d v="2002-04-04T00:00:00"/>
    <d v="2002-04-04T00:00:00"/>
    <d v="2002-05-10T00:00:00"/>
    <s v="OTIF FAIL"/>
    <n v="1"/>
    <s v="1210_FG_PSS"/>
    <x v="19"/>
    <n v="1"/>
    <m/>
  </r>
  <r>
    <s v="0568012872-10"/>
    <s v="NFA"/>
    <n v="0.3"/>
    <n v="368.3"/>
    <n v="0"/>
    <n v="5.9"/>
    <n v="5.9"/>
    <s v="PSS"/>
    <d v="2001-08-30T00:00:00"/>
    <d v="2002-03-29T00:00:00"/>
    <d v="2002-04-26T00:00:00"/>
    <d v="2002-04-26T00:00:00"/>
    <d v="2002-04-19T00:00:00"/>
    <d v="2002-04-19T00:00:00"/>
    <s v="OTIF FAIL"/>
    <n v="10"/>
    <s v="1210_FG_PSS"/>
    <x v="15"/>
    <n v="1"/>
    <m/>
  </r>
  <r>
    <s v="0568012727-1"/>
    <s v="CRC"/>
    <n v="0.254"/>
    <n v="110.00700000000001"/>
    <n v="0"/>
    <n v="15"/>
    <n v="14.135"/>
    <s v="PSS"/>
    <d v="2001-08-06T00:00:00"/>
    <d v="2002-03-28T00:00:00"/>
    <d v="2002-04-11T00:00:00"/>
    <d v="2002-04-11T00:00:00"/>
    <d v="2002-04-11T00:00:00"/>
    <d v="2002-04-11T00:00:00"/>
    <s v="OTIF FAIL"/>
    <n v="1"/>
    <s v="1210_FG_PSS"/>
    <x v="7"/>
    <n v="0"/>
    <m/>
  </r>
  <r>
    <s v="0568012729-1"/>
    <s v="CST"/>
    <n v="0.3"/>
    <n v="469.9"/>
    <n v="0"/>
    <n v="3.7"/>
    <n v="3.7"/>
    <s v="PSS"/>
    <d v="2001-08-06T00:00:00"/>
    <d v="2002-03-28T00:00:00"/>
    <d v="2002-04-18T00:00:00"/>
    <d v="2002-04-18T00:00:00"/>
    <d v="2002-04-11T00:00:00"/>
    <d v="2002-04-11T00:00:00"/>
    <s v="OTIF FAIL"/>
    <n v="1"/>
    <s v="1210_FG_PSS"/>
    <x v="7"/>
    <n v="1"/>
    <m/>
  </r>
  <r>
    <s v="0568012736-1"/>
    <s v="HRC"/>
    <n v="0.4"/>
    <n v="368.3"/>
    <n v="0"/>
    <n v="4.2"/>
    <n v="3.2210000000000001"/>
    <s v="PSS"/>
    <d v="2001-08-08T00:00:00"/>
    <d v="2002-03-28T00:00:00"/>
    <d v="2002-05-02T00:00:00"/>
    <d v="2002-05-02T00:00:00"/>
    <d v="2002-03-28T00:00:00"/>
    <d v="2002-03-28T00:00:00"/>
    <s v="OTIF FAIL"/>
    <n v="1"/>
    <s v="1210_FG_PSS"/>
    <x v="9"/>
    <n v="0"/>
    <m/>
  </r>
  <r>
    <s v="0558115331-2"/>
    <s v="HRC"/>
    <n v="0.18"/>
    <n v="615"/>
    <n v="0"/>
    <n v="15"/>
    <n v="15"/>
    <s v="PSS"/>
    <d v="2001-08-28T00:00:00"/>
    <d v="2002-03-26T00:00:00"/>
    <d v="2002-04-09T00:00:00"/>
    <d v="2002-04-09T00:00:00"/>
    <d v="2002-04-09T00:00:00"/>
    <d v="2002-04-09T00:00:00"/>
    <s v="OTIF FAIL"/>
    <n v="2"/>
    <s v="1210_FG_PSS"/>
    <x v="7"/>
    <n v="1"/>
    <m/>
  </r>
  <r>
    <s v="0558113981-3"/>
    <s v="CST"/>
    <n v="0.5"/>
    <n v="31.2"/>
    <n v="0"/>
    <n v="5"/>
    <n v="3.613"/>
    <s v="PSS"/>
    <d v="2001-08-13T00:00:00"/>
    <d v="2002-03-25T00:00:00"/>
    <d v="2002-04-01T00:00:00"/>
    <d v="2002-04-01T00:00:00"/>
    <d v="2002-04-01T00:00:00"/>
    <d v="2002-04-01T00:00:00"/>
    <s v="OTIF FAIL"/>
    <n v="3"/>
    <s v="1210_FG_PSS"/>
    <x v="6"/>
    <n v="0"/>
    <m/>
  </r>
  <r>
    <s v="0558110749-2"/>
    <s v="HPC"/>
    <n v="0.4"/>
    <n v="54.3"/>
    <n v="0"/>
    <n v="6"/>
    <n v="3.9710000000000001"/>
    <s v="PSS"/>
    <d v="2001-09-25T00:00:00"/>
    <d v="2002-03-24T00:00:00"/>
    <d v="2002-04-16T00:00:00"/>
    <d v="2002-04-16T00:00:00"/>
    <d v="2002-04-16T00:00:00"/>
    <d v="2002-04-16T00:00:00"/>
    <s v="OTIF FAIL"/>
    <n v="2"/>
    <s v="1210_FG_PSS"/>
    <x v="15"/>
    <n v="0"/>
    <m/>
  </r>
  <r>
    <s v="0558113967-2"/>
    <s v="CRC"/>
    <n v="0.4"/>
    <n v="54.3"/>
    <n v="0"/>
    <n v="6"/>
    <n v="6"/>
    <s v="PSS"/>
    <d v="2001-08-13T00:00:00"/>
    <d v="2002-03-25T00:00:00"/>
    <d v="2002-04-09T00:00:00"/>
    <d v="2002-04-09T00:00:00"/>
    <d v="2002-04-09T00:00:00"/>
    <d v="2002-04-16T00:00:00"/>
    <s v="OTIF FAIL"/>
    <n v="2"/>
    <s v="1210_FG_PSS"/>
    <x v="15"/>
    <n v="1"/>
    <m/>
  </r>
  <r>
    <s v="0558113967-1"/>
    <s v="CST"/>
    <n v="0.4"/>
    <n v="44.5"/>
    <n v="0"/>
    <n v="15"/>
    <n v="15"/>
    <s v="PSS"/>
    <d v="2001-08-13T00:00:00"/>
    <d v="2002-03-25T00:00:00"/>
    <d v="2002-04-08T00:00:00"/>
    <d v="2002-04-08T00:00:00"/>
    <d v="2002-04-08T00:00:00"/>
    <d v="2002-04-08T00:00:00"/>
    <s v="OTIF FAIL"/>
    <n v="1"/>
    <s v="1210_FG_PSS"/>
    <x v="7"/>
    <n v="1"/>
    <m/>
  </r>
  <r>
    <s v="0558110749-1"/>
    <s v="JBS"/>
    <n v="0.4"/>
    <n v="44.5"/>
    <n v="0"/>
    <n v="11"/>
    <n v="9.9120000000000008"/>
    <s v="PSS"/>
    <d v="2001-09-25T00:00:00"/>
    <d v="2002-03-24T00:00:00"/>
    <d v="2002-04-08T00:00:00"/>
    <d v="2002-04-08T00:00:00"/>
    <d v="2002-04-08T00:00:00"/>
    <d v="2002-04-08T00:00:00"/>
    <s v="OTIF FAIL"/>
    <n v="1"/>
    <s v="1210_FG_PSS"/>
    <x v="7"/>
    <n v="0"/>
    <m/>
  </r>
  <r>
    <s v="0558113981-1"/>
    <s v="CST"/>
    <n v="0.4"/>
    <n v="46.7"/>
    <n v="0"/>
    <n v="3"/>
    <n v="3"/>
    <s v="PSS"/>
    <d v="2001-08-13T00:00:00"/>
    <d v="2002-03-25T00:00:00"/>
    <d v="2002-04-12T00:00:00"/>
    <d v="2002-04-12T00:00:00"/>
    <d v="2002-04-12T00:00:00"/>
    <d v="2002-04-12T00:00:00"/>
    <s v="OTIF FAIL"/>
    <n v="1"/>
    <s v="1210_FG_PSS"/>
    <x v="7"/>
    <n v="1"/>
    <m/>
  </r>
  <r>
    <s v="0568012737-1"/>
    <s v="CST"/>
    <n v="0.15"/>
    <n v="627"/>
    <n v="0"/>
    <n v="5"/>
    <n v="5"/>
    <s v="PSS"/>
    <d v="2001-08-09T00:00:00"/>
    <d v="2002-03-28T00:00:00"/>
    <d v="2002-04-25T00:00:00"/>
    <d v="2002-04-25T00:00:00"/>
    <d v="2002-04-25T00:00:00"/>
    <d v="2002-04-25T00:00:00"/>
    <s v="OTIF FAIL"/>
    <n v="1"/>
    <s v="1210_FG_PSS"/>
    <x v="2"/>
    <n v="1"/>
    <m/>
  </r>
  <r>
    <s v="0558113981-2"/>
    <s v="CRC"/>
    <n v="0.4"/>
    <n v="36.700000000000003"/>
    <n v="0"/>
    <n v="2"/>
    <n v="2"/>
    <s v="PSS"/>
    <d v="2001-08-13T00:00:00"/>
    <d v="2002-03-25T00:00:00"/>
    <d v="2002-03-25T00:00:00"/>
    <d v="2002-03-25T00:00:00"/>
    <d v="2002-03-25T00:00:00"/>
    <d v="2002-03-25T00:00:00"/>
    <s v="OTIF PASS"/>
    <n v="2"/>
    <s v="1210_FG_PSS"/>
    <x v="9"/>
    <n v="1"/>
    <m/>
  </r>
  <r>
    <s v="0568012737-5"/>
    <s v="CRC"/>
    <n v="0.2"/>
    <n v="609"/>
    <n v="0"/>
    <n v="2"/>
    <n v="2"/>
    <s v="PSS"/>
    <d v="2001-08-09T00:00:00"/>
    <d v="2002-03-28T00:00:00"/>
    <d v="2002-04-04T00:00:00"/>
    <d v="2002-04-04T00:00:00"/>
    <d v="2002-04-04T00:00:00"/>
    <d v="2002-04-04T00:00:00"/>
    <s v="OTIF FAIL"/>
    <n v="5"/>
    <s v="1210_FG_PSS"/>
    <x v="6"/>
    <n v="1"/>
    <m/>
  </r>
  <r>
    <s v="0568012737-7"/>
    <s v="CST"/>
    <n v="0.2"/>
    <n v="505"/>
    <n v="0"/>
    <n v="2"/>
    <n v="2"/>
    <s v="PSS"/>
    <d v="2001-08-09T00:00:00"/>
    <d v="2002-03-28T00:00:00"/>
    <d v="2002-03-28T00:00:00"/>
    <d v="2002-03-28T00:00:00"/>
    <d v="2002-03-28T00:00:00"/>
    <d v="2002-03-28T00:00:00"/>
    <s v="OTIF PASS"/>
    <n v="7"/>
    <s v="1210_FG_PSS"/>
    <x v="9"/>
    <n v="1"/>
    <m/>
  </r>
  <r>
    <s v="0568012737-10"/>
    <s v="HRC"/>
    <n v="0.15"/>
    <n v="537"/>
    <n v="0"/>
    <n v="2"/>
    <n v="2"/>
    <s v="PSS"/>
    <d v="2001-08-09T00:00:00"/>
    <d v="2002-03-28T00:00:00"/>
    <d v="2002-03-29T00:00:00"/>
    <d v="2002-03-29T00:00:00"/>
    <d v="2002-03-28T00:00:00"/>
    <d v="2002-03-28T00:00:00"/>
    <s v="OTIF FAIL"/>
    <n v="10"/>
    <s v="1210_FG_PSS"/>
    <x v="9"/>
    <n v="1"/>
    <m/>
  </r>
  <r>
    <s v="0568012737-3"/>
    <s v="HRC"/>
    <n v="0.15"/>
    <n v="670"/>
    <n v="0"/>
    <n v="14"/>
    <n v="14"/>
    <s v="PSS"/>
    <d v="2001-08-09T00:00:00"/>
    <d v="2002-03-28T00:00:00"/>
    <d v="2002-03-28T00:00:00"/>
    <d v="2002-03-28T00:00:00"/>
    <d v="2002-03-28T00:00:00"/>
    <d v="2002-03-28T00:00:00"/>
    <s v="OTIF PASS"/>
    <n v="3"/>
    <s v="1210_FG_PSS"/>
    <x v="9"/>
    <n v="1"/>
    <m/>
  </r>
  <r>
    <s v="0568012738-1"/>
    <s v="CRC"/>
    <n v="0.15"/>
    <n v="454"/>
    <n v="0"/>
    <n v="8"/>
    <n v="8"/>
    <s v="PSS"/>
    <d v="2001-08-09T00:00:00"/>
    <d v="2002-03-28T00:00:00"/>
    <d v="2002-04-18T00:00:00"/>
    <d v="2002-04-18T00:00:00"/>
    <d v="2002-04-18T00:00:00"/>
    <d v="2002-04-18T00:00:00"/>
    <s v="OTIF FAIL"/>
    <n v="1"/>
    <s v="1210_FG_PSS"/>
    <x v="15"/>
    <n v="1"/>
    <m/>
  </r>
  <r>
    <s v="0568012906-3"/>
    <s v="HRC"/>
    <n v="0.15"/>
    <n v="670"/>
    <n v="0"/>
    <n v="14"/>
    <n v="14"/>
    <s v="PSS"/>
    <d v="2002-04-07T00:00:00"/>
    <d v="2002-05-16T00:00:00"/>
    <s v="-"/>
    <s v="-"/>
    <s v="-"/>
    <d v="2002-03-28T00:00:00"/>
    <s v="OTIF FAIL"/>
    <n v="3"/>
    <s v="1210_FG_PSS"/>
    <x v="9"/>
    <n v="0"/>
    <m/>
  </r>
  <r>
    <s v="0558114400-1"/>
    <s v="CST"/>
    <n v="0.15"/>
    <n v="350"/>
    <n v="0"/>
    <n v="3"/>
    <n v="3"/>
    <s v="PSS"/>
    <d v="2001-08-20T00:00:00"/>
    <d v="2002-03-26T00:00:00"/>
    <d v="2002-04-25T00:00:00"/>
    <d v="2002-04-25T00:00:00"/>
    <d v="2002-04-25T00:00:00"/>
    <d v="2002-04-25T00:00:00"/>
    <s v="OTIF FAIL"/>
    <n v="1"/>
    <s v="1210_FG_PSS"/>
    <x v="2"/>
    <n v="1"/>
    <m/>
  </r>
  <r>
    <s v="0558113340-1"/>
    <s v="HRC"/>
    <n v="0.12"/>
    <n v="440"/>
    <n v="0"/>
    <n v="3"/>
    <n v="3"/>
    <s v="PSS"/>
    <d v="2001-08-04T00:00:00"/>
    <d v="2002-03-25T00:00:00"/>
    <s v="-"/>
    <s v="-"/>
    <d v="2002-04-06T00:00:00"/>
    <d v="2002-04-06T00:00:00"/>
    <s v="OTIF FAIL"/>
    <n v="1"/>
    <s v="1210_FG_PSS"/>
    <x v="6"/>
    <n v="1"/>
    <m/>
  </r>
  <r>
    <s v="0558114398-1"/>
    <s v="CST"/>
    <n v="0.1"/>
    <n v="110"/>
    <n v="0"/>
    <n v="3"/>
    <n v="3"/>
    <s v="PSS"/>
    <d v="2001-08-20T00:00:00"/>
    <d v="2002-03-26T00:00:00"/>
    <d v="2002-04-25T00:00:00"/>
    <d v="2002-04-25T00:00:00"/>
    <d v="2002-04-25T00:00:00"/>
    <d v="2002-04-25T00:00:00"/>
    <s v="OTIF FAIL"/>
    <n v="1"/>
    <s v="1210_FG_PSS"/>
    <x v="2"/>
    <n v="1"/>
    <m/>
  </r>
  <r>
    <s v="0568012737-6"/>
    <s v="CST"/>
    <n v="0.2"/>
    <n v="430"/>
    <n v="0"/>
    <n v="2"/>
    <n v="2"/>
    <s v="PSS"/>
    <d v="2001-08-09T00:00:00"/>
    <d v="2002-03-28T00:00:00"/>
    <d v="2002-04-18T00:00:00"/>
    <d v="2002-04-18T00:00:00"/>
    <d v="2002-04-18T00:00:00"/>
    <d v="2002-04-18T00:00:00"/>
    <s v="OTIF FAIL"/>
    <n v="6"/>
    <s v="1210_FG_PSS"/>
    <x v="15"/>
    <n v="1"/>
    <m/>
  </r>
  <r>
    <s v="0568012872-5"/>
    <s v="HRC"/>
    <n v="0.4"/>
    <n v="330.2"/>
    <n v="0"/>
    <n v="18"/>
    <n v="18"/>
    <s v="PSS"/>
    <d v="2001-08-30T00:00:00"/>
    <d v="2002-03-29T00:00:00"/>
    <d v="2002-04-12T00:00:00"/>
    <d v="2002-04-12T00:00:00"/>
    <d v="2002-04-12T00:00:00"/>
    <d v="2002-04-12T00:00:00"/>
    <s v="OTIF FAIL"/>
    <n v="5"/>
    <s v="1210_FG_PSS"/>
    <x v="7"/>
    <n v="1"/>
    <m/>
  </r>
  <r>
    <s v="0558111199-1"/>
    <s v="CST"/>
    <n v="0.15"/>
    <n v="350"/>
    <n v="0"/>
    <n v="3"/>
    <n v="3"/>
    <s v="PSS"/>
    <d v="2001-09-25T00:00:00"/>
    <d v="2002-03-24T00:00:00"/>
    <d v="2002-04-10T00:00:00"/>
    <d v="2002-04-10T00:00:00"/>
    <d v="2002-04-10T00:00:00"/>
    <d v="2002-04-25T00:00:00"/>
    <s v="OTIF FAIL"/>
    <n v="1"/>
    <s v="1210_FG_PSS"/>
    <x v="2"/>
    <n v="1"/>
    <m/>
  </r>
  <r>
    <s v="0568011221-2"/>
    <s v="CRC"/>
    <n v="0.15"/>
    <n v="360"/>
    <n v="0"/>
    <n v="36"/>
    <n v="29.056000000000001"/>
    <s v="PSS"/>
    <d v="2001-02-07T00:00:00"/>
    <d v="2001-03-27T00:00:00"/>
    <d v="2002-03-03T00:00:00"/>
    <d v="2002-03-03T00:00:00"/>
    <s v="-"/>
    <d v="2002-04-04T00:00:00"/>
    <s v="OTIF FAIL"/>
    <n v="2"/>
    <s v="1210_FG_PSS"/>
    <x v="6"/>
    <n v="0"/>
    <m/>
  </r>
  <r>
    <s v="0568011221-1"/>
    <s v="HRC"/>
    <n v="0.25"/>
    <n v="330"/>
    <n v="0"/>
    <n v="38"/>
    <n v="29.849"/>
    <s v="PSS"/>
    <d v="2001-02-07T00:00:00"/>
    <d v="2001-03-27T00:00:00"/>
    <d v="2002-03-29T00:00:00"/>
    <d v="2002-03-29T00:00:00"/>
    <s v="-"/>
    <d v="2002-03-29T00:00:00"/>
    <s v="OTIF FAIL"/>
    <n v="1"/>
    <s v="1210_FG_PSS"/>
    <x v="9"/>
    <n v="0"/>
    <m/>
  </r>
  <r>
    <s v="0568011221-3"/>
    <s v="CST"/>
    <n v="0.25"/>
    <n v="470"/>
    <n v="0"/>
    <n v="39"/>
    <n v="33.591999999999999"/>
    <s v="PSS"/>
    <d v="2001-02-09T00:00:00"/>
    <d v="2001-03-27T00:00:00"/>
    <d v="2002-03-03T00:00:00"/>
    <d v="2002-03-03T00:00:00"/>
    <s v="-"/>
    <d v="2002-03-03T00:00:00"/>
    <s v="OTIF FAIL"/>
    <n v="3"/>
    <s v="1210_FG_PSS"/>
    <x v="1"/>
    <n v="0"/>
    <m/>
  </r>
  <r>
    <s v="0569023265-4"/>
    <s v="HRC"/>
    <n v="0.28000000000000003"/>
    <n v="207"/>
    <n v="0"/>
    <n v="2"/>
    <n v="2"/>
    <s v="PSS"/>
    <d v="2002-02-06T00:00:00"/>
    <d v="2002-02-21T00:00:00"/>
    <s v="-"/>
    <s v="-"/>
    <d v="2002-03-13T00:00:00"/>
    <d v="2002-05-16T00:00:00"/>
    <s v="OTIF FAIL"/>
    <n v="4"/>
    <s v="1210_FG_PSS"/>
    <x v="4"/>
    <n v="1"/>
    <m/>
  </r>
  <r>
    <s v="0569023268-4"/>
    <s v="CST"/>
    <n v="0.28000000000000003"/>
    <n v="207"/>
    <n v="0"/>
    <n v="2"/>
    <n v="2"/>
    <s v="PSS"/>
    <d v="2002-02-17T00:00:00"/>
    <d v="2002-02-21T00:00:00"/>
    <d v="2002-03-13T00:00:00"/>
    <d v="2002-03-13T00:00:00"/>
    <d v="2002-03-11T00:00:00"/>
    <d v="2002-05-16T00:00:00"/>
    <s v="OTIF FAIL"/>
    <n v="4"/>
    <s v="1210_FG_PSS"/>
    <x v="4"/>
    <n v="1"/>
    <m/>
  </r>
  <r>
    <s v="0568012748-1"/>
    <s v="PSS"/>
    <n v="0.15"/>
    <n v="360"/>
    <n v="0"/>
    <n v="10"/>
    <n v="10"/>
    <s v="PSS"/>
    <d v="2001-08-09T00:00:00"/>
    <d v="2002-03-28T00:00:00"/>
    <d v="2002-04-04T00:00:00"/>
    <d v="2002-04-04T00:00:00"/>
    <d v="2002-04-04T00:00:00"/>
    <d v="2002-04-04T00:00:00"/>
    <s v="OTIF FAIL"/>
    <n v="1"/>
    <s v="1210_FG_PSS"/>
    <x v="6"/>
    <n v="1"/>
    <m/>
  </r>
  <r>
    <s v="0558110243-10"/>
    <s v="HRC"/>
    <n v="0.2"/>
    <n v="94"/>
    <n v="0"/>
    <n v="25"/>
    <n v="13.958"/>
    <s v="PSS"/>
    <d v="2001-09-25T00:00:00"/>
    <d v="2002-03-24T00:00:00"/>
    <d v="2002-03-30T00:00:00"/>
    <d v="2002-03-30T00:00:00"/>
    <d v="2002-03-30T00:00:00"/>
    <d v="2002-03-30T00:00:00"/>
    <s v="OTIF FAIL"/>
    <n v="10"/>
    <s v="1210_FG_PSS"/>
    <x v="9"/>
    <n v="0"/>
    <m/>
  </r>
  <r>
    <s v="0569023278-4"/>
    <s v="HRC"/>
    <n v="0.28000000000000003"/>
    <n v="207"/>
    <n v="0"/>
    <n v="2"/>
    <n v="2"/>
    <s v="PSS"/>
    <d v="2002-04-06T00:00:00"/>
    <d v="2002-05-16T00:00:00"/>
    <s v="-"/>
    <s v="-"/>
    <d v="2002-05-16T00:00:00"/>
    <d v="2002-05-16T00:00:00"/>
    <s v="OTIF FAIL"/>
    <n v="4"/>
    <s v="1210_FG_PSS"/>
    <x v="4"/>
    <n v="1"/>
    <m/>
  </r>
  <r>
    <s v="0558111017-1"/>
    <s v="CST"/>
    <n v="0.05"/>
    <n v="360"/>
    <n v="0"/>
    <n v="2.5"/>
    <n v="2.5"/>
    <s v="PSS"/>
    <d v="2001-09-25T00:00:00"/>
    <d v="2002-03-24T00:00:00"/>
    <d v="2002-04-29T00:00:00"/>
    <d v="2002-04-29T00:00:00"/>
    <d v="2002-04-22T00:00:00"/>
    <d v="2002-04-22T00:00:00"/>
    <s v="OTIF FAIL"/>
    <n v="1"/>
    <s v="1210_FG_PSS"/>
    <x v="2"/>
    <n v="1"/>
    <m/>
  </r>
  <r>
    <s v="0558116772-4"/>
    <s v="CST"/>
    <n v="0.3"/>
    <n v="320"/>
    <n v="0"/>
    <n v="12"/>
    <n v="12"/>
    <s v="PSS"/>
    <d v="2002-04-07T00:00:00"/>
    <d v="2002-05-16T00:00:00"/>
    <s v="-"/>
    <s v="-"/>
    <s v="-"/>
    <d v="2002-03-24T00:00:00"/>
    <s v="OTIF FAIL"/>
    <n v="4"/>
    <s v="1210_IUP_FG"/>
    <x v="9"/>
    <n v="0"/>
    <m/>
  </r>
  <r>
    <s v="0558111136-3"/>
    <s v="HRC"/>
    <n v="0.3"/>
    <n v="300"/>
    <n v="0"/>
    <n v="6"/>
    <n v="6"/>
    <s v="PSS"/>
    <d v="2001-09-25T00:00:00"/>
    <d v="2002-03-24T00:00:00"/>
    <d v="2002-03-24T00:00:00"/>
    <d v="2002-03-24T00:00:00"/>
    <d v="2002-03-24T00:00:00"/>
    <d v="2002-05-09T00:00:00"/>
    <s v="OTIF PASS"/>
    <n v="3"/>
    <s v="1210_IUP_FG"/>
    <x v="19"/>
    <n v="1"/>
    <m/>
  </r>
  <r>
    <s v="0558111136-1"/>
    <s v="CST"/>
    <n v="0.3"/>
    <n v="300"/>
    <n v="0"/>
    <n v="7"/>
    <n v="7"/>
    <s v="PSS"/>
    <d v="2001-09-25T00:00:00"/>
    <d v="2002-03-24T00:00:00"/>
    <d v="2002-03-30T00:00:00"/>
    <d v="2002-03-30T00:00:00"/>
    <d v="2002-03-30T00:00:00"/>
    <d v="2002-05-09T00:00:00"/>
    <s v="OTIF FAIL"/>
    <n v="1"/>
    <s v="1210_IUP_FG"/>
    <x v="19"/>
    <n v="1"/>
    <m/>
  </r>
  <r>
    <s v="0558111136-2"/>
    <s v="CST"/>
    <n v="0.3"/>
    <n v="320"/>
    <n v="0"/>
    <n v="15"/>
    <n v="15"/>
    <s v="PSS"/>
    <d v="2001-09-25T00:00:00"/>
    <d v="2002-03-24T00:00:00"/>
    <d v="2002-03-24T00:00:00"/>
    <d v="2002-03-24T00:00:00"/>
    <d v="2002-03-24T00:00:00"/>
    <d v="2002-03-24T00:00:00"/>
    <s v="OTIF PASS"/>
    <n v="2"/>
    <s v="1210_IUP_FG"/>
    <x v="9"/>
    <n v="1"/>
    <m/>
  </r>
  <r>
    <s v="0558116772-1"/>
    <s v="CST"/>
    <n v="0.3"/>
    <n v="300"/>
    <n v="0"/>
    <n v="7"/>
    <n v="7"/>
    <s v="PSS"/>
    <d v="2002-04-07T00:00:00"/>
    <d v="2002-05-16T00:00:00"/>
    <s v="-"/>
    <s v="-"/>
    <d v="2002-05-09T00:00:00"/>
    <d v="2002-05-09T00:00:00"/>
    <s v="OTIF FAIL"/>
    <n v="1"/>
    <s v="1210_IUP_FG"/>
    <x v="19"/>
    <n v="1"/>
    <m/>
  </r>
  <r>
    <s v="0558116772-3"/>
    <s v="CRC"/>
    <n v="0.3"/>
    <n v="300"/>
    <n v="0"/>
    <n v="6"/>
    <n v="6"/>
    <s v="PSS"/>
    <d v="2002-04-07T00:00:00"/>
    <d v="2002-05-16T00:00:00"/>
    <s v="-"/>
    <s v="-"/>
    <d v="2002-05-08T00:00:00"/>
    <d v="2002-05-09T00:00:00"/>
    <s v="OTIF FAIL"/>
    <n v="3"/>
    <s v="1210_IUP_FG"/>
    <x v="19"/>
    <n v="1"/>
    <m/>
  </r>
  <r>
    <s v="0558116772-2"/>
    <s v="HPC"/>
    <n v="0.3"/>
    <n v="320"/>
    <n v="0"/>
    <n v="15"/>
    <n v="15"/>
    <s v="PSS"/>
    <d v="2002-04-07T00:00:00"/>
    <d v="2002-05-16T00:00:00"/>
    <s v="-"/>
    <s v="-"/>
    <s v="-"/>
    <d v="2002-03-24T00:00:00"/>
    <s v="OTIF FAIL"/>
    <n v="2"/>
    <s v="1210_IUP_FG"/>
    <x v="9"/>
    <n v="0"/>
    <m/>
  </r>
  <r>
    <s v="0558111136-4"/>
    <s v="CRC"/>
    <n v="0.3"/>
    <n v="320"/>
    <n v="0"/>
    <n v="12"/>
    <n v="12"/>
    <s v="PSS"/>
    <d v="2001-09-25T00:00:00"/>
    <d v="2002-03-24T00:00:00"/>
    <d v="2002-03-24T00:00:00"/>
    <d v="2002-03-24T00:00:00"/>
    <d v="2002-03-24T00:00:00"/>
    <d v="2002-03-24T00:00:00"/>
    <s v="OTIF PASS"/>
    <n v="4"/>
    <s v="1210_IUP_FG"/>
    <x v="9"/>
    <n v="1"/>
    <m/>
  </r>
  <r>
    <s v="0558116747-2"/>
    <s v="HRC"/>
    <n v="0.3"/>
    <n v="113"/>
    <n v="0"/>
    <n v="15"/>
    <n v="13.406000000000001"/>
    <s v="PSS"/>
    <d v="2002-04-06T00:00:00"/>
    <d v="2002-05-10T00:00:00"/>
    <s v="-"/>
    <s v="-"/>
    <d v="2002-05-10T00:00:00"/>
    <d v="2002-05-10T00:00:00"/>
    <s v="OTIF FAIL"/>
    <n v="2"/>
    <s v="1210_FG_PSS"/>
    <x v="19"/>
    <n v="0"/>
    <m/>
  </r>
  <r>
    <s v="0558116747-1"/>
    <s v="HRC"/>
    <n v="0.4"/>
    <n v="98"/>
    <n v="0"/>
    <n v="15"/>
    <n v="11.33"/>
    <s v="PSS"/>
    <d v="2002-04-06T00:00:00"/>
    <d v="2002-05-10T00:00:00"/>
    <s v="-"/>
    <s v="-"/>
    <d v="2002-05-10T00:00:00"/>
    <d v="2002-05-10T00:00:00"/>
    <s v="OTIF FAIL"/>
    <n v="1"/>
    <s v="1210_FG_PSS"/>
    <x v="19"/>
    <n v="0"/>
    <m/>
  </r>
  <r>
    <s v="0568012867-5"/>
    <s v="HPC"/>
    <n v="0.2"/>
    <n v="304.8"/>
    <n v="0"/>
    <n v="18.143999999999998"/>
    <n v="18.143999999999998"/>
    <s v="PSS"/>
    <d v="2001-08-28T00:00:00"/>
    <d v="2002-02-25T00:00:00"/>
    <s v="-"/>
    <s v="-"/>
    <d v="2002-03-22T00:00:00"/>
    <d v="2002-03-25T00:00:00"/>
    <s v="OTIF FAIL"/>
    <n v="5"/>
    <s v="1210_FG_PSS"/>
    <x v="9"/>
    <n v="1"/>
    <m/>
  </r>
  <r>
    <s v="0568012867-4"/>
    <s v="CST"/>
    <n v="0.2"/>
    <n v="304.8"/>
    <n v="0"/>
    <n v="18.143999999999998"/>
    <n v="18.143999999999998"/>
    <s v="PSS"/>
    <d v="2001-08-28T00:00:00"/>
    <d v="2002-02-23T00:00:00"/>
    <s v="-"/>
    <s v="-"/>
    <d v="2002-03-22T00:00:00"/>
    <d v="2002-03-25T00:00:00"/>
    <s v="OTIF FAIL"/>
    <n v="4"/>
    <s v="1210_FG_PSS"/>
    <x v="9"/>
    <n v="1"/>
    <m/>
  </r>
  <r>
    <s v="0568012867-3"/>
    <s v="CST"/>
    <n v="0.2"/>
    <n v="304.8"/>
    <n v="0"/>
    <n v="18.143999999999998"/>
    <n v="18.143999999999998"/>
    <s v="PSS"/>
    <d v="2001-08-28T00:00:00"/>
    <d v="2002-02-26T00:00:00"/>
    <d v="2002-03-25T00:00:00"/>
    <d v="2002-03-25T00:00:00"/>
    <d v="2002-03-25T00:00:00"/>
    <d v="2002-03-25T00:00:00"/>
    <s v="OTIF FAIL"/>
    <n v="3"/>
    <s v="1210_FG_PSS"/>
    <x v="9"/>
    <n v="1"/>
    <m/>
  </r>
  <r>
    <s v="0568012867-1"/>
    <s v="HPC"/>
    <n v="0.2"/>
    <n v="304.8"/>
    <n v="0"/>
    <n v="18.143999999999998"/>
    <n v="18.143999999999998"/>
    <s v="PSS"/>
    <d v="2001-08-28T00:00:00"/>
    <d v="2002-02-22T00:00:00"/>
    <s v="-"/>
    <s v="-"/>
    <d v="2002-03-22T00:00:00"/>
    <d v="2002-03-25T00:00:00"/>
    <s v="OTIF FAIL"/>
    <n v="1"/>
    <s v="1210_FG_PSS"/>
    <x v="9"/>
    <n v="1"/>
    <m/>
  </r>
  <r>
    <s v="0569022908-3"/>
    <s v="CST"/>
    <n v="0.19500000000000001"/>
    <n v="139.1"/>
    <n v="0"/>
    <n v="2"/>
    <n v="2"/>
    <s v="PSS"/>
    <d v="2001-08-07T00:00:00"/>
    <d v="2002-03-29T00:00:00"/>
    <d v="2002-04-26T00:00:00"/>
    <d v="2002-04-26T00:00:00"/>
    <d v="2002-04-19T00:00:00"/>
    <d v="2002-04-19T00:00:00"/>
    <s v="OTIF FAIL"/>
    <n v="3"/>
    <s v="1210_FG_PSS"/>
    <x v="15"/>
    <n v="1"/>
    <m/>
  </r>
  <r>
    <s v="0569022908-14"/>
    <s v="CST"/>
    <n v="0.15"/>
    <n v="189.5"/>
    <n v="0"/>
    <n v="3"/>
    <n v="3"/>
    <s v="PSS"/>
    <d v="2001-08-08T00:00:00"/>
    <d v="2002-03-29T00:00:00"/>
    <d v="2002-04-26T00:00:00"/>
    <d v="2002-04-26T00:00:00"/>
    <d v="2002-04-19T00:00:00"/>
    <d v="2002-04-19T00:00:00"/>
    <s v="OTIF FAIL"/>
    <n v="14"/>
    <s v="1210_FG_PSS"/>
    <x v="15"/>
    <n v="1"/>
    <m/>
  </r>
  <r>
    <s v="0569022908-11"/>
    <s v="CST"/>
    <n v="0.15"/>
    <n v="172"/>
    <n v="0"/>
    <n v="8"/>
    <n v="8"/>
    <s v="PSS"/>
    <d v="2001-08-08T00:00:00"/>
    <d v="2002-03-29T00:00:00"/>
    <d v="2002-04-29T00:00:00"/>
    <d v="2002-04-29T00:00:00"/>
    <d v="2002-04-20T00:00:00"/>
    <d v="2002-04-20T00:00:00"/>
    <s v="OTIF FAIL"/>
    <n v="11"/>
    <s v="1210_FG_PSS"/>
    <x v="15"/>
    <n v="1"/>
    <m/>
  </r>
  <r>
    <s v="0569022908-12"/>
    <s v="HRC"/>
    <n v="0.15"/>
    <n v="169.4"/>
    <n v="0"/>
    <n v="5"/>
    <n v="5"/>
    <s v="PSS"/>
    <d v="2001-08-08T00:00:00"/>
    <d v="2002-03-29T00:00:00"/>
    <d v="2002-04-27T00:00:00"/>
    <d v="2002-04-27T00:00:00"/>
    <d v="2002-04-20T00:00:00"/>
    <d v="2002-04-20T00:00:00"/>
    <s v="OTIF FAIL"/>
    <n v="12"/>
    <s v="1210_FG_PSS"/>
    <x v="15"/>
    <n v="1"/>
    <m/>
  </r>
  <r>
    <s v="0569022908-1"/>
    <s v="CST"/>
    <n v="0.19500000000000001"/>
    <n v="136"/>
    <n v="0"/>
    <n v="10"/>
    <n v="10"/>
    <s v="PSS"/>
    <d v="2001-08-07T00:00:00"/>
    <d v="2002-03-29T00:00:00"/>
    <d v="2002-04-05T00:00:00"/>
    <d v="2002-04-05T00:00:00"/>
    <d v="2002-04-05T00:00:00"/>
    <d v="2002-04-05T00:00:00"/>
    <s v="OTIF FAIL"/>
    <n v="1"/>
    <s v="1210_FG_PSS"/>
    <x v="6"/>
    <n v="1"/>
    <m/>
  </r>
  <r>
    <s v="0569022908-9"/>
    <s v="CST"/>
    <n v="0.19500000000000001"/>
    <n v="186"/>
    <n v="0"/>
    <n v="2"/>
    <n v="2"/>
    <s v="PSS"/>
    <d v="2001-08-07T00:00:00"/>
    <d v="2002-03-29T00:00:00"/>
    <d v="2002-04-26T00:00:00"/>
    <d v="2002-04-26T00:00:00"/>
    <d v="2002-04-19T00:00:00"/>
    <d v="2002-04-19T00:00:00"/>
    <s v="OTIF FAIL"/>
    <n v="9"/>
    <s v="1210_FG_PSS"/>
    <x v="15"/>
    <n v="1"/>
    <m/>
  </r>
  <r>
    <s v="0569022908-15"/>
    <s v="CST"/>
    <n v="0.15"/>
    <n v="201.1"/>
    <n v="0"/>
    <n v="12"/>
    <n v="12"/>
    <s v="PSS"/>
    <d v="2001-08-08T00:00:00"/>
    <d v="2002-03-29T00:00:00"/>
    <d v="2002-04-26T00:00:00"/>
    <d v="2002-04-26T00:00:00"/>
    <d v="2002-04-20T00:00:00"/>
    <d v="2002-04-20T00:00:00"/>
    <s v="OTIF FAIL"/>
    <n v="15"/>
    <s v="1210_FG_PSS"/>
    <x v="15"/>
    <n v="1"/>
    <m/>
  </r>
  <r>
    <s v="0569022908-2"/>
    <s v="CRC"/>
    <n v="0.19500000000000001"/>
    <n v="138.5"/>
    <n v="0"/>
    <n v="10"/>
    <n v="10"/>
    <s v="PSS"/>
    <d v="2001-08-07T00:00:00"/>
    <d v="2002-03-29T00:00:00"/>
    <d v="2002-04-26T00:00:00"/>
    <d v="2002-04-26T00:00:00"/>
    <d v="2002-04-19T00:00:00"/>
    <d v="2002-04-19T00:00:00"/>
    <s v="OTIF FAIL"/>
    <n v="2"/>
    <s v="1210_FG_PSS"/>
    <x v="15"/>
    <n v="1"/>
    <m/>
  </r>
  <r>
    <s v="0569022908-16"/>
    <s v="CST"/>
    <n v="0.15"/>
    <n v="198.9"/>
    <n v="0"/>
    <n v="11"/>
    <n v="11"/>
    <s v="PSS"/>
    <d v="2001-08-08T00:00:00"/>
    <d v="2002-03-29T00:00:00"/>
    <d v="2002-04-26T00:00:00"/>
    <d v="2002-04-26T00:00:00"/>
    <d v="2002-04-19T00:00:00"/>
    <d v="2002-04-19T00:00:00"/>
    <s v="OTIF FAIL"/>
    <n v="16"/>
    <s v="1210_FG_PSS"/>
    <x v="15"/>
    <n v="1"/>
    <m/>
  </r>
  <r>
    <s v="0569022908-8"/>
    <s v="CST"/>
    <n v="0.19500000000000001"/>
    <n v="160.19999999999999"/>
    <n v="0"/>
    <n v="15"/>
    <n v="11.247999999999999"/>
    <s v="PSS"/>
    <d v="2001-08-07T00:00:00"/>
    <d v="2002-03-29T00:00:00"/>
    <d v="2002-04-26T00:00:00"/>
    <d v="2002-04-26T00:00:00"/>
    <d v="2002-04-19T00:00:00"/>
    <d v="2002-04-19T00:00:00"/>
    <s v="OTIF FAIL"/>
    <n v="8"/>
    <s v="1210_FG_PSS"/>
    <x v="15"/>
    <n v="0"/>
    <m/>
  </r>
  <r>
    <s v="0569023165-2"/>
    <s v="CST"/>
    <n v="0.38"/>
    <n v="475"/>
    <n v="0"/>
    <n v="3"/>
    <n v="3"/>
    <s v="PSS"/>
    <d v="2001-08-29T00:00:00"/>
    <d v="2002-02-22T00:00:00"/>
    <d v="2002-03-23T00:00:00"/>
    <d v="2002-03-23T00:00:00"/>
    <d v="2002-03-23T00:00:00"/>
    <d v="2002-03-23T00:00:00"/>
    <s v="OTIF FAIL"/>
    <n v="2"/>
    <s v="1210_FG_PSS"/>
    <x v="0"/>
    <n v="1"/>
    <m/>
  </r>
  <r>
    <s v="0568012801-1"/>
    <s v="CST"/>
    <n v="0.28000000000000003"/>
    <n v="43.89"/>
    <n v="0"/>
    <n v="22"/>
    <n v="21.318000000000001"/>
    <s v="PSS"/>
    <d v="2001-08-21T00:00:00"/>
    <d v="2002-03-30T00:00:00"/>
    <d v="2002-05-07T00:00:00"/>
    <d v="2002-05-07T00:00:00"/>
    <d v="2002-04-13T00:00:00"/>
    <d v="2002-04-26T00:00:00"/>
    <s v="OTIF FAIL"/>
    <n v="1"/>
    <s v="1210_FG_PSS"/>
    <x v="2"/>
    <n v="0"/>
    <m/>
  </r>
  <r>
    <s v="0568012804-1"/>
    <s v="CST"/>
    <n v="0.28000000000000003"/>
    <n v="43.89"/>
    <n v="0"/>
    <n v="22"/>
    <n v="22"/>
    <s v="PSS"/>
    <d v="2001-08-21T00:00:00"/>
    <d v="2002-03-29T00:00:00"/>
    <d v="2002-05-07T00:00:00"/>
    <d v="2002-05-07T00:00:00"/>
    <d v="2002-04-12T00:00:00"/>
    <d v="2002-04-26T00:00:00"/>
    <s v="OTIF FAIL"/>
    <n v="1"/>
    <s v="1210_FG_PSS"/>
    <x v="2"/>
    <n v="1"/>
    <m/>
  </r>
  <r>
    <s v="0508000584-6"/>
    <s v="HPC"/>
    <n v="0.28000000000000003"/>
    <n v="43.89"/>
    <n v="0"/>
    <n v="22"/>
    <n v="22"/>
    <s v="PSS"/>
    <d v="2001-09-25T00:00:00"/>
    <d v="2002-02-27T00:00:00"/>
    <d v="2002-05-07T00:00:00"/>
    <d v="2002-05-07T00:00:00"/>
    <d v="2002-03-19T00:00:00"/>
    <d v="2002-03-19T00:00:00"/>
    <s v="OTIF FAIL"/>
    <n v="6"/>
    <s v="1210_FG_PSS"/>
    <x v="0"/>
    <n v="1"/>
    <m/>
  </r>
  <r>
    <s v="0569023165-3"/>
    <s v="HPC"/>
    <n v="0.4"/>
    <n v="160"/>
    <n v="0"/>
    <n v="3"/>
    <n v="3"/>
    <s v="PSS"/>
    <d v="2001-08-29T00:00:00"/>
    <d v="2002-03-10T00:00:00"/>
    <d v="2002-03-19T00:00:00"/>
    <d v="2002-03-19T00:00:00"/>
    <d v="2002-03-19T00:00:00"/>
    <d v="2002-03-19T00:00:00"/>
    <s v="OTIF FAIL"/>
    <n v="3"/>
    <s v="1210_FG_PSS"/>
    <x v="0"/>
    <n v="1"/>
    <m/>
  </r>
  <r>
    <s v="0568012815-1"/>
    <s v="HRC"/>
    <n v="0.28000000000000003"/>
    <n v="43.89"/>
    <n v="0"/>
    <n v="22"/>
    <n v="22"/>
    <s v="PSS"/>
    <d v="2001-08-23T00:00:00"/>
    <d v="2002-03-29T00:00:00"/>
    <d v="2002-05-07T00:00:00"/>
    <d v="2002-05-07T00:00:00"/>
    <d v="2002-04-12T00:00:00"/>
    <d v="2002-04-26T00:00:00"/>
    <s v="OTIF FAIL"/>
    <n v="1"/>
    <s v="1210_FG_PSS"/>
    <x v="2"/>
    <n v="1"/>
    <m/>
  </r>
  <r>
    <s v="0508000584-7"/>
    <s v="CST"/>
    <n v="0.28000000000000003"/>
    <n v="43.89"/>
    <n v="0"/>
    <n v="22"/>
    <n v="22"/>
    <s v="PSS"/>
    <d v="2001-09-25T00:00:00"/>
    <d v="2002-02-27T00:00:00"/>
    <d v="2002-05-07T00:00:00"/>
    <d v="2002-05-07T00:00:00"/>
    <d v="2002-03-19T00:00:00"/>
    <d v="2002-03-19T00:00:00"/>
    <s v="OTIF FAIL"/>
    <n v="7"/>
    <s v="1210_FG_PSS"/>
    <x v="0"/>
    <n v="1"/>
    <m/>
  </r>
  <r>
    <s v="0508000584-5"/>
    <s v="HPC"/>
    <n v="0.28000000000000003"/>
    <n v="43.89"/>
    <n v="0"/>
    <n v="22"/>
    <n v="22"/>
    <s v="PSS"/>
    <d v="2001-09-25T00:00:00"/>
    <d v="2002-03-23T00:00:00"/>
    <d v="2002-05-07T00:00:00"/>
    <d v="2002-05-07T00:00:00"/>
    <d v="2002-04-13T00:00:00"/>
    <d v="2002-04-26T00:00:00"/>
    <s v="OTIF FAIL"/>
    <n v="5"/>
    <s v="1210_FG_PSS"/>
    <x v="2"/>
    <n v="1"/>
    <m/>
  </r>
  <r>
    <s v="0508000584-8"/>
    <s v="CRC"/>
    <n v="0.28000000000000003"/>
    <n v="43.89"/>
    <n v="0"/>
    <n v="22"/>
    <n v="22"/>
    <s v="PSS"/>
    <d v="2001-09-25T00:00:00"/>
    <d v="2002-02-27T00:00:00"/>
    <d v="2002-05-07T00:00:00"/>
    <d v="2002-05-07T00:00:00"/>
    <d v="2002-03-18T00:00:00"/>
    <d v="2002-03-19T00:00:00"/>
    <s v="OTIF FAIL"/>
    <n v="8"/>
    <s v="1210_FG_PSS"/>
    <x v="0"/>
    <n v="1"/>
    <m/>
  </r>
  <r>
    <s v="0568012801-2"/>
    <s v="CST"/>
    <n v="0.28000000000000003"/>
    <n v="43.89"/>
    <n v="0"/>
    <n v="22"/>
    <n v="22"/>
    <s v="PSS"/>
    <d v="2001-08-21T00:00:00"/>
    <d v="2002-03-29T00:00:00"/>
    <d v="2002-05-07T00:00:00"/>
    <d v="2002-05-07T00:00:00"/>
    <d v="2002-03-29T00:00:00"/>
    <d v="2002-04-26T00:00:00"/>
    <s v="OTIF FAIL"/>
    <n v="2"/>
    <s v="1210_FG_PSS"/>
    <x v="2"/>
    <n v="1"/>
    <m/>
  </r>
  <r>
    <s v="0568012818-1"/>
    <s v="HRC"/>
    <n v="0.28000000000000003"/>
    <n v="43.89"/>
    <n v="0"/>
    <n v="22"/>
    <n v="20.986000000000001"/>
    <s v="PSS"/>
    <d v="2001-08-23T00:00:00"/>
    <d v="2002-03-29T00:00:00"/>
    <s v="-"/>
    <s v="-"/>
    <d v="2002-04-26T00:00:00"/>
    <d v="2002-04-26T00:00:00"/>
    <s v="OTIF FAIL"/>
    <n v="1"/>
    <s v="1210_FG_PSS"/>
    <x v="2"/>
    <n v="0"/>
    <m/>
  </r>
  <r>
    <s v="0508000551-4"/>
    <s v="CST"/>
    <n v="0.152"/>
    <n v="43.99"/>
    <n v="0"/>
    <n v="22"/>
    <n v="8.6180000000000003"/>
    <s v="PSS"/>
    <d v="2001-09-25T00:00:00"/>
    <d v="2002-03-22T00:00:00"/>
    <d v="2002-05-07T00:00:00"/>
    <d v="2002-05-07T00:00:00"/>
    <d v="2002-04-13T00:00:00"/>
    <d v="2002-04-13T00:00:00"/>
    <s v="OTIF FAIL"/>
    <n v="4"/>
    <s v="1210_FG_PSS"/>
    <x v="7"/>
    <n v="0"/>
    <m/>
  </r>
  <r>
    <s v="0568012725-1"/>
    <s v="CRC"/>
    <n v="0.152"/>
    <n v="43.99"/>
    <n v="0"/>
    <n v="18"/>
    <n v="14.303000000000001"/>
    <s v="PSS"/>
    <d v="2001-08-04T00:00:00"/>
    <d v="2002-03-28T00:00:00"/>
    <d v="2002-05-07T00:00:00"/>
    <d v="2002-05-07T00:00:00"/>
    <d v="2002-04-11T00:00:00"/>
    <d v="2002-04-13T00:00:00"/>
    <s v="OTIF FAIL"/>
    <n v="1"/>
    <s v="1210_FG_PSS"/>
    <x v="7"/>
    <n v="0"/>
    <m/>
  </r>
  <r>
    <s v="0568012725-2"/>
    <s v="HRC"/>
    <n v="0.152"/>
    <n v="43.99"/>
    <n v="0"/>
    <n v="18"/>
    <n v="18"/>
    <s v="PSS"/>
    <d v="2001-08-29T00:00:00"/>
    <d v="2002-02-27T00:00:00"/>
    <s v="-"/>
    <s v="-"/>
    <d v="2002-03-22T00:00:00"/>
    <d v="2002-03-22T00:00:00"/>
    <s v="OTIF FAIL"/>
    <n v="2"/>
    <s v="1210_FG_PSS"/>
    <x v="0"/>
    <n v="1"/>
    <m/>
  </r>
  <r>
    <s v="0568012804-2"/>
    <s v="CST"/>
    <n v="0.28000000000000003"/>
    <n v="43.89"/>
    <n v="0"/>
    <n v="22"/>
    <n v="22"/>
    <s v="PSS"/>
    <d v="2001-08-21T00:00:00"/>
    <d v="2002-03-29T00:00:00"/>
    <s v="-"/>
    <s v="-"/>
    <d v="2002-04-26T00:00:00"/>
    <d v="2002-04-26T00:00:00"/>
    <s v="OTIF FAIL"/>
    <n v="2"/>
    <s v="1210_FG_PSS"/>
    <x v="2"/>
    <n v="1"/>
    <m/>
  </r>
  <r>
    <s v="0558116748-1"/>
    <s v="HRC"/>
    <n v="0.4"/>
    <n v="63.7"/>
    <n v="0"/>
    <n v="10"/>
    <n v="2.9220000000000002"/>
    <s v="PSS"/>
    <d v="2002-04-06T00:00:00"/>
    <d v="2002-05-13T00:00:00"/>
    <s v="-"/>
    <s v="-"/>
    <d v="2002-05-13T00:00:00"/>
    <d v="2002-05-13T00:00:00"/>
    <s v="OTIF FAIL"/>
    <n v="1"/>
    <s v="1210_FG_PSS"/>
    <x v="4"/>
    <n v="0"/>
    <m/>
  </r>
  <r>
    <s v="0568012737-4"/>
    <s v="HPC"/>
    <n v="0.2"/>
    <n v="543"/>
    <n v="0"/>
    <n v="3"/>
    <n v="3"/>
    <s v="PSS"/>
    <d v="2001-08-09T00:00:00"/>
    <d v="2002-03-28T00:00:00"/>
    <d v="2002-04-18T00:00:00"/>
    <d v="2002-04-18T00:00:00"/>
    <d v="2002-04-18T00:00:00"/>
    <d v="2002-04-18T00:00:00"/>
    <s v="OTIF FAIL"/>
    <n v="4"/>
    <s v="1210_FG_PSS"/>
    <x v="15"/>
    <n v="1"/>
    <m/>
  </r>
  <r>
    <s v="0558116529-1"/>
    <s v="CRC"/>
    <n v="0.4"/>
    <n v="63.7"/>
    <n v="0"/>
    <n v="10"/>
    <n v="10"/>
    <s v="PSS"/>
    <d v="2002-02-06T00:00:00"/>
    <d v="2002-02-21T00:00:00"/>
    <d v="2002-03-19T00:00:00"/>
    <d v="2002-03-19T00:00:00"/>
    <d v="2002-03-19T00:00:00"/>
    <d v="2002-05-13T00:00:00"/>
    <s v="OTIF FAIL"/>
    <n v="1"/>
    <s v="1210_FG_PSS"/>
    <x v="4"/>
    <n v="1"/>
    <m/>
  </r>
  <r>
    <s v="0558116528-2"/>
    <s v="HRC"/>
    <n v="0.3"/>
    <n v="113"/>
    <n v="0"/>
    <n v="15"/>
    <n v="15"/>
    <s v="PSS"/>
    <d v="2002-02-06T00:00:00"/>
    <d v="2002-02-21T00:00:00"/>
    <s v="-"/>
    <s v="-"/>
    <d v="2002-03-22T00:00:00"/>
    <d v="2002-05-10T00:00:00"/>
    <s v="OTIF FAIL"/>
    <n v="2"/>
    <s v="1210_FG_PSS"/>
    <x v="19"/>
    <n v="1"/>
    <m/>
  </r>
  <r>
    <s v="0558116528-1"/>
    <s v="CRC"/>
    <n v="0.4"/>
    <n v="98"/>
    <n v="0"/>
    <n v="15"/>
    <n v="15"/>
    <s v="PSS"/>
    <d v="2002-02-06T00:00:00"/>
    <d v="2002-02-21T00:00:00"/>
    <s v="-"/>
    <s v="-"/>
    <d v="2002-03-20T00:00:00"/>
    <d v="2002-05-10T00:00:00"/>
    <s v="OTIF FAIL"/>
    <n v="1"/>
    <s v="1210_FG_PSS"/>
    <x v="19"/>
    <n v="1"/>
    <m/>
  </r>
  <r>
    <s v="0568012737-2"/>
    <s v="HRC"/>
    <n v="0.15"/>
    <n v="660"/>
    <n v="0"/>
    <n v="10"/>
    <n v="10"/>
    <s v="PSS"/>
    <d v="2001-08-09T00:00:00"/>
    <d v="2002-03-28T00:00:00"/>
    <d v="2002-04-25T00:00:00"/>
    <d v="2002-04-25T00:00:00"/>
    <d v="2002-04-25T00:00:00"/>
    <d v="2002-04-25T00:00:00"/>
    <s v="OTIF FAIL"/>
    <n v="2"/>
    <s v="1210_FG_PSS"/>
    <x v="2"/>
    <n v="1"/>
    <m/>
  </r>
  <r>
    <s v="0568012872-13"/>
    <s v="CST"/>
    <n v="0.3"/>
    <n v="381"/>
    <n v="0"/>
    <n v="2.27"/>
    <n v="2.27"/>
    <s v="PSS"/>
    <d v="2001-08-30T00:00:00"/>
    <d v="2002-03-29T00:00:00"/>
    <d v="2002-04-27T00:00:00"/>
    <d v="2002-04-27T00:00:00"/>
    <d v="2002-04-20T00:00:00"/>
    <d v="2002-04-20T00:00:00"/>
    <s v="OTIF FAIL"/>
    <n v="13"/>
    <s v="1210_FG_PSS"/>
    <x v="15"/>
    <n v="1"/>
    <m/>
  </r>
  <r>
    <s v="0568012872-1"/>
    <s v="HRC"/>
    <n v="0.4"/>
    <n v="406.4"/>
    <n v="0"/>
    <n v="12.7"/>
    <n v="12.7"/>
    <s v="PSS"/>
    <d v="2001-08-30T00:00:00"/>
    <d v="2002-03-29T00:00:00"/>
    <d v="2002-03-29T00:00:00"/>
    <d v="2002-03-29T00:00:00"/>
    <d v="2002-03-29T00:00:00"/>
    <d v="2002-03-29T00:00:00"/>
    <s v="OTIF PASS"/>
    <n v="1"/>
    <s v="1210_FG_PSS"/>
    <x v="9"/>
    <n v="1"/>
    <m/>
  </r>
  <r>
    <s v="0568012872-4"/>
    <s v="HRC"/>
    <n v="0.4"/>
    <n v="260.35000000000002"/>
    <n v="0"/>
    <n v="4.54"/>
    <n v="4.54"/>
    <s v="PSS"/>
    <d v="2001-08-30T00:00:00"/>
    <d v="2002-03-29T00:00:00"/>
    <s v="-"/>
    <s v="-"/>
    <d v="2002-04-05T00:00:00"/>
    <d v="2002-04-05T00:00:00"/>
    <s v="OTIF FAIL"/>
    <n v="4"/>
    <s v="1210_FG_PSS"/>
    <x v="6"/>
    <n v="1"/>
    <m/>
  </r>
  <r>
    <s v="0568012872-9"/>
    <s v="HPC"/>
    <n v="0.3"/>
    <n v="355.6"/>
    <n v="0"/>
    <n v="5.9"/>
    <n v="5.9"/>
    <s v="PSS"/>
    <d v="2001-08-30T00:00:00"/>
    <d v="2002-03-29T00:00:00"/>
    <d v="2002-04-13T00:00:00"/>
    <d v="2002-04-13T00:00:00"/>
    <d v="2002-04-12T00:00:00"/>
    <d v="2002-04-12T00:00:00"/>
    <s v="OTIF FAIL"/>
    <n v="9"/>
    <s v="1210_FG_PSS"/>
    <x v="7"/>
    <n v="1"/>
    <m/>
  </r>
  <r>
    <s v="0568012872-17"/>
    <s v="CST"/>
    <n v="0.4"/>
    <n v="330.2"/>
    <n v="0"/>
    <n v="7"/>
    <n v="7"/>
    <s v="PSS"/>
    <d v="2001-08-30T00:00:00"/>
    <d v="2002-02-27T00:00:00"/>
    <d v="2002-05-01T00:00:00"/>
    <d v="2002-05-01T00:00:00"/>
    <d v="2002-03-16T00:00:00"/>
    <d v="2002-03-16T00:00:00"/>
    <s v="OTIF FAIL"/>
    <n v="17"/>
    <s v="1210_FG_PSS"/>
    <x v="3"/>
    <n v="1"/>
    <m/>
  </r>
  <r>
    <s v="0558115308-1"/>
    <s v="CST"/>
    <n v="0.25"/>
    <n v="180"/>
    <n v="0"/>
    <n v="3"/>
    <n v="3"/>
    <s v="PSS"/>
    <d v="2001-08-27T00:00:00"/>
    <d v="2002-03-26T00:00:00"/>
    <d v="2002-04-29T00:00:00"/>
    <d v="2002-04-29T00:00:00"/>
    <d v="2002-04-22T00:00:00"/>
    <d v="2002-04-22T00:00:00"/>
    <s v="OTIF FAIL"/>
    <n v="1"/>
    <s v="1210_FG_PSS"/>
    <x v="2"/>
    <n v="1"/>
    <m/>
  </r>
  <r>
    <s v="0568012872-3"/>
    <s v="CST"/>
    <n v="0.4"/>
    <n v="279.39999999999998"/>
    <n v="0"/>
    <n v="4.54"/>
    <n v="4.54"/>
    <s v="PSS"/>
    <d v="2001-08-30T00:00:00"/>
    <d v="2002-03-29T00:00:00"/>
    <d v="2002-04-26T00:00:00"/>
    <d v="2002-04-26T00:00:00"/>
    <d v="2002-04-19T00:00:00"/>
    <d v="2002-04-19T00:00:00"/>
    <s v="OTIF FAIL"/>
    <n v="3"/>
    <s v="1210_FG_PSS"/>
    <x v="15"/>
    <n v="1"/>
    <m/>
  </r>
  <r>
    <s v="0558113385-1"/>
    <s v="CST"/>
    <n v="0.22"/>
    <n v="8"/>
    <n v="0"/>
    <n v="3"/>
    <n v="3"/>
    <s v="PSS"/>
    <d v="2001-08-04T00:00:00"/>
    <d v="2002-03-25T00:00:00"/>
    <d v="2002-04-01T00:00:00"/>
    <d v="2002-04-01T00:00:00"/>
    <d v="2002-04-01T00:00:00"/>
    <d v="2002-04-01T00:00:00"/>
    <s v="OTIF FAIL"/>
    <n v="1"/>
    <s v="1210_FG_PSS"/>
    <x v="6"/>
    <n v="1"/>
    <m/>
  </r>
  <r>
    <s v="0569022908-13"/>
    <s v="CST"/>
    <n v="0.15"/>
    <n v="191.7"/>
    <n v="0"/>
    <n v="3"/>
    <n v="3"/>
    <s v="PSS"/>
    <d v="2001-08-08T00:00:00"/>
    <d v="2002-03-29T00:00:00"/>
    <d v="2002-04-26T00:00:00"/>
    <d v="2002-04-26T00:00:00"/>
    <d v="2002-04-19T00:00:00"/>
    <d v="2002-04-19T00:00:00"/>
    <s v="OTIF FAIL"/>
    <n v="13"/>
    <s v="1210_FG_PSS"/>
    <x v="15"/>
    <n v="1"/>
    <m/>
  </r>
  <r>
    <s v="0569022908-7"/>
    <s v="CST"/>
    <n v="0.19500000000000001"/>
    <n v="157.69999999999999"/>
    <n v="0"/>
    <n v="10"/>
    <n v="10"/>
    <s v="PSS"/>
    <d v="2001-08-07T00:00:00"/>
    <d v="2002-03-29T00:00:00"/>
    <d v="2002-04-20T00:00:00"/>
    <d v="2002-04-20T00:00:00"/>
    <d v="2002-04-20T00:00:00"/>
    <d v="2002-04-20T00:00:00"/>
    <s v="OTIF FAIL"/>
    <n v="7"/>
    <s v="1210_FG_PSS"/>
    <x v="15"/>
    <n v="1"/>
    <m/>
  </r>
  <r>
    <s v="0568012758-1"/>
    <s v="CRC"/>
    <n v="0.2"/>
    <n v="172.3"/>
    <n v="0"/>
    <n v="20"/>
    <n v="20"/>
    <s v="PSS"/>
    <d v="2001-08-13T00:00:00"/>
    <d v="2002-03-28T00:00:00"/>
    <d v="2002-04-11T00:00:00"/>
    <d v="2002-04-11T00:00:00"/>
    <d v="2002-04-11T00:00:00"/>
    <d v="2002-04-11T00:00:00"/>
    <s v="OTIF FAIL"/>
    <n v="1"/>
    <s v="1210_FG_PSS"/>
    <x v="7"/>
    <n v="1"/>
    <m/>
  </r>
  <r>
    <s v="0568012755-1"/>
    <s v="CRC"/>
    <n v="0.2"/>
    <n v="102"/>
    <n v="0"/>
    <n v="20"/>
    <n v="20"/>
    <s v="PSS"/>
    <d v="2001-08-13T00:00:00"/>
    <d v="2002-03-28T00:00:00"/>
    <d v="2002-04-11T00:00:00"/>
    <d v="2002-04-11T00:00:00"/>
    <d v="2002-04-11T00:00:00"/>
    <d v="2002-04-11T00:00:00"/>
    <s v="OTIF FAIL"/>
    <n v="1"/>
    <s v="1210_FG_PSS"/>
    <x v="7"/>
    <n v="1"/>
    <m/>
  </r>
  <r>
    <s v="0568012872-18"/>
    <s v="CRC"/>
    <n v="0.4"/>
    <n v="292.10000000000002"/>
    <n v="0"/>
    <n v="7.85"/>
    <n v="7.85"/>
    <s v="PSS"/>
    <d v="2001-08-30T00:00:00"/>
    <d v="2002-02-27T00:00:00"/>
    <d v="2002-05-01T00:00:00"/>
    <d v="2002-05-01T00:00:00"/>
    <d v="2002-03-16T00:00:00"/>
    <d v="2002-03-16T00:00:00"/>
    <s v="OTIF FAIL"/>
    <n v="18"/>
    <s v="1210_FG_PSS"/>
    <x v="3"/>
    <n v="1"/>
    <m/>
  </r>
  <r>
    <s v="0568012757-1"/>
    <s v="HPC"/>
    <n v="0.2"/>
    <n v="102"/>
    <n v="0"/>
    <n v="20"/>
    <n v="18.527999999999999"/>
    <s v="PSS"/>
    <d v="2001-08-13T00:00:00"/>
    <d v="2002-03-28T00:00:00"/>
    <d v="2002-04-11T00:00:00"/>
    <d v="2002-04-11T00:00:00"/>
    <d v="2002-04-11T00:00:00"/>
    <d v="2002-04-11T00:00:00"/>
    <s v="OTIF FAIL"/>
    <n v="1"/>
    <s v="1210_FG_PSS"/>
    <x v="7"/>
    <n v="0"/>
    <m/>
  </r>
  <r>
    <s v="0508000621-2"/>
    <s v="CRC"/>
    <n v="0.3"/>
    <n v="155"/>
    <n v="0"/>
    <n v="5"/>
    <n v="5"/>
    <s v="PSS"/>
    <d v="2001-08-28T00:00:00"/>
    <d v="2002-03-24T00:00:00"/>
    <d v="2002-04-18T00:00:00"/>
    <d v="2002-04-18T00:00:00"/>
    <d v="2002-04-13T00:00:00"/>
    <d v="2002-04-13T00:00:00"/>
    <s v="OTIF FAIL"/>
    <n v="2"/>
    <s v="1210_FG_PSS"/>
    <x v="7"/>
    <n v="1"/>
    <m/>
  </r>
  <r>
    <s v="0569022907-2"/>
    <s v="HRC"/>
    <n v="0.19500000000000001"/>
    <n v="15.3"/>
    <n v="0"/>
    <n v="10"/>
    <n v="10"/>
    <s v="PSS"/>
    <d v="2001-08-07T00:00:00"/>
    <d v="2002-03-29T00:00:00"/>
    <d v="2002-04-05T00:00:00"/>
    <d v="2002-04-05T00:00:00"/>
    <d v="2002-04-05T00:00:00"/>
    <d v="2002-04-05T00:00:00"/>
    <s v="OTIF FAIL"/>
    <n v="2"/>
    <s v="1210_FG_PSS"/>
    <x v="6"/>
    <n v="1"/>
    <m/>
  </r>
  <r>
    <s v="0508000616-1"/>
    <s v="CST"/>
    <n v="0.2"/>
    <n v="17.600000000000001"/>
    <n v="0"/>
    <n v="2"/>
    <n v="2"/>
    <s v="PSS"/>
    <d v="2001-08-14T00:00:00"/>
    <d v="2002-03-23T00:00:00"/>
    <d v="2002-05-07T00:00:00"/>
    <d v="2002-05-07T00:00:00"/>
    <d v="2002-04-06T00:00:00"/>
    <d v="2002-04-13T00:00:00"/>
    <s v="OTIF FAIL"/>
    <n v="1"/>
    <s v="1210_FG_PSS"/>
    <x v="7"/>
    <n v="1"/>
    <m/>
  </r>
  <r>
    <s v="0569022907-3"/>
    <s v="CST"/>
    <n v="0.19500000000000001"/>
    <n v="15.3"/>
    <n v="0"/>
    <n v="10"/>
    <n v="9.3819999999999997"/>
    <s v="PSS"/>
    <d v="2001-08-07T00:00:00"/>
    <d v="2002-03-29T00:00:00"/>
    <d v="2002-04-05T00:00:00"/>
    <d v="2002-04-05T00:00:00"/>
    <d v="2002-04-05T00:00:00"/>
    <d v="2002-04-05T00:00:00"/>
    <s v="OTIF FAIL"/>
    <n v="3"/>
    <s v="1210_FG_PSS"/>
    <x v="6"/>
    <n v="0"/>
    <m/>
  </r>
  <r>
    <s v="0568012759-1"/>
    <s v="CST"/>
    <n v="0.15"/>
    <n v="172.3"/>
    <n v="0"/>
    <n v="20"/>
    <n v="20"/>
    <s v="PSS"/>
    <d v="2001-08-13T00:00:00"/>
    <d v="2002-03-28T00:00:00"/>
    <d v="2002-04-18T00:00:00"/>
    <d v="2002-04-18T00:00:00"/>
    <d v="2002-04-18T00:00:00"/>
    <d v="2002-04-25T00:00:00"/>
    <s v="OTIF FAIL"/>
    <n v="1"/>
    <s v="1210_FG_PSS"/>
    <x v="2"/>
    <n v="1"/>
    <m/>
  </r>
  <r>
    <s v="0508000572-1"/>
    <s v="CRC"/>
    <n v="0.2"/>
    <n v="17.600000000000001"/>
    <n v="0"/>
    <n v="8"/>
    <n v="2.5779999999999998"/>
    <s v="PSS"/>
    <d v="2001-09-25T00:00:00"/>
    <d v="2002-03-23T00:00:00"/>
    <d v="2002-04-13T00:00:00"/>
    <d v="2002-04-13T00:00:00"/>
    <d v="2002-04-13T00:00:00"/>
    <d v="2002-04-13T00:00:00"/>
    <s v="OTIF FAIL"/>
    <n v="1"/>
    <s v="1210_FG_PSS"/>
    <x v="7"/>
    <n v="0"/>
    <m/>
  </r>
  <r>
    <s v="0508000619-3"/>
    <s v="CST"/>
    <n v="0.2"/>
    <n v="162.69999999999999"/>
    <n v="0"/>
    <n v="2"/>
    <n v="2"/>
    <s v="PSS"/>
    <d v="2001-08-14T00:00:00"/>
    <d v="2002-03-24T00:00:00"/>
    <d v="2002-03-29T00:00:00"/>
    <d v="2002-03-29T00:00:00"/>
    <d v="2002-03-29T00:00:00"/>
    <d v="2002-03-29T00:00:00"/>
    <s v="OTIF FAIL"/>
    <n v="3"/>
    <s v="1210_FG_PSS"/>
    <x v="9"/>
    <n v="1"/>
    <m/>
  </r>
  <r>
    <s v="0569022906-4"/>
    <s v="CST"/>
    <n v="0.25"/>
    <n v="182.3"/>
    <n v="0"/>
    <n v="8"/>
    <n v="8"/>
    <s v="PSS"/>
    <d v="2001-08-07T00:00:00"/>
    <d v="2002-03-29T00:00:00"/>
    <d v="2002-04-19T00:00:00"/>
    <d v="2002-04-19T00:00:00"/>
    <d v="2002-04-19T00:00:00"/>
    <d v="2002-04-19T00:00:00"/>
    <s v="OTIF FAIL"/>
    <n v="4"/>
    <s v="1210_FG_PSS"/>
    <x v="15"/>
    <n v="1"/>
    <m/>
  </r>
  <r>
    <s v="0568012733-7"/>
    <s v="HPC"/>
    <n v="0.2"/>
    <n v="261"/>
    <n v="0"/>
    <n v="2"/>
    <n v="2"/>
    <s v="PSS"/>
    <d v="2001-08-08T00:00:00"/>
    <d v="2002-03-28T00:00:00"/>
    <d v="2002-04-04T00:00:00"/>
    <d v="2002-04-04T00:00:00"/>
    <d v="2002-04-04T00:00:00"/>
    <d v="2002-04-04T00:00:00"/>
    <s v="OTIF FAIL"/>
    <n v="7"/>
    <s v="1210_FG_PSS"/>
    <x v="6"/>
    <n v="1"/>
    <m/>
  </r>
  <r>
    <s v="0508000619-1"/>
    <s v="HPC"/>
    <n v="0.2"/>
    <n v="209.9"/>
    <n v="0"/>
    <n v="2"/>
    <n v="2"/>
    <s v="PSS"/>
    <d v="2001-08-14T00:00:00"/>
    <d v="2002-03-23T00:00:00"/>
    <d v="2002-04-06T00:00:00"/>
    <d v="2002-04-06T00:00:00"/>
    <d v="2002-04-06T00:00:00"/>
    <d v="2002-04-06T00:00:00"/>
    <s v="OTIF FAIL"/>
    <n v="1"/>
    <s v="1210_FG_PSS"/>
    <x v="6"/>
    <n v="1"/>
    <m/>
  </r>
  <r>
    <s v="0508000619-4"/>
    <s v="CST"/>
    <n v="0.2"/>
    <n v="192.9"/>
    <n v="0"/>
    <n v="2"/>
    <n v="2"/>
    <s v="PSS"/>
    <d v="2001-08-14T00:00:00"/>
    <d v="2002-03-24T00:00:00"/>
    <d v="2002-04-27T00:00:00"/>
    <d v="2002-04-27T00:00:00"/>
    <d v="2002-04-20T00:00:00"/>
    <d v="2002-04-20T00:00:00"/>
    <s v="OTIF FAIL"/>
    <n v="4"/>
    <s v="1210_FG_PSS"/>
    <x v="15"/>
    <n v="1"/>
    <m/>
  </r>
  <r>
    <s v="0508000619-2"/>
    <s v="HRC"/>
    <n v="0.2"/>
    <n v="206.7"/>
    <n v="0"/>
    <n v="2"/>
    <n v="2"/>
    <s v="PSS"/>
    <d v="2001-08-14T00:00:00"/>
    <d v="2002-03-23T00:00:00"/>
    <d v="2002-04-22T00:00:00"/>
    <d v="2002-04-22T00:00:00"/>
    <d v="2002-04-22T00:00:00"/>
    <d v="2002-04-22T00:00:00"/>
    <s v="OTIF FAIL"/>
    <n v="2"/>
    <s v="1210_FG_PSS"/>
    <x v="2"/>
    <n v="1"/>
    <m/>
  </r>
  <r>
    <s v="0569022906-3"/>
    <s v="HRC"/>
    <n v="0.25"/>
    <n v="179.5"/>
    <n v="0"/>
    <n v="8"/>
    <n v="8"/>
    <s v="PSS"/>
    <d v="2001-08-07T00:00:00"/>
    <d v="2002-03-29T00:00:00"/>
    <d v="2002-03-30T00:00:00"/>
    <d v="2002-03-30T00:00:00"/>
    <d v="2002-03-29T00:00:00"/>
    <d v="2002-03-29T00:00:00"/>
    <s v="OTIF FAIL"/>
    <n v="3"/>
    <s v="1210_FG_PSS"/>
    <x v="9"/>
    <n v="1"/>
    <m/>
  </r>
  <r>
    <s v="0569022906-1"/>
    <s v="HRC"/>
    <n v="0.19500000000000001"/>
    <n v="15.3"/>
    <n v="0"/>
    <n v="2"/>
    <n v="2"/>
    <s v="PSS"/>
    <d v="2001-08-07T00:00:00"/>
    <d v="2002-03-29T00:00:00"/>
    <d v="2002-03-30T00:00:00"/>
    <d v="2002-03-30T00:00:00"/>
    <d v="2002-03-29T00:00:00"/>
    <d v="2002-03-29T00:00:00"/>
    <s v="OTIF FAIL"/>
    <n v="1"/>
    <s v="1210_FG_PSS"/>
    <x v="9"/>
    <n v="1"/>
    <m/>
  </r>
  <r>
    <s v="0568012733-8"/>
    <s v="HPC"/>
    <n v="0.2"/>
    <n v="183.5"/>
    <n v="0"/>
    <n v="12"/>
    <n v="9.875"/>
    <s v="PSS"/>
    <d v="2001-08-08T00:00:00"/>
    <d v="2002-03-28T00:00:00"/>
    <d v="2002-04-20T00:00:00"/>
    <d v="2002-04-20T00:00:00"/>
    <d v="2002-04-20T00:00:00"/>
    <d v="2002-04-20T00:00:00"/>
    <s v="OTIF FAIL"/>
    <n v="8"/>
    <s v="1210_FG_PSS"/>
    <x v="15"/>
    <n v="0"/>
    <m/>
  </r>
  <r>
    <s v="0568012872-11"/>
    <s v="CST"/>
    <n v="0.3"/>
    <n v="260.35000000000002"/>
    <n v="0"/>
    <n v="2.27"/>
    <n v="2.27"/>
    <s v="PSS"/>
    <d v="2001-08-30T00:00:00"/>
    <d v="2002-03-29T00:00:00"/>
    <d v="2002-05-07T00:00:00"/>
    <d v="2002-05-07T00:00:00"/>
    <d v="2002-04-19T00:00:00"/>
    <d v="2002-04-19T00:00:00"/>
    <s v="OTIF FAIL"/>
    <n v="11"/>
    <s v="1210_FG_PSS"/>
    <x v="15"/>
    <n v="1"/>
    <m/>
  </r>
  <r>
    <s v="0568012733-5"/>
    <s v="HRC"/>
    <n v="0.15"/>
    <n v="195"/>
    <n v="0"/>
    <n v="3.5"/>
    <n v="3.5"/>
    <s v="PSS"/>
    <d v="2001-08-08T00:00:00"/>
    <d v="2002-03-28T00:00:00"/>
    <d v="2002-04-25T00:00:00"/>
    <d v="2002-04-25T00:00:00"/>
    <d v="2002-04-18T00:00:00"/>
    <d v="2002-04-18T00:00:00"/>
    <s v="OTIF FAIL"/>
    <n v="5"/>
    <s v="1210_FG_PSS"/>
    <x v="15"/>
    <n v="1"/>
    <m/>
  </r>
  <r>
    <s v="0568012733-9"/>
    <s v="CRC"/>
    <n v="0.2"/>
    <n v="204"/>
    <n v="0"/>
    <n v="5"/>
    <n v="3.653"/>
    <s v="PSS"/>
    <d v="2001-08-08T00:00:00"/>
    <d v="2002-03-28T00:00:00"/>
    <d v="2002-04-18T00:00:00"/>
    <d v="2002-04-18T00:00:00"/>
    <d v="2002-04-18T00:00:00"/>
    <d v="2002-04-18T00:00:00"/>
    <s v="OTIF FAIL"/>
    <n v="9"/>
    <s v="1210_FG_PSS"/>
    <x v="15"/>
    <n v="0"/>
    <m/>
  </r>
  <r>
    <s v="0508000618-2"/>
    <s v="CRC"/>
    <n v="0.2"/>
    <n v="206.7"/>
    <n v="0"/>
    <n v="8"/>
    <n v="8"/>
    <s v="PSS"/>
    <d v="2001-08-14T00:00:00"/>
    <d v="2002-03-23T00:00:00"/>
    <d v="2002-04-22T00:00:00"/>
    <d v="2002-04-22T00:00:00"/>
    <d v="2002-04-22T00:00:00"/>
    <d v="2002-04-22T00:00:00"/>
    <s v="OTIF FAIL"/>
    <n v="2"/>
    <s v="1210_FG_PSS"/>
    <x v="2"/>
    <n v="1"/>
    <m/>
  </r>
  <r>
    <s v="0508000618-3"/>
    <s v="CST"/>
    <n v="0.2"/>
    <n v="209.9"/>
    <n v="0"/>
    <n v="2"/>
    <n v="2"/>
    <s v="PSS"/>
    <d v="2001-08-14T00:00:00"/>
    <d v="2002-03-23T00:00:00"/>
    <d v="2002-04-22T00:00:00"/>
    <d v="2002-04-22T00:00:00"/>
    <d v="2002-04-22T00:00:00"/>
    <d v="2002-04-22T00:00:00"/>
    <s v="OTIF FAIL"/>
    <n v="3"/>
    <s v="1210_FG_PSS"/>
    <x v="2"/>
    <n v="1"/>
    <m/>
  </r>
  <r>
    <s v="0508000618-1"/>
    <s v="CST"/>
    <n v="0.2"/>
    <n v="159.6"/>
    <n v="0"/>
    <n v="2"/>
    <n v="2"/>
    <s v="PSS"/>
    <d v="2001-08-14T00:00:00"/>
    <d v="2002-03-23T00:00:00"/>
    <d v="2002-04-15T00:00:00"/>
    <d v="2002-04-15T00:00:00"/>
    <d v="2002-04-15T00:00:00"/>
    <d v="2002-04-15T00:00:00"/>
    <s v="OTIF FAIL"/>
    <n v="1"/>
    <s v="1210_FG_PSS"/>
    <x v="15"/>
    <n v="1"/>
    <m/>
  </r>
  <r>
    <s v="0568012749-3"/>
    <s v="CST"/>
    <n v="0.15"/>
    <n v="197"/>
    <n v="0"/>
    <n v="2"/>
    <n v="2"/>
    <s v="PSS"/>
    <d v="2001-08-09T00:00:00"/>
    <d v="2002-03-28T00:00:00"/>
    <d v="2002-04-04T00:00:00"/>
    <d v="2002-04-04T00:00:00"/>
    <d v="2002-04-04T00:00:00"/>
    <d v="2002-04-04T00:00:00"/>
    <s v="OTIF FAIL"/>
    <n v="3"/>
    <s v="1210_FG_PSS"/>
    <x v="6"/>
    <n v="1"/>
    <m/>
  </r>
  <r>
    <s v="0558115331-1"/>
    <s v="CST"/>
    <n v="0.18"/>
    <n v="615"/>
    <n v="0"/>
    <n v="10"/>
    <n v="3.476"/>
    <s v="PSS"/>
    <d v="2001-08-28T00:00:00"/>
    <d v="2002-03-26T00:00:00"/>
    <d v="2002-04-09T00:00:00"/>
    <d v="2002-04-09T00:00:00"/>
    <d v="2002-03-28T00:00:00"/>
    <d v="2002-04-09T00:00:00"/>
    <s v="OTIF FAIL"/>
    <n v="1"/>
    <s v="1210_FG_PSS"/>
    <x v="7"/>
    <n v="0"/>
    <m/>
  </r>
  <r>
    <s v="0568012749-2"/>
    <s v="HRC"/>
    <n v="0.15"/>
    <n v="233"/>
    <n v="0"/>
    <n v="10"/>
    <n v="9.3049999999999997"/>
    <s v="PSS"/>
    <d v="2001-08-09T00:00:00"/>
    <d v="2002-03-28T00:00:00"/>
    <d v="2002-04-18T00:00:00"/>
    <d v="2002-04-18T00:00:00"/>
    <d v="2002-04-18T00:00:00"/>
    <d v="2002-04-18T00:00:00"/>
    <s v="OTIF FAIL"/>
    <n v="2"/>
    <s v="1210_FG_PSS"/>
    <x v="15"/>
    <n v="0"/>
    <m/>
  </r>
  <r>
    <s v="0508000617-1"/>
    <s v="CRC"/>
    <n v="0.2"/>
    <n v="250.7"/>
    <n v="0"/>
    <n v="5"/>
    <n v="2.77"/>
    <s v="PSS"/>
    <d v="2001-08-14T00:00:00"/>
    <d v="2002-03-23T00:00:00"/>
    <d v="2002-04-06T00:00:00"/>
    <d v="2002-04-06T00:00:00"/>
    <d v="2002-04-06T00:00:00"/>
    <d v="2002-04-06T00:00:00"/>
    <s v="OTIF FAIL"/>
    <n v="1"/>
    <s v="1210_FG_PSS"/>
    <x v="6"/>
    <n v="0"/>
    <m/>
  </r>
  <r>
    <s v="0568012604-1"/>
    <s v="HRC"/>
    <n v="0.4"/>
    <n v="150"/>
    <n v="0"/>
    <n v="2"/>
    <n v="2"/>
    <s v="PSS"/>
    <d v="2001-09-25T00:00:00"/>
    <d v="2002-03-27T00:00:00"/>
    <d v="2002-04-18T00:00:00"/>
    <d v="2002-04-18T00:00:00"/>
    <d v="2002-04-18T00:00:00"/>
    <d v="2002-04-18T00:00:00"/>
    <s v="OTIF FAIL"/>
    <n v="1"/>
    <s v="1210_FG_PSS"/>
    <x v="15"/>
    <n v="1"/>
    <m/>
  </r>
  <r>
    <s v="0568012797-5"/>
    <s v="JBS"/>
    <n v="0.2"/>
    <n v="445"/>
    <n v="0"/>
    <n v="2"/>
    <n v="2"/>
    <s v="PSS"/>
    <d v="2001-08-16T00:00:00"/>
    <d v="2002-03-29T00:00:00"/>
    <s v="-"/>
    <s v="-"/>
    <d v="2002-04-05T00:00:00"/>
    <d v="2002-04-05T00:00:00"/>
    <s v="OTIF FAIL"/>
    <n v="5"/>
    <s v="1210_FG_PSS"/>
    <x v="6"/>
    <n v="1"/>
    <m/>
  </r>
  <r>
    <s v="0558113936-2"/>
    <s v="CST"/>
    <n v="0.15"/>
    <n v="410"/>
    <n v="0"/>
    <n v="2.5"/>
    <n v="2.5"/>
    <s v="PSS"/>
    <d v="2001-08-13T00:00:00"/>
    <d v="2002-03-25T00:00:00"/>
    <d v="2002-04-15T00:00:00"/>
    <d v="2002-04-15T00:00:00"/>
    <d v="2002-04-15T00:00:00"/>
    <d v="2002-04-15T00:00:00"/>
    <s v="OTIF FAIL"/>
    <n v="2"/>
    <s v="1210_FG_PSS"/>
    <x v="15"/>
    <n v="1"/>
    <m/>
  </r>
  <r>
    <s v="0568012872-8"/>
    <s v="CST"/>
    <n v="0.3"/>
    <n v="279.39999999999998"/>
    <n v="0"/>
    <n v="3.4"/>
    <n v="2.76"/>
    <s v="PSS"/>
    <d v="2001-08-30T00:00:00"/>
    <d v="2002-03-29T00:00:00"/>
    <d v="2002-04-12T00:00:00"/>
    <d v="2002-04-12T00:00:00"/>
    <d v="2002-04-12T00:00:00"/>
    <d v="2002-04-12T00:00:00"/>
    <s v="OTIF FAIL"/>
    <n v="8"/>
    <s v="1210_FG_PSS"/>
    <x v="7"/>
    <n v="0"/>
    <m/>
  </r>
  <r>
    <s v="0558113936-1"/>
    <s v="CST"/>
    <n v="0.15"/>
    <n v="370"/>
    <n v="0"/>
    <n v="2.5"/>
    <n v="2.5"/>
    <s v="PSS"/>
    <d v="2001-08-13T00:00:00"/>
    <d v="2002-03-25T00:00:00"/>
    <d v="2002-04-15T00:00:00"/>
    <d v="2002-04-15T00:00:00"/>
    <d v="2002-04-15T00:00:00"/>
    <d v="2002-04-15T00:00:00"/>
    <s v="OTIF FAIL"/>
    <n v="1"/>
    <s v="1210_FG_PSS"/>
    <x v="15"/>
    <n v="1"/>
    <m/>
  </r>
  <r>
    <s v="0569022907-4"/>
    <s v="CST"/>
    <n v="0.19500000000000001"/>
    <n v="15.3"/>
    <n v="0"/>
    <n v="10"/>
    <n v="10"/>
    <s v="PSS"/>
    <d v="2001-08-07T00:00:00"/>
    <d v="2002-03-29T00:00:00"/>
    <d v="2002-04-05T00:00:00"/>
    <d v="2002-04-05T00:00:00"/>
    <d v="2002-04-05T00:00:00"/>
    <d v="2002-04-05T00:00:00"/>
    <s v="OTIF FAIL"/>
    <n v="4"/>
    <s v="1210_FG_PSS"/>
    <x v="6"/>
    <n v="1"/>
    <m/>
  </r>
  <r>
    <s v="0568012780-1"/>
    <s v="CST"/>
    <n v="0.3"/>
    <n v="133.35"/>
    <n v="0"/>
    <n v="2.27"/>
    <n v="2.27"/>
    <s v="PSS"/>
    <d v="2001-08-14T00:00:00"/>
    <d v="2002-03-28T00:00:00"/>
    <d v="2002-04-18T00:00:00"/>
    <d v="2002-04-18T00:00:00"/>
    <d v="2002-04-11T00:00:00"/>
    <d v="2002-04-11T00:00:00"/>
    <s v="OTIF FAIL"/>
    <n v="1"/>
    <s v="1210_FG_PSS"/>
    <x v="7"/>
    <n v="1"/>
    <m/>
  </r>
  <r>
    <s v="0568012756-1"/>
    <s v="CST"/>
    <n v="0.2"/>
    <n v="172.3"/>
    <n v="0"/>
    <n v="20"/>
    <n v="20"/>
    <s v="PSS"/>
    <d v="2001-08-13T00:00:00"/>
    <d v="2002-03-28T00:00:00"/>
    <d v="2002-04-11T00:00:00"/>
    <d v="2002-04-11T00:00:00"/>
    <d v="2002-04-11T00:00:00"/>
    <d v="2002-04-11T00:00:00"/>
    <s v="OTIF FAIL"/>
    <n v="1"/>
    <s v="1210_FG_PSS"/>
    <x v="7"/>
    <n v="1"/>
    <m/>
  </r>
  <r>
    <s v="0568012797-6"/>
    <s v="CST"/>
    <n v="0.2"/>
    <n v="383"/>
    <n v="0"/>
    <n v="2"/>
    <n v="2"/>
    <s v="PSS"/>
    <d v="2001-08-16T00:00:00"/>
    <d v="2002-03-29T00:00:00"/>
    <d v="2002-04-21T00:00:00"/>
    <d v="2002-04-21T00:00:00"/>
    <d v="2002-04-13T00:00:00"/>
    <d v="2002-04-13T00:00:00"/>
    <s v="OTIF FAIL"/>
    <n v="6"/>
    <s v="1210_FG_PSS"/>
    <x v="7"/>
    <n v="1"/>
    <m/>
  </r>
  <r>
    <s v="0508000614-1"/>
    <s v="CST"/>
    <n v="0.25"/>
    <n v="550"/>
    <n v="0"/>
    <n v="9"/>
    <n v="9"/>
    <s v="PSS"/>
    <d v="2001-08-13T00:00:00"/>
    <d v="2002-03-23T00:00:00"/>
    <d v="2002-04-06T00:00:00"/>
    <d v="2002-04-06T00:00:00"/>
    <d v="2002-04-06T00:00:00"/>
    <d v="2002-04-06T00:00:00"/>
    <s v="OTIF FAIL"/>
    <n v="1"/>
    <s v="1210_FG_PSS"/>
    <x v="6"/>
    <n v="1"/>
    <m/>
  </r>
  <r>
    <s v="0568012761-1"/>
    <s v="HRC"/>
    <n v="0.15"/>
    <n v="172.3"/>
    <n v="0"/>
    <n v="20"/>
    <n v="20"/>
    <s v="PSS"/>
    <d v="2001-08-13T00:00:00"/>
    <d v="2002-03-28T00:00:00"/>
    <d v="2002-04-25T00:00:00"/>
    <d v="2002-04-25T00:00:00"/>
    <d v="2002-04-25T00:00:00"/>
    <d v="2002-04-25T00:00:00"/>
    <s v="OTIF FAIL"/>
    <n v="1"/>
    <s v="1210_FG_PSS"/>
    <x v="2"/>
    <n v="1"/>
    <m/>
  </r>
  <r>
    <s v="0569022907-1"/>
    <s v="CST"/>
    <n v="0.19500000000000001"/>
    <n v="15.3"/>
    <n v="0"/>
    <n v="15"/>
    <n v="9.5129999999999999"/>
    <s v="PSS"/>
    <d v="2001-08-07T00:00:00"/>
    <d v="2002-03-29T00:00:00"/>
    <d v="2002-04-05T00:00:00"/>
    <d v="2002-04-05T00:00:00"/>
    <d v="2002-04-05T00:00:00"/>
    <d v="2002-04-05T00:00:00"/>
    <s v="OTIF FAIL"/>
    <n v="1"/>
    <s v="1210_FG_PSS"/>
    <x v="6"/>
    <n v="0"/>
    <m/>
  </r>
  <r>
    <s v="0568012872-6"/>
    <s v="NFA"/>
    <n v="0.4"/>
    <n v="533.4"/>
    <n v="0"/>
    <n v="9.07"/>
    <n v="9.07"/>
    <s v="PSS"/>
    <d v="2001-08-30T00:00:00"/>
    <d v="2002-03-29T00:00:00"/>
    <s v="-"/>
    <s v="-"/>
    <d v="2002-04-06T00:00:00"/>
    <d v="2002-04-06T00:00:00"/>
    <s v="OTIF FAIL"/>
    <n v="6"/>
    <s v="1210_FG_PSS"/>
    <x v="6"/>
    <n v="1"/>
    <m/>
  </r>
  <r>
    <s v="0568012782-1"/>
    <s v="CST"/>
    <n v="1.27"/>
    <n v="118.61799999999999"/>
    <n v="0"/>
    <n v="9.5"/>
    <n v="4.5720000000000001"/>
    <s v="PSS"/>
    <d v="2001-08-14T00:00:00"/>
    <d v="2002-03-29T00:00:00"/>
    <s v="-"/>
    <s v="-"/>
    <d v="2002-03-29T00:00:00"/>
    <d v="2002-03-29T00:00:00"/>
    <s v="OTIF FAIL"/>
    <n v="1"/>
    <s v="1210_FG_PSS"/>
    <x v="9"/>
    <n v="0"/>
    <m/>
  </r>
  <r>
    <s v="0558116627-1"/>
    <s v="NFA"/>
    <n v="0.25"/>
    <n v="360"/>
    <n v="0"/>
    <n v="3.2"/>
    <n v="3.2"/>
    <s v="PSS"/>
    <d v="2002-03-20T00:00:00"/>
    <d v="2002-04-21T00:00:00"/>
    <d v="2002-04-28T00:00:00"/>
    <d v="2002-04-28T00:00:00"/>
    <d v="2002-04-21T00:00:00"/>
    <d v="2002-04-21T00:00:00"/>
    <s v="OTIF FAIL"/>
    <n v="1"/>
    <s v="1210_FG_PSS"/>
    <x v="2"/>
    <n v="1"/>
    <m/>
  </r>
  <r>
    <s v="0558116735-1"/>
    <s v="HRC"/>
    <n v="0.2"/>
    <n v="302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208-3"/>
    <s v="HRC"/>
    <n v="0.28000000000000003"/>
    <n v="100"/>
    <n v="0"/>
    <n v="2"/>
    <n v="2"/>
    <s v="PSS"/>
    <d v="2001-10-28T00:00:00"/>
    <d v="2002-03-26T00:00:00"/>
    <d v="2002-04-30T00:00:00"/>
    <d v="2002-04-30T00:00:00"/>
    <d v="2002-04-10T00:00:00"/>
    <d v="2002-04-17T00:00:00"/>
    <s v="OTIF FAIL"/>
    <n v="3"/>
    <s v="1210_FG_PSS"/>
    <x v="15"/>
    <n v="1"/>
    <m/>
  </r>
  <r>
    <s v="0558116709-1"/>
    <s v="CST"/>
    <n v="0.25"/>
    <n v="440"/>
    <n v="0"/>
    <n v="3"/>
    <n v="3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686-1"/>
    <s v="HRC"/>
    <n v="0.25"/>
    <n v="440"/>
    <n v="0"/>
    <n v="3"/>
    <n v="3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3644-2"/>
    <s v="HRC"/>
    <n v="0.6"/>
    <n v="158"/>
    <n v="0"/>
    <n v="6"/>
    <n v="6"/>
    <s v="PSS"/>
    <d v="2001-08-07T00:00:00"/>
    <d v="2002-03-25T00:00:00"/>
    <d v="2002-03-25T00:00:00"/>
    <d v="2002-03-25T00:00:00"/>
    <d v="2002-03-25T00:00:00"/>
    <d v="2002-03-25T00:00:00"/>
    <s v="OTIF PASS"/>
    <n v="2"/>
    <s v="1210_FG_PSS"/>
    <x v="9"/>
    <n v="1"/>
    <m/>
  </r>
  <r>
    <s v="0558111200-6"/>
    <s v="CST"/>
    <n v="0.25"/>
    <n v="220"/>
    <n v="0"/>
    <n v="2"/>
    <n v="2"/>
    <s v="PSS"/>
    <d v="2001-09-25T00:00:00"/>
    <d v="2002-03-24T00:00:00"/>
    <d v="2002-04-01T00:00:00"/>
    <d v="2002-04-01T00:00:00"/>
    <d v="2002-04-01T00:00:00"/>
    <d v="2002-04-01T00:00:00"/>
    <s v="OTIF FAIL"/>
    <n v="6"/>
    <s v="1210_FG_PSS"/>
    <x v="6"/>
    <n v="1"/>
    <m/>
  </r>
  <r>
    <s v="0558107397-1"/>
    <s v="HPC"/>
    <n v="0.25"/>
    <n v="306"/>
    <n v="0"/>
    <n v="10"/>
    <n v="3.698"/>
    <s v="PSS"/>
    <d v="2001-09-25T00:00:00"/>
    <d v="2002-03-24T00:00:00"/>
    <d v="2002-04-24T00:00:00"/>
    <d v="2002-04-24T00:00:00"/>
    <d v="2002-04-14T00:00:00"/>
    <d v="2002-04-14T00:00:00"/>
    <s v="OTIF FAIL"/>
    <n v="1"/>
    <s v="1210_FG_PSS"/>
    <x v="15"/>
    <n v="0"/>
    <m/>
  </r>
  <r>
    <s v="0558114948-3"/>
    <s v="CST"/>
    <n v="0.4"/>
    <n v="88"/>
    <n v="0"/>
    <n v="3"/>
    <n v="3"/>
    <s v="PSS"/>
    <d v="2001-08-28T00:00:00"/>
    <d v="2002-03-26T00:00:00"/>
    <d v="2002-04-04T00:00:00"/>
    <d v="2002-04-04T00:00:00"/>
    <d v="2002-04-02T00:00:00"/>
    <d v="2002-04-02T00:00:00"/>
    <s v="OTIF FAIL"/>
    <n v="3"/>
    <s v="1210_FG_PSS"/>
    <x v="6"/>
    <n v="1"/>
    <m/>
  </r>
  <r>
    <s v="0558116210-2"/>
    <s v="CST"/>
    <n v="0.22"/>
    <n v="100"/>
    <n v="0"/>
    <n v="3"/>
    <n v="3"/>
    <s v="PSS"/>
    <d v="2001-10-28T00:00:00"/>
    <d v="2002-03-27T00:00:00"/>
    <d v="2002-04-20T00:00:00"/>
    <d v="2002-04-20T00:00:00"/>
    <d v="2002-04-13T00:00:00"/>
    <d v="2002-04-23T00:00:00"/>
    <s v="OTIF FAIL"/>
    <n v="2"/>
    <s v="1210_FG_PSS"/>
    <x v="2"/>
    <n v="1"/>
    <m/>
  </r>
  <r>
    <s v="0558115768-9"/>
    <s v="HRC"/>
    <n v="0.2"/>
    <n v="204"/>
    <n v="0"/>
    <n v="2"/>
    <n v="2"/>
    <s v="PSS"/>
    <d v="2001-08-31T00:00:00"/>
    <d v="2002-03-26T00:00:00"/>
    <d v="2002-04-25T00:00:00"/>
    <d v="2002-04-25T00:00:00"/>
    <d v="2002-04-16T00:00:00"/>
    <d v="2002-04-16T00:00:00"/>
    <s v="OTIF FAIL"/>
    <n v="9"/>
    <s v="1210_FG_PSS"/>
    <x v="15"/>
    <n v="1"/>
    <m/>
  </r>
  <r>
    <s v="0558113644-1"/>
    <s v="HRC"/>
    <n v="0.5"/>
    <n v="158"/>
    <n v="0"/>
    <n v="5"/>
    <n v="5"/>
    <s v="PSS"/>
    <d v="2001-08-07T00:00:00"/>
    <d v="2002-03-25T00:00:00"/>
    <d v="2002-04-21T00:00:00"/>
    <d v="2002-04-21T00:00:00"/>
    <d v="2002-04-14T00:00:00"/>
    <d v="2002-04-14T00:00:00"/>
    <s v="OTIF FAIL"/>
    <n v="1"/>
    <s v="1210_FG_PSS"/>
    <x v="15"/>
    <n v="1"/>
    <m/>
  </r>
  <r>
    <s v="0558116211-2"/>
    <s v="HRC"/>
    <n v="0.22"/>
    <n v="100"/>
    <n v="0"/>
    <n v="3"/>
    <n v="3"/>
    <s v="PSS"/>
    <d v="2001-10-28T00:00:00"/>
    <d v="2002-03-27T00:00:00"/>
    <d v="2002-05-07T00:00:00"/>
    <d v="2002-05-07T00:00:00"/>
    <d v="2002-04-17T00:00:00"/>
    <d v="2002-04-17T00:00:00"/>
    <s v="OTIF FAIL"/>
    <n v="2"/>
    <s v="1210_FG_PSS"/>
    <x v="15"/>
    <n v="1"/>
    <m/>
  </r>
  <r>
    <s v="0558116208-1"/>
    <s v="PSS"/>
    <n v="0.2"/>
    <n v="100"/>
    <n v="0"/>
    <n v="2"/>
    <n v="2"/>
    <s v="PSS"/>
    <d v="2001-10-28T00:00:00"/>
    <d v="2002-03-26T00:00:00"/>
    <s v="-"/>
    <s v="-"/>
    <d v="2002-04-16T00:00:00"/>
    <d v="2002-04-16T00:00:00"/>
    <s v="OTIF FAIL"/>
    <n v="1"/>
    <s v="1210_FG_PSS"/>
    <x v="15"/>
    <n v="1"/>
    <m/>
  </r>
  <r>
    <s v="0558116707-1"/>
    <s v="CRC"/>
    <n v="0.25"/>
    <n v="39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209-1"/>
    <s v="CST"/>
    <n v="0.2"/>
    <n v="100"/>
    <n v="0"/>
    <n v="2"/>
    <n v="2"/>
    <s v="PSS"/>
    <d v="2001-10-28T00:00:00"/>
    <d v="2002-03-26T00:00:00"/>
    <s v="-"/>
    <s v="-"/>
    <d v="2002-04-16T00:00:00"/>
    <d v="2002-04-16T00:00:00"/>
    <s v="OTIF FAIL"/>
    <n v="1"/>
    <s v="1210_FG_PSS"/>
    <x v="15"/>
    <n v="1"/>
    <m/>
  </r>
  <r>
    <s v="0558116212-2"/>
    <s v="CST"/>
    <n v="0.22"/>
    <n v="100"/>
    <n v="0"/>
    <n v="3"/>
    <n v="3"/>
    <s v="PSS"/>
    <d v="2001-10-28T00:00:00"/>
    <d v="2002-03-27T00:00:00"/>
    <d v="2002-04-24T00:00:00"/>
    <d v="2002-04-24T00:00:00"/>
    <d v="2002-04-17T00:00:00"/>
    <d v="2002-04-17T00:00:00"/>
    <s v="OTIF FAIL"/>
    <n v="2"/>
    <s v="1210_FG_PSS"/>
    <x v="15"/>
    <n v="1"/>
    <m/>
  </r>
  <r>
    <s v="0558114949-1"/>
    <s v="HRC"/>
    <n v="0.3"/>
    <n v="158"/>
    <n v="0"/>
    <n v="10"/>
    <n v="10"/>
    <s v="PSS"/>
    <d v="2001-08-28T00:00:00"/>
    <d v="2002-03-26T00:00:00"/>
    <d v="2002-05-07T00:00:00"/>
    <d v="2002-05-07T00:00:00"/>
    <d v="2002-04-02T00:00:00"/>
    <d v="2002-04-03T00:00:00"/>
    <s v="OTIF FAIL"/>
    <n v="1"/>
    <s v="1210_FG_PSS"/>
    <x v="6"/>
    <n v="1"/>
    <m/>
  </r>
  <r>
    <s v="0558116212-1"/>
    <s v="CRC"/>
    <n v="0.2"/>
    <n v="100"/>
    <n v="0"/>
    <n v="2"/>
    <n v="2"/>
    <s v="PSS"/>
    <d v="2001-10-28T00:00:00"/>
    <d v="2002-03-27T00:00:00"/>
    <d v="2002-04-24T00:00:00"/>
    <d v="2002-04-24T00:00:00"/>
    <d v="2002-04-17T00:00:00"/>
    <d v="2002-04-24T00:00:00"/>
    <s v="OTIF FAIL"/>
    <n v="1"/>
    <s v="1210_FG_PSS"/>
    <x v="2"/>
    <n v="1"/>
    <m/>
  </r>
  <r>
    <s v="0558116209-3"/>
    <s v="CST"/>
    <n v="0.28000000000000003"/>
    <n v="100"/>
    <n v="0"/>
    <n v="2"/>
    <n v="2"/>
    <s v="PSS"/>
    <d v="2001-10-28T00:00:00"/>
    <d v="2002-03-26T00:00:00"/>
    <d v="2002-04-10T00:00:00"/>
    <d v="2002-04-10T00:00:00"/>
    <d v="2002-04-10T00:00:00"/>
    <d v="2002-04-17T00:00:00"/>
    <s v="OTIF FAIL"/>
    <n v="3"/>
    <s v="1210_FG_PSS"/>
    <x v="15"/>
    <n v="1"/>
    <m/>
  </r>
  <r>
    <s v="0558116653-1"/>
    <s v="CST"/>
    <n v="0.25"/>
    <n v="440"/>
    <n v="0"/>
    <n v="3"/>
    <n v="3"/>
    <s v="PSS"/>
    <d v="2002-03-20T00:00:00"/>
    <d v="2002-04-21T00:00:00"/>
    <s v="-"/>
    <s v="-"/>
    <d v="2002-04-21T00:00:00"/>
    <d v="2002-04-21T00:00:00"/>
    <s v="OTIF FAIL"/>
    <n v="1"/>
    <s v="1210_FG_PSS"/>
    <x v="2"/>
    <n v="1"/>
    <m/>
  </r>
  <r>
    <s v="0558116211-3"/>
    <s v="CST"/>
    <n v="0.28000000000000003"/>
    <n v="100"/>
    <n v="0"/>
    <n v="2"/>
    <n v="2"/>
    <s v="PSS"/>
    <d v="2001-10-28T00:00:00"/>
    <d v="2002-03-27T00:00:00"/>
    <d v="2002-05-07T00:00:00"/>
    <d v="2002-05-07T00:00:00"/>
    <d v="2002-04-03T00:00:00"/>
    <d v="2002-04-09T00:00:00"/>
    <s v="OTIF FAIL"/>
    <n v="3"/>
    <s v="1210_FG_PSS"/>
    <x v="7"/>
    <n v="1"/>
    <m/>
  </r>
  <r>
    <s v="0558113600-2"/>
    <s v="CST"/>
    <n v="0.34"/>
    <n v="100"/>
    <n v="0"/>
    <n v="2"/>
    <n v="2"/>
    <s v="PSS"/>
    <d v="2001-08-08T00:00:00"/>
    <d v="2002-03-25T00:00:00"/>
    <d v="2002-04-22T00:00:00"/>
    <d v="2002-04-22T00:00:00"/>
    <d v="2002-04-15T00:00:00"/>
    <d v="2002-04-15T00:00:00"/>
    <s v="OTIF FAIL"/>
    <n v="2"/>
    <s v="1210_FG_PSS"/>
    <x v="15"/>
    <n v="1"/>
    <m/>
  </r>
  <r>
    <s v="0558113600-1"/>
    <s v="HPC"/>
    <n v="0.26"/>
    <n v="100"/>
    <n v="0"/>
    <n v="2.5"/>
    <n v="2.5"/>
    <s v="PSS"/>
    <d v="2001-08-08T00:00:00"/>
    <d v="2002-03-25T00:00:00"/>
    <d v="2002-04-24T00:00:00"/>
    <d v="2002-04-24T00:00:00"/>
    <d v="2002-04-16T00:00:00"/>
    <d v="2002-04-16T00:00:00"/>
    <s v="OTIF FAIL"/>
    <n v="1"/>
    <s v="1210_FG_PSS"/>
    <x v="15"/>
    <n v="1"/>
    <m/>
  </r>
  <r>
    <s v="0558116210-1"/>
    <s v="CST"/>
    <n v="0.2"/>
    <n v="100"/>
    <n v="0"/>
    <n v="2"/>
    <n v="2"/>
    <s v="PSS"/>
    <d v="2001-10-28T00:00:00"/>
    <d v="2002-03-26T00:00:00"/>
    <d v="2002-04-20T00:00:00"/>
    <d v="2002-04-20T00:00:00"/>
    <d v="2002-04-13T00:00:00"/>
    <d v="2002-04-16T00:00:00"/>
    <s v="OTIF FAIL"/>
    <n v="1"/>
    <s v="1210_FG_PSS"/>
    <x v="15"/>
    <n v="1"/>
    <m/>
  </r>
  <r>
    <s v="0558116212-3"/>
    <s v="CST"/>
    <n v="0.28000000000000003"/>
    <n v="100"/>
    <n v="0"/>
    <n v="2"/>
    <n v="2"/>
    <s v="PSS"/>
    <d v="2001-10-28T00:00:00"/>
    <d v="2002-03-27T00:00:00"/>
    <s v="-"/>
    <s v="-"/>
    <d v="2002-04-09T00:00:00"/>
    <d v="2002-04-09T00:00:00"/>
    <s v="OTIF FAIL"/>
    <n v="3"/>
    <s v="1210_FG_PSS"/>
    <x v="7"/>
    <n v="1"/>
    <m/>
  </r>
  <r>
    <s v="0558111401-3"/>
    <s v="HRC"/>
    <n v="0.5"/>
    <n v="158"/>
    <n v="0"/>
    <n v="4"/>
    <n v="4"/>
    <s v="PSS"/>
    <d v="2001-08-07T00:00:00"/>
    <d v="2002-03-25T00:00:00"/>
    <d v="2002-04-01T00:00:00"/>
    <d v="2002-04-01T00:00:00"/>
    <d v="2002-04-01T00:00:00"/>
    <d v="2002-04-14T00:00:00"/>
    <s v="OTIF FAIL"/>
    <n v="3"/>
    <s v="1210_FG_PSS"/>
    <x v="15"/>
    <n v="1"/>
    <m/>
  </r>
  <r>
    <s v="0558114931-2"/>
    <s v="CRC"/>
    <n v="0.3"/>
    <n v="158"/>
    <n v="0"/>
    <n v="4"/>
    <n v="4"/>
    <s v="PSS"/>
    <d v="2001-08-28T00:00:00"/>
    <d v="2002-02-28T00:00:00"/>
    <s v="-"/>
    <s v="-"/>
    <d v="2002-03-22T00:00:00"/>
    <d v="2002-04-03T00:00:00"/>
    <s v="OTIF FAIL"/>
    <n v="2"/>
    <s v="1210_FG_PSS"/>
    <x v="6"/>
    <n v="1"/>
    <m/>
  </r>
  <r>
    <s v="0558108246-2"/>
    <s v="HRC"/>
    <n v="0.6"/>
    <n v="104"/>
    <n v="0"/>
    <n v="4"/>
    <n v="4"/>
    <s v="PSS"/>
    <d v="2001-08-07T00:00:00"/>
    <d v="2002-03-24T00:00:00"/>
    <d v="2002-04-02T00:00:00"/>
    <d v="2002-04-02T00:00:00"/>
    <d v="2002-04-02T00:00:00"/>
    <d v="2002-04-02T00:00:00"/>
    <s v="OTIF FAIL"/>
    <n v="2"/>
    <s v="1210_FG_PSS"/>
    <x v="6"/>
    <n v="1"/>
    <m/>
  </r>
  <r>
    <s v="0558110767-8"/>
    <s v="HRC"/>
    <n v="0.5"/>
    <n v="60"/>
    <n v="0"/>
    <n v="5.45"/>
    <n v="5.45"/>
    <s v="PSS"/>
    <d v="2001-09-25T00:00:00"/>
    <d v="2002-03-24T00:00:00"/>
    <d v="2002-04-08T00:00:00"/>
    <d v="2002-04-08T00:00:00"/>
    <d v="2002-04-08T00:00:00"/>
    <d v="2002-04-08T00:00:00"/>
    <s v="OTIF FAIL"/>
    <n v="8"/>
    <s v="1210_FG_PSS"/>
    <x v="7"/>
    <n v="1"/>
    <m/>
  </r>
  <r>
    <s v="0558114948-1"/>
    <s v="PSS"/>
    <n v="0.2"/>
    <n v="100"/>
    <n v="0"/>
    <n v="3"/>
    <n v="3"/>
    <s v="PSS"/>
    <d v="2001-08-28T00:00:00"/>
    <d v="2002-03-26T00:00:00"/>
    <d v="2002-04-23T00:00:00"/>
    <d v="2002-04-23T00:00:00"/>
    <d v="2002-04-16T00:00:00"/>
    <d v="2002-04-16T00:00:00"/>
    <s v="OTIF FAIL"/>
    <n v="1"/>
    <s v="1210_FG_PSS"/>
    <x v="15"/>
    <n v="1"/>
    <m/>
  </r>
  <r>
    <s v="0558110767-7"/>
    <s v="CST"/>
    <n v="0.5"/>
    <n v="90"/>
    <n v="0"/>
    <n v="25.5"/>
    <n v="25.084"/>
    <s v="PSS"/>
    <d v="2001-09-25T00:00:00"/>
    <d v="2002-03-24T00:00:00"/>
    <d v="2002-04-08T00:00:00"/>
    <d v="2002-04-08T00:00:00"/>
    <d v="2002-04-08T00:00:00"/>
    <d v="2002-04-15T00:00:00"/>
    <s v="OTIF FAIL"/>
    <n v="7"/>
    <s v="1210_FG_PSS"/>
    <x v="15"/>
    <n v="0"/>
    <m/>
  </r>
  <r>
    <s v="0558114931-1"/>
    <s v="CST"/>
    <n v="0.2"/>
    <n v="158"/>
    <n v="0"/>
    <n v="5"/>
    <n v="5"/>
    <s v="PSS"/>
    <d v="2001-08-28T00:00:00"/>
    <d v="2002-03-26T00:00:00"/>
    <d v="2002-04-23T00:00:00"/>
    <d v="2002-04-23T00:00:00"/>
    <d v="2002-04-16T00:00:00"/>
    <d v="2002-04-25T00:00:00"/>
    <s v="OTIF FAIL"/>
    <n v="1"/>
    <s v="1210_FG_PSS"/>
    <x v="2"/>
    <n v="1"/>
    <m/>
  </r>
  <r>
    <s v="0558116731-1"/>
    <s v="HRC"/>
    <n v="0.25"/>
    <n v="39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4256-1"/>
    <s v="HRC"/>
    <n v="0.2"/>
    <n v="158"/>
    <n v="0"/>
    <n v="10"/>
    <n v="10"/>
    <s v="PSS"/>
    <d v="2001-08-20T00:00:00"/>
    <d v="2002-03-25T00:00:00"/>
    <d v="2002-05-07T00:00:00"/>
    <d v="2002-05-07T00:00:00"/>
    <d v="2002-04-25T00:00:00"/>
    <d v="2002-04-25T00:00:00"/>
    <s v="OTIF FAIL"/>
    <n v="1"/>
    <s v="1210_FG_PSS"/>
    <x v="2"/>
    <n v="1"/>
    <m/>
  </r>
  <r>
    <s v="0558116706-1"/>
    <s v="HRC"/>
    <n v="0.25"/>
    <n v="360"/>
    <n v="0"/>
    <n v="3.2"/>
    <n v="3.2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08000624-1"/>
    <s v="HRC"/>
    <n v="0.25"/>
    <n v="515"/>
    <n v="0"/>
    <n v="10"/>
    <n v="10"/>
    <s v="PSS"/>
    <d v="2002-04-07T00:00:00"/>
    <d v="2002-05-16T00:00:00"/>
    <s v="-"/>
    <s v="-"/>
    <s v="-"/>
    <d v="2002-04-05T00:00:00"/>
    <s v="OTIF FAIL"/>
    <n v="1"/>
    <s v="1210_FG_PSS"/>
    <x v="6"/>
    <n v="0"/>
    <m/>
  </r>
  <r>
    <s v="0558116733-1"/>
    <s v="CRC"/>
    <n v="0.25"/>
    <n v="440"/>
    <n v="0"/>
    <n v="3"/>
    <n v="3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655-1"/>
    <s v="CRC"/>
    <n v="0.2"/>
    <n v="302"/>
    <n v="0"/>
    <n v="4"/>
    <n v="4"/>
    <s v="PSS"/>
    <d v="2002-03-20T00:00:00"/>
    <d v="2002-04-21T00:00:00"/>
    <s v="-"/>
    <s v="-"/>
    <d v="2002-04-21T00:00:00"/>
    <d v="2002-04-21T00:00:00"/>
    <s v="OTIF FAIL"/>
    <n v="1"/>
    <s v="1210_FG_PSS"/>
    <x v="2"/>
    <n v="1"/>
    <m/>
  </r>
  <r>
    <s v="0558116654-1"/>
    <s v="CST"/>
    <n v="0.25"/>
    <n v="405"/>
    <n v="0"/>
    <n v="8"/>
    <n v="8"/>
    <s v="PSS"/>
    <d v="2002-03-20T00:00:00"/>
    <d v="2002-04-21T00:00:00"/>
    <d v="2002-04-22T00:00:00"/>
    <d v="2002-04-22T00:00:00"/>
    <d v="2002-04-21T00:00:00"/>
    <d v="2002-04-21T00:00:00"/>
    <s v="OTIF FAIL"/>
    <n v="1"/>
    <s v="1210_FG_PSS"/>
    <x v="2"/>
    <n v="1"/>
    <m/>
  </r>
  <r>
    <s v="0558114397-1"/>
    <s v="CST"/>
    <n v="0.5"/>
    <n v="430"/>
    <n v="0"/>
    <n v="4"/>
    <n v="4"/>
    <s v="PSS"/>
    <d v="2001-08-20T00:00:00"/>
    <d v="2002-03-26T00:00:00"/>
    <d v="2002-04-09T00:00:00"/>
    <d v="2002-04-09T00:00:00"/>
    <d v="2002-04-09T00:00:00"/>
    <d v="2002-04-09T00:00:00"/>
    <s v="OTIF FAIL"/>
    <n v="1"/>
    <s v="1210_FG_PSS"/>
    <x v="7"/>
    <n v="1"/>
    <m/>
  </r>
  <r>
    <s v="0558116211-1"/>
    <s v="CST"/>
    <n v="0.2"/>
    <n v="100"/>
    <n v="0"/>
    <n v="2"/>
    <n v="2"/>
    <s v="PSS"/>
    <d v="2001-10-28T00:00:00"/>
    <d v="2002-03-27T00:00:00"/>
    <d v="2002-05-01T00:00:00"/>
    <d v="2002-05-01T00:00:00"/>
    <d v="2002-04-24T00:00:00"/>
    <d v="2002-04-24T00:00:00"/>
    <s v="OTIF FAIL"/>
    <n v="1"/>
    <s v="1210_FG_PSS"/>
    <x v="2"/>
    <n v="1"/>
    <m/>
  </r>
  <r>
    <s v="0558116652-1"/>
    <s v="CST"/>
    <n v="0.25"/>
    <n v="545"/>
    <n v="0"/>
    <n v="4"/>
    <n v="4"/>
    <s v="PSS"/>
    <d v="2002-03-20T00:00:00"/>
    <d v="2002-04-21T00:00:00"/>
    <s v="-"/>
    <s v="-"/>
    <d v="2002-04-21T00:00:00"/>
    <d v="2002-04-21T00:00:00"/>
    <s v="OTIF FAIL"/>
    <n v="1"/>
    <s v="1210_FG_PSS"/>
    <x v="2"/>
    <n v="1"/>
    <m/>
  </r>
  <r>
    <s v="0558116224-1"/>
    <s v="CST"/>
    <n v="0.3"/>
    <n v="158"/>
    <n v="0"/>
    <n v="10"/>
    <n v="10"/>
    <s v="PSS"/>
    <d v="2001-10-28T00:00:00"/>
    <d v="2002-03-27T00:00:00"/>
    <d v="2002-04-03T00:00:00"/>
    <d v="2002-04-03T00:00:00"/>
    <d v="2002-04-03T00:00:00"/>
    <d v="2002-04-03T00:00:00"/>
    <s v="OTIF FAIL"/>
    <n v="1"/>
    <s v="1210_FG_PSS"/>
    <x v="6"/>
    <n v="1"/>
    <m/>
  </r>
  <r>
    <s v="0558116685-1"/>
    <s v="CST"/>
    <n v="0.25"/>
    <n v="54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688-1"/>
    <s v="JBS"/>
    <n v="0.2"/>
    <n v="302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209-2"/>
    <s v="HPC"/>
    <n v="0.22"/>
    <n v="100"/>
    <n v="0"/>
    <n v="3"/>
    <n v="3"/>
    <s v="PSS"/>
    <d v="2001-10-28T00:00:00"/>
    <d v="2002-03-26T00:00:00"/>
    <d v="2002-05-07T00:00:00"/>
    <d v="2002-05-07T00:00:00"/>
    <d v="2002-04-23T00:00:00"/>
    <d v="2002-04-23T00:00:00"/>
    <s v="OTIF FAIL"/>
    <n v="2"/>
    <s v="1210_FG_PSS"/>
    <x v="2"/>
    <n v="1"/>
    <m/>
  </r>
  <r>
    <s v="0558114392-1"/>
    <s v="CST"/>
    <n v="0.2"/>
    <n v="516"/>
    <n v="0"/>
    <n v="2"/>
    <n v="2"/>
    <s v="PSS"/>
    <d v="2001-08-20T00:00:00"/>
    <d v="2002-03-25T00:00:00"/>
    <d v="2002-04-08T00:00:00"/>
    <d v="2002-04-08T00:00:00"/>
    <d v="2002-04-08T00:00:00"/>
    <d v="2002-04-08T00:00:00"/>
    <s v="OTIF FAIL"/>
    <n v="1"/>
    <s v="1210_FG_PSS"/>
    <x v="7"/>
    <n v="1"/>
    <m/>
  </r>
  <r>
    <s v="0558116650-1"/>
    <s v="CRC"/>
    <n v="0.25"/>
    <n v="360"/>
    <n v="0"/>
    <n v="3.2"/>
    <n v="3.2"/>
    <s v="PSS"/>
    <d v="2002-03-20T00:00:00"/>
    <d v="2002-04-21T00:00:00"/>
    <d v="2002-04-28T00:00:00"/>
    <d v="2002-04-28T00:00:00"/>
    <d v="2002-04-21T00:00:00"/>
    <d v="2002-04-21T00:00:00"/>
    <s v="OTIF FAIL"/>
    <n v="1"/>
    <s v="1210_FG_PSS"/>
    <x v="2"/>
    <n v="1"/>
    <m/>
  </r>
  <r>
    <s v="0558116730-1"/>
    <s v="CRC"/>
    <n v="0.25"/>
    <n v="360"/>
    <n v="0"/>
    <n v="3.2"/>
    <n v="3.2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687-1"/>
    <s v="CST"/>
    <n v="0.25"/>
    <n v="405"/>
    <n v="0"/>
    <n v="8"/>
    <n v="8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5768-4"/>
    <s v="CRC"/>
    <n v="0.25"/>
    <n v="200"/>
    <n v="0"/>
    <n v="7"/>
    <n v="7"/>
    <s v="PSS"/>
    <d v="2001-08-31T00:00:00"/>
    <d v="2002-03-10T00:00:00"/>
    <d v="2002-04-02T00:00:00"/>
    <d v="2002-04-02T00:00:00"/>
    <d v="2002-04-02T00:00:00"/>
    <d v="2002-04-09T00:00:00"/>
    <s v="OTIF FAIL"/>
    <n v="4"/>
    <s v="1210_FG_PSS"/>
    <x v="7"/>
    <n v="1"/>
    <m/>
  </r>
  <r>
    <s v="0558113965-1"/>
    <s v="CRC"/>
    <n v="0.25"/>
    <n v="370"/>
    <n v="0"/>
    <n v="2"/>
    <n v="2"/>
    <s v="PSS"/>
    <d v="2001-08-13T00:00:00"/>
    <d v="2002-03-25T00:00:00"/>
    <d v="2002-04-29T00:00:00"/>
    <d v="2002-04-29T00:00:00"/>
    <d v="2002-04-08T00:00:00"/>
    <d v="2002-04-08T00:00:00"/>
    <s v="OTIF FAIL"/>
    <n v="1"/>
    <s v="1210_FG_PSS"/>
    <x v="7"/>
    <n v="1"/>
    <m/>
  </r>
  <r>
    <s v="0558114395-1"/>
    <s v="HRC"/>
    <n v="0.25"/>
    <n v="425"/>
    <n v="0"/>
    <n v="2"/>
    <n v="2"/>
    <s v="PSS"/>
    <d v="2001-08-20T00:00:00"/>
    <d v="2002-03-26T00:00:00"/>
    <d v="2002-04-09T00:00:00"/>
    <d v="2002-04-09T00:00:00"/>
    <d v="2002-04-09T00:00:00"/>
    <d v="2002-04-09T00:00:00"/>
    <s v="OTIF FAIL"/>
    <n v="1"/>
    <s v="1210_FG_PSS"/>
    <x v="7"/>
    <n v="1"/>
    <m/>
  </r>
  <r>
    <s v="0558116683-1"/>
    <s v="HRC"/>
    <n v="0.25"/>
    <n v="360"/>
    <n v="0"/>
    <n v="3.2"/>
    <n v="3.2"/>
    <s v="PSS"/>
    <d v="2002-03-28T00:00:00"/>
    <d v="2002-05-08T00:00:00"/>
    <s v="-"/>
    <s v="-"/>
    <s v="-"/>
    <d v="2002-04-21T00:00:00"/>
    <s v="OTIF FAIL"/>
    <n v="1"/>
    <s v="1210_FG_PSS"/>
    <x v="2"/>
    <n v="0"/>
    <m/>
  </r>
  <r>
    <s v="0558116632-1"/>
    <s v="CST"/>
    <n v="0.2"/>
    <n v="302"/>
    <n v="0"/>
    <n v="4"/>
    <n v="4"/>
    <s v="PSS"/>
    <d v="2002-03-20T00:00:00"/>
    <d v="2002-04-21T00:00:00"/>
    <d v="2002-04-21T00:00:00"/>
    <d v="2002-04-21T00:00:00"/>
    <d v="2002-04-21T00:00:00"/>
    <d v="2002-04-21T00:00:00"/>
    <s v="OTIF PASS"/>
    <n v="1"/>
    <s v="1210_FG_PSS"/>
    <x v="2"/>
    <n v="1"/>
    <m/>
  </r>
  <r>
    <s v="0558116631-1"/>
    <s v="CRC"/>
    <n v="0.25"/>
    <n v="405"/>
    <n v="0"/>
    <n v="8"/>
    <n v="8"/>
    <s v="PSS"/>
    <d v="2002-03-20T00:00:00"/>
    <d v="2002-04-21T00:00:00"/>
    <d v="2002-04-21T00:00:00"/>
    <d v="2002-04-21T00:00:00"/>
    <d v="2002-04-21T00:00:00"/>
    <d v="2002-04-21T00:00:00"/>
    <s v="OTIF PASS"/>
    <n v="1"/>
    <s v="1210_FG_PSS"/>
    <x v="2"/>
    <n v="1"/>
    <m/>
  </r>
  <r>
    <s v="0558116734-1"/>
    <s v="CRC"/>
    <n v="0.25"/>
    <n v="405"/>
    <n v="0"/>
    <n v="8"/>
    <n v="8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4393-1"/>
    <s v="CRC"/>
    <n v="0.25"/>
    <n v="395"/>
    <n v="0"/>
    <n v="2"/>
    <n v="2"/>
    <s v="PSS"/>
    <d v="2001-08-20T00:00:00"/>
    <d v="2002-03-25T00:00:00"/>
    <d v="2002-04-15T00:00:00"/>
    <d v="2002-04-15T00:00:00"/>
    <d v="2002-04-08T00:00:00"/>
    <d v="2002-04-21T00:00:00"/>
    <s v="OTIF FAIL"/>
    <n v="1"/>
    <s v="1210_FG_PSS"/>
    <x v="2"/>
    <n v="1"/>
    <m/>
  </r>
  <r>
    <s v="0558116708-1"/>
    <s v="HRC"/>
    <n v="0.25"/>
    <n v="54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732-1"/>
    <s v="NFA"/>
    <n v="0.25"/>
    <n v="54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4396-1"/>
    <s v="HRC"/>
    <n v="0.25"/>
    <n v="500"/>
    <n v="0"/>
    <n v="4"/>
    <n v="4"/>
    <s v="PSS"/>
    <d v="2001-08-20T00:00:00"/>
    <d v="2002-03-26T00:00:00"/>
    <d v="2002-04-17T00:00:00"/>
    <d v="2002-04-17T00:00:00"/>
    <d v="2002-04-10T00:00:00"/>
    <d v="2002-04-10T00:00:00"/>
    <s v="OTIF FAIL"/>
    <n v="1"/>
    <s v="1210_FG_PSS"/>
    <x v="7"/>
    <n v="1"/>
    <m/>
  </r>
  <r>
    <s v="0558116710-1"/>
    <s v="CRC"/>
    <n v="0.25"/>
    <n v="405"/>
    <n v="0"/>
    <n v="8"/>
    <n v="8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6651-1"/>
    <s v="HRC"/>
    <n v="0.25"/>
    <n v="395"/>
    <n v="0"/>
    <n v="4"/>
    <n v="4"/>
    <s v="PSS"/>
    <d v="2002-03-20T00:00:00"/>
    <d v="2002-04-21T00:00:00"/>
    <d v="2002-04-21T00:00:00"/>
    <d v="2002-04-21T00:00:00"/>
    <d v="2002-04-21T00:00:00"/>
    <d v="2002-04-21T00:00:00"/>
    <s v="OTIF PASS"/>
    <n v="1"/>
    <s v="1210_FG_PSS"/>
    <x v="2"/>
    <n v="1"/>
    <m/>
  </r>
  <r>
    <s v="0508000599-1"/>
    <s v="HRC"/>
    <n v="0.25"/>
    <n v="490"/>
    <n v="0"/>
    <n v="20"/>
    <n v="16.5"/>
    <s v="PSS"/>
    <d v="2001-08-04T00:00:00"/>
    <d v="2002-03-23T00:00:00"/>
    <d v="2002-04-07T00:00:00"/>
    <d v="2002-04-07T00:00:00"/>
    <d v="2002-04-07T00:00:00"/>
    <d v="2002-04-07T00:00:00"/>
    <s v="OTIF FAIL"/>
    <n v="1"/>
    <s v="1210_FG_PSS"/>
    <x v="7"/>
    <n v="0"/>
    <m/>
  </r>
  <r>
    <s v="0508000598-1"/>
    <s v="CST"/>
    <n v="0.22500000000000001"/>
    <n v="580"/>
    <n v="0"/>
    <n v="34"/>
    <n v="34"/>
    <s v="PSS"/>
    <d v="2001-08-04T00:00:00"/>
    <d v="2002-03-23T00:00:00"/>
    <d v="2002-04-21T00:00:00"/>
    <d v="2002-04-21T00:00:00"/>
    <d v="2002-04-20T00:00:00"/>
    <d v="2002-04-20T00:00:00"/>
    <s v="OTIF FAIL"/>
    <n v="1"/>
    <s v="1210_FG_PSS"/>
    <x v="15"/>
    <n v="1"/>
    <m/>
  </r>
  <r>
    <s v="0508000597-1"/>
    <s v="HRC"/>
    <n v="0.25"/>
    <n v="540"/>
    <n v="0"/>
    <n v="20"/>
    <n v="20"/>
    <s v="PSS"/>
    <d v="2001-08-04T00:00:00"/>
    <d v="2002-03-23T00:00:00"/>
    <d v="2002-03-30T00:00:00"/>
    <d v="2002-03-30T00:00:00"/>
    <d v="2002-03-30T00:00:00"/>
    <d v="2002-03-30T00:00:00"/>
    <s v="OTIF FAIL"/>
    <n v="1"/>
    <s v="1210_FG_PSS"/>
    <x v="9"/>
    <n v="1"/>
    <m/>
  </r>
  <r>
    <s v="0508000596-1"/>
    <s v="HRC"/>
    <n v="0.2"/>
    <n v="500"/>
    <n v="0"/>
    <n v="29"/>
    <n v="29"/>
    <s v="PSS"/>
    <d v="2001-08-04T00:00:00"/>
    <d v="2002-03-23T00:00:00"/>
    <s v="-"/>
    <s v="-"/>
    <d v="2002-04-28T00:00:00"/>
    <d v="2002-04-28T00:00:00"/>
    <s v="OTIF FAIL"/>
    <n v="1"/>
    <s v="1210_FG_PSS"/>
    <x v="16"/>
    <n v="1"/>
    <m/>
  </r>
  <r>
    <s v="0508000595-1"/>
    <s v="CST"/>
    <n v="0.2"/>
    <n v="400"/>
    <n v="0"/>
    <n v="12"/>
    <n v="12"/>
    <s v="PSS"/>
    <d v="2001-08-04T00:00:00"/>
    <d v="2002-03-23T00:00:00"/>
    <d v="2002-04-15T00:00:00"/>
    <d v="2002-04-15T00:00:00"/>
    <d v="2002-04-15T00:00:00"/>
    <d v="2002-04-15T00:00:00"/>
    <s v="OTIF FAIL"/>
    <n v="1"/>
    <s v="1210_FG_PSS"/>
    <x v="15"/>
    <n v="1"/>
    <m/>
  </r>
  <r>
    <s v="0558115768-11"/>
    <s v="HRC"/>
    <n v="0.25"/>
    <n v="225"/>
    <n v="0"/>
    <n v="2"/>
    <n v="2"/>
    <s v="PSS"/>
    <d v="2001-08-31T00:00:00"/>
    <d v="2002-03-26T00:00:00"/>
    <d v="2002-04-16T00:00:00"/>
    <d v="2002-04-16T00:00:00"/>
    <d v="2002-04-09T00:00:00"/>
    <d v="2002-04-09T00:00:00"/>
    <s v="OTIF FAIL"/>
    <n v="11"/>
    <s v="1210_FG_PSS"/>
    <x v="7"/>
    <n v="1"/>
    <m/>
  </r>
  <r>
    <s v="0508000594-1"/>
    <s v="CST"/>
    <n v="0.25"/>
    <n v="390"/>
    <n v="0"/>
    <n v="26"/>
    <n v="25.536000000000001"/>
    <s v="PSS"/>
    <d v="2001-08-04T00:00:00"/>
    <d v="2002-03-23T00:00:00"/>
    <d v="2002-04-20T00:00:00"/>
    <d v="2002-04-20T00:00:00"/>
    <d v="2002-04-13T00:00:00"/>
    <d v="2002-04-13T00:00:00"/>
    <s v="OTIF FAIL"/>
    <n v="1"/>
    <s v="1210_FG_PSS"/>
    <x v="7"/>
    <n v="0"/>
    <m/>
  </r>
  <r>
    <s v="0558115768-2"/>
    <s v="CRC"/>
    <n v="0.2"/>
    <n v="188"/>
    <n v="0"/>
    <n v="4"/>
    <n v="4"/>
    <s v="PSS"/>
    <d v="2001-08-31T00:00:00"/>
    <d v="2002-03-10T00:00:00"/>
    <d v="2002-04-30T00:00:00"/>
    <d v="2002-04-30T00:00:00"/>
    <d v="2002-04-09T00:00:00"/>
    <d v="2002-04-09T00:00:00"/>
    <s v="OTIF FAIL"/>
    <n v="2"/>
    <s v="1210_FG_PSS"/>
    <x v="7"/>
    <n v="1"/>
    <m/>
  </r>
  <r>
    <s v="0568012797-2"/>
    <s v="HRC"/>
    <n v="0.2"/>
    <n v="400"/>
    <n v="0"/>
    <n v="8"/>
    <n v="8"/>
    <s v="PSS"/>
    <d v="2001-08-16T00:00:00"/>
    <d v="2002-03-29T00:00:00"/>
    <d v="2002-04-26T00:00:00"/>
    <d v="2002-04-26T00:00:00"/>
    <d v="2002-04-19T00:00:00"/>
    <d v="2002-04-19T00:00:00"/>
    <s v="OTIF FAIL"/>
    <n v="2"/>
    <s v="1210_FG_PSS"/>
    <x v="15"/>
    <n v="1"/>
    <m/>
  </r>
  <r>
    <s v="0568012797-1"/>
    <s v="CST"/>
    <n v="0.25"/>
    <n v="390"/>
    <n v="0"/>
    <n v="3"/>
    <n v="3"/>
    <s v="PSS"/>
    <d v="2001-08-16T00:00:00"/>
    <d v="2002-03-29T00:00:00"/>
    <d v="2002-04-12T00:00:00"/>
    <d v="2002-04-12T00:00:00"/>
    <d v="2002-04-12T00:00:00"/>
    <d v="2002-04-12T00:00:00"/>
    <s v="OTIF FAIL"/>
    <n v="1"/>
    <s v="1210_FG_PSS"/>
    <x v="7"/>
    <n v="1"/>
    <m/>
  </r>
  <r>
    <s v="0558116711-1"/>
    <s v="PSS"/>
    <n v="0.2"/>
    <n v="302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5768-6"/>
    <s v="CST"/>
    <n v="0.25"/>
    <n v="306"/>
    <n v="0"/>
    <n v="13"/>
    <n v="13"/>
    <s v="PSS"/>
    <d v="2001-08-31T00:00:00"/>
    <d v="2002-03-26T00:00:00"/>
    <d v="2002-04-16T00:00:00"/>
    <d v="2002-04-16T00:00:00"/>
    <d v="2002-04-10T00:00:00"/>
    <d v="2002-04-14T00:00:00"/>
    <s v="OTIF FAIL"/>
    <n v="6"/>
    <s v="1210_FG_PSS"/>
    <x v="15"/>
    <n v="1"/>
    <m/>
  </r>
  <r>
    <s v="0558115768-10"/>
    <s v="CST"/>
    <n v="0.25"/>
    <n v="200"/>
    <n v="0"/>
    <n v="7"/>
    <n v="7"/>
    <s v="PSS"/>
    <d v="2001-08-31T00:00:00"/>
    <d v="2002-03-26T00:00:00"/>
    <d v="2002-04-23T00:00:00"/>
    <d v="2002-04-23T00:00:00"/>
    <d v="2002-04-09T00:00:00"/>
    <d v="2002-04-09T00:00:00"/>
    <s v="OTIF FAIL"/>
    <n v="10"/>
    <s v="1210_FG_PSS"/>
    <x v="7"/>
    <n v="1"/>
    <m/>
  </r>
  <r>
    <s v="0508000601-1"/>
    <s v="HRC"/>
    <n v="0.22500000000000001"/>
    <n v="510"/>
    <n v="0"/>
    <n v="17"/>
    <n v="17"/>
    <s v="PSS"/>
    <d v="2001-08-04T00:00:00"/>
    <d v="2002-03-23T00:00:00"/>
    <s v="-"/>
    <s v="-"/>
    <d v="2002-05-04T00:00:00"/>
    <d v="2002-05-04T00:00:00"/>
    <s v="OTIF FAIL"/>
    <n v="1"/>
    <s v="1210_FG_PSS"/>
    <x v="16"/>
    <n v="1"/>
    <m/>
  </r>
  <r>
    <s v="0558116630-1"/>
    <s v="HRC"/>
    <n v="0.25"/>
    <n v="440"/>
    <n v="0"/>
    <n v="3"/>
    <n v="3"/>
    <s v="PSS"/>
    <d v="2002-03-20T00:00:00"/>
    <d v="2002-04-21T00:00:00"/>
    <d v="2002-04-28T00:00:00"/>
    <d v="2002-04-28T00:00:00"/>
    <d v="2002-04-21T00:00:00"/>
    <d v="2002-04-21T00:00:00"/>
    <s v="OTIF FAIL"/>
    <n v="1"/>
    <s v="1210_FG_PSS"/>
    <x v="2"/>
    <n v="1"/>
    <m/>
  </r>
  <r>
    <s v="0568012732-2"/>
    <s v="CST"/>
    <n v="0.2"/>
    <n v="429.76799999999997"/>
    <n v="0"/>
    <n v="9"/>
    <n v="9"/>
    <s v="PSS"/>
    <d v="2001-08-08T00:00:00"/>
    <d v="2002-03-28T00:00:00"/>
    <d v="2002-04-27T00:00:00"/>
    <d v="2002-04-27T00:00:00"/>
    <d v="2002-04-18T00:00:00"/>
    <d v="2002-04-18T00:00:00"/>
    <s v="OTIF FAIL"/>
    <n v="2"/>
    <s v="1210_FG_PSS"/>
    <x v="15"/>
    <n v="1"/>
    <m/>
  </r>
  <r>
    <s v="0558114948-2"/>
    <s v="HRC"/>
    <n v="0.22"/>
    <n v="100"/>
    <n v="0"/>
    <n v="3"/>
    <n v="3"/>
    <s v="PSS"/>
    <d v="2001-08-28T00:00:00"/>
    <d v="2002-03-26T00:00:00"/>
    <d v="2002-05-07T00:00:00"/>
    <d v="2002-05-07T00:00:00"/>
    <d v="2002-04-23T00:00:00"/>
    <d v="2002-04-23T00:00:00"/>
    <s v="OTIF FAIL"/>
    <n v="2"/>
    <s v="1210_FG_PSS"/>
    <x v="2"/>
    <n v="1"/>
    <m/>
  </r>
  <r>
    <s v="0558110767-6"/>
    <s v="HRC"/>
    <n v="0.5"/>
    <n v="90"/>
    <n v="0"/>
    <n v="21.35"/>
    <n v="21.35"/>
    <s v="PSS"/>
    <d v="2001-09-25T00:00:00"/>
    <d v="2002-03-24T00:00:00"/>
    <d v="2002-04-15T00:00:00"/>
    <d v="2002-04-15T00:00:00"/>
    <d v="2002-04-15T00:00:00"/>
    <d v="2002-04-15T00:00:00"/>
    <s v="OTIF FAIL"/>
    <n v="6"/>
    <s v="1210_FG_PSS"/>
    <x v="15"/>
    <n v="1"/>
    <m/>
  </r>
  <r>
    <s v="0558110767-2"/>
    <s v="CRC"/>
    <n v="0.5"/>
    <n v="90"/>
    <n v="0"/>
    <n v="25.5"/>
    <n v="25.5"/>
    <s v="PSS"/>
    <d v="2001-09-25T00:00:00"/>
    <d v="2002-03-24T00:00:00"/>
    <d v="2002-04-16T00:00:00"/>
    <d v="2002-04-16T00:00:00"/>
    <d v="2002-04-15T00:00:00"/>
    <d v="2002-04-15T00:00:00"/>
    <s v="OTIF FAIL"/>
    <n v="2"/>
    <s v="1210_FG_PSS"/>
    <x v="15"/>
    <n v="1"/>
    <m/>
  </r>
  <r>
    <s v="0568012732-3"/>
    <s v="CRC"/>
    <n v="0.20300000000000001"/>
    <n v="469.9"/>
    <n v="0"/>
    <n v="4.2"/>
    <n v="4.2"/>
    <s v="PSS"/>
    <d v="2001-08-08T00:00:00"/>
    <d v="2002-03-28T00:00:00"/>
    <d v="2002-04-18T00:00:00"/>
    <d v="2002-04-18T00:00:00"/>
    <d v="2002-04-18T00:00:00"/>
    <d v="2002-04-18T00:00:00"/>
    <s v="OTIF FAIL"/>
    <n v="3"/>
    <s v="1210_FG_PSS"/>
    <x v="15"/>
    <n v="1"/>
    <m/>
  </r>
  <r>
    <s v="0558110767-4"/>
    <s v="HRC"/>
    <n v="0.5"/>
    <n v="60"/>
    <n v="0"/>
    <n v="8.1"/>
    <n v="8.1"/>
    <s v="PSS"/>
    <d v="2001-09-25T00:00:00"/>
    <d v="2002-03-24T00:00:00"/>
    <d v="2002-04-07T00:00:00"/>
    <d v="2002-04-07T00:00:00"/>
    <d v="2002-04-07T00:00:00"/>
    <d v="2002-04-15T00:00:00"/>
    <s v="OTIF FAIL"/>
    <n v="4"/>
    <s v="1210_FG_PSS"/>
    <x v="15"/>
    <n v="1"/>
    <m/>
  </r>
  <r>
    <s v="0568012732-1"/>
    <s v="CST"/>
    <n v="0.20300000000000001"/>
    <n v="177.8"/>
    <n v="0"/>
    <n v="2.2000000000000002"/>
    <n v="2.2000000000000002"/>
    <s v="PSS"/>
    <d v="2001-08-08T00:00:00"/>
    <d v="2002-03-28T00:00:00"/>
    <d v="2002-04-18T00:00:00"/>
    <d v="2002-04-18T00:00:00"/>
    <d v="2002-04-18T00:00:00"/>
    <d v="2002-04-18T00:00:00"/>
    <s v="OTIF FAIL"/>
    <n v="1"/>
    <s v="1210_FG_PSS"/>
    <x v="15"/>
    <n v="1"/>
    <m/>
  </r>
  <r>
    <s v="0558110767-3"/>
    <s v="PSS"/>
    <n v="0.5"/>
    <n v="60"/>
    <n v="0"/>
    <n v="5.45"/>
    <n v="0.56999999999999995"/>
    <s v="PSS"/>
    <d v="2001-09-25T00:00:00"/>
    <d v="2002-03-24T00:00:00"/>
    <d v="2002-04-15T00:00:00"/>
    <d v="2002-04-15T00:00:00"/>
    <d v="2002-04-15T00:00:00"/>
    <d v="2002-04-15T00:00:00"/>
    <s v="OTIF FAIL"/>
    <n v="3"/>
    <s v="1210_FG_PSS"/>
    <x v="15"/>
    <n v="0"/>
    <m/>
  </r>
  <r>
    <s v="0558110767-1"/>
    <s v="CST"/>
    <n v="0.5"/>
    <n v="90"/>
    <n v="0"/>
    <n v="20.309999999999999"/>
    <n v="20.309999999999999"/>
    <s v="PSS"/>
    <d v="2001-09-25T00:00:00"/>
    <d v="2002-03-24T00:00:00"/>
    <d v="2002-04-09T00:00:00"/>
    <d v="2002-04-09T00:00:00"/>
    <d v="2002-04-09T00:00:00"/>
    <d v="2002-04-15T00:00:00"/>
    <s v="OTIF FAIL"/>
    <n v="1"/>
    <s v="1210_FG_PSS"/>
    <x v="15"/>
    <n v="1"/>
    <m/>
  </r>
  <r>
    <s v="0558116207-1"/>
    <s v="CRC"/>
    <n v="0.4"/>
    <n v="158"/>
    <n v="0"/>
    <n v="6"/>
    <n v="6"/>
    <s v="PSS"/>
    <d v="2001-10-28T00:00:00"/>
    <d v="2002-03-26T00:00:00"/>
    <d v="2002-04-02T00:00:00"/>
    <d v="2002-04-02T00:00:00"/>
    <d v="2002-04-02T00:00:00"/>
    <d v="2002-04-02T00:00:00"/>
    <s v="OTIF FAIL"/>
    <n v="1"/>
    <s v="1210_FG_PSS"/>
    <x v="6"/>
    <n v="1"/>
    <m/>
  </r>
  <r>
    <s v="0558116684-1"/>
    <s v="CST"/>
    <n v="0.25"/>
    <n v="395"/>
    <n v="0"/>
    <n v="4"/>
    <n v="4"/>
    <s v="PSS"/>
    <d v="2002-03-28T00:00:00"/>
    <d v="2002-05-03T00:00:00"/>
    <s v="-"/>
    <s v="-"/>
    <s v="-"/>
    <d v="2002-04-21T00:00:00"/>
    <s v="OTIF FAIL"/>
    <n v="1"/>
    <s v="1210_FG_PSS"/>
    <x v="2"/>
    <n v="0"/>
    <m/>
  </r>
  <r>
    <s v="0558113962-1"/>
    <s v="CST"/>
    <n v="0.25"/>
    <n v="460"/>
    <n v="0"/>
    <n v="6"/>
    <n v="6"/>
    <s v="PSS"/>
    <d v="2001-08-13T00:00:00"/>
    <d v="2002-03-25T00:00:00"/>
    <s v="-"/>
    <s v="-"/>
    <d v="2002-04-17T00:00:00"/>
    <d v="2002-04-17T00:00:00"/>
    <s v="OTIF FAIL"/>
    <n v="1"/>
    <s v="1210_FG_PSS"/>
    <x v="15"/>
    <n v="1"/>
    <m/>
  </r>
  <r>
    <s v="0558116628-1"/>
    <s v="HRC"/>
    <n v="0.25"/>
    <n v="395"/>
    <n v="0"/>
    <n v="4"/>
    <n v="4"/>
    <s v="PSS"/>
    <d v="2002-03-20T00:00:00"/>
    <d v="2002-04-21T00:00:00"/>
    <d v="2002-05-07T00:00:00"/>
    <d v="2002-05-07T00:00:00"/>
    <d v="2002-04-21T00:00:00"/>
    <d v="2002-04-21T00:00:00"/>
    <s v="OTIF FAIL"/>
    <n v="1"/>
    <s v="1210_FG_PSS"/>
    <x v="2"/>
    <n v="1"/>
    <m/>
  </r>
  <r>
    <s v="0558115768-7"/>
    <s v="CST"/>
    <n v="0.2"/>
    <n v="160"/>
    <n v="0"/>
    <n v="2"/>
    <n v="2"/>
    <s v="PSS"/>
    <d v="2001-08-31T00:00:00"/>
    <d v="2002-03-10T00:00:00"/>
    <d v="2002-04-29T00:00:00"/>
    <d v="2002-04-29T00:00:00"/>
    <d v="2002-03-14T00:00:00"/>
    <d v="2002-03-14T00:00:00"/>
    <s v="OTIF FAIL"/>
    <n v="7"/>
    <s v="1210_FG_PSS"/>
    <x v="3"/>
    <n v="1"/>
    <m/>
  </r>
  <r>
    <s v="0558116629-1"/>
    <s v="CST"/>
    <n v="0.25"/>
    <n v="545"/>
    <n v="0"/>
    <n v="4"/>
    <n v="4"/>
    <s v="PSS"/>
    <d v="2002-03-20T00:00:00"/>
    <d v="2002-04-21T00:00:00"/>
    <d v="2002-04-21T00:00:00"/>
    <d v="2002-04-21T00:00:00"/>
    <d v="2002-04-21T00:00:00"/>
    <d v="2002-04-21T00:00:00"/>
    <s v="OTIF PASS"/>
    <n v="1"/>
    <s v="1210_FG_PSS"/>
    <x v="2"/>
    <n v="1"/>
    <m/>
  </r>
  <r>
    <s v="0558115768-5"/>
    <s v="CST"/>
    <n v="0.25"/>
    <n v="225"/>
    <n v="0"/>
    <n v="2.2999999999999998"/>
    <n v="2.2999999999999998"/>
    <s v="PSS"/>
    <d v="2001-08-31T00:00:00"/>
    <d v="2002-03-26T00:00:00"/>
    <d v="2002-04-30T00:00:00"/>
    <d v="2002-04-30T00:00:00"/>
    <d v="2002-04-09T00:00:00"/>
    <d v="2002-04-09T00:00:00"/>
    <s v="OTIF FAIL"/>
    <n v="5"/>
    <s v="1210_FG_PSS"/>
    <x v="7"/>
    <n v="1"/>
    <m/>
  </r>
  <r>
    <s v="0568012808-1"/>
    <s v="CRC"/>
    <n v="0.249"/>
    <n v="517.14400000000001"/>
    <n v="0"/>
    <n v="9.0719999999999992"/>
    <n v="5.42"/>
    <s v="PSS"/>
    <d v="2001-08-23T00:00:00"/>
    <d v="2002-03-29T00:00:00"/>
    <d v="2002-04-19T00:00:00"/>
    <d v="2002-04-19T00:00:00"/>
    <d v="2002-04-19T00:00:00"/>
    <d v="2002-04-19T00:00:00"/>
    <s v="OTIF FAIL"/>
    <n v="1"/>
    <s v="1210_FG_PSS"/>
    <x v="15"/>
    <n v="0"/>
    <m/>
  </r>
  <r>
    <s v="0558114394-1"/>
    <s v="CST"/>
    <n v="0.25"/>
    <n v="405"/>
    <n v="0"/>
    <n v="20"/>
    <n v="20"/>
    <s v="PSS"/>
    <d v="2001-08-20T00:00:00"/>
    <d v="2002-03-25T00:00:00"/>
    <d v="2002-05-02T00:00:00"/>
    <d v="2002-05-02T00:00:00"/>
    <d v="2002-04-02T00:00:00"/>
    <d v="2002-04-21T00:00:00"/>
    <s v="OTIF FAIL"/>
    <n v="1"/>
    <s v="1210_FG_PSS"/>
    <x v="2"/>
    <n v="1"/>
    <m/>
  </r>
  <r>
    <s v="0558116208-2"/>
    <s v="HRC"/>
    <n v="0.22"/>
    <n v="100"/>
    <n v="0"/>
    <n v="3"/>
    <n v="3"/>
    <s v="PSS"/>
    <d v="2001-10-28T00:00:00"/>
    <d v="2002-03-26T00:00:00"/>
    <d v="2002-05-07T00:00:00"/>
    <d v="2002-05-07T00:00:00"/>
    <d v="2002-04-23T00:00:00"/>
    <d v="2002-04-23T00:00:00"/>
    <s v="OTIF FAIL"/>
    <n v="2"/>
    <s v="1210_FG_PSS"/>
    <x v="2"/>
    <n v="1"/>
    <m/>
  </r>
  <r>
    <s v="0558116210-3"/>
    <s v="CST"/>
    <n v="0.28000000000000003"/>
    <n v="100"/>
    <n v="0"/>
    <n v="2"/>
    <n v="2"/>
    <s v="PSS"/>
    <d v="2001-10-28T00:00:00"/>
    <d v="2002-03-27T00:00:00"/>
    <d v="2002-05-01T00:00:00"/>
    <d v="2002-05-01T00:00:00"/>
    <d v="2002-04-17T00:00:00"/>
    <d v="2002-04-17T00:00:00"/>
    <s v="OTIF FAIL"/>
    <n v="3"/>
    <s v="1210_FG_PSS"/>
    <x v="15"/>
    <n v="1"/>
    <m/>
  </r>
  <r>
    <s v="0568012712-1"/>
    <s v="HRC"/>
    <n v="0.5"/>
    <n v="118.745"/>
    <n v="0"/>
    <n v="18.143999999999998"/>
    <n v="2.214"/>
    <s v="PSS"/>
    <d v="2001-08-04T00:00:00"/>
    <d v="2002-03-27T00:00:00"/>
    <d v="2002-05-07T00:00:00"/>
    <d v="2002-05-07T00:00:00"/>
    <d v="2002-04-24T00:00:00"/>
    <d v="2002-04-24T00:00:00"/>
    <s v="OTIF FAIL"/>
    <n v="1"/>
    <s v="1210_FG_PSS"/>
    <x v="2"/>
    <n v="0"/>
    <m/>
  </r>
  <r>
    <s v="0568012809-1"/>
    <s v="CST"/>
    <n v="0.40600000000000003"/>
    <n v="273.05"/>
    <n v="0"/>
    <n v="18.143999999999998"/>
    <n v="18.143999999999998"/>
    <s v="PSS"/>
    <d v="2001-08-23T00:00:00"/>
    <d v="2002-02-25T00:00:00"/>
    <d v="2002-05-07T00:00:00"/>
    <d v="2002-05-07T00:00:00"/>
    <d v="2002-03-12T00:00:00"/>
    <d v="2002-03-12T00:00:00"/>
    <s v="OTIF FAIL"/>
    <n v="1"/>
    <s v="1210_FG_PSS"/>
    <x v="3"/>
    <n v="1"/>
    <m/>
  </r>
  <r>
    <s v="0568012810-1"/>
    <s v="HRC"/>
    <n v="0.50800000000000001"/>
    <n v="273.05"/>
    <n v="0"/>
    <n v="18.143999999999998"/>
    <n v="18.143999999999998"/>
    <s v="PSS"/>
    <d v="2001-08-23T00:00:00"/>
    <d v="2002-02-26T00:00:00"/>
    <d v="2002-04-17T00:00:00"/>
    <d v="2002-04-17T00:00:00"/>
    <d v="2002-04-10T00:00:00"/>
    <d v="2002-04-10T00:00:00"/>
    <s v="OTIF FAIL"/>
    <n v="1"/>
    <s v="1210_FG_PSS"/>
    <x v="7"/>
    <n v="1"/>
    <m/>
  </r>
  <r>
    <s v="0508000622-1"/>
    <s v="CST"/>
    <n v="0.2"/>
    <n v="505"/>
    <n v="0"/>
    <n v="19"/>
    <n v="19"/>
    <s v="PSS"/>
    <d v="2001-08-28T00:00:00"/>
    <d v="2002-02-21T00:00:00"/>
    <d v="2002-04-29T00:00:00"/>
    <d v="2002-04-29T00:00:00"/>
    <d v="2002-04-05T00:00:00"/>
    <d v="2002-04-06T00:00:00"/>
    <s v="OTIF FAIL"/>
    <n v="1"/>
    <s v="1210_FG_PSS"/>
    <x v="6"/>
    <n v="1"/>
    <m/>
  </r>
  <r>
    <s v="0568012868-1"/>
    <s v="JBS"/>
    <n v="0.38100000000000001"/>
    <n v="231.77500000000001"/>
    <n v="0"/>
    <n v="9.0719999999999992"/>
    <n v="9.0719999999999992"/>
    <s v="PSS"/>
    <d v="2001-08-30T00:00:00"/>
    <d v="2002-03-29T00:00:00"/>
    <d v="2002-03-29T00:00:00"/>
    <d v="2002-03-29T00:00:00"/>
    <d v="2002-03-29T00:00:00"/>
    <d v="2002-04-19T00:00:00"/>
    <s v="OTIF PASS"/>
    <n v="1"/>
    <s v="1210_FG_PSS"/>
    <x v="15"/>
    <n v="1"/>
    <m/>
  </r>
  <r>
    <s v="0568012816-1"/>
    <s v="CRC"/>
    <n v="0.63500000000000001"/>
    <n v="122.55500000000001"/>
    <n v="0"/>
    <n v="18.143999999999998"/>
    <n v="18.143999999999998"/>
    <s v="PSS"/>
    <d v="2001-08-23T00:00:00"/>
    <d v="2002-03-29T00:00:00"/>
    <d v="2002-05-07T00:00:00"/>
    <d v="2002-05-07T00:00:00"/>
    <d v="2002-04-12T00:00:00"/>
    <d v="2002-04-12T00:00:00"/>
    <s v="OTIF FAIL"/>
    <n v="1"/>
    <s v="1210_FG_PSS"/>
    <x v="7"/>
    <n v="1"/>
    <m/>
  </r>
  <r>
    <s v="0568012866-1"/>
    <s v="CST"/>
    <n v="0.81299999999999994"/>
    <n v="209.55"/>
    <n v="0"/>
    <n v="4.5359999999999996"/>
    <n v="4.5359999999999996"/>
    <s v="PSS"/>
    <d v="2001-08-28T00:00:00"/>
    <d v="2002-03-29T00:00:00"/>
    <d v="2002-05-07T00:00:00"/>
    <d v="2002-05-07T00:00:00"/>
    <d v="2002-04-12T00:00:00"/>
    <d v="2002-04-12T00:00:00"/>
    <s v="OTIF FAIL"/>
    <n v="1"/>
    <s v="1210_FG_PSS"/>
    <x v="7"/>
    <n v="1"/>
    <m/>
  </r>
  <r>
    <s v="0568012869-1"/>
    <s v="CST"/>
    <n v="0.45700000000000002"/>
    <n v="231.77500000000001"/>
    <n v="0"/>
    <n v="3.629"/>
    <n v="3.629"/>
    <s v="PSS"/>
    <d v="2001-08-29T00:00:00"/>
    <d v="2002-03-10T00:00:00"/>
    <d v="2002-03-26T00:00:00"/>
    <d v="2002-03-26T00:00:00"/>
    <d v="2002-03-26T00:00:00"/>
    <d v="2002-03-26T00:00:00"/>
    <s v="OTIF FAIL"/>
    <n v="1"/>
    <s v="1210_FG_PSS"/>
    <x v="9"/>
    <n v="1"/>
    <m/>
  </r>
  <r>
    <s v="0568012870-1"/>
    <s v="PSS"/>
    <n v="0.38100000000000001"/>
    <n v="231.77500000000001"/>
    <n v="0"/>
    <n v="4.5359999999999996"/>
    <n v="4.5359999999999996"/>
    <s v="PSS"/>
    <d v="2001-08-29T00:00:00"/>
    <d v="2002-03-10T00:00:00"/>
    <d v="2002-04-11T00:00:00"/>
    <d v="2002-04-11T00:00:00"/>
    <d v="2002-04-11T00:00:00"/>
    <d v="2002-04-17T00:00:00"/>
    <s v="OTIF FAIL"/>
    <n v="1"/>
    <s v="1210_FG_PSS"/>
    <x v="15"/>
    <n v="1"/>
    <m/>
  </r>
  <r>
    <s v="0568012721-2"/>
    <s v="CRC"/>
    <n v="0.50800000000000001"/>
    <n v="293.37"/>
    <n v="0"/>
    <n v="6.8040000000000003"/>
    <n v="6.8040000000000003"/>
    <s v="PSS"/>
    <d v="2001-08-04T00:00:00"/>
    <d v="2002-03-27T00:00:00"/>
    <d v="2002-04-17T00:00:00"/>
    <d v="2002-04-17T00:00:00"/>
    <d v="2002-04-17T00:00:00"/>
    <d v="2002-04-17T00:00:00"/>
    <s v="OTIF FAIL"/>
    <n v="2"/>
    <s v="1210_FG_PSS"/>
    <x v="15"/>
    <n v="1"/>
    <m/>
  </r>
  <r>
    <s v="0508000613-3"/>
    <s v="CST"/>
    <n v="0.2"/>
    <n v="530"/>
    <n v="0"/>
    <n v="24"/>
    <n v="8.5609999999999999"/>
    <s v="PSS"/>
    <d v="2001-08-13T00:00:00"/>
    <d v="2002-03-23T00:00:00"/>
    <d v="2002-04-29T00:00:00"/>
    <d v="2002-04-29T00:00:00"/>
    <d v="2002-03-31T00:00:00"/>
    <d v="2002-03-31T00:00:00"/>
    <s v="OTIF FAIL"/>
    <n v="3"/>
    <s v="1210_FG_PSS"/>
    <x v="6"/>
    <n v="0"/>
    <m/>
  </r>
  <r>
    <s v="0508000613-1"/>
    <s v="CST"/>
    <n v="0.2"/>
    <n v="685"/>
    <n v="0"/>
    <n v="6"/>
    <n v="6"/>
    <s v="PSS"/>
    <d v="2001-08-13T00:00:00"/>
    <d v="2002-03-23T00:00:00"/>
    <d v="2002-04-30T00:00:00"/>
    <d v="2002-04-30T00:00:00"/>
    <d v="2002-04-06T00:00:00"/>
    <d v="2002-04-06T00:00:00"/>
    <s v="OTIF FAIL"/>
    <n v="1"/>
    <s v="1210_FG_PSS"/>
    <x v="6"/>
    <n v="1"/>
    <m/>
  </r>
  <r>
    <s v="0508000613-7"/>
    <s v="CST"/>
    <n v="0.2"/>
    <n v="460"/>
    <n v="0"/>
    <n v="4"/>
    <n v="4"/>
    <s v="PSS"/>
    <d v="2001-08-13T00:00:00"/>
    <d v="2002-02-27T00:00:00"/>
    <d v="2002-04-26T00:00:00"/>
    <d v="2002-04-26T00:00:00"/>
    <d v="2002-04-06T00:00:00"/>
    <d v="2002-04-06T00:00:00"/>
    <s v="OTIF FAIL"/>
    <n v="7"/>
    <s v="1210_FG_PSS"/>
    <x v="6"/>
    <n v="1"/>
    <m/>
  </r>
  <r>
    <s v="0508000613-5"/>
    <s v="CST"/>
    <n v="0.25"/>
    <n v="460"/>
    <n v="0"/>
    <n v="3"/>
    <n v="3"/>
    <s v="PSS"/>
    <d v="2001-08-13T00:00:00"/>
    <d v="2002-03-23T00:00:00"/>
    <d v="2002-04-21T00:00:00"/>
    <d v="2002-04-21T00:00:00"/>
    <d v="2002-04-21T00:00:00"/>
    <d v="2002-04-21T00:00:00"/>
    <s v="OTIF FAIL"/>
    <n v="5"/>
    <s v="1210_FG_PSS"/>
    <x v="2"/>
    <n v="1"/>
    <m/>
  </r>
  <r>
    <s v="0508000613-6"/>
    <s v="CST"/>
    <n v="0.2"/>
    <n v="375"/>
    <n v="0"/>
    <n v="7"/>
    <n v="7"/>
    <s v="PSS"/>
    <d v="2001-08-13T00:00:00"/>
    <d v="2002-03-23T00:00:00"/>
    <d v="2002-05-07T00:00:00"/>
    <d v="2002-05-07T00:00:00"/>
    <d v="2002-04-14T00:00:00"/>
    <d v="2002-04-14T00:00:00"/>
    <s v="OTIF FAIL"/>
    <n v="6"/>
    <s v="1210_FG_PSS"/>
    <x v="15"/>
    <n v="1"/>
    <m/>
  </r>
  <r>
    <s v="0508000612-1"/>
    <s v="CST"/>
    <n v="0.25"/>
    <n v="610"/>
    <n v="0"/>
    <n v="8"/>
    <n v="8"/>
    <s v="PSS"/>
    <d v="2001-08-09T00:00:00"/>
    <d v="2002-03-23T00:00:00"/>
    <d v="2002-04-21T00:00:00"/>
    <d v="2002-04-21T00:00:00"/>
    <d v="2002-04-21T00:00:00"/>
    <d v="2002-04-21T00:00:00"/>
    <s v="OTIF FAIL"/>
    <n v="1"/>
    <s v="1210_FG_PSS"/>
    <x v="2"/>
    <n v="1"/>
    <m/>
  </r>
  <r>
    <s v="0508000600-1"/>
    <s v="CST"/>
    <n v="0.22500000000000001"/>
    <n v="500"/>
    <n v="0"/>
    <n v="10"/>
    <n v="10"/>
    <s v="PSS"/>
    <d v="2001-08-04T00:00:00"/>
    <d v="2002-03-23T00:00:00"/>
    <d v="2002-04-20T00:00:00"/>
    <d v="2002-04-20T00:00:00"/>
    <d v="2002-04-20T00:00:00"/>
    <d v="2002-04-20T00:00:00"/>
    <s v="OTIF FAIL"/>
    <n v="1"/>
    <s v="1210_FG_PSS"/>
    <x v="15"/>
    <n v="1"/>
    <m/>
  </r>
  <r>
    <s v="0568012781-3"/>
    <s v="CST"/>
    <n v="0.20300000000000001"/>
    <n v="548.64"/>
    <n v="0"/>
    <n v="6.8"/>
    <n v="5.81"/>
    <s v="PSS"/>
    <d v="2001-08-14T00:00:00"/>
    <d v="2002-03-29T00:00:00"/>
    <d v="2002-04-24T00:00:00"/>
    <d v="2002-04-24T00:00:00"/>
    <d v="2002-04-24T00:00:00"/>
    <d v="2002-04-24T00:00:00"/>
    <s v="OTIF FAIL"/>
    <n v="3"/>
    <s v="1210_FG_PSS"/>
    <x v="2"/>
    <n v="0"/>
    <m/>
  </r>
  <r>
    <s v="0568012639-1"/>
    <s v="HRC"/>
    <n v="0.81299999999999994"/>
    <n v="88.9"/>
    <n v="0"/>
    <n v="4.5359999999999996"/>
    <n v="4.5359999999999996"/>
    <s v="PSS"/>
    <d v="2001-09-25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58111083-1"/>
    <s v="HRC"/>
    <n v="0.6"/>
    <n v="12.8"/>
    <n v="0"/>
    <n v="3"/>
    <n v="3"/>
    <s v="PSS"/>
    <d v="2001-09-25T00:00:00"/>
    <d v="2002-03-24T00:00:00"/>
    <d v="2002-05-07T00:00:00"/>
    <d v="2002-05-07T00:00:00"/>
    <d v="2002-04-01T00:00:00"/>
    <d v="2002-04-01T00:00:00"/>
    <s v="OTIF FAIL"/>
    <n v="1"/>
    <s v="1210_FG_PSS"/>
    <x v="6"/>
    <n v="1"/>
    <m/>
  </r>
  <r>
    <s v="0568012898-1"/>
    <s v="CST"/>
    <n v="0.38100000000000001"/>
    <n v="233.68"/>
    <n v="0"/>
    <n v="18.143999999999998"/>
    <n v="18.143999999999998"/>
    <s v="PSS"/>
    <d v="2002-02-17T00:00:00"/>
    <d v="2002-02-22T00:00:00"/>
    <d v="2002-05-07T00:00:00"/>
    <d v="2002-05-07T00:00:00"/>
    <d v="2002-04-03T00:00:00"/>
    <d v="2002-04-10T00:00:00"/>
    <s v="OTIF FAIL"/>
    <n v="1"/>
    <s v="1210_FG_PSS"/>
    <x v="7"/>
    <n v="1"/>
    <m/>
  </r>
  <r>
    <s v="0568012831-1"/>
    <s v="HRC"/>
    <n v="0.40899999999999997"/>
    <n v="192.99"/>
    <n v="0"/>
    <n v="4.5359999999999996"/>
    <n v="4.5359999999999996"/>
    <s v="PSS"/>
    <d v="2001-08-28T00:00:00"/>
    <d v="2002-03-29T00:00:00"/>
    <d v="2002-05-07T00:00:00"/>
    <d v="2002-05-07T00:00:00"/>
    <d v="2002-04-05T00:00:00"/>
    <d v="2002-04-05T00:00:00"/>
    <s v="OTIF FAIL"/>
    <n v="1"/>
    <s v="1210_FG_PSS"/>
    <x v="6"/>
    <n v="1"/>
    <m/>
  </r>
  <r>
    <s v="0508000615-1"/>
    <s v="HRC"/>
    <n v="0.1"/>
    <n v="100"/>
    <n v="0"/>
    <n v="3"/>
    <n v="3"/>
    <s v="PSS"/>
    <d v="2001-08-13T00:00:00"/>
    <d v="2002-03-23T00:00:00"/>
    <d v="2002-03-29T00:00:00"/>
    <d v="2002-03-29T00:00:00"/>
    <d v="2002-03-25T00:00:00"/>
    <d v="2002-03-25T00:00:00"/>
    <s v="OTIF FAIL"/>
    <n v="1"/>
    <s v="1210_FG_PSS"/>
    <x v="9"/>
    <n v="1"/>
    <m/>
  </r>
  <r>
    <s v="0568012879-5"/>
    <s v="CST"/>
    <n v="0.8"/>
    <n v="160"/>
    <n v="0"/>
    <n v="3"/>
    <n v="3"/>
    <s v="PSS"/>
    <d v="2001-08-31T00:00:00"/>
    <d v="2002-03-10T00:00:00"/>
    <s v="-"/>
    <s v="-"/>
    <d v="2002-03-13T00:00:00"/>
    <d v="2002-03-13T00:00:00"/>
    <s v="OTIF FAIL"/>
    <n v="5"/>
    <s v="1210_FG_PSS"/>
    <x v="3"/>
    <n v="1"/>
    <m/>
  </r>
  <r>
    <s v="0508000592-2"/>
    <s v="CST"/>
    <n v="0.2"/>
    <n v="505"/>
    <n v="0"/>
    <n v="19.2"/>
    <n v="5.774"/>
    <s v="PSS"/>
    <d v="2001-09-25T00:00:00"/>
    <d v="2002-03-23T00:00:00"/>
    <d v="2002-04-06T00:00:00"/>
    <d v="2002-04-06T00:00:00"/>
    <d v="2002-04-06T00:00:00"/>
    <d v="2002-04-06T00:00:00"/>
    <s v="OTIF FAIL"/>
    <n v="2"/>
    <s v="1210_FG_PSS"/>
    <x v="6"/>
    <n v="0"/>
    <m/>
  </r>
  <r>
    <s v="0568012879-3"/>
    <s v="HRC"/>
    <n v="0.8"/>
    <n v="140"/>
    <n v="0"/>
    <n v="3"/>
    <n v="3"/>
    <s v="PSS"/>
    <d v="2001-08-31T00:00:00"/>
    <d v="2002-03-29T00:00:00"/>
    <s v="-"/>
    <s v="-"/>
    <d v="2002-04-05T00:00:00"/>
    <d v="2002-04-05T00:00:00"/>
    <s v="OTIF FAIL"/>
    <n v="3"/>
    <s v="1210_FG_PSS"/>
    <x v="6"/>
    <n v="1"/>
    <m/>
  </r>
  <r>
    <s v="0568012646-1"/>
    <s v="CRC"/>
    <n v="0.40100000000000002"/>
    <n v="217.17"/>
    <n v="0"/>
    <n v="4.5339999999999998"/>
    <n v="4.5339999999999998"/>
    <s v="PSS"/>
    <d v="2001-09-25T00:00:00"/>
    <d v="2002-03-27T00:00:00"/>
    <d v="2002-05-07T00:00:00"/>
    <d v="2002-05-07T00:00:00"/>
    <d v="2002-04-24T00:00:00"/>
    <d v="2002-04-24T00:00:00"/>
    <s v="OTIF FAIL"/>
    <n v="1"/>
    <s v="1210_FG_PSS"/>
    <x v="2"/>
    <n v="1"/>
    <m/>
  </r>
  <r>
    <s v="0568012879-2"/>
    <s v="HRC"/>
    <n v="0.8"/>
    <n v="130"/>
    <n v="0"/>
    <n v="3"/>
    <n v="3"/>
    <s v="PSS"/>
    <d v="2001-08-31T00:00:00"/>
    <d v="2002-03-29T00:00:00"/>
    <s v="-"/>
    <s v="-"/>
    <d v="2002-04-05T00:00:00"/>
    <d v="2002-04-05T00:00:00"/>
    <s v="OTIF FAIL"/>
    <n v="2"/>
    <s v="1210_FG_PSS"/>
    <x v="6"/>
    <n v="1"/>
    <m/>
  </r>
  <r>
    <s v="0568012879-1"/>
    <s v="HRC"/>
    <n v="0.8"/>
    <n v="100"/>
    <n v="0"/>
    <n v="6"/>
    <n v="3.1"/>
    <s v="PSS"/>
    <d v="2001-08-31T00:00:00"/>
    <d v="2002-03-29T00:00:00"/>
    <s v="-"/>
    <s v="-"/>
    <d v="2002-04-05T00:00:00"/>
    <d v="2002-04-05T00:00:00"/>
    <s v="OTIF FAIL"/>
    <n v="1"/>
    <s v="1210_FG_PSS"/>
    <x v="6"/>
    <n v="0"/>
    <m/>
  </r>
  <r>
    <s v="0568012879-4"/>
    <s v="CST"/>
    <n v="0.8"/>
    <n v="180"/>
    <n v="0"/>
    <n v="5"/>
    <n v="5"/>
    <s v="PSS"/>
    <d v="2001-08-31T00:00:00"/>
    <d v="2002-03-10T00:00:00"/>
    <s v="-"/>
    <s v="-"/>
    <d v="2002-04-06T00:00:00"/>
    <d v="2002-04-06T00:00:00"/>
    <s v="OTIF FAIL"/>
    <n v="4"/>
    <s v="1210_FG_PSS"/>
    <x v="6"/>
    <n v="1"/>
    <m/>
  </r>
  <r>
    <s v="0558114643-1"/>
    <s v="HRC"/>
    <n v="0.3"/>
    <n v="440"/>
    <n v="0"/>
    <n v="3"/>
    <n v="3"/>
    <s v="PSS"/>
    <d v="2001-08-23T00:00:00"/>
    <d v="2002-02-28T00:00:00"/>
    <d v="2002-05-07T00:00:00"/>
    <d v="2002-05-07T00:00:00"/>
    <d v="2002-03-21T00:00:00"/>
    <d v="2002-03-21T00:00:00"/>
    <s v="OTIF FAIL"/>
    <n v="1"/>
    <s v="1210_FG_PSS"/>
    <x v="0"/>
    <n v="1"/>
    <m/>
  </r>
  <r>
    <s v="0568012781-4"/>
    <s v="CRC"/>
    <n v="0.254"/>
    <n v="488.95"/>
    <n v="0"/>
    <n v="9.07"/>
    <n v="9.07"/>
    <s v="PSS"/>
    <d v="2001-08-14T00:00:00"/>
    <d v="2002-03-29T00:00:00"/>
    <d v="2002-04-19T00:00:00"/>
    <d v="2002-04-19T00:00:00"/>
    <d v="2002-04-19T00:00:00"/>
    <d v="2002-04-19T00:00:00"/>
    <s v="OTIF FAIL"/>
    <n v="4"/>
    <s v="1210_FG_PSS"/>
    <x v="15"/>
    <n v="1"/>
    <m/>
  </r>
  <r>
    <s v="0568012803-3"/>
    <s v="HRC"/>
    <n v="0.55900000000000005"/>
    <n v="1250"/>
    <n v="0"/>
    <n v="18.143999999999998"/>
    <n v="18.143999999999998"/>
    <s v="PSS"/>
    <d v="2001-08-21T00:00:00"/>
    <d v="2002-03-29T00:00:00"/>
    <d v="2002-04-05T00:00:00"/>
    <d v="2002-04-05T00:00:00"/>
    <d v="2002-04-05T00:00:00"/>
    <d v="2002-04-05T00:00:00"/>
    <s v="OTIF FAIL"/>
    <n v="3"/>
    <s v="1210_FG_PSS"/>
    <x v="6"/>
    <n v="1"/>
    <m/>
  </r>
  <r>
    <s v="0508000621-1"/>
    <s v="HRC"/>
    <n v="0.2"/>
    <n v="505"/>
    <n v="0"/>
    <n v="8"/>
    <n v="8"/>
    <s v="PSS"/>
    <d v="2001-08-28T00:00:00"/>
    <d v="2002-03-24T00:00:00"/>
    <d v="2002-04-06T00:00:00"/>
    <d v="2002-04-06T00:00:00"/>
    <d v="2002-04-06T00:00:00"/>
    <d v="2002-04-06T00:00:00"/>
    <s v="OTIF FAIL"/>
    <n v="1"/>
    <s v="1210_FG_PSS"/>
    <x v="6"/>
    <n v="1"/>
    <m/>
  </r>
  <r>
    <s v="0568012812-1"/>
    <s v="CRC"/>
    <n v="0.50800000000000001"/>
    <n v="231.77500000000001"/>
    <n v="0"/>
    <n v="4.5359999999999996"/>
    <n v="4.5359999999999996"/>
    <s v="PSS"/>
    <d v="2001-08-23T00:00:00"/>
    <d v="2002-02-28T00:00:00"/>
    <d v="2002-04-14T00:00:00"/>
    <d v="2002-04-14T00:00:00"/>
    <d v="2002-04-14T00:00:00"/>
    <d v="2002-04-14T00:00:00"/>
    <s v="OTIF FAIL"/>
    <n v="1"/>
    <s v="1210_FG_PSS"/>
    <x v="15"/>
    <n v="1"/>
    <m/>
  </r>
  <r>
    <s v="0558115812-1"/>
    <s v="HPC"/>
    <n v="0.5"/>
    <n v="1250"/>
    <n v="0"/>
    <n v="18"/>
    <n v="18"/>
    <s v="PSS"/>
    <d v="2001-08-31T00:00:00"/>
    <d v="2002-03-10T00:00:00"/>
    <d v="2002-03-10T00:00:00"/>
    <d v="2002-03-10T00:00:00"/>
    <s v="-"/>
    <d v="2002-03-10T00:00:00"/>
    <s v="OTIF PASS"/>
    <n v="1"/>
    <s v="1210_FG_PSS"/>
    <x v="3"/>
    <n v="0"/>
    <m/>
  </r>
  <r>
    <s v="0568012635-1"/>
    <s v="HPC"/>
    <n v="0.78700000000000003"/>
    <n v="101.6"/>
    <n v="0"/>
    <n v="18.143999999999998"/>
    <n v="18.143999999999998"/>
    <s v="PSS"/>
    <d v="2001-09-25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68012803-2"/>
    <s v="HPC"/>
    <n v="0.55900000000000005"/>
    <n v="1250"/>
    <n v="0"/>
    <n v="18.143999999999998"/>
    <n v="8.11"/>
    <s v="PSS"/>
    <d v="2001-08-21T00:00:00"/>
    <d v="2002-03-29T00:00:00"/>
    <d v="2002-04-05T00:00:00"/>
    <d v="2002-04-05T00:00:00"/>
    <d v="2002-04-05T00:00:00"/>
    <d v="2002-04-05T00:00:00"/>
    <s v="OTIF FAIL"/>
    <n v="2"/>
    <s v="1210_FG_PSS"/>
    <x v="6"/>
    <n v="0"/>
    <m/>
  </r>
  <r>
    <s v="0568012802-3"/>
    <s v="CST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3"/>
    <s v="1210_FG_PSS"/>
    <x v="9"/>
    <n v="1"/>
    <m/>
  </r>
  <r>
    <s v="0568012905-1"/>
    <s v="CST"/>
    <n v="0.55900000000000005"/>
    <n v="1250"/>
    <n v="0"/>
    <n v="18.143999999999998"/>
    <n v="18.143999999999998"/>
    <s v="PSS"/>
    <d v="2002-04-07T00:00:00"/>
    <d v="2002-05-16T00:00:00"/>
    <s v="-"/>
    <s v="-"/>
    <s v="-"/>
    <d v="2002-04-05T00:00:00"/>
    <s v="OTIF FAIL"/>
    <n v="1"/>
    <s v="1210_FG_PSS"/>
    <x v="6"/>
    <n v="0"/>
    <m/>
  </r>
  <r>
    <s v="0568012803-1"/>
    <s v="HPC"/>
    <n v="0.55900000000000005"/>
    <n v="1250"/>
    <n v="0"/>
    <n v="18.143999999999998"/>
    <n v="8.11"/>
    <s v="PSS"/>
    <d v="2001-08-21T00:00:00"/>
    <d v="2002-03-29T00:00:00"/>
    <d v="2002-04-05T00:00:00"/>
    <d v="2002-04-05T00:00:00"/>
    <d v="2002-04-05T00:00:00"/>
    <d v="2002-04-05T00:00:00"/>
    <s v="OTIF FAIL"/>
    <n v="1"/>
    <s v="1210_FG_PSS"/>
    <x v="6"/>
    <n v="0"/>
    <m/>
  </r>
  <r>
    <s v="0568012781-5"/>
    <s v="CST"/>
    <n v="0.254"/>
    <n v="355.6"/>
    <n v="0"/>
    <n v="2.27"/>
    <n v="2.27"/>
    <s v="PSS"/>
    <d v="2001-08-14T00:00:00"/>
    <d v="2002-03-29T00:00:00"/>
    <d v="2002-05-07T00:00:00"/>
    <d v="2002-05-07T00:00:00"/>
    <d v="2002-04-12T00:00:00"/>
    <d v="2002-04-12T00:00:00"/>
    <s v="OTIF FAIL"/>
    <n v="5"/>
    <s v="1210_FG_PSS"/>
    <x v="7"/>
    <n v="1"/>
    <m/>
  </r>
  <r>
    <s v="0568012803-5"/>
    <s v="CRC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5"/>
    <s v="1210_FG_PSS"/>
    <x v="9"/>
    <n v="1"/>
    <m/>
  </r>
  <r>
    <s v="0568012781-1"/>
    <s v="HRC"/>
    <n v="0.20300000000000001"/>
    <n v="482.6"/>
    <n v="0"/>
    <n v="4.54"/>
    <n v="4.54"/>
    <s v="PSS"/>
    <d v="2001-08-14T00:00:00"/>
    <d v="2002-03-28T00:00:00"/>
    <d v="2002-04-29T00:00:00"/>
    <d v="2002-04-29T00:00:00"/>
    <d v="2002-01-15T00:00:00"/>
    <d v="2002-01-15T00:00:00"/>
    <s v="OTIF FAIL"/>
    <n v="1"/>
    <s v="1210_FG_PSS"/>
    <x v="13"/>
    <n v="1"/>
    <m/>
  </r>
  <r>
    <s v="0568012803-4"/>
    <s v="HRC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4"/>
    <s v="1210_FG_PSS"/>
    <x v="9"/>
    <n v="1"/>
    <m/>
  </r>
  <r>
    <s v="0568012781-2"/>
    <s v="CRC"/>
    <n v="0.20300000000000001"/>
    <n v="450.85"/>
    <n v="0"/>
    <n v="4.54"/>
    <n v="3.351"/>
    <s v="PSS"/>
    <d v="2001-08-14T00:00:00"/>
    <d v="2002-03-28T00:00:00"/>
    <d v="2002-04-18T00:00:00"/>
    <d v="2002-04-18T00:00:00"/>
    <d v="2002-04-18T00:00:00"/>
    <d v="2002-04-18T00:00:00"/>
    <s v="OTIF FAIL"/>
    <n v="2"/>
    <s v="1210_FG_PSS"/>
    <x v="15"/>
    <n v="0"/>
    <m/>
  </r>
  <r>
    <s v="0568012781-6"/>
    <s v="CST"/>
    <n v="0.254"/>
    <n v="410.21"/>
    <n v="0"/>
    <n v="6.8"/>
    <n v="6.8"/>
    <s v="PSS"/>
    <d v="2001-08-14T00:00:00"/>
    <d v="2002-03-29T00:00:00"/>
    <d v="2002-05-07T00:00:00"/>
    <d v="2002-05-07T00:00:00"/>
    <d v="2002-04-19T00:00:00"/>
    <d v="2002-04-19T00:00:00"/>
    <s v="OTIF FAIL"/>
    <n v="6"/>
    <s v="1210_FG_PSS"/>
    <x v="15"/>
    <n v="1"/>
    <m/>
  </r>
  <r>
    <s v="0568012811-1"/>
    <s v="CRC"/>
    <n v="0.50800000000000001"/>
    <n v="293.37"/>
    <n v="0"/>
    <n v="9.0719999999999992"/>
    <n v="9.0719999999999992"/>
    <s v="PSS"/>
    <d v="2001-08-23T00:00:00"/>
    <d v="2002-02-21T00:00:00"/>
    <d v="2002-05-07T00:00:00"/>
    <d v="2002-05-07T00:00:00"/>
    <d v="2002-03-11T00:00:00"/>
    <d v="2002-04-17T00:00:00"/>
    <s v="OTIF FAIL"/>
    <n v="1"/>
    <s v="1210_FG_PSS"/>
    <x v="15"/>
    <n v="1"/>
    <m/>
  </r>
  <r>
    <s v="0568012510-1"/>
    <s v="CST"/>
    <n v="0.42899999999999999"/>
    <n v="192.989"/>
    <n v="0"/>
    <n v="4.5359999999999996"/>
    <n v="4.5359999999999996"/>
    <s v="PSS"/>
    <d v="2001-09-25T00:00:00"/>
    <d v="2002-03-27T00:00:00"/>
    <d v="2002-05-07T00:00:00"/>
    <d v="2002-05-07T00:00:00"/>
    <d v="2002-04-10T00:00:00"/>
    <d v="2002-04-10T00:00:00"/>
    <s v="OTIF FAIL"/>
    <n v="1"/>
    <s v="1210_FG_PSS"/>
    <x v="7"/>
    <n v="1"/>
    <m/>
  </r>
  <r>
    <s v="0568012564-1"/>
    <s v="CST"/>
    <n v="0.51100000000000001"/>
    <n v="192.989"/>
    <n v="0"/>
    <n v="4.5359999999999996"/>
    <n v="4.5359999999999996"/>
    <s v="PSS"/>
    <d v="2001-09-25T00:00:00"/>
    <d v="2002-03-27T00:00:00"/>
    <d v="2002-05-07T00:00:00"/>
    <d v="2002-05-07T00:00:00"/>
    <d v="2002-04-10T00:00:00"/>
    <d v="2002-04-10T00:00:00"/>
    <s v="OTIF FAIL"/>
    <n v="1"/>
    <s v="1210_FG_PSS"/>
    <x v="7"/>
    <n v="1"/>
    <m/>
  </r>
  <r>
    <s v="0568012643-1"/>
    <s v="CST"/>
    <n v="0.38900000000000001"/>
    <n v="217.17"/>
    <n v="0"/>
    <n v="7.2569999999999997"/>
    <n v="7.2569999999999997"/>
    <s v="PSS"/>
    <d v="2001-09-25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68012721-1"/>
    <s v="HPC"/>
    <n v="0.50800000000000001"/>
    <n v="275.58999999999997"/>
    <n v="0"/>
    <n v="20.41"/>
    <n v="20.41"/>
    <s v="PSS"/>
    <d v="2001-08-04T00:00:00"/>
    <d v="2002-03-27T00:00:00"/>
    <d v="2002-05-07T00:00:00"/>
    <d v="2002-05-07T00:00:00"/>
    <d v="2002-04-10T00:00:00"/>
    <d v="2002-04-10T00:00:00"/>
    <s v="OTIF FAIL"/>
    <n v="1"/>
    <s v="1210_FG_PSS"/>
    <x v="7"/>
    <n v="1"/>
    <m/>
  </r>
  <r>
    <s v="0568012856-1"/>
    <s v="CRC"/>
    <n v="0.38100000000000001"/>
    <n v="231.77500000000001"/>
    <n v="0"/>
    <n v="4.5359999999999996"/>
    <n v="4.5359999999999996"/>
    <s v="PSS"/>
    <d v="2001-08-28T00:00:00"/>
    <d v="2002-03-29T00:00:00"/>
    <d v="2002-05-07T00:00:00"/>
    <d v="2002-05-07T00:00:00"/>
    <d v="2002-04-19T00:00:00"/>
    <d v="2002-04-19T00:00:00"/>
    <s v="OTIF FAIL"/>
    <n v="1"/>
    <s v="1210_FG_PSS"/>
    <x v="15"/>
    <n v="1"/>
    <m/>
  </r>
  <r>
    <s v="0568012642-1"/>
    <s v="HRC"/>
    <n v="0.35599999999999998"/>
    <n v="217.17"/>
    <n v="0"/>
    <n v="4.5339999999999998"/>
    <n v="4.5339999999999998"/>
    <s v="PSS"/>
    <d v="2001-09-25T00:00:00"/>
    <d v="2002-03-27T00:00:00"/>
    <s v="-"/>
    <s v="-"/>
    <d v="2002-04-16T00:00:00"/>
    <d v="2002-04-16T00:00:00"/>
    <s v="OTIF FAIL"/>
    <n v="1"/>
    <s v="1210_FG_PSS"/>
    <x v="15"/>
    <n v="1"/>
    <m/>
  </r>
  <r>
    <s v="0568012855-1"/>
    <s v="CST"/>
    <n v="0.30499999999999999"/>
    <n v="231.77500000000001"/>
    <n v="0"/>
    <n v="7.2569999999999997"/>
    <n v="7.2569999999999997"/>
    <s v="PSS"/>
    <d v="2001-08-28T00:00:00"/>
    <d v="2002-03-29T00:00:00"/>
    <d v="2002-05-07T00:00:00"/>
    <d v="2002-05-07T00:00:00"/>
    <d v="2002-04-12T00:00:00"/>
    <d v="2002-04-12T00:00:00"/>
    <s v="OTIF FAIL"/>
    <n v="1"/>
    <s v="1210_FG_PSS"/>
    <x v="7"/>
    <n v="1"/>
    <m/>
  </r>
  <r>
    <s v="0568012719-1"/>
    <s v="CRC"/>
    <n v="0.40600000000000003"/>
    <n v="241.3"/>
    <n v="0"/>
    <n v="4.5359999999999996"/>
    <n v="4.5359999999999996"/>
    <s v="PSS"/>
    <d v="2001-08-04T00:00:00"/>
    <d v="2002-03-27T00:00:00"/>
    <d v="2002-05-07T00:00:00"/>
    <d v="2002-05-07T00:00:00"/>
    <d v="2002-04-10T00:00:00"/>
    <d v="2002-04-10T00:00:00"/>
    <s v="OTIF FAIL"/>
    <n v="1"/>
    <s v="1210_FG_PSS"/>
    <x v="7"/>
    <n v="1"/>
    <m/>
  </r>
  <r>
    <s v="0568012718-1"/>
    <s v="CST"/>
    <n v="0.50800000000000001"/>
    <n v="206.375"/>
    <n v="0"/>
    <n v="4.5359999999999996"/>
    <n v="4.5359999999999996"/>
    <s v="PSS"/>
    <d v="2001-08-04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68012647-1"/>
    <s v="CST"/>
    <n v="0.437"/>
    <n v="217.17"/>
    <n v="0"/>
    <n v="7.2569999999999997"/>
    <n v="7.2569999999999997"/>
    <s v="PSS"/>
    <d v="2001-09-25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68012715-1"/>
    <s v="CST"/>
    <n v="0.38100000000000001"/>
    <n v="246.38"/>
    <n v="0"/>
    <n v="18.143999999999998"/>
    <n v="12.394"/>
    <s v="PSS"/>
    <d v="2001-08-04T00:00:00"/>
    <d v="2002-03-27T00:00:00"/>
    <d v="2002-04-17T00:00:00"/>
    <d v="2002-04-17T00:00:00"/>
    <d v="2002-04-10T00:00:00"/>
    <d v="2002-04-10T00:00:00"/>
    <s v="OTIF FAIL"/>
    <n v="1"/>
    <s v="1210_FG_PSS"/>
    <x v="7"/>
    <n v="0"/>
    <m/>
  </r>
  <r>
    <s v="0568012750-1"/>
    <s v="CST"/>
    <n v="0.45700000000000002"/>
    <n v="217.17"/>
    <n v="0"/>
    <n v="4.5359999999999996"/>
    <n v="4.5359999999999996"/>
    <s v="PSS"/>
    <d v="2001-08-10T00:00:00"/>
    <d v="2002-03-28T00:00:00"/>
    <d v="2002-05-07T00:00:00"/>
    <d v="2002-05-07T00:00:00"/>
    <d v="2002-04-12T00:00:00"/>
    <d v="2002-04-12T00:00:00"/>
    <s v="OTIF FAIL"/>
    <n v="1"/>
    <s v="1210_FG_PSS"/>
    <x v="7"/>
    <n v="1"/>
    <m/>
  </r>
  <r>
    <s v="0568012802-2"/>
    <s v="CRC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2"/>
    <s v="1210_FG_PSS"/>
    <x v="9"/>
    <n v="1"/>
    <m/>
  </r>
  <r>
    <s v="0568012802-5"/>
    <s v="CST"/>
    <n v="0.63500000000000001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5"/>
    <s v="1210_FG_PSS"/>
    <x v="9"/>
    <n v="1"/>
    <m/>
  </r>
  <r>
    <s v="0568012802-4"/>
    <s v="HRC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4"/>
    <s v="1210_FG_PSS"/>
    <x v="9"/>
    <n v="1"/>
    <m/>
  </r>
  <r>
    <s v="0568012714-1"/>
    <s v="CST"/>
    <n v="0.38100000000000001"/>
    <n v="231.77500000000001"/>
    <n v="0"/>
    <n v="4.5359999999999996"/>
    <n v="4.5359999999999996"/>
    <s v="PSS"/>
    <d v="2001-08-04T00:00:00"/>
    <d v="2002-03-27T00:00:00"/>
    <d v="2002-04-17T00:00:00"/>
    <d v="2002-04-17T00:00:00"/>
    <d v="2002-04-17T00:00:00"/>
    <d v="2002-04-17T00:00:00"/>
    <s v="OTIF FAIL"/>
    <n v="1"/>
    <s v="1210_FG_PSS"/>
    <x v="15"/>
    <n v="1"/>
    <m/>
  </r>
  <r>
    <s v="0568012720-1"/>
    <s v="CST"/>
    <n v="0.40600000000000003"/>
    <n v="285.75"/>
    <n v="0"/>
    <n v="13.608000000000001"/>
    <n v="13.608000000000001"/>
    <s v="PSS"/>
    <d v="2001-08-04T00:00:00"/>
    <d v="2002-03-27T00:00:00"/>
    <d v="2002-05-07T00:00:00"/>
    <d v="2002-05-07T00:00:00"/>
    <d v="2002-04-17T00:00:00"/>
    <d v="2002-04-17T00:00:00"/>
    <s v="OTIF FAIL"/>
    <n v="1"/>
    <s v="1210_FG_PSS"/>
    <x v="15"/>
    <n v="1"/>
    <m/>
  </r>
  <r>
    <s v="0568012802-1"/>
    <s v="CST"/>
    <n v="0.55900000000000005"/>
    <n v="1250"/>
    <n v="0"/>
    <n v="18.143999999999998"/>
    <n v="18.143999999999998"/>
    <s v="PSS"/>
    <d v="2001-08-21T00:00:00"/>
    <d v="2002-03-29T00:00:00"/>
    <d v="2002-03-29T00:00:00"/>
    <d v="2002-03-29T00:00:00"/>
    <d v="2002-03-29T00:00:00"/>
    <d v="2002-03-29T00:00:00"/>
    <s v="OTIF PASS"/>
    <n v="1"/>
    <s v="1210_FG_PSS"/>
    <x v="9"/>
    <n v="1"/>
    <m/>
  </r>
  <r>
    <s v="0568012713-1"/>
    <s v="CST"/>
    <n v="0.38100000000000001"/>
    <n v="233.68"/>
    <n v="0"/>
    <n v="18.143999999999998"/>
    <n v="16.52"/>
    <s v="PSS"/>
    <d v="2001-08-04T00:00:00"/>
    <d v="2002-03-27T00:00:00"/>
    <d v="2002-04-17T00:00:00"/>
    <d v="2002-04-17T00:00:00"/>
    <d v="2002-04-10T00:00:00"/>
    <d v="2002-04-10T00:00:00"/>
    <s v="OTIF FAIL"/>
    <n v="1"/>
    <s v="1210_FG_PSS"/>
    <x v="7"/>
    <n v="0"/>
    <m/>
  </r>
  <r>
    <s v="0508000613-4"/>
    <s v="CST"/>
    <n v="0.2"/>
    <n v="425"/>
    <n v="0"/>
    <n v="29"/>
    <n v="29"/>
    <s v="PSS"/>
    <d v="2001-08-13T00:00:00"/>
    <d v="2002-03-23T00:00:00"/>
    <d v="2002-05-07T00:00:00"/>
    <d v="2002-05-07T00:00:00"/>
    <d v="2002-04-14T00:00:00"/>
    <d v="2002-04-14T00:00:00"/>
    <s v="OTIF FAIL"/>
    <n v="4"/>
    <s v="1210_FG_PSS"/>
    <x v="15"/>
    <n v="1"/>
    <m/>
  </r>
  <r>
    <s v="0558116548-2"/>
    <s v="HRC"/>
    <n v="12"/>
    <n v="12"/>
    <n v="12000"/>
    <n v="70"/>
    <n v="70"/>
    <s v="REBAR"/>
    <d v="2002-02-12T00:00:00"/>
    <d v="2002-02-25T00:00:00"/>
    <d v="2002-02-26T00:00:00"/>
    <d v="2002-02-26T00:00:00"/>
    <d v="2002-02-28T00:00:00"/>
    <d v="2002-05-01T00:00:00"/>
    <s v="OTIF FAIL"/>
    <n v="2"/>
    <s v="1110_FG_LNG"/>
    <x v="16"/>
    <n v="1"/>
    <m/>
  </r>
  <r>
    <s v="0558116548-1"/>
    <s v="CRC"/>
    <n v="12"/>
    <n v="12"/>
    <n v="12000"/>
    <n v="70"/>
    <n v="70"/>
    <s v="REBAR"/>
    <d v="2002-02-12T00:00:00"/>
    <d v="2002-02-25T00:00:00"/>
    <d v="2002-02-26T00:00:00"/>
    <d v="2002-02-26T00:00:00"/>
    <d v="2002-02-28T00:00:00"/>
    <d v="2002-05-01T00:00:00"/>
    <s v="OTIF FAIL"/>
    <n v="1"/>
    <s v="1110_FG_LNG"/>
    <x v="16"/>
    <n v="1"/>
    <m/>
  </r>
  <r>
    <s v="0558116566-1"/>
    <s v="CST"/>
    <n v="12"/>
    <n v="12"/>
    <n v="12000"/>
    <n v="70"/>
    <n v="70"/>
    <s v="REBAR"/>
    <d v="2002-02-17T00:00:00"/>
    <d v="2002-02-25T00:00:00"/>
    <d v="2002-02-26T00:00:00"/>
    <d v="2002-02-26T00:00:00"/>
    <d v="2002-02-28T00:00:00"/>
    <d v="2002-05-01T00:00:00"/>
    <s v="OTIF FAIL"/>
    <n v="1"/>
    <s v="1110_FG_LNG"/>
    <x v="16"/>
    <n v="1"/>
    <m/>
  </r>
  <r>
    <s v="0558116761-1"/>
    <s v="CST"/>
    <n v="12"/>
    <n v="12"/>
    <n v="12000"/>
    <n v="11.5"/>
    <n v="11.5"/>
    <s v="REBAR"/>
    <d v="2002-04-06T00:00:00"/>
    <d v="2002-05-16T00:00:00"/>
    <d v="2002-05-01T00:00:00"/>
    <d v="2002-05-16T00:00:00"/>
    <d v="2002-05-01T00:00:00"/>
    <d v="2002-05-01T00:00:00"/>
    <s v="OTIF PASS"/>
    <n v="1"/>
    <s v="1110_FG_LNG"/>
    <x v="16"/>
    <n v="1"/>
    <m/>
  </r>
  <r>
    <s v="0558116566-2"/>
    <s v="CRC"/>
    <n v="12"/>
    <n v="12"/>
    <n v="12000"/>
    <n v="70"/>
    <n v="70"/>
    <s v="REBAR"/>
    <d v="2002-02-17T00:00:00"/>
    <d v="2002-02-25T00:00:00"/>
    <d v="2002-02-26T00:00:00"/>
    <d v="2002-02-26T00:00:00"/>
    <d v="2002-02-28T00:00:00"/>
    <d v="2002-05-01T00:00:00"/>
    <s v="OTIF FAIL"/>
    <n v="2"/>
    <s v="1110_FG_LNG"/>
    <x v="16"/>
    <n v="1"/>
    <m/>
  </r>
  <r>
    <s v="0558116547-1"/>
    <s v="CST"/>
    <n v="12"/>
    <n v="12"/>
    <n v="12000"/>
    <n v="11.5"/>
    <n v="11.5"/>
    <s v="REBAR"/>
    <d v="2002-02-17T00:00:00"/>
    <d v="2002-02-25T00:00:00"/>
    <d v="2002-02-26T00:00:00"/>
    <d v="2002-02-26T00:00:00"/>
    <d v="2002-02-28T00:00:00"/>
    <d v="2002-05-01T00:00:00"/>
    <s v="OTIF FAIL"/>
    <n v="1"/>
    <s v="1110_FG_LNG"/>
    <x v="16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723E8-D904-49D2-8777-6E3A191F58C2}" name="PivotTable4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3" rowHeaderCaption="Delivery period_Week">
  <location ref="V7:W33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numFmtId="15" showAll="0"/>
    <pivotField numFmtId="15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x="14"/>
        <item x="17"/>
        <item x="13"/>
        <item x="8"/>
        <item x="10"/>
        <item x="20"/>
        <item x="24"/>
        <item x="5"/>
        <item x="1"/>
        <item x="3"/>
        <item x="0"/>
        <item x="9"/>
        <item x="6"/>
        <item x="7"/>
        <item x="15"/>
        <item x="2"/>
        <item x="16"/>
        <item x="19"/>
        <item x="4"/>
        <item x="11"/>
        <item x="22"/>
        <item x="23"/>
        <item x="12"/>
        <item x="18"/>
        <item x="21"/>
        <item t="default"/>
      </items>
    </pivotField>
    <pivotField dataField="1" showAll="0"/>
    <pivotField showAll="0"/>
  </pivotFields>
  <rowFields count="1">
    <field x="17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verage of OTIF score" fld="18" subtotal="average" baseField="1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AB522-4A5B-4778-944A-8676BC0416A5}">
  <sheetPr codeName="Sheet1"/>
  <dimension ref="A1:AM1087"/>
  <sheetViews>
    <sheetView showGridLines="0" topLeftCell="R1" workbookViewId="0">
      <selection activeCell="AE3" sqref="AE3:AM4"/>
    </sheetView>
  </sheetViews>
  <sheetFormatPr defaultRowHeight="15" x14ac:dyDescent="0.25"/>
  <cols>
    <col min="1" max="1" width="13" hidden="1" customWidth="1"/>
    <col min="2" max="2" width="18.140625" hidden="1" customWidth="1"/>
    <col min="3" max="3" width="18.140625" customWidth="1"/>
    <col min="4" max="4" width="22.7109375" bestFit="1" customWidth="1"/>
    <col min="5" max="5" width="22.7109375" customWidth="1"/>
    <col min="6" max="6" width="11.28515625" bestFit="1" customWidth="1"/>
    <col min="7" max="7" width="16.85546875" bestFit="1" customWidth="1"/>
    <col min="8" max="8" width="14.140625" bestFit="1" customWidth="1"/>
    <col min="9" max="9" width="12.85546875" bestFit="1" customWidth="1"/>
    <col min="10" max="10" width="17.5703125" bestFit="1" customWidth="1"/>
    <col min="11" max="11" width="18.140625" bestFit="1" customWidth="1"/>
    <col min="12" max="12" width="18.5703125" bestFit="1" customWidth="1"/>
    <col min="13" max="13" width="15.42578125" bestFit="1" customWidth="1"/>
    <col min="14" max="14" width="19.5703125" bestFit="1" customWidth="1"/>
    <col min="15" max="16" width="19.5703125" customWidth="1"/>
    <col min="19" max="19" width="12" bestFit="1" customWidth="1"/>
    <col min="22" max="22" width="9.140625" style="16"/>
    <col min="23" max="25" width="11.140625" style="14" bestFit="1" customWidth="1"/>
    <col min="26" max="28" width="11.28515625" style="14" bestFit="1" customWidth="1"/>
    <col min="31" max="31" width="13.42578125" bestFit="1" customWidth="1"/>
    <col min="32" max="32" width="8.85546875" bestFit="1" customWidth="1"/>
    <col min="33" max="33" width="9" bestFit="1" customWidth="1"/>
    <col min="34" max="34" width="12" bestFit="1" customWidth="1"/>
    <col min="35" max="35" width="3" bestFit="1" customWidth="1"/>
    <col min="36" max="37" width="12" bestFit="1" customWidth="1"/>
    <col min="38" max="38" width="3" bestFit="1" customWidth="1"/>
    <col min="39" max="40" width="12" bestFit="1" customWidth="1"/>
    <col min="41" max="41" width="3" bestFit="1" customWidth="1"/>
    <col min="42" max="43" width="12" bestFit="1" customWidth="1"/>
    <col min="44" max="44" width="3" bestFit="1" customWidth="1"/>
    <col min="45" max="45" width="11.28515625" bestFit="1" customWidth="1"/>
  </cols>
  <sheetData>
    <row r="1" spans="1:39" x14ac:dyDescent="0.25">
      <c r="A1" s="2" t="s">
        <v>2</v>
      </c>
      <c r="B1" s="2" t="s">
        <v>3</v>
      </c>
      <c r="C1" s="3" t="s">
        <v>4036</v>
      </c>
      <c r="D1" s="3" t="s">
        <v>4035</v>
      </c>
      <c r="E1" s="3" t="s">
        <v>4046</v>
      </c>
      <c r="F1" s="2" t="s">
        <v>4</v>
      </c>
      <c r="G1" s="2" t="s">
        <v>5</v>
      </c>
      <c r="H1" s="2" t="s">
        <v>7</v>
      </c>
      <c r="I1" s="2" t="s">
        <v>8</v>
      </c>
      <c r="J1" s="2" t="s">
        <v>6</v>
      </c>
      <c r="K1" s="4" t="s">
        <v>4046</v>
      </c>
      <c r="L1" s="4" t="s">
        <v>5</v>
      </c>
      <c r="M1" s="4" t="s">
        <v>7</v>
      </c>
      <c r="N1" s="4" t="s">
        <v>4045</v>
      </c>
      <c r="O1" s="4" t="s">
        <v>4054</v>
      </c>
      <c r="P1" s="4" t="s">
        <v>4055</v>
      </c>
      <c r="Q1" s="6" t="s">
        <v>4038</v>
      </c>
      <c r="R1" s="6" t="s">
        <v>4039</v>
      </c>
      <c r="S1" s="6" t="s">
        <v>4053</v>
      </c>
      <c r="T1" s="6" t="s">
        <v>4056</v>
      </c>
      <c r="U1" s="5" t="s">
        <v>4040</v>
      </c>
      <c r="V1" s="13"/>
      <c r="W1" s="19" t="s">
        <v>4047</v>
      </c>
      <c r="X1" s="19" t="s">
        <v>4048</v>
      </c>
      <c r="Y1" s="19" t="s">
        <v>4049</v>
      </c>
      <c r="Z1" s="20" t="s">
        <v>4050</v>
      </c>
      <c r="AA1" s="20" t="s">
        <v>4051</v>
      </c>
      <c r="AB1" s="20" t="s">
        <v>4052</v>
      </c>
      <c r="AC1" s="17"/>
      <c r="AD1" s="9"/>
    </row>
    <row r="2" spans="1:39" x14ac:dyDescent="0.25">
      <c r="A2" t="s">
        <v>9</v>
      </c>
      <c r="B2" t="s">
        <v>1</v>
      </c>
      <c r="C2" t="str">
        <f>RIGHT(A2,6)</f>
        <v>056422</v>
      </c>
      <c r="D2" t="str">
        <f>RIGHT(B2,3)</f>
        <v>TOR</v>
      </c>
      <c r="E2" t="s">
        <v>4042</v>
      </c>
      <c r="F2">
        <f ca="1">RANDBETWEEN(2,3)</f>
        <v>3</v>
      </c>
      <c r="G2">
        <f ca="1">RANDBETWEEN(1,2)</f>
        <v>2</v>
      </c>
      <c r="H2">
        <f ca="1">RANDBETWEEN(1,J2-2)</f>
        <v>3</v>
      </c>
      <c r="I2">
        <f ca="1">RANDBETWEEN(24,48)</f>
        <v>37</v>
      </c>
      <c r="J2">
        <f ca="1">RANDBETWEEN(5,15)</f>
        <v>5</v>
      </c>
      <c r="K2" t="s">
        <v>4042</v>
      </c>
      <c r="L2">
        <v>2</v>
      </c>
      <c r="M2">
        <v>6</v>
      </c>
      <c r="N2">
        <v>2</v>
      </c>
      <c r="O2">
        <f ca="1">RANDBETWEEN(1,5)</f>
        <v>2</v>
      </c>
      <c r="P2">
        <f ca="1">RANDBETWEEN(1,12)</f>
        <v>12</v>
      </c>
      <c r="Q2" s="7">
        <f>AVERAGE(L2:N2)</f>
        <v>3.3333333333333335</v>
      </c>
      <c r="R2" s="7">
        <f>MAX(L2:N2)-MIN(L2:N2)</f>
        <v>4</v>
      </c>
      <c r="S2" s="7">
        <f ca="1">_xlfn.T.TEST(Q2:Q101,O2:O101,2,1)</f>
        <v>1.4187361743023067E-2</v>
      </c>
      <c r="T2" s="7">
        <f ca="1">_xlfn.F.TEST(R2:R101,P2:P101)</f>
        <v>1.0203543298401105E-3</v>
      </c>
      <c r="U2" s="5"/>
      <c r="V2" s="15"/>
      <c r="W2" s="18">
        <f>IF($K2 = "Machine 1", $Q2, " ")</f>
        <v>3.3333333333333335</v>
      </c>
      <c r="X2" s="18" t="str">
        <f>IF($K2 = "Machine 2", $Q2, " ")</f>
        <v xml:space="preserve"> </v>
      </c>
      <c r="Y2" s="18" t="str">
        <f>IF($K2 = "Machine 3", $Q2, " ")</f>
        <v xml:space="preserve"> </v>
      </c>
      <c r="Z2" s="18">
        <f>IF($K2="Machine 1", $R2," ")</f>
        <v>4</v>
      </c>
      <c r="AA2" s="18" t="str">
        <f>IF($K2="Machine 2", $R2," ")</f>
        <v xml:space="preserve"> </v>
      </c>
      <c r="AB2" s="18" t="str">
        <f>IF($K2="Machine 3", $R2," ")</f>
        <v xml:space="preserve"> </v>
      </c>
    </row>
    <row r="3" spans="1:39" ht="15" customHeight="1" x14ac:dyDescent="0.25">
      <c r="A3" t="s">
        <v>10</v>
      </c>
      <c r="B3" t="s">
        <v>1</v>
      </c>
      <c r="C3" t="str">
        <f t="shared" ref="C3:C66" si="0">RIGHT(A3,6)</f>
        <v>056425</v>
      </c>
      <c r="D3" t="str">
        <f t="shared" ref="D3:D66" si="1">RIGHT(B3,3)</f>
        <v>TOR</v>
      </c>
      <c r="E3" t="s">
        <v>4043</v>
      </c>
      <c r="F3">
        <f t="shared" ref="F3:F66" ca="1" si="2">RANDBETWEEN(2,3)</f>
        <v>3</v>
      </c>
      <c r="G3">
        <f t="shared" ref="G3:G66" ca="1" si="3">RANDBETWEEN(0,1)</f>
        <v>1</v>
      </c>
      <c r="H3">
        <f ca="1">RANDBETWEEN(1,J3-2)</f>
        <v>10</v>
      </c>
      <c r="I3">
        <f t="shared" ref="I3:I66" ca="1" si="4">RANDBETWEEN(24,48)</f>
        <v>30</v>
      </c>
      <c r="J3">
        <f t="shared" ref="J3:J66" ca="1" si="5">RANDBETWEEN(5,15)</f>
        <v>12</v>
      </c>
      <c r="K3" t="s">
        <v>4043</v>
      </c>
      <c r="L3">
        <v>1</v>
      </c>
      <c r="M3">
        <v>5</v>
      </c>
      <c r="N3">
        <v>3</v>
      </c>
      <c r="O3">
        <f t="shared" ref="O3:O66" ca="1" si="6">RANDBETWEEN(1,5)</f>
        <v>5</v>
      </c>
      <c r="P3">
        <f t="shared" ref="P3:P66" ca="1" si="7">RANDBETWEEN(1,12)</f>
        <v>11</v>
      </c>
      <c r="Q3" s="7">
        <f t="shared" ref="Q3:Q66" si="8">AVERAGE(L3:N3)</f>
        <v>3</v>
      </c>
      <c r="R3" s="7">
        <f>MAX(L3:N3)-MIN(L3:N3)</f>
        <v>4</v>
      </c>
      <c r="S3" s="7">
        <f t="shared" ref="S3:S66" ca="1" si="9">_xlfn.T.TEST(Q3:Q102,O3:O102,2,1)</f>
        <v>1.1102119743036803E-2</v>
      </c>
      <c r="T3" s="7">
        <f t="shared" ref="T3:T66" ca="1" si="10">_xlfn.F.TEST(R3:R102,P3:P102)</f>
        <v>1.7048701688758378E-3</v>
      </c>
      <c r="U3" s="5"/>
      <c r="V3" s="15"/>
      <c r="W3" s="18" t="str">
        <f>IF($K3 = "Machine 1", $Q3, " ")</f>
        <v xml:space="preserve"> </v>
      </c>
      <c r="X3" s="18">
        <f>IF($K3 = "Machine 2", $Q3, " ")</f>
        <v>3</v>
      </c>
      <c r="Y3" s="18" t="str">
        <f>IF($K3 = "Machine 3", $Q3, " ")</f>
        <v xml:space="preserve"> </v>
      </c>
      <c r="Z3" s="18" t="str">
        <f>IF($K3="Machine 1", $R3," ")</f>
        <v xml:space="preserve"> </v>
      </c>
      <c r="AA3" s="18">
        <f>IF($K3="Machine 2", $R3," ")</f>
        <v>4</v>
      </c>
      <c r="AB3" s="18" t="str">
        <f>IF($K3="Machine 3", $R3," ")</f>
        <v xml:space="preserve"> </v>
      </c>
      <c r="AE3" s="8" t="s">
        <v>4041</v>
      </c>
      <c r="AF3" s="8"/>
      <c r="AG3" s="8"/>
      <c r="AH3" s="8"/>
      <c r="AI3" s="8"/>
      <c r="AJ3" s="8"/>
      <c r="AK3" s="8"/>
      <c r="AL3" s="8"/>
      <c r="AM3" s="8"/>
    </row>
    <row r="4" spans="1:39" x14ac:dyDescent="0.25">
      <c r="A4" t="s">
        <v>11</v>
      </c>
      <c r="B4" t="s">
        <v>1</v>
      </c>
      <c r="C4" t="str">
        <f t="shared" si="0"/>
        <v>056428</v>
      </c>
      <c r="D4" t="str">
        <f t="shared" si="1"/>
        <v>TOR</v>
      </c>
      <c r="E4" t="s">
        <v>4044</v>
      </c>
      <c r="F4">
        <f t="shared" ca="1" si="2"/>
        <v>3</v>
      </c>
      <c r="G4">
        <f t="shared" ca="1" si="3"/>
        <v>1</v>
      </c>
      <c r="H4">
        <f ca="1">RANDBETWEEN(1,J4-2)</f>
        <v>5</v>
      </c>
      <c r="I4">
        <f t="shared" ca="1" si="4"/>
        <v>31</v>
      </c>
      <c r="J4">
        <f t="shared" ca="1" si="5"/>
        <v>9</v>
      </c>
      <c r="K4" t="s">
        <v>4044</v>
      </c>
      <c r="L4">
        <v>0</v>
      </c>
      <c r="M4">
        <v>3</v>
      </c>
      <c r="N4">
        <v>2</v>
      </c>
      <c r="O4">
        <f t="shared" ca="1" si="6"/>
        <v>2</v>
      </c>
      <c r="P4">
        <f t="shared" ca="1" si="7"/>
        <v>1</v>
      </c>
      <c r="Q4" s="7">
        <f t="shared" si="8"/>
        <v>1.6666666666666667</v>
      </c>
      <c r="R4" s="7">
        <f>MAX(L4:N4)-MIN(L4:N4)</f>
        <v>3</v>
      </c>
      <c r="S4" s="7">
        <f t="shared" ca="1" si="9"/>
        <v>1.4805676510471637E-2</v>
      </c>
      <c r="T4" s="7">
        <f t="shared" ca="1" si="10"/>
        <v>2.4593130227674176E-3</v>
      </c>
      <c r="U4" s="5"/>
      <c r="V4" s="15"/>
      <c r="W4" s="18" t="str">
        <f>IF($K4 = "Machine 1", $Q4, " ")</f>
        <v xml:space="preserve"> </v>
      </c>
      <c r="X4" s="18" t="str">
        <f>IF($K4 = "Machine 2", $Q4, " ")</f>
        <v xml:space="preserve"> </v>
      </c>
      <c r="Y4" s="18">
        <f>IF($K4 = "Machine 3", $Q4, " ")</f>
        <v>1.6666666666666667</v>
      </c>
      <c r="Z4" s="18" t="str">
        <f>IF($K4="Machine 1", $R4," ")</f>
        <v xml:space="preserve"> </v>
      </c>
      <c r="AA4" s="18" t="str">
        <f>IF($K4="Machine 2", $R4," ")</f>
        <v xml:space="preserve"> </v>
      </c>
      <c r="AB4" s="18">
        <f>IF($K4="Machine 3", $R4," ")</f>
        <v>3</v>
      </c>
      <c r="AE4" s="8"/>
      <c r="AF4" s="8"/>
      <c r="AG4" s="8"/>
      <c r="AH4" s="8"/>
      <c r="AI4" s="8"/>
      <c r="AJ4" s="8"/>
      <c r="AK4" s="8"/>
      <c r="AL4" s="8"/>
      <c r="AM4" s="8"/>
    </row>
    <row r="5" spans="1:39" x14ac:dyDescent="0.25">
      <c r="A5" t="s">
        <v>12</v>
      </c>
      <c r="B5" t="s">
        <v>1</v>
      </c>
      <c r="C5" t="str">
        <f t="shared" si="0"/>
        <v>056430</v>
      </c>
      <c r="D5" t="str">
        <f t="shared" si="1"/>
        <v>TOR</v>
      </c>
      <c r="E5" t="str" cm="1">
        <f t="array" ref="E5">INDEX($E$2:$E$4, MOD(ROW()-1,3)+1)</f>
        <v>Machine 2</v>
      </c>
      <c r="F5">
        <f t="shared" ca="1" si="2"/>
        <v>3</v>
      </c>
      <c r="G5">
        <f t="shared" ca="1" si="3"/>
        <v>1</v>
      </c>
      <c r="H5">
        <f ca="1">RANDBETWEEN(1,J5-2)</f>
        <v>4</v>
      </c>
      <c r="I5">
        <f t="shared" ca="1" si="4"/>
        <v>34</v>
      </c>
      <c r="J5">
        <f t="shared" ca="1" si="5"/>
        <v>12</v>
      </c>
      <c r="K5" t="str" cm="1">
        <f t="array" ref="K5">INDEX($E$2:$E$4, MOD(ROW()-1,3)+1)</f>
        <v>Machine 2</v>
      </c>
      <c r="L5">
        <v>0</v>
      </c>
      <c r="M5">
        <v>3</v>
      </c>
      <c r="N5">
        <v>2</v>
      </c>
      <c r="O5">
        <f t="shared" ca="1" si="6"/>
        <v>1</v>
      </c>
      <c r="P5">
        <f t="shared" ca="1" si="7"/>
        <v>11</v>
      </c>
      <c r="Q5" s="7">
        <f t="shared" si="8"/>
        <v>1.6666666666666667</v>
      </c>
      <c r="R5" s="7">
        <f>MAX(L5:N5)-MIN(L5:N5)</f>
        <v>3</v>
      </c>
      <c r="S5" s="7">
        <f t="shared" ca="1" si="9"/>
        <v>1.5614363322395871E-2</v>
      </c>
      <c r="T5" s="7">
        <f t="shared" ca="1" si="10"/>
        <v>3.5019071508754674E-3</v>
      </c>
      <c r="U5" s="5"/>
      <c r="V5" s="15"/>
      <c r="W5" s="18" t="str">
        <f>IF($K5 = "Machine 1", $Q5, " ")</f>
        <v xml:space="preserve"> </v>
      </c>
      <c r="X5" s="18">
        <f>IF($K5 = "Machine 2", $Q5, " ")</f>
        <v>1.6666666666666667</v>
      </c>
      <c r="Y5" s="18" t="str">
        <f>IF($K5 = "Machine 3", $Q5, " ")</f>
        <v xml:space="preserve"> </v>
      </c>
      <c r="Z5" s="18" t="str">
        <f>IF($K5="Machine 1", $R5," ")</f>
        <v xml:space="preserve"> </v>
      </c>
      <c r="AA5" s="18">
        <f>IF($K5="Machine 2", $R5," ")</f>
        <v>3</v>
      </c>
      <c r="AB5" s="18" t="str">
        <f>IF($K5="Machine 3", $R5," ")</f>
        <v xml:space="preserve"> </v>
      </c>
    </row>
    <row r="6" spans="1:39" x14ac:dyDescent="0.25">
      <c r="A6" t="s">
        <v>13</v>
      </c>
      <c r="B6" t="s">
        <v>1</v>
      </c>
      <c r="C6" t="str">
        <f t="shared" si="0"/>
        <v>056465</v>
      </c>
      <c r="D6" t="str">
        <f t="shared" si="1"/>
        <v>TOR</v>
      </c>
      <c r="E6" t="str" cm="1">
        <f t="array" ref="E6">INDEX($E$2:$E$4, MOD(ROW()-1,3)+1)</f>
        <v>Machine 3</v>
      </c>
      <c r="F6">
        <f t="shared" ca="1" si="2"/>
        <v>2</v>
      </c>
      <c r="G6">
        <f t="shared" ca="1" si="3"/>
        <v>0</v>
      </c>
      <c r="H6">
        <f ca="1">RANDBETWEEN(1,J6-2)</f>
        <v>6</v>
      </c>
      <c r="I6">
        <f t="shared" ca="1" si="4"/>
        <v>31</v>
      </c>
      <c r="J6">
        <f t="shared" ca="1" si="5"/>
        <v>10</v>
      </c>
      <c r="K6" t="str" cm="1">
        <f t="array" ref="K6">INDEX($E$2:$E$4, MOD(ROW()-1,3)+1)</f>
        <v>Machine 3</v>
      </c>
      <c r="L6">
        <v>1</v>
      </c>
      <c r="M6">
        <v>6</v>
      </c>
      <c r="N6">
        <v>2</v>
      </c>
      <c r="O6">
        <f t="shared" ca="1" si="6"/>
        <v>3</v>
      </c>
      <c r="P6">
        <f t="shared" ca="1" si="7"/>
        <v>12</v>
      </c>
      <c r="Q6" s="7">
        <f t="shared" si="8"/>
        <v>3</v>
      </c>
      <c r="R6" s="7">
        <f>MAX(L6:N6)-MIN(L6:N6)</f>
        <v>5</v>
      </c>
      <c r="S6" s="7">
        <f t="shared" ca="1" si="9"/>
        <v>1.3900717924657024E-2</v>
      </c>
      <c r="T6" s="7">
        <f t="shared" ca="1" si="10"/>
        <v>4.7495985971325412E-3</v>
      </c>
      <c r="U6" s="5"/>
      <c r="V6" s="15"/>
      <c r="W6" s="18" t="str">
        <f>IF($K6 = "Machine 1", $Q6, " ")</f>
        <v xml:space="preserve"> </v>
      </c>
      <c r="X6" s="18" t="str">
        <f>IF($K6 = "Machine 2", $Q6, " ")</f>
        <v xml:space="preserve"> </v>
      </c>
      <c r="Y6" s="18">
        <f>IF($K6 = "Machine 3", $Q6, " ")</f>
        <v>3</v>
      </c>
      <c r="Z6" s="18" t="str">
        <f>IF($K6="Machine 1", $R6," ")</f>
        <v xml:space="preserve"> </v>
      </c>
      <c r="AA6" s="18" t="str">
        <f>IF($K6="Machine 2", $R6," ")</f>
        <v xml:space="preserve"> </v>
      </c>
      <c r="AB6" s="18">
        <f>IF($K6="Machine 3", $R6," ")</f>
        <v>5</v>
      </c>
    </row>
    <row r="7" spans="1:39" x14ac:dyDescent="0.25">
      <c r="A7" t="s">
        <v>14</v>
      </c>
      <c r="B7" t="s">
        <v>1</v>
      </c>
      <c r="C7" t="str">
        <f t="shared" si="0"/>
        <v>056467</v>
      </c>
      <c r="D7" t="str">
        <f t="shared" si="1"/>
        <v>TOR</v>
      </c>
      <c r="E7" t="str" cm="1">
        <f t="array" ref="E7">INDEX($E$2:$E$4, MOD(ROW()-1,3)+1)</f>
        <v>Machine 1</v>
      </c>
      <c r="F7">
        <f t="shared" ca="1" si="2"/>
        <v>3</v>
      </c>
      <c r="G7">
        <f t="shared" ca="1" si="3"/>
        <v>1</v>
      </c>
      <c r="H7">
        <f ca="1">RANDBETWEEN(1,J7-2)</f>
        <v>3</v>
      </c>
      <c r="I7">
        <f t="shared" ca="1" si="4"/>
        <v>48</v>
      </c>
      <c r="J7">
        <f t="shared" ca="1" si="5"/>
        <v>12</v>
      </c>
      <c r="K7" t="str" cm="1">
        <f t="array" ref="K7">INDEX($E$2:$E$4, MOD(ROW()-1,3)+1)</f>
        <v>Machine 1</v>
      </c>
      <c r="L7">
        <v>0</v>
      </c>
      <c r="M7">
        <v>11</v>
      </c>
      <c r="N7">
        <v>2</v>
      </c>
      <c r="O7">
        <f t="shared" ca="1" si="6"/>
        <v>4</v>
      </c>
      <c r="P7">
        <f t="shared" ca="1" si="7"/>
        <v>3</v>
      </c>
      <c r="Q7" s="7">
        <f t="shared" si="8"/>
        <v>4.333333333333333</v>
      </c>
      <c r="R7" s="7">
        <f>MAX(L7:N7)-MIN(L7:N7)</f>
        <v>11</v>
      </c>
      <c r="S7" s="7">
        <f t="shared" ca="1" si="9"/>
        <v>1.3892231358380563E-2</v>
      </c>
      <c r="T7" s="7">
        <f t="shared" ca="1" si="10"/>
        <v>7.767100983041687E-3</v>
      </c>
      <c r="U7" s="5"/>
      <c r="V7" s="15"/>
      <c r="W7" s="18">
        <f>IF($K7 = "Machine 1", $Q7, " ")</f>
        <v>4.333333333333333</v>
      </c>
      <c r="X7" s="18" t="str">
        <f>IF($K7 = "Machine 2", $Q7, " ")</f>
        <v xml:space="preserve"> </v>
      </c>
      <c r="Y7" s="18" t="str">
        <f>IF($K7 = "Machine 3", $Q7, " ")</f>
        <v xml:space="preserve"> </v>
      </c>
      <c r="Z7" s="18">
        <f>IF($K7="Machine 1", $R7," ")</f>
        <v>11</v>
      </c>
      <c r="AA7" s="18" t="str">
        <f>IF($K7="Machine 2", $R7," ")</f>
        <v xml:space="preserve"> </v>
      </c>
      <c r="AB7" s="18" t="str">
        <f>IF($K7="Machine 3", $R7," ")</f>
        <v xml:space="preserve"> </v>
      </c>
    </row>
    <row r="8" spans="1:39" x14ac:dyDescent="0.25">
      <c r="A8" t="s">
        <v>15</v>
      </c>
      <c r="B8" t="s">
        <v>1</v>
      </c>
      <c r="C8" t="str">
        <f t="shared" si="0"/>
        <v>056865</v>
      </c>
      <c r="D8" t="str">
        <f t="shared" si="1"/>
        <v>TOR</v>
      </c>
      <c r="E8" t="str" cm="1">
        <f t="array" ref="E8">INDEX($E$2:$E$4, MOD(ROW()-1,3)+1)</f>
        <v>Machine 2</v>
      </c>
      <c r="F8">
        <f t="shared" ca="1" si="2"/>
        <v>2</v>
      </c>
      <c r="G8">
        <f t="shared" ca="1" si="3"/>
        <v>1</v>
      </c>
      <c r="H8">
        <f ca="1">RANDBETWEEN(1,J8-2)</f>
        <v>1</v>
      </c>
      <c r="I8">
        <f t="shared" ca="1" si="4"/>
        <v>29</v>
      </c>
      <c r="J8">
        <f t="shared" ca="1" si="5"/>
        <v>5</v>
      </c>
      <c r="K8" t="str" cm="1">
        <f t="array" ref="K8">INDEX($E$2:$E$4, MOD(ROW()-1,3)+1)</f>
        <v>Machine 2</v>
      </c>
      <c r="L8">
        <v>1</v>
      </c>
      <c r="M8">
        <v>8</v>
      </c>
      <c r="N8">
        <v>3</v>
      </c>
      <c r="O8">
        <f t="shared" ca="1" si="6"/>
        <v>1</v>
      </c>
      <c r="P8">
        <f t="shared" ca="1" si="7"/>
        <v>11</v>
      </c>
      <c r="Q8" s="7">
        <f t="shared" si="8"/>
        <v>4</v>
      </c>
      <c r="R8" s="7">
        <f>MAX(L8:N8)-MIN(L8:N8)</f>
        <v>7</v>
      </c>
      <c r="S8" s="7">
        <f t="shared" ca="1" si="9"/>
        <v>1.311010614290457E-2</v>
      </c>
      <c r="T8" s="7">
        <f t="shared" ca="1" si="10"/>
        <v>3.2956587958012816E-3</v>
      </c>
      <c r="U8" s="5"/>
      <c r="V8" s="15"/>
      <c r="W8" s="18" t="str">
        <f>IF($K8 = "Machine 1", $Q8, " ")</f>
        <v xml:space="preserve"> </v>
      </c>
      <c r="X8" s="18">
        <f>IF($K8 = "Machine 2", $Q8, " ")</f>
        <v>4</v>
      </c>
      <c r="Y8" s="18" t="str">
        <f>IF($K8 = "Machine 3", $Q8, " ")</f>
        <v xml:space="preserve"> </v>
      </c>
      <c r="Z8" s="18" t="str">
        <f>IF($K8="Machine 1", $R8," ")</f>
        <v xml:space="preserve"> </v>
      </c>
      <c r="AA8" s="18">
        <f>IF($K8="Machine 2", $R8," ")</f>
        <v>7</v>
      </c>
      <c r="AB8" s="18" t="str">
        <f>IF($K8="Machine 3", $R8," ")</f>
        <v xml:space="preserve"> </v>
      </c>
    </row>
    <row r="9" spans="1:39" x14ac:dyDescent="0.25">
      <c r="A9" t="s">
        <v>16</v>
      </c>
      <c r="B9" t="s">
        <v>1</v>
      </c>
      <c r="C9" t="str">
        <f t="shared" si="0"/>
        <v>057079</v>
      </c>
      <c r="D9" t="str">
        <f t="shared" si="1"/>
        <v>TOR</v>
      </c>
      <c r="E9" t="str" cm="1">
        <f t="array" ref="E9">INDEX($E$2:$E$4, MOD(ROW()-1,3)+1)</f>
        <v>Machine 3</v>
      </c>
      <c r="F9">
        <f t="shared" ca="1" si="2"/>
        <v>2</v>
      </c>
      <c r="G9">
        <f t="shared" ca="1" si="3"/>
        <v>1</v>
      </c>
      <c r="H9">
        <f ca="1">RANDBETWEEN(1,J9-2)</f>
        <v>6</v>
      </c>
      <c r="I9">
        <f t="shared" ca="1" si="4"/>
        <v>36</v>
      </c>
      <c r="J9">
        <f t="shared" ca="1" si="5"/>
        <v>9</v>
      </c>
      <c r="K9" t="str" cm="1">
        <f t="array" ref="K9">INDEX($E$2:$E$4, MOD(ROW()-1,3)+1)</f>
        <v>Machine 3</v>
      </c>
      <c r="L9">
        <v>1</v>
      </c>
      <c r="M9">
        <v>5</v>
      </c>
      <c r="N9">
        <v>3</v>
      </c>
      <c r="O9">
        <f t="shared" ca="1" si="6"/>
        <v>3</v>
      </c>
      <c r="P9">
        <f t="shared" ca="1" si="7"/>
        <v>3</v>
      </c>
      <c r="Q9" s="7">
        <f t="shared" si="8"/>
        <v>3</v>
      </c>
      <c r="R9" s="7">
        <f>MAX(L9:N9)-MIN(L9:N9)</f>
        <v>4</v>
      </c>
      <c r="S9" s="7">
        <f t="shared" ca="1" si="9"/>
        <v>6.8401049679544168E-3</v>
      </c>
      <c r="T9" s="7">
        <f t="shared" ca="1" si="10"/>
        <v>4.092260249134211E-3</v>
      </c>
      <c r="U9" s="5"/>
      <c r="V9" s="15"/>
      <c r="W9" s="18" t="str">
        <f>IF($K9 = "Machine 1", $Q9, " ")</f>
        <v xml:space="preserve"> </v>
      </c>
      <c r="X9" s="18" t="str">
        <f>IF($K9 = "Machine 2", $Q9, " ")</f>
        <v xml:space="preserve"> </v>
      </c>
      <c r="Y9" s="18">
        <f>IF($K9 = "Machine 3", $Q9, " ")</f>
        <v>3</v>
      </c>
      <c r="Z9" s="18" t="str">
        <f>IF($K9="Machine 1", $R9," ")</f>
        <v xml:space="preserve"> </v>
      </c>
      <c r="AA9" s="18" t="str">
        <f>IF($K9="Machine 2", $R9," ")</f>
        <v xml:space="preserve"> </v>
      </c>
      <c r="AB9" s="18">
        <f>IF($K9="Machine 3", $R9," ")</f>
        <v>4</v>
      </c>
    </row>
    <row r="10" spans="1:39" x14ac:dyDescent="0.25">
      <c r="A10" t="s">
        <v>17</v>
      </c>
      <c r="B10" t="s">
        <v>1</v>
      </c>
      <c r="C10" t="str">
        <f t="shared" si="0"/>
        <v>057082</v>
      </c>
      <c r="D10" t="str">
        <f t="shared" si="1"/>
        <v>TOR</v>
      </c>
      <c r="E10" t="str" cm="1">
        <f t="array" ref="E10">INDEX($E$2:$E$4, MOD(ROW()-1,3)+1)</f>
        <v>Machine 1</v>
      </c>
      <c r="F10">
        <f t="shared" ca="1" si="2"/>
        <v>3</v>
      </c>
      <c r="G10">
        <f t="shared" ca="1" si="3"/>
        <v>1</v>
      </c>
      <c r="H10">
        <f ca="1">RANDBETWEEN(1,J10-2)</f>
        <v>4</v>
      </c>
      <c r="I10">
        <f t="shared" ca="1" si="4"/>
        <v>41</v>
      </c>
      <c r="J10">
        <f t="shared" ca="1" si="5"/>
        <v>9</v>
      </c>
      <c r="K10" t="str" cm="1">
        <f t="array" ref="K10">INDEX($E$2:$E$4, MOD(ROW()-1,3)+1)</f>
        <v>Machine 1</v>
      </c>
      <c r="L10">
        <v>1</v>
      </c>
      <c r="M10">
        <v>4</v>
      </c>
      <c r="N10">
        <v>3</v>
      </c>
      <c r="O10">
        <f t="shared" ca="1" si="6"/>
        <v>4</v>
      </c>
      <c r="P10">
        <f t="shared" ca="1" si="7"/>
        <v>2</v>
      </c>
      <c r="Q10" s="7">
        <f t="shared" si="8"/>
        <v>2.6666666666666665</v>
      </c>
      <c r="R10" s="7">
        <f>MAX(L10:N10)-MIN(L10:N10)</f>
        <v>3</v>
      </c>
      <c r="S10" s="7">
        <f t="shared" ca="1" si="9"/>
        <v>6.832609067848161E-3</v>
      </c>
      <c r="T10" s="7">
        <f t="shared" ca="1" si="10"/>
        <v>4.879225279157409E-3</v>
      </c>
      <c r="U10" s="5"/>
      <c r="V10" s="15"/>
      <c r="W10" s="18">
        <f>IF($K10 = "Machine 1", $Q10, " ")</f>
        <v>2.6666666666666665</v>
      </c>
      <c r="X10" s="18" t="str">
        <f>IF($K10 = "Machine 2", $Q10, " ")</f>
        <v xml:space="preserve"> </v>
      </c>
      <c r="Y10" s="18" t="str">
        <f>IF($K10 = "Machine 3", $Q10, " ")</f>
        <v xml:space="preserve"> </v>
      </c>
      <c r="Z10" s="18">
        <f>IF($K10="Machine 1", $R10," ")</f>
        <v>3</v>
      </c>
      <c r="AA10" s="18" t="str">
        <f>IF($K10="Machine 2", $R10," ")</f>
        <v xml:space="preserve"> </v>
      </c>
      <c r="AB10" s="18" t="str">
        <f>IF($K10="Machine 3", $R10," ")</f>
        <v xml:space="preserve"> </v>
      </c>
    </row>
    <row r="11" spans="1:39" x14ac:dyDescent="0.25">
      <c r="A11" t="s">
        <v>18</v>
      </c>
      <c r="B11" t="s">
        <v>1</v>
      </c>
      <c r="C11" t="str">
        <f t="shared" si="0"/>
        <v>057085</v>
      </c>
      <c r="D11" t="str">
        <f t="shared" si="1"/>
        <v>TOR</v>
      </c>
      <c r="E11" t="str" cm="1">
        <f t="array" ref="E11">INDEX($E$2:$E$4, MOD(ROW()-1,3)+1)</f>
        <v>Machine 2</v>
      </c>
      <c r="F11">
        <f t="shared" ca="1" si="2"/>
        <v>2</v>
      </c>
      <c r="G11">
        <f t="shared" ca="1" si="3"/>
        <v>1</v>
      </c>
      <c r="H11">
        <f ca="1">RANDBETWEEN(1,J11-2)</f>
        <v>4</v>
      </c>
      <c r="I11">
        <f t="shared" ca="1" si="4"/>
        <v>29</v>
      </c>
      <c r="J11">
        <f t="shared" ca="1" si="5"/>
        <v>10</v>
      </c>
      <c r="K11" t="str" cm="1">
        <f t="array" ref="K11">INDEX($E$2:$E$4, MOD(ROW()-1,3)+1)</f>
        <v>Machine 2</v>
      </c>
      <c r="L11">
        <v>0</v>
      </c>
      <c r="M11">
        <v>3</v>
      </c>
      <c r="N11">
        <v>3</v>
      </c>
      <c r="O11">
        <f t="shared" ca="1" si="6"/>
        <v>2</v>
      </c>
      <c r="P11">
        <f t="shared" ca="1" si="7"/>
        <v>1</v>
      </c>
      <c r="Q11" s="7">
        <f t="shared" si="8"/>
        <v>2</v>
      </c>
      <c r="R11" s="7">
        <f>MAX(L11:N11)-MIN(L11:N11)</f>
        <v>3</v>
      </c>
      <c r="S11" s="7">
        <f t="shared" ca="1" si="9"/>
        <v>8.5020172824124794E-3</v>
      </c>
      <c r="T11" s="7">
        <f t="shared" ca="1" si="10"/>
        <v>6.1416190828381305E-3</v>
      </c>
      <c r="U11" s="5"/>
      <c r="V11" s="15"/>
      <c r="W11" s="18" t="str">
        <f>IF($K11 = "Machine 1", $Q11, " ")</f>
        <v xml:space="preserve"> </v>
      </c>
      <c r="X11" s="18">
        <f>IF($K11 = "Machine 2", $Q11, " ")</f>
        <v>2</v>
      </c>
      <c r="Y11" s="18" t="str">
        <f>IF($K11 = "Machine 3", $Q11, " ")</f>
        <v xml:space="preserve"> </v>
      </c>
      <c r="Z11" s="18" t="str">
        <f>IF($K11="Machine 1", $R11," ")</f>
        <v xml:space="preserve"> </v>
      </c>
      <c r="AA11" s="18">
        <f>IF($K11="Machine 2", $R11," ")</f>
        <v>3</v>
      </c>
      <c r="AB11" s="18" t="str">
        <f>IF($K11="Machine 3", $R11," ")</f>
        <v xml:space="preserve"> </v>
      </c>
    </row>
    <row r="12" spans="1:39" x14ac:dyDescent="0.25">
      <c r="A12" t="s">
        <v>19</v>
      </c>
      <c r="B12" t="s">
        <v>1</v>
      </c>
      <c r="C12" t="str">
        <f t="shared" si="0"/>
        <v>057088</v>
      </c>
      <c r="D12" t="str">
        <f t="shared" si="1"/>
        <v>TOR</v>
      </c>
      <c r="E12" t="str" cm="1">
        <f t="array" ref="E12">INDEX($E$2:$E$4, MOD(ROW()-1,3)+1)</f>
        <v>Machine 3</v>
      </c>
      <c r="F12">
        <f t="shared" ca="1" si="2"/>
        <v>2</v>
      </c>
      <c r="G12">
        <f t="shared" ca="1" si="3"/>
        <v>0</v>
      </c>
      <c r="H12">
        <f ca="1">RANDBETWEEN(1,J12-2)</f>
        <v>7</v>
      </c>
      <c r="I12">
        <f t="shared" ca="1" si="4"/>
        <v>47</v>
      </c>
      <c r="J12">
        <f t="shared" ca="1" si="5"/>
        <v>14</v>
      </c>
      <c r="K12" t="str" cm="1">
        <f t="array" ref="K12">INDEX($E$2:$E$4, MOD(ROW()-1,3)+1)</f>
        <v>Machine 3</v>
      </c>
      <c r="L12">
        <v>0</v>
      </c>
      <c r="M12">
        <v>2</v>
      </c>
      <c r="N12">
        <v>2</v>
      </c>
      <c r="O12">
        <f t="shared" ca="1" si="6"/>
        <v>2</v>
      </c>
      <c r="P12">
        <f t="shared" ca="1" si="7"/>
        <v>11</v>
      </c>
      <c r="Q12" s="7">
        <f t="shared" si="8"/>
        <v>1.3333333333333333</v>
      </c>
      <c r="R12" s="7">
        <f>MAX(L12:N12)-MIN(L12:N12)</f>
        <v>2</v>
      </c>
      <c r="S12" s="7">
        <f t="shared" ca="1" si="9"/>
        <v>8.4935858110407238E-3</v>
      </c>
      <c r="T12" s="7">
        <f t="shared" ca="1" si="10"/>
        <v>8.7780110799295773E-3</v>
      </c>
      <c r="U12" s="5"/>
      <c r="V12" s="15"/>
      <c r="W12" s="18" t="str">
        <f>IF($K12 = "Machine 1", $Q12, " ")</f>
        <v xml:space="preserve"> </v>
      </c>
      <c r="X12" s="18" t="str">
        <f>IF($K12 = "Machine 2", $Q12, " ")</f>
        <v xml:space="preserve"> </v>
      </c>
      <c r="Y12" s="18">
        <f>IF($K12 = "Machine 3", $Q12, " ")</f>
        <v>1.3333333333333333</v>
      </c>
      <c r="Z12" s="18" t="str">
        <f>IF($K12="Machine 1", $R12," ")</f>
        <v xml:space="preserve"> </v>
      </c>
      <c r="AA12" s="18" t="str">
        <f>IF($K12="Machine 2", $R12," ")</f>
        <v xml:space="preserve"> </v>
      </c>
      <c r="AB12" s="18">
        <f>IF($K12="Machine 3", $R12," ")</f>
        <v>2</v>
      </c>
    </row>
    <row r="13" spans="1:39" x14ac:dyDescent="0.25">
      <c r="A13" t="s">
        <v>20</v>
      </c>
      <c r="B13" t="s">
        <v>1</v>
      </c>
      <c r="C13" t="str">
        <f t="shared" si="0"/>
        <v>057091</v>
      </c>
      <c r="D13" t="str">
        <f t="shared" si="1"/>
        <v>TOR</v>
      </c>
      <c r="E13" t="str" cm="1">
        <f t="array" ref="E13">INDEX($E$2:$E$4, MOD(ROW()-1,3)+1)</f>
        <v>Machine 1</v>
      </c>
      <c r="F13">
        <f t="shared" ca="1" si="2"/>
        <v>2</v>
      </c>
      <c r="G13">
        <f t="shared" ca="1" si="3"/>
        <v>0</v>
      </c>
      <c r="H13">
        <f ca="1">RANDBETWEEN(1,J13-2)</f>
        <v>2</v>
      </c>
      <c r="I13">
        <f t="shared" ca="1" si="4"/>
        <v>44</v>
      </c>
      <c r="J13">
        <f t="shared" ca="1" si="5"/>
        <v>14</v>
      </c>
      <c r="K13" t="str" cm="1">
        <f t="array" ref="K13">INDEX($E$2:$E$4, MOD(ROW()-1,3)+1)</f>
        <v>Machine 1</v>
      </c>
      <c r="L13">
        <v>1</v>
      </c>
      <c r="M13">
        <v>3</v>
      </c>
      <c r="N13">
        <v>3</v>
      </c>
      <c r="O13">
        <f t="shared" ca="1" si="6"/>
        <v>5</v>
      </c>
      <c r="P13">
        <f t="shared" ca="1" si="7"/>
        <v>7</v>
      </c>
      <c r="Q13" s="7">
        <f t="shared" si="8"/>
        <v>2.3333333333333335</v>
      </c>
      <c r="R13" s="7">
        <f>MAX(L13:N13)-MIN(L13:N13)</f>
        <v>2</v>
      </c>
      <c r="S13" s="7">
        <f t="shared" ca="1" si="9"/>
        <v>9.5129207991094724E-3</v>
      </c>
      <c r="T13" s="7">
        <f t="shared" ca="1" si="10"/>
        <v>1.0903552485373457E-2</v>
      </c>
      <c r="U13" s="5"/>
      <c r="V13" s="15"/>
      <c r="W13" s="18">
        <f>IF($K13 = "Machine 1", $Q13, " ")</f>
        <v>2.3333333333333335</v>
      </c>
      <c r="X13" s="18" t="str">
        <f>IF($K13 = "Machine 2", $Q13, " ")</f>
        <v xml:space="preserve"> </v>
      </c>
      <c r="Y13" s="18" t="str">
        <f>IF($K13 = "Machine 3", $Q13, " ")</f>
        <v xml:space="preserve"> </v>
      </c>
      <c r="Z13" s="18">
        <f>IF($K13="Machine 1", $R13," ")</f>
        <v>2</v>
      </c>
      <c r="AA13" s="18" t="str">
        <f>IF($K13="Machine 2", $R13," ")</f>
        <v xml:space="preserve"> </v>
      </c>
      <c r="AB13" s="18" t="str">
        <f>IF($K13="Machine 3", $R13," ")</f>
        <v xml:space="preserve"> </v>
      </c>
    </row>
    <row r="14" spans="1:39" x14ac:dyDescent="0.25">
      <c r="A14" t="s">
        <v>21</v>
      </c>
      <c r="B14" t="s">
        <v>1</v>
      </c>
      <c r="C14" t="str">
        <f t="shared" si="0"/>
        <v>057095</v>
      </c>
      <c r="D14" t="str">
        <f t="shared" si="1"/>
        <v>TOR</v>
      </c>
      <c r="E14" t="str" cm="1">
        <f t="array" ref="E14">INDEX($E$2:$E$4, MOD(ROW()-1,3)+1)</f>
        <v>Machine 2</v>
      </c>
      <c r="F14">
        <f t="shared" ca="1" si="2"/>
        <v>3</v>
      </c>
      <c r="G14">
        <f t="shared" ca="1" si="3"/>
        <v>1</v>
      </c>
      <c r="H14">
        <f ca="1">RANDBETWEEN(1,J14-2)</f>
        <v>1</v>
      </c>
      <c r="I14">
        <f t="shared" ca="1" si="4"/>
        <v>45</v>
      </c>
      <c r="J14">
        <f t="shared" ca="1" si="5"/>
        <v>5</v>
      </c>
      <c r="K14" t="str" cm="1">
        <f t="array" ref="K14">INDEX($E$2:$E$4, MOD(ROW()-1,3)+1)</f>
        <v>Machine 2</v>
      </c>
      <c r="L14">
        <v>0</v>
      </c>
      <c r="M14">
        <v>2</v>
      </c>
      <c r="N14">
        <v>2</v>
      </c>
      <c r="O14">
        <f t="shared" ca="1" si="6"/>
        <v>3</v>
      </c>
      <c r="P14">
        <f t="shared" ca="1" si="7"/>
        <v>5</v>
      </c>
      <c r="Q14" s="7">
        <f t="shared" si="8"/>
        <v>1.3333333333333333</v>
      </c>
      <c r="R14" s="7">
        <f>MAX(L14:N14)-MIN(L14:N14)</f>
        <v>2</v>
      </c>
      <c r="S14" s="7">
        <f t="shared" ca="1" si="9"/>
        <v>1.3865168857796947E-2</v>
      </c>
      <c r="T14" s="7">
        <f t="shared" ca="1" si="10"/>
        <v>9.9623483913225692E-3</v>
      </c>
      <c r="U14" s="5"/>
      <c r="V14" s="15"/>
      <c r="W14" s="18" t="str">
        <f>IF($K14 = "Machine 1", $Q14, " ")</f>
        <v xml:space="preserve"> </v>
      </c>
      <c r="X14" s="18">
        <f>IF($K14 = "Machine 2", $Q14, " ")</f>
        <v>1.3333333333333333</v>
      </c>
      <c r="Y14" s="18" t="str">
        <f>IF($K14 = "Machine 3", $Q14, " ")</f>
        <v xml:space="preserve"> </v>
      </c>
      <c r="Z14" s="18" t="str">
        <f>IF($K14="Machine 1", $R14," ")</f>
        <v xml:space="preserve"> </v>
      </c>
      <c r="AA14" s="18">
        <f>IF($K14="Machine 2", $R14," ")</f>
        <v>2</v>
      </c>
      <c r="AB14" s="18" t="str">
        <f>IF($K14="Machine 3", $R14," ")</f>
        <v xml:space="preserve"> </v>
      </c>
    </row>
    <row r="15" spans="1:39" x14ac:dyDescent="0.25">
      <c r="A15" t="s">
        <v>22</v>
      </c>
      <c r="B15" t="s">
        <v>1</v>
      </c>
      <c r="C15" t="str">
        <f t="shared" si="0"/>
        <v>057097</v>
      </c>
      <c r="D15" t="str">
        <f t="shared" si="1"/>
        <v>TOR</v>
      </c>
      <c r="E15" t="str" cm="1">
        <f t="array" ref="E15">INDEX($E$2:$E$4, MOD(ROW()-1,3)+1)</f>
        <v>Machine 3</v>
      </c>
      <c r="F15">
        <f t="shared" ca="1" si="2"/>
        <v>2</v>
      </c>
      <c r="G15">
        <f t="shared" ca="1" si="3"/>
        <v>0</v>
      </c>
      <c r="H15">
        <f ca="1">RANDBETWEEN(1,J15-2)</f>
        <v>4</v>
      </c>
      <c r="I15">
        <f t="shared" ca="1" si="4"/>
        <v>41</v>
      </c>
      <c r="J15">
        <f t="shared" ca="1" si="5"/>
        <v>6</v>
      </c>
      <c r="K15" t="str" cm="1">
        <f t="array" ref="K15">INDEX($E$2:$E$4, MOD(ROW()-1,3)+1)</f>
        <v>Machine 3</v>
      </c>
      <c r="L15">
        <v>1</v>
      </c>
      <c r="M15">
        <v>7</v>
      </c>
      <c r="N15">
        <v>3</v>
      </c>
      <c r="O15">
        <f t="shared" ca="1" si="6"/>
        <v>2</v>
      </c>
      <c r="P15">
        <f t="shared" ca="1" si="7"/>
        <v>4</v>
      </c>
      <c r="Q15" s="7">
        <f t="shared" si="8"/>
        <v>3.6666666666666665</v>
      </c>
      <c r="R15" s="7">
        <f>MAX(L15:N15)-MIN(L15:N15)</f>
        <v>6</v>
      </c>
      <c r="S15" s="7">
        <f t="shared" ca="1" si="9"/>
        <v>1.7806215576397551E-2</v>
      </c>
      <c r="T15" s="7">
        <f t="shared" ca="1" si="10"/>
        <v>9.1310150630268486E-3</v>
      </c>
      <c r="U15" s="5"/>
      <c r="V15" s="15"/>
      <c r="W15" s="18" t="str">
        <f>IF($K15 = "Machine 1", $Q15, " ")</f>
        <v xml:space="preserve"> </v>
      </c>
      <c r="X15" s="18" t="str">
        <f>IF($K15 = "Machine 2", $Q15, " ")</f>
        <v xml:space="preserve"> </v>
      </c>
      <c r="Y15" s="18">
        <f>IF($K15 = "Machine 3", $Q15, " ")</f>
        <v>3.6666666666666665</v>
      </c>
      <c r="Z15" s="18" t="str">
        <f>IF($K15="Machine 1", $R15," ")</f>
        <v xml:space="preserve"> </v>
      </c>
      <c r="AA15" s="18" t="str">
        <f>IF($K15="Machine 2", $R15," ")</f>
        <v xml:space="preserve"> </v>
      </c>
      <c r="AB15" s="18">
        <f>IF($K15="Machine 3", $R15," ")</f>
        <v>6</v>
      </c>
    </row>
    <row r="16" spans="1:39" x14ac:dyDescent="0.25">
      <c r="A16" t="s">
        <v>23</v>
      </c>
      <c r="B16" t="s">
        <v>1</v>
      </c>
      <c r="C16" t="str">
        <f t="shared" si="0"/>
        <v>057100</v>
      </c>
      <c r="D16" t="str">
        <f t="shared" si="1"/>
        <v>TOR</v>
      </c>
      <c r="E16" t="str" cm="1">
        <f t="array" ref="E16">INDEX($E$2:$E$4, MOD(ROW()-1,3)+1)</f>
        <v>Machine 1</v>
      </c>
      <c r="F16">
        <f t="shared" ca="1" si="2"/>
        <v>2</v>
      </c>
      <c r="G16">
        <f t="shared" ca="1" si="3"/>
        <v>0</v>
      </c>
      <c r="H16">
        <f ca="1">RANDBETWEEN(1,J16-2)</f>
        <v>4</v>
      </c>
      <c r="I16">
        <f t="shared" ca="1" si="4"/>
        <v>37</v>
      </c>
      <c r="J16">
        <f t="shared" ca="1" si="5"/>
        <v>14</v>
      </c>
      <c r="K16" t="str" cm="1">
        <f t="array" ref="K16">INDEX($E$2:$E$4, MOD(ROW()-1,3)+1)</f>
        <v>Machine 1</v>
      </c>
      <c r="L16">
        <v>0</v>
      </c>
      <c r="M16">
        <v>1</v>
      </c>
      <c r="N16">
        <v>2</v>
      </c>
      <c r="O16">
        <f t="shared" ca="1" si="6"/>
        <v>4</v>
      </c>
      <c r="P16">
        <f t="shared" ca="1" si="7"/>
        <v>12</v>
      </c>
      <c r="Q16" s="7">
        <f t="shared" si="8"/>
        <v>1</v>
      </c>
      <c r="R16" s="7">
        <f>MAX(L16:N16)-MIN(L16:N16)</f>
        <v>2</v>
      </c>
      <c r="S16" s="7">
        <f t="shared" ca="1" si="9"/>
        <v>1.2891718621805517E-2</v>
      </c>
      <c r="T16" s="7">
        <f t="shared" ca="1" si="10"/>
        <v>9.6370892845080453E-3</v>
      </c>
      <c r="U16" s="5"/>
      <c r="V16" s="15"/>
      <c r="W16" s="18">
        <f>IF($K16 = "Machine 1", $Q16, " ")</f>
        <v>1</v>
      </c>
      <c r="X16" s="18" t="str">
        <f>IF($K16 = "Machine 2", $Q16, " ")</f>
        <v xml:space="preserve"> </v>
      </c>
      <c r="Y16" s="18" t="str">
        <f>IF($K16 = "Machine 3", $Q16, " ")</f>
        <v xml:space="preserve"> </v>
      </c>
      <c r="Z16" s="18">
        <f>IF($K16="Machine 1", $R16," ")</f>
        <v>2</v>
      </c>
      <c r="AA16" s="18" t="str">
        <f>IF($K16="Machine 2", $R16," ")</f>
        <v xml:space="preserve"> </v>
      </c>
      <c r="AB16" s="18" t="str">
        <f>IF($K16="Machine 3", $R16," ")</f>
        <v xml:space="preserve"> </v>
      </c>
    </row>
    <row r="17" spans="1:28" x14ac:dyDescent="0.25">
      <c r="A17" t="s">
        <v>24</v>
      </c>
      <c r="B17" t="s">
        <v>1</v>
      </c>
      <c r="C17" t="str">
        <f t="shared" si="0"/>
        <v>057103</v>
      </c>
      <c r="D17" t="str">
        <f t="shared" si="1"/>
        <v>TOR</v>
      </c>
      <c r="E17" t="str" cm="1">
        <f t="array" ref="E17">INDEX($E$2:$E$4, MOD(ROW()-1,3)+1)</f>
        <v>Machine 2</v>
      </c>
      <c r="F17">
        <f t="shared" ca="1" si="2"/>
        <v>2</v>
      </c>
      <c r="G17">
        <f t="shared" ca="1" si="3"/>
        <v>1</v>
      </c>
      <c r="H17">
        <f ca="1">RANDBETWEEN(1,J17-2)</f>
        <v>2</v>
      </c>
      <c r="I17">
        <f t="shared" ca="1" si="4"/>
        <v>31</v>
      </c>
      <c r="J17">
        <f t="shared" ca="1" si="5"/>
        <v>5</v>
      </c>
      <c r="K17" t="str" cm="1">
        <f t="array" ref="K17">INDEX($E$2:$E$4, MOD(ROW()-1,3)+1)</f>
        <v>Machine 2</v>
      </c>
      <c r="L17">
        <v>1</v>
      </c>
      <c r="M17">
        <v>5</v>
      </c>
      <c r="N17">
        <v>3</v>
      </c>
      <c r="O17">
        <f t="shared" ca="1" si="6"/>
        <v>2</v>
      </c>
      <c r="P17">
        <f t="shared" ca="1" si="7"/>
        <v>5</v>
      </c>
      <c r="Q17" s="7">
        <f t="shared" si="8"/>
        <v>3</v>
      </c>
      <c r="R17" s="7">
        <f>MAX(L17:N17)-MIN(L17:N17)</f>
        <v>4</v>
      </c>
      <c r="S17" s="7">
        <f t="shared" ca="1" si="9"/>
        <v>1.9362730141894369E-2</v>
      </c>
      <c r="T17" s="7">
        <f t="shared" ca="1" si="10"/>
        <v>1.3760389293058669E-2</v>
      </c>
      <c r="U17" s="5"/>
      <c r="V17" s="15"/>
      <c r="W17" s="18" t="str">
        <f>IF($K17 = "Machine 1", $Q17, " ")</f>
        <v xml:space="preserve"> </v>
      </c>
      <c r="X17" s="18">
        <f>IF($K17 = "Machine 2", $Q17, " ")</f>
        <v>3</v>
      </c>
      <c r="Y17" s="18" t="str">
        <f>IF($K17 = "Machine 3", $Q17, " ")</f>
        <v xml:space="preserve"> </v>
      </c>
      <c r="Z17" s="18" t="str">
        <f>IF($K17="Machine 1", $R17," ")</f>
        <v xml:space="preserve"> </v>
      </c>
      <c r="AA17" s="18">
        <f>IF($K17="Machine 2", $R17," ")</f>
        <v>4</v>
      </c>
      <c r="AB17" s="18" t="str">
        <f>IF($K17="Machine 3", $R17," ")</f>
        <v xml:space="preserve"> </v>
      </c>
    </row>
    <row r="18" spans="1:28" x14ac:dyDescent="0.25">
      <c r="A18" t="s">
        <v>25</v>
      </c>
      <c r="B18" t="s">
        <v>1</v>
      </c>
      <c r="C18" t="str">
        <f t="shared" si="0"/>
        <v>057106</v>
      </c>
      <c r="D18" t="str">
        <f t="shared" si="1"/>
        <v>TOR</v>
      </c>
      <c r="E18" t="str" cm="1">
        <f t="array" ref="E18">INDEX($E$2:$E$4, MOD(ROW()-1,3)+1)</f>
        <v>Machine 3</v>
      </c>
      <c r="F18">
        <f t="shared" ca="1" si="2"/>
        <v>3</v>
      </c>
      <c r="G18">
        <f t="shared" ca="1" si="3"/>
        <v>0</v>
      </c>
      <c r="H18">
        <f ca="1">RANDBETWEEN(1,J18-2)</f>
        <v>4</v>
      </c>
      <c r="I18">
        <f t="shared" ca="1" si="4"/>
        <v>38</v>
      </c>
      <c r="J18">
        <f t="shared" ca="1" si="5"/>
        <v>10</v>
      </c>
      <c r="K18" t="str" cm="1">
        <f t="array" ref="K18">INDEX($E$2:$E$4, MOD(ROW()-1,3)+1)</f>
        <v>Machine 3</v>
      </c>
      <c r="L18">
        <v>0</v>
      </c>
      <c r="M18">
        <v>4</v>
      </c>
      <c r="N18">
        <v>3</v>
      </c>
      <c r="O18">
        <f t="shared" ca="1" si="6"/>
        <v>3</v>
      </c>
      <c r="P18">
        <f t="shared" ca="1" si="7"/>
        <v>4</v>
      </c>
      <c r="Q18" s="7">
        <f t="shared" si="8"/>
        <v>2.3333333333333335</v>
      </c>
      <c r="R18" s="7">
        <f>MAX(L18:N18)-MIN(L18:N18)</f>
        <v>4</v>
      </c>
      <c r="S18" s="7">
        <f t="shared" ca="1" si="9"/>
        <v>1.6081242653386271E-2</v>
      </c>
      <c r="T18" s="7">
        <f t="shared" ca="1" si="10"/>
        <v>1.4475897200378363E-2</v>
      </c>
      <c r="U18" s="5"/>
      <c r="V18" s="15"/>
      <c r="W18" s="18" t="str">
        <f>IF($K18 = "Machine 1", $Q18, " ")</f>
        <v xml:space="preserve"> </v>
      </c>
      <c r="X18" s="18" t="str">
        <f>IF($K18 = "Machine 2", $Q18, " ")</f>
        <v xml:space="preserve"> </v>
      </c>
      <c r="Y18" s="18">
        <f>IF($K18 = "Machine 3", $Q18, " ")</f>
        <v>2.3333333333333335</v>
      </c>
      <c r="Z18" s="18" t="str">
        <f>IF($K18="Machine 1", $R18," ")</f>
        <v xml:space="preserve"> </v>
      </c>
      <c r="AA18" s="18" t="str">
        <f>IF($K18="Machine 2", $R18," ")</f>
        <v xml:space="preserve"> </v>
      </c>
      <c r="AB18" s="18">
        <f>IF($K18="Machine 3", $R18," ")</f>
        <v>4</v>
      </c>
    </row>
    <row r="19" spans="1:28" x14ac:dyDescent="0.25">
      <c r="A19" t="s">
        <v>26</v>
      </c>
      <c r="B19" t="s">
        <v>1</v>
      </c>
      <c r="C19" t="str">
        <f t="shared" si="0"/>
        <v>057109</v>
      </c>
      <c r="D19" t="str">
        <f t="shared" si="1"/>
        <v>TOR</v>
      </c>
      <c r="E19" t="str" cm="1">
        <f t="array" ref="E19">INDEX($E$2:$E$4, MOD(ROW()-1,3)+1)</f>
        <v>Machine 1</v>
      </c>
      <c r="F19">
        <f t="shared" ca="1" si="2"/>
        <v>3</v>
      </c>
      <c r="G19">
        <f t="shared" ca="1" si="3"/>
        <v>0</v>
      </c>
      <c r="H19">
        <f ca="1">RANDBETWEEN(1,J19-2)</f>
        <v>3</v>
      </c>
      <c r="I19">
        <f t="shared" ca="1" si="4"/>
        <v>39</v>
      </c>
      <c r="J19">
        <f t="shared" ca="1" si="5"/>
        <v>6</v>
      </c>
      <c r="K19" t="str" cm="1">
        <f t="array" ref="K19">INDEX($E$2:$E$4, MOD(ROW()-1,3)+1)</f>
        <v>Machine 1</v>
      </c>
      <c r="L19">
        <v>1</v>
      </c>
      <c r="M19">
        <v>8</v>
      </c>
      <c r="N19">
        <v>2</v>
      </c>
      <c r="O19">
        <f t="shared" ca="1" si="6"/>
        <v>2</v>
      </c>
      <c r="P19">
        <f t="shared" ca="1" si="7"/>
        <v>6</v>
      </c>
      <c r="Q19" s="7">
        <f t="shared" si="8"/>
        <v>3.6666666666666665</v>
      </c>
      <c r="R19" s="7">
        <f>MAX(L19:N19)-MIN(L19:N19)</f>
        <v>7</v>
      </c>
      <c r="S19" s="7">
        <f t="shared" ca="1" si="9"/>
        <v>1.7944791319076156E-2</v>
      </c>
      <c r="T19" s="7">
        <f t="shared" ca="1" si="10"/>
        <v>1.5888063704268346E-2</v>
      </c>
      <c r="U19" s="5"/>
      <c r="V19" s="15"/>
      <c r="W19" s="18">
        <f>IF($K19 = "Machine 1", $Q19, " ")</f>
        <v>3.6666666666666665</v>
      </c>
      <c r="X19" s="18" t="str">
        <f>IF($K19 = "Machine 2", $Q19, " ")</f>
        <v xml:space="preserve"> </v>
      </c>
      <c r="Y19" s="18" t="str">
        <f>IF($K19 = "Machine 3", $Q19, " ")</f>
        <v xml:space="preserve"> </v>
      </c>
      <c r="Z19" s="18">
        <f>IF($K19="Machine 1", $R19," ")</f>
        <v>7</v>
      </c>
      <c r="AA19" s="18" t="str">
        <f>IF($K19="Machine 2", $R19," ")</f>
        <v xml:space="preserve"> </v>
      </c>
      <c r="AB19" s="18" t="str">
        <f>IF($K19="Machine 3", $R19," ")</f>
        <v xml:space="preserve"> </v>
      </c>
    </row>
    <row r="20" spans="1:28" x14ac:dyDescent="0.25">
      <c r="A20" t="s">
        <v>27</v>
      </c>
      <c r="B20" t="s">
        <v>1</v>
      </c>
      <c r="C20" t="str">
        <f t="shared" si="0"/>
        <v>057112</v>
      </c>
      <c r="D20" t="str">
        <f t="shared" si="1"/>
        <v>TOR</v>
      </c>
      <c r="E20" t="str" cm="1">
        <f t="array" ref="E20">INDEX($E$2:$E$4, MOD(ROW()-1,3)+1)</f>
        <v>Machine 2</v>
      </c>
      <c r="F20">
        <f t="shared" ca="1" si="2"/>
        <v>3</v>
      </c>
      <c r="G20">
        <f t="shared" ca="1" si="3"/>
        <v>0</v>
      </c>
      <c r="H20">
        <f ca="1">RANDBETWEEN(1,J20-2)</f>
        <v>7</v>
      </c>
      <c r="I20">
        <f t="shared" ca="1" si="4"/>
        <v>45</v>
      </c>
      <c r="J20">
        <f t="shared" ca="1" si="5"/>
        <v>9</v>
      </c>
      <c r="K20" t="str" cm="1">
        <f t="array" ref="K20">INDEX($E$2:$E$4, MOD(ROW()-1,3)+1)</f>
        <v>Machine 2</v>
      </c>
      <c r="L20">
        <v>0</v>
      </c>
      <c r="M20">
        <v>1</v>
      </c>
      <c r="N20">
        <v>3</v>
      </c>
      <c r="O20">
        <f t="shared" ca="1" si="6"/>
        <v>5</v>
      </c>
      <c r="P20">
        <f t="shared" ca="1" si="7"/>
        <v>8</v>
      </c>
      <c r="Q20" s="7">
        <f t="shared" si="8"/>
        <v>1.3333333333333333</v>
      </c>
      <c r="R20" s="7">
        <f>MAX(L20:N20)-MIN(L20:N20)</f>
        <v>3</v>
      </c>
      <c r="S20" s="7">
        <f t="shared" ca="1" si="9"/>
        <v>1.2870208259114438E-2</v>
      </c>
      <c r="T20" s="7">
        <f t="shared" ca="1" si="10"/>
        <v>1.4440329733846782E-2</v>
      </c>
      <c r="U20" s="5"/>
      <c r="V20" s="15"/>
      <c r="W20" s="18" t="str">
        <f>IF($K20 = "Machine 1", $Q20, " ")</f>
        <v xml:space="preserve"> </v>
      </c>
      <c r="X20" s="18">
        <f>IF($K20 = "Machine 2", $Q20, " ")</f>
        <v>1.3333333333333333</v>
      </c>
      <c r="Y20" s="18" t="str">
        <f>IF($K20 = "Machine 3", $Q20, " ")</f>
        <v xml:space="preserve"> </v>
      </c>
      <c r="Z20" s="18" t="str">
        <f>IF($K20="Machine 1", $R20," ")</f>
        <v xml:space="preserve"> </v>
      </c>
      <c r="AA20" s="18">
        <f>IF($K20="Machine 2", $R20," ")</f>
        <v>3</v>
      </c>
      <c r="AB20" s="18" t="str">
        <f>IF($K20="Machine 3", $R20," ")</f>
        <v xml:space="preserve"> </v>
      </c>
    </row>
    <row r="21" spans="1:28" x14ac:dyDescent="0.25">
      <c r="A21" t="s">
        <v>28</v>
      </c>
      <c r="B21" t="s">
        <v>1</v>
      </c>
      <c r="C21" t="str">
        <f t="shared" si="0"/>
        <v>057115</v>
      </c>
      <c r="D21" t="str">
        <f t="shared" si="1"/>
        <v>TOR</v>
      </c>
      <c r="E21" t="str" cm="1">
        <f t="array" ref="E21">INDEX($E$2:$E$4, MOD(ROW()-1,3)+1)</f>
        <v>Machine 3</v>
      </c>
      <c r="F21">
        <f t="shared" ca="1" si="2"/>
        <v>3</v>
      </c>
      <c r="G21">
        <f t="shared" ca="1" si="3"/>
        <v>0</v>
      </c>
      <c r="H21">
        <f ca="1">RANDBETWEEN(1,J21-2)</f>
        <v>3</v>
      </c>
      <c r="I21">
        <f t="shared" ca="1" si="4"/>
        <v>29</v>
      </c>
      <c r="J21">
        <f t="shared" ca="1" si="5"/>
        <v>5</v>
      </c>
      <c r="K21" t="str" cm="1">
        <f t="array" ref="K21">INDEX($E$2:$E$4, MOD(ROW()-1,3)+1)</f>
        <v>Machine 3</v>
      </c>
      <c r="L21">
        <v>1</v>
      </c>
      <c r="M21">
        <v>5</v>
      </c>
      <c r="N21">
        <v>2</v>
      </c>
      <c r="O21">
        <f t="shared" ca="1" si="6"/>
        <v>1</v>
      </c>
      <c r="P21">
        <f t="shared" ca="1" si="7"/>
        <v>9</v>
      </c>
      <c r="Q21" s="7">
        <f t="shared" si="8"/>
        <v>2.6666666666666665</v>
      </c>
      <c r="R21" s="7">
        <f>MAX(L21:N21)-MIN(L21:N21)</f>
        <v>4</v>
      </c>
      <c r="S21" s="7">
        <f t="shared" ca="1" si="9"/>
        <v>2.0695877437435499E-2</v>
      </c>
      <c r="T21" s="7">
        <f t="shared" ca="1" si="10"/>
        <v>1.4968254117154836E-2</v>
      </c>
      <c r="U21" s="5"/>
      <c r="V21" s="15"/>
      <c r="W21" s="18" t="str">
        <f>IF($K21 = "Machine 1", $Q21, " ")</f>
        <v xml:space="preserve"> </v>
      </c>
      <c r="X21" s="18" t="str">
        <f>IF($K21 = "Machine 2", $Q21, " ")</f>
        <v xml:space="preserve"> </v>
      </c>
      <c r="Y21" s="18">
        <f>IF($K21 = "Machine 3", $Q21, " ")</f>
        <v>2.6666666666666665</v>
      </c>
      <c r="Z21" s="18" t="str">
        <f>IF($K21="Machine 1", $R21," ")</f>
        <v xml:space="preserve"> </v>
      </c>
      <c r="AA21" s="18" t="str">
        <f>IF($K21="Machine 2", $R21," ")</f>
        <v xml:space="preserve"> </v>
      </c>
      <c r="AB21" s="18">
        <f>IF($K21="Machine 3", $R21," ")</f>
        <v>4</v>
      </c>
    </row>
    <row r="22" spans="1:28" x14ac:dyDescent="0.25">
      <c r="A22" t="s">
        <v>29</v>
      </c>
      <c r="B22" t="s">
        <v>1</v>
      </c>
      <c r="C22" t="str">
        <f t="shared" si="0"/>
        <v>057118</v>
      </c>
      <c r="D22" t="str">
        <f t="shared" si="1"/>
        <v>TOR</v>
      </c>
      <c r="E22" t="str" cm="1">
        <f t="array" ref="E22">INDEX($E$2:$E$4, MOD(ROW()-1,3)+1)</f>
        <v>Machine 1</v>
      </c>
      <c r="F22">
        <f t="shared" ca="1" si="2"/>
        <v>3</v>
      </c>
      <c r="G22">
        <f t="shared" ca="1" si="3"/>
        <v>0</v>
      </c>
      <c r="H22">
        <f ca="1">RANDBETWEEN(1,J22-2)</f>
        <v>5</v>
      </c>
      <c r="I22">
        <f t="shared" ca="1" si="4"/>
        <v>29</v>
      </c>
      <c r="J22">
        <f t="shared" ca="1" si="5"/>
        <v>15</v>
      </c>
      <c r="K22" t="str" cm="1">
        <f t="array" ref="K22">INDEX($E$2:$E$4, MOD(ROW()-1,3)+1)</f>
        <v>Machine 1</v>
      </c>
      <c r="L22">
        <v>1</v>
      </c>
      <c r="M22">
        <v>1</v>
      </c>
      <c r="N22">
        <v>3</v>
      </c>
      <c r="O22">
        <f t="shared" ca="1" si="6"/>
        <v>2</v>
      </c>
      <c r="P22">
        <f t="shared" ca="1" si="7"/>
        <v>7</v>
      </c>
      <c r="Q22" s="7">
        <f t="shared" si="8"/>
        <v>1.6666666666666667</v>
      </c>
      <c r="R22" s="7">
        <f>MAX(L22:N22)-MIN(L22:N22)</f>
        <v>2</v>
      </c>
      <c r="S22" s="7">
        <f t="shared" ca="1" si="9"/>
        <v>1.4772321881291666E-2</v>
      </c>
      <c r="T22" s="7">
        <f t="shared" ca="1" si="10"/>
        <v>1.7290048645471751E-2</v>
      </c>
      <c r="U22" s="5"/>
      <c r="V22" s="15"/>
      <c r="W22" s="18">
        <f>IF($K22 = "Machine 1", $Q22, " ")</f>
        <v>1.6666666666666667</v>
      </c>
      <c r="X22" s="18" t="str">
        <f>IF($K22 = "Machine 2", $Q22, " ")</f>
        <v xml:space="preserve"> </v>
      </c>
      <c r="Y22" s="18" t="str">
        <f>IF($K22 = "Machine 3", $Q22, " ")</f>
        <v xml:space="preserve"> </v>
      </c>
      <c r="Z22" s="18">
        <f>IF($K22="Machine 1", $R22," ")</f>
        <v>2</v>
      </c>
      <c r="AA22" s="18" t="str">
        <f>IF($K22="Machine 2", $R22," ")</f>
        <v xml:space="preserve"> </v>
      </c>
      <c r="AB22" s="18" t="str">
        <f>IF($K22="Machine 3", $R22," ")</f>
        <v xml:space="preserve"> </v>
      </c>
    </row>
    <row r="23" spans="1:28" x14ac:dyDescent="0.25">
      <c r="A23" t="s">
        <v>30</v>
      </c>
      <c r="B23" t="s">
        <v>1</v>
      </c>
      <c r="C23" t="str">
        <f t="shared" si="0"/>
        <v>057121</v>
      </c>
      <c r="D23" t="str">
        <f t="shared" si="1"/>
        <v>TOR</v>
      </c>
      <c r="E23" t="str" cm="1">
        <f t="array" ref="E23">INDEX($E$2:$E$4, MOD(ROW()-1,3)+1)</f>
        <v>Machine 2</v>
      </c>
      <c r="F23">
        <f t="shared" ca="1" si="2"/>
        <v>2</v>
      </c>
      <c r="G23">
        <f t="shared" ca="1" si="3"/>
        <v>1</v>
      </c>
      <c r="H23">
        <f ca="1">RANDBETWEEN(1,J23-2)</f>
        <v>1</v>
      </c>
      <c r="I23">
        <f t="shared" ca="1" si="4"/>
        <v>48</v>
      </c>
      <c r="J23">
        <f t="shared" ca="1" si="5"/>
        <v>5</v>
      </c>
      <c r="K23" t="str" cm="1">
        <f t="array" ref="K23">INDEX($E$2:$E$4, MOD(ROW()-1,3)+1)</f>
        <v>Machine 2</v>
      </c>
      <c r="L23">
        <v>1</v>
      </c>
      <c r="M23">
        <v>6</v>
      </c>
      <c r="N23">
        <v>2</v>
      </c>
      <c r="O23">
        <f t="shared" ca="1" si="6"/>
        <v>3</v>
      </c>
      <c r="P23">
        <f t="shared" ca="1" si="7"/>
        <v>8</v>
      </c>
      <c r="Q23" s="7">
        <f t="shared" si="8"/>
        <v>3</v>
      </c>
      <c r="R23" s="7">
        <f>MAX(L23:N23)-MIN(L23:N23)</f>
        <v>5</v>
      </c>
      <c r="S23" s="7">
        <f t="shared" ca="1" si="9"/>
        <v>1.5667764532336894E-2</v>
      </c>
      <c r="T23" s="7">
        <f t="shared" ca="1" si="10"/>
        <v>1.5781536167362255E-2</v>
      </c>
      <c r="U23" s="5"/>
      <c r="V23" s="15"/>
      <c r="W23" s="18" t="str">
        <f>IF($K23 = "Machine 1", $Q23, " ")</f>
        <v xml:space="preserve"> </v>
      </c>
      <c r="X23" s="18">
        <f>IF($K23 = "Machine 2", $Q23, " ")</f>
        <v>3</v>
      </c>
      <c r="Y23" s="18" t="str">
        <f>IF($K23 = "Machine 3", $Q23, " ")</f>
        <v xml:space="preserve"> </v>
      </c>
      <c r="Z23" s="18" t="str">
        <f>IF($K23="Machine 1", $R23," ")</f>
        <v xml:space="preserve"> </v>
      </c>
      <c r="AA23" s="18">
        <f>IF($K23="Machine 2", $R23," ")</f>
        <v>5</v>
      </c>
      <c r="AB23" s="18" t="str">
        <f>IF($K23="Machine 3", $R23," ")</f>
        <v xml:space="preserve"> </v>
      </c>
    </row>
    <row r="24" spans="1:28" x14ac:dyDescent="0.25">
      <c r="A24" t="s">
        <v>31</v>
      </c>
      <c r="B24" t="s">
        <v>1</v>
      </c>
      <c r="C24" t="str">
        <f t="shared" si="0"/>
        <v>057124</v>
      </c>
      <c r="D24" t="str">
        <f t="shared" si="1"/>
        <v>TOR</v>
      </c>
      <c r="E24" t="str" cm="1">
        <f t="array" ref="E24">INDEX($E$2:$E$4, MOD(ROW()-1,3)+1)</f>
        <v>Machine 3</v>
      </c>
      <c r="F24">
        <f t="shared" ca="1" si="2"/>
        <v>2</v>
      </c>
      <c r="G24">
        <f t="shared" ca="1" si="3"/>
        <v>0</v>
      </c>
      <c r="H24">
        <f ca="1">RANDBETWEEN(1,J24-2)</f>
        <v>2</v>
      </c>
      <c r="I24">
        <f t="shared" ca="1" si="4"/>
        <v>45</v>
      </c>
      <c r="J24">
        <f t="shared" ca="1" si="5"/>
        <v>9</v>
      </c>
      <c r="K24" t="str" cm="1">
        <f t="array" ref="K24">INDEX($E$2:$E$4, MOD(ROW()-1,3)+1)</f>
        <v>Machine 3</v>
      </c>
      <c r="L24">
        <v>0</v>
      </c>
      <c r="M24">
        <v>4</v>
      </c>
      <c r="N24">
        <v>3</v>
      </c>
      <c r="O24">
        <f t="shared" ca="1" si="6"/>
        <v>1</v>
      </c>
      <c r="P24">
        <f t="shared" ca="1" si="7"/>
        <v>9</v>
      </c>
      <c r="Q24" s="7">
        <f t="shared" si="8"/>
        <v>2.3333333333333335</v>
      </c>
      <c r="R24" s="7">
        <f>MAX(L24:N24)-MIN(L24:N24)</f>
        <v>4</v>
      </c>
      <c r="S24" s="7">
        <f t="shared" ca="1" si="9"/>
        <v>1.565481905750047E-2</v>
      </c>
      <c r="T24" s="7">
        <f t="shared" ca="1" si="10"/>
        <v>1.7213775566975929E-2</v>
      </c>
      <c r="U24" s="5"/>
      <c r="V24" s="15"/>
      <c r="W24" s="18" t="str">
        <f>IF($K24 = "Machine 1", $Q24, " ")</f>
        <v xml:space="preserve"> </v>
      </c>
      <c r="X24" s="18" t="str">
        <f>IF($K24 = "Machine 2", $Q24, " ")</f>
        <v xml:space="preserve"> </v>
      </c>
      <c r="Y24" s="18">
        <f>IF($K24 = "Machine 3", $Q24, " ")</f>
        <v>2.3333333333333335</v>
      </c>
      <c r="Z24" s="18" t="str">
        <f>IF($K24="Machine 1", $R24," ")</f>
        <v xml:space="preserve"> </v>
      </c>
      <c r="AA24" s="18" t="str">
        <f>IF($K24="Machine 2", $R24," ")</f>
        <v xml:space="preserve"> </v>
      </c>
      <c r="AB24" s="18">
        <f>IF($K24="Machine 3", $R24," ")</f>
        <v>4</v>
      </c>
    </row>
    <row r="25" spans="1:28" x14ac:dyDescent="0.25">
      <c r="A25" t="s">
        <v>32</v>
      </c>
      <c r="B25" t="s">
        <v>1</v>
      </c>
      <c r="C25" t="str">
        <f t="shared" si="0"/>
        <v>057127</v>
      </c>
      <c r="D25" t="str">
        <f t="shared" si="1"/>
        <v>TOR</v>
      </c>
      <c r="E25" t="str" cm="1">
        <f t="array" ref="E25">INDEX($E$2:$E$4, MOD(ROW()-1,3)+1)</f>
        <v>Machine 1</v>
      </c>
      <c r="F25">
        <f t="shared" ca="1" si="2"/>
        <v>2</v>
      </c>
      <c r="G25">
        <f t="shared" ca="1" si="3"/>
        <v>1</v>
      </c>
      <c r="H25">
        <f ca="1">RANDBETWEEN(1,J25-2)</f>
        <v>2</v>
      </c>
      <c r="I25">
        <f t="shared" ca="1" si="4"/>
        <v>39</v>
      </c>
      <c r="J25">
        <f t="shared" ca="1" si="5"/>
        <v>11</v>
      </c>
      <c r="K25" t="str" cm="1">
        <f t="array" ref="K25">INDEX($E$2:$E$4, MOD(ROW()-1,3)+1)</f>
        <v>Machine 1</v>
      </c>
      <c r="L25">
        <v>0</v>
      </c>
      <c r="M25">
        <v>3</v>
      </c>
      <c r="N25">
        <v>2</v>
      </c>
      <c r="O25">
        <f t="shared" ca="1" si="6"/>
        <v>2</v>
      </c>
      <c r="P25">
        <f t="shared" ca="1" si="7"/>
        <v>12</v>
      </c>
      <c r="Q25" s="7">
        <f t="shared" si="8"/>
        <v>1.6666666666666667</v>
      </c>
      <c r="R25" s="7">
        <f>MAX(L25:N25)-MIN(L25:N25)</f>
        <v>3</v>
      </c>
      <c r="S25" s="7">
        <f t="shared" ca="1" si="9"/>
        <v>1.1877080048471784E-2</v>
      </c>
      <c r="T25" s="7">
        <f t="shared" ca="1" si="10"/>
        <v>1.9932055425113716E-2</v>
      </c>
      <c r="U25" s="5"/>
      <c r="V25" s="15"/>
      <c r="W25" s="18">
        <f>IF($K25 = "Machine 1", $Q25, " ")</f>
        <v>1.6666666666666667</v>
      </c>
      <c r="X25" s="18" t="str">
        <f>IF($K25 = "Machine 2", $Q25, " ")</f>
        <v xml:space="preserve"> </v>
      </c>
      <c r="Y25" s="18" t="str">
        <f>IF($K25 = "Machine 3", $Q25, " ")</f>
        <v xml:space="preserve"> </v>
      </c>
      <c r="Z25" s="18">
        <f>IF($K25="Machine 1", $R25," ")</f>
        <v>3</v>
      </c>
      <c r="AA25" s="18" t="str">
        <f>IF($K25="Machine 2", $R25," ")</f>
        <v xml:space="preserve"> </v>
      </c>
      <c r="AB25" s="18" t="str">
        <f>IF($K25="Machine 3", $R25," ")</f>
        <v xml:space="preserve"> </v>
      </c>
    </row>
    <row r="26" spans="1:28" x14ac:dyDescent="0.25">
      <c r="A26" t="s">
        <v>33</v>
      </c>
      <c r="B26" t="s">
        <v>1</v>
      </c>
      <c r="C26" t="str">
        <f t="shared" si="0"/>
        <v>057130</v>
      </c>
      <c r="D26" t="str">
        <f t="shared" si="1"/>
        <v>TOR</v>
      </c>
      <c r="E26" t="str" cm="1">
        <f t="array" ref="E26">INDEX($E$2:$E$4, MOD(ROW()-1,3)+1)</f>
        <v>Machine 2</v>
      </c>
      <c r="F26">
        <f t="shared" ca="1" si="2"/>
        <v>3</v>
      </c>
      <c r="G26">
        <f t="shared" ca="1" si="3"/>
        <v>1</v>
      </c>
      <c r="H26">
        <f ca="1">RANDBETWEEN(1,J26-2)</f>
        <v>8</v>
      </c>
      <c r="I26">
        <f t="shared" ca="1" si="4"/>
        <v>31</v>
      </c>
      <c r="J26">
        <f t="shared" ca="1" si="5"/>
        <v>10</v>
      </c>
      <c r="K26" t="str" cm="1">
        <f t="array" ref="K26">INDEX($E$2:$E$4, MOD(ROW()-1,3)+1)</f>
        <v>Machine 2</v>
      </c>
      <c r="L26">
        <v>1</v>
      </c>
      <c r="M26">
        <v>3</v>
      </c>
      <c r="N26">
        <v>2</v>
      </c>
      <c r="O26">
        <f t="shared" ca="1" si="6"/>
        <v>1</v>
      </c>
      <c r="P26">
        <f t="shared" ca="1" si="7"/>
        <v>5</v>
      </c>
      <c r="Q26" s="7">
        <f t="shared" si="8"/>
        <v>2</v>
      </c>
      <c r="R26" s="7">
        <f>MAX(L26:N26)-MIN(L26:N26)</f>
        <v>2</v>
      </c>
      <c r="S26" s="7">
        <f t="shared" ca="1" si="9"/>
        <v>1.2619973966728253E-2</v>
      </c>
      <c r="T26" s="7">
        <f t="shared" ca="1" si="10"/>
        <v>3.088265717475298E-2</v>
      </c>
      <c r="U26" s="5"/>
      <c r="V26" s="15"/>
      <c r="W26" s="18" t="str">
        <f>IF($K26 = "Machine 1", $Q26, " ")</f>
        <v xml:space="preserve"> </v>
      </c>
      <c r="X26" s="18">
        <f>IF($K26 = "Machine 2", $Q26, " ")</f>
        <v>2</v>
      </c>
      <c r="Y26" s="18" t="str">
        <f>IF($K26 = "Machine 3", $Q26, " ")</f>
        <v xml:space="preserve"> </v>
      </c>
      <c r="Z26" s="18" t="str">
        <f>IF($K26="Machine 1", $R26," ")</f>
        <v xml:space="preserve"> </v>
      </c>
      <c r="AA26" s="18">
        <f>IF($K26="Machine 2", $R26," ")</f>
        <v>2</v>
      </c>
      <c r="AB26" s="18" t="str">
        <f>IF($K26="Machine 3", $R26," ")</f>
        <v xml:space="preserve"> </v>
      </c>
    </row>
    <row r="27" spans="1:28" x14ac:dyDescent="0.25">
      <c r="A27" t="s">
        <v>34</v>
      </c>
      <c r="B27" t="s">
        <v>1</v>
      </c>
      <c r="C27" t="str">
        <f t="shared" si="0"/>
        <v>057133</v>
      </c>
      <c r="D27" t="str">
        <f t="shared" si="1"/>
        <v>TOR</v>
      </c>
      <c r="E27" t="str" cm="1">
        <f t="array" ref="E27">INDEX($E$2:$E$4, MOD(ROW()-1,3)+1)</f>
        <v>Machine 3</v>
      </c>
      <c r="F27">
        <f t="shared" ca="1" si="2"/>
        <v>3</v>
      </c>
      <c r="G27">
        <f t="shared" ca="1" si="3"/>
        <v>1</v>
      </c>
      <c r="H27">
        <f ca="1">RANDBETWEEN(1,J27-2)</f>
        <v>3</v>
      </c>
      <c r="I27">
        <f t="shared" ca="1" si="4"/>
        <v>44</v>
      </c>
      <c r="J27">
        <f t="shared" ca="1" si="5"/>
        <v>12</v>
      </c>
      <c r="K27" t="str" cm="1">
        <f t="array" ref="K27">INDEX($E$2:$E$4, MOD(ROW()-1,3)+1)</f>
        <v>Machine 3</v>
      </c>
      <c r="L27">
        <v>0</v>
      </c>
      <c r="M27">
        <v>4</v>
      </c>
      <c r="N27">
        <v>2</v>
      </c>
      <c r="O27">
        <f t="shared" ca="1" si="6"/>
        <v>2</v>
      </c>
      <c r="P27">
        <f t="shared" ca="1" si="7"/>
        <v>10</v>
      </c>
      <c r="Q27" s="7">
        <f t="shared" si="8"/>
        <v>2</v>
      </c>
      <c r="R27" s="7">
        <f>MAX(L27:N27)-MIN(L27:N27)</f>
        <v>4</v>
      </c>
      <c r="S27" s="7">
        <f t="shared" ca="1" si="9"/>
        <v>1.0239854433932796E-2</v>
      </c>
      <c r="T27" s="7">
        <f t="shared" ca="1" si="10"/>
        <v>2.8191178264451201E-2</v>
      </c>
      <c r="U27" s="5"/>
      <c r="V27" s="15"/>
      <c r="W27" s="18" t="str">
        <f>IF($K27 = "Machine 1", $Q27, " ")</f>
        <v xml:space="preserve"> </v>
      </c>
      <c r="X27" s="18" t="str">
        <f>IF($K27 = "Machine 2", $Q27, " ")</f>
        <v xml:space="preserve"> </v>
      </c>
      <c r="Y27" s="18">
        <f>IF($K27 = "Machine 3", $Q27, " ")</f>
        <v>2</v>
      </c>
      <c r="Z27" s="18" t="str">
        <f>IF($K27="Machine 1", $R27," ")</f>
        <v xml:space="preserve"> </v>
      </c>
      <c r="AA27" s="18" t="str">
        <f>IF($K27="Machine 2", $R27," ")</f>
        <v xml:space="preserve"> </v>
      </c>
      <c r="AB27" s="18">
        <f>IF($K27="Machine 3", $R27," ")</f>
        <v>4</v>
      </c>
    </row>
    <row r="28" spans="1:28" x14ac:dyDescent="0.25">
      <c r="A28" t="s">
        <v>35</v>
      </c>
      <c r="B28" t="s">
        <v>1</v>
      </c>
      <c r="C28" t="str">
        <f t="shared" si="0"/>
        <v>057135</v>
      </c>
      <c r="D28" t="str">
        <f t="shared" si="1"/>
        <v>TOR</v>
      </c>
      <c r="E28" t="str" cm="1">
        <f t="array" ref="E28">INDEX($E$2:$E$4, MOD(ROW()-1,3)+1)</f>
        <v>Machine 1</v>
      </c>
      <c r="F28">
        <f t="shared" ca="1" si="2"/>
        <v>2</v>
      </c>
      <c r="G28">
        <f t="shared" ca="1" si="3"/>
        <v>0</v>
      </c>
      <c r="H28">
        <f ca="1">RANDBETWEEN(1,J28-2)</f>
        <v>2</v>
      </c>
      <c r="I28">
        <f t="shared" ca="1" si="4"/>
        <v>33</v>
      </c>
      <c r="J28">
        <f t="shared" ca="1" si="5"/>
        <v>7</v>
      </c>
      <c r="K28" t="str" cm="1">
        <f t="array" ref="K28">INDEX($E$2:$E$4, MOD(ROW()-1,3)+1)</f>
        <v>Machine 1</v>
      </c>
      <c r="L28">
        <v>0</v>
      </c>
      <c r="M28">
        <v>3</v>
      </c>
      <c r="N28">
        <v>3</v>
      </c>
      <c r="O28">
        <f t="shared" ca="1" si="6"/>
        <v>3</v>
      </c>
      <c r="P28">
        <f t="shared" ca="1" si="7"/>
        <v>11</v>
      </c>
      <c r="Q28" s="7">
        <f t="shared" si="8"/>
        <v>2</v>
      </c>
      <c r="R28" s="7">
        <f>MAX(L28:N28)-MIN(L28:N28)</f>
        <v>3</v>
      </c>
      <c r="S28" s="7">
        <f t="shared" ca="1" si="9"/>
        <v>1.0226546793213413E-2</v>
      </c>
      <c r="T28" s="7">
        <f t="shared" ca="1" si="10"/>
        <v>3.5592509041291673E-2</v>
      </c>
      <c r="U28" s="5"/>
      <c r="V28" s="15"/>
      <c r="W28" s="18">
        <f>IF($K28 = "Machine 1", $Q28, " ")</f>
        <v>2</v>
      </c>
      <c r="X28" s="18" t="str">
        <f>IF($K28 = "Machine 2", $Q28, " ")</f>
        <v xml:space="preserve"> </v>
      </c>
      <c r="Y28" s="18" t="str">
        <f>IF($K28 = "Machine 3", $Q28, " ")</f>
        <v xml:space="preserve"> </v>
      </c>
      <c r="Z28" s="18">
        <f>IF($K28="Machine 1", $R28," ")</f>
        <v>3</v>
      </c>
      <c r="AA28" s="18" t="str">
        <f>IF($K28="Machine 2", $R28," ")</f>
        <v xml:space="preserve"> </v>
      </c>
      <c r="AB28" s="18" t="str">
        <f>IF($K28="Machine 3", $R28," ")</f>
        <v xml:space="preserve"> </v>
      </c>
    </row>
    <row r="29" spans="1:28" x14ac:dyDescent="0.25">
      <c r="A29" t="s">
        <v>36</v>
      </c>
      <c r="B29" t="s">
        <v>1</v>
      </c>
      <c r="C29" t="str">
        <f t="shared" si="0"/>
        <v>057137</v>
      </c>
      <c r="D29" t="str">
        <f t="shared" si="1"/>
        <v>TOR</v>
      </c>
      <c r="E29" t="str" cm="1">
        <f t="array" ref="E29">INDEX($E$2:$E$4, MOD(ROW()-1,3)+1)</f>
        <v>Machine 2</v>
      </c>
      <c r="F29">
        <f t="shared" ca="1" si="2"/>
        <v>3</v>
      </c>
      <c r="G29">
        <f t="shared" ca="1" si="3"/>
        <v>1</v>
      </c>
      <c r="H29">
        <f ca="1">RANDBETWEEN(1,J29-2)</f>
        <v>5</v>
      </c>
      <c r="I29">
        <f t="shared" ca="1" si="4"/>
        <v>38</v>
      </c>
      <c r="J29">
        <f t="shared" ca="1" si="5"/>
        <v>14</v>
      </c>
      <c r="K29" t="str" cm="1">
        <f t="array" ref="K29">INDEX($E$2:$E$4, MOD(ROW()-1,3)+1)</f>
        <v>Machine 2</v>
      </c>
      <c r="L29">
        <v>1</v>
      </c>
      <c r="M29">
        <v>10</v>
      </c>
      <c r="N29">
        <v>3</v>
      </c>
      <c r="O29">
        <f t="shared" ca="1" si="6"/>
        <v>4</v>
      </c>
      <c r="P29">
        <f t="shared" ca="1" si="7"/>
        <v>5</v>
      </c>
      <c r="Q29" s="7">
        <f t="shared" si="8"/>
        <v>4.666666666666667</v>
      </c>
      <c r="R29" s="7">
        <f>MAX(L29:N29)-MIN(L29:N29)</f>
        <v>9</v>
      </c>
      <c r="S29" s="7">
        <f t="shared" ca="1" si="9"/>
        <v>1.2204217881878372E-2</v>
      </c>
      <c r="T29" s="7">
        <f t="shared" ca="1" si="10"/>
        <v>4.8018307067071525E-2</v>
      </c>
      <c r="U29" s="5"/>
      <c r="V29" s="15"/>
      <c r="W29" s="18" t="str">
        <f>IF($K29 = "Machine 1", $Q29, " ")</f>
        <v xml:space="preserve"> </v>
      </c>
      <c r="X29" s="18">
        <f>IF($K29 = "Machine 2", $Q29, " ")</f>
        <v>4.666666666666667</v>
      </c>
      <c r="Y29" s="18" t="str">
        <f>IF($K29 = "Machine 3", $Q29, " ")</f>
        <v xml:space="preserve"> </v>
      </c>
      <c r="Z29" s="18" t="str">
        <f>IF($K29="Machine 1", $R29," ")</f>
        <v xml:space="preserve"> </v>
      </c>
      <c r="AA29" s="18">
        <f>IF($K29="Machine 2", $R29," ")</f>
        <v>9</v>
      </c>
      <c r="AB29" s="18" t="str">
        <f>IF($K29="Machine 3", $R29," ")</f>
        <v xml:space="preserve"> </v>
      </c>
    </row>
    <row r="30" spans="1:28" x14ac:dyDescent="0.25">
      <c r="A30" t="s">
        <v>37</v>
      </c>
      <c r="B30" t="s">
        <v>1</v>
      </c>
      <c r="C30" t="str">
        <f t="shared" si="0"/>
        <v>057139</v>
      </c>
      <c r="D30" t="str">
        <f t="shared" si="1"/>
        <v>TOR</v>
      </c>
      <c r="E30" t="str" cm="1">
        <f t="array" ref="E30">INDEX($E$2:$E$4, MOD(ROW()-1,3)+1)</f>
        <v>Machine 3</v>
      </c>
      <c r="F30">
        <f t="shared" ca="1" si="2"/>
        <v>3</v>
      </c>
      <c r="G30">
        <f t="shared" ca="1" si="3"/>
        <v>1</v>
      </c>
      <c r="H30">
        <f ca="1">RANDBETWEEN(1,J30-2)</f>
        <v>1</v>
      </c>
      <c r="I30">
        <f t="shared" ca="1" si="4"/>
        <v>36</v>
      </c>
      <c r="J30">
        <f t="shared" ca="1" si="5"/>
        <v>5</v>
      </c>
      <c r="K30" t="str" cm="1">
        <f t="array" ref="K30">INDEX($E$2:$E$4, MOD(ROW()-1,3)+1)</f>
        <v>Machine 3</v>
      </c>
      <c r="L30">
        <v>0</v>
      </c>
      <c r="M30">
        <v>12</v>
      </c>
      <c r="N30">
        <v>3</v>
      </c>
      <c r="O30">
        <f t="shared" ca="1" si="6"/>
        <v>5</v>
      </c>
      <c r="P30">
        <f t="shared" ca="1" si="7"/>
        <v>3</v>
      </c>
      <c r="Q30" s="7">
        <f t="shared" si="8"/>
        <v>5</v>
      </c>
      <c r="R30" s="7">
        <f>MAX(L30:N30)-MIN(L30:N30)</f>
        <v>12</v>
      </c>
      <c r="S30" s="7">
        <f t="shared" ca="1" si="9"/>
        <v>1.0639814899717959E-2</v>
      </c>
      <c r="T30" s="7">
        <f t="shared" ca="1" si="10"/>
        <v>3.4388553549709697E-2</v>
      </c>
      <c r="U30" s="5"/>
      <c r="V30" s="15"/>
      <c r="W30" s="18" t="str">
        <f>IF($K30 = "Machine 1", $Q30, " ")</f>
        <v xml:space="preserve"> </v>
      </c>
      <c r="X30" s="18" t="str">
        <f>IF($K30 = "Machine 2", $Q30, " ")</f>
        <v xml:space="preserve"> </v>
      </c>
      <c r="Y30" s="18">
        <f>IF($K30 = "Machine 3", $Q30, " ")</f>
        <v>5</v>
      </c>
      <c r="Z30" s="18" t="str">
        <f>IF($K30="Machine 1", $R30," ")</f>
        <v xml:space="preserve"> </v>
      </c>
      <c r="AA30" s="18" t="str">
        <f>IF($K30="Machine 2", $R30," ")</f>
        <v xml:space="preserve"> </v>
      </c>
      <c r="AB30" s="18">
        <f>IF($K30="Machine 3", $R30," ")</f>
        <v>12</v>
      </c>
    </row>
    <row r="31" spans="1:28" x14ac:dyDescent="0.25">
      <c r="A31" t="s">
        <v>38</v>
      </c>
      <c r="B31" t="s">
        <v>1</v>
      </c>
      <c r="C31" t="str">
        <f t="shared" si="0"/>
        <v>057142</v>
      </c>
      <c r="D31" t="str">
        <f t="shared" si="1"/>
        <v>TOR</v>
      </c>
      <c r="E31" t="str" cm="1">
        <f t="array" ref="E31">INDEX($E$2:$E$4, MOD(ROW()-1,3)+1)</f>
        <v>Machine 1</v>
      </c>
      <c r="F31">
        <f t="shared" ca="1" si="2"/>
        <v>2</v>
      </c>
      <c r="G31">
        <f t="shared" ca="1" si="3"/>
        <v>1</v>
      </c>
      <c r="H31">
        <f ca="1">RANDBETWEEN(1,J31-2)</f>
        <v>2</v>
      </c>
      <c r="I31">
        <f t="shared" ca="1" si="4"/>
        <v>42</v>
      </c>
      <c r="J31">
        <f t="shared" ca="1" si="5"/>
        <v>5</v>
      </c>
      <c r="K31" t="str" cm="1">
        <f t="array" ref="K31">INDEX($E$2:$E$4, MOD(ROW()-1,3)+1)</f>
        <v>Machine 1</v>
      </c>
      <c r="L31">
        <v>1</v>
      </c>
      <c r="M31">
        <v>5</v>
      </c>
      <c r="N31">
        <v>2</v>
      </c>
      <c r="O31">
        <f t="shared" ca="1" si="6"/>
        <v>4</v>
      </c>
      <c r="P31">
        <f t="shared" ca="1" si="7"/>
        <v>11</v>
      </c>
      <c r="Q31" s="7">
        <f t="shared" si="8"/>
        <v>2.6666666666666665</v>
      </c>
      <c r="R31" s="7">
        <f>MAX(L31:N31)-MIN(L31:N31)</f>
        <v>4</v>
      </c>
      <c r="S31" s="7">
        <f t="shared" ca="1" si="9"/>
        <v>1.0625175944676223E-2</v>
      </c>
      <c r="T31" s="7">
        <f t="shared" ca="1" si="10"/>
        <v>1.0993062585300837E-2</v>
      </c>
      <c r="U31" s="5"/>
      <c r="V31" s="15"/>
      <c r="W31" s="18">
        <f>IF($K31 = "Machine 1", $Q31, " ")</f>
        <v>2.6666666666666665</v>
      </c>
      <c r="X31" s="18" t="str">
        <f>IF($K31 = "Machine 2", $Q31, " ")</f>
        <v xml:space="preserve"> </v>
      </c>
      <c r="Y31" s="18" t="str">
        <f>IF($K31 = "Machine 3", $Q31, " ")</f>
        <v xml:space="preserve"> </v>
      </c>
      <c r="Z31" s="18">
        <f>IF($K31="Machine 1", $R31," ")</f>
        <v>4</v>
      </c>
      <c r="AA31" s="18" t="str">
        <f>IF($K31="Machine 2", $R31," ")</f>
        <v xml:space="preserve"> </v>
      </c>
      <c r="AB31" s="18" t="str">
        <f>IF($K31="Machine 3", $R31," ")</f>
        <v xml:space="preserve"> </v>
      </c>
    </row>
    <row r="32" spans="1:28" x14ac:dyDescent="0.25">
      <c r="A32" t="s">
        <v>39</v>
      </c>
      <c r="B32" t="s">
        <v>1</v>
      </c>
      <c r="C32" t="str">
        <f t="shared" si="0"/>
        <v>057144</v>
      </c>
      <c r="D32" t="str">
        <f t="shared" si="1"/>
        <v>TOR</v>
      </c>
      <c r="E32" t="str" cm="1">
        <f t="array" ref="E32">INDEX($E$2:$E$4, MOD(ROW()-1,3)+1)</f>
        <v>Machine 2</v>
      </c>
      <c r="F32">
        <f t="shared" ca="1" si="2"/>
        <v>2</v>
      </c>
      <c r="G32">
        <f t="shared" ca="1" si="3"/>
        <v>1</v>
      </c>
      <c r="H32">
        <f ca="1">RANDBETWEEN(1,J32-2)</f>
        <v>9</v>
      </c>
      <c r="I32">
        <f t="shared" ca="1" si="4"/>
        <v>28</v>
      </c>
      <c r="J32">
        <f t="shared" ca="1" si="5"/>
        <v>14</v>
      </c>
      <c r="K32" t="str" cm="1">
        <f t="array" ref="K32">INDEX($E$2:$E$4, MOD(ROW()-1,3)+1)</f>
        <v>Machine 2</v>
      </c>
      <c r="L32">
        <v>0</v>
      </c>
      <c r="M32">
        <v>2</v>
      </c>
      <c r="N32">
        <v>3</v>
      </c>
      <c r="O32">
        <f t="shared" ca="1" si="6"/>
        <v>5</v>
      </c>
      <c r="P32">
        <f t="shared" ca="1" si="7"/>
        <v>2</v>
      </c>
      <c r="Q32" s="7">
        <f t="shared" si="8"/>
        <v>1.6666666666666667</v>
      </c>
      <c r="R32" s="7">
        <f>MAX(L32:N32)-MIN(L32:N32)</f>
        <v>3</v>
      </c>
      <c r="S32" s="7">
        <f t="shared" ca="1" si="9"/>
        <v>1.3357079243739151E-2</v>
      </c>
      <c r="T32" s="7">
        <f t="shared" ca="1" si="10"/>
        <v>1.6741512870584535E-2</v>
      </c>
      <c r="U32" s="5"/>
      <c r="V32" s="15"/>
      <c r="W32" s="18" t="str">
        <f>IF($K32 = "Machine 1", $Q32, " ")</f>
        <v xml:space="preserve"> </v>
      </c>
      <c r="X32" s="18">
        <f>IF($K32 = "Machine 2", $Q32, " ")</f>
        <v>1.6666666666666667</v>
      </c>
      <c r="Y32" s="18" t="str">
        <f>IF($K32 = "Machine 3", $Q32, " ")</f>
        <v xml:space="preserve"> </v>
      </c>
      <c r="Z32" s="18" t="str">
        <f>IF($K32="Machine 1", $R32," ")</f>
        <v xml:space="preserve"> </v>
      </c>
      <c r="AA32" s="18">
        <f>IF($K32="Machine 2", $R32," ")</f>
        <v>3</v>
      </c>
      <c r="AB32" s="18" t="str">
        <f>IF($K32="Machine 3", $R32," ")</f>
        <v xml:space="preserve"> </v>
      </c>
    </row>
    <row r="33" spans="1:28" x14ac:dyDescent="0.25">
      <c r="A33" t="s">
        <v>40</v>
      </c>
      <c r="B33" t="s">
        <v>1</v>
      </c>
      <c r="C33" t="str">
        <f t="shared" si="0"/>
        <v>057146</v>
      </c>
      <c r="D33" t="str">
        <f t="shared" si="1"/>
        <v>TOR</v>
      </c>
      <c r="E33" t="str" cm="1">
        <f t="array" ref="E33">INDEX($E$2:$E$4, MOD(ROW()-1,3)+1)</f>
        <v>Machine 3</v>
      </c>
      <c r="F33">
        <f t="shared" ca="1" si="2"/>
        <v>2</v>
      </c>
      <c r="G33">
        <f t="shared" ca="1" si="3"/>
        <v>0</v>
      </c>
      <c r="H33">
        <f ca="1">RANDBETWEEN(1,J33-2)</f>
        <v>1</v>
      </c>
      <c r="I33">
        <f t="shared" ca="1" si="4"/>
        <v>48</v>
      </c>
      <c r="J33">
        <f t="shared" ca="1" si="5"/>
        <v>12</v>
      </c>
      <c r="K33" t="str" cm="1">
        <f t="array" ref="K33">INDEX($E$2:$E$4, MOD(ROW()-1,3)+1)</f>
        <v>Machine 3</v>
      </c>
      <c r="L33">
        <v>1</v>
      </c>
      <c r="M33">
        <v>6</v>
      </c>
      <c r="N33">
        <v>2</v>
      </c>
      <c r="O33">
        <f t="shared" ca="1" si="6"/>
        <v>4</v>
      </c>
      <c r="P33">
        <f t="shared" ca="1" si="7"/>
        <v>3</v>
      </c>
      <c r="Q33" s="7">
        <f t="shared" si="8"/>
        <v>3</v>
      </c>
      <c r="R33" s="7">
        <f>MAX(L33:N33)-MIN(L33:N33)</f>
        <v>5</v>
      </c>
      <c r="S33" s="7">
        <f t="shared" ca="1" si="9"/>
        <v>2.1197307272120203E-2</v>
      </c>
      <c r="T33" s="7">
        <f t="shared" ca="1" si="10"/>
        <v>2.0278073723957381E-2</v>
      </c>
      <c r="U33" s="5"/>
      <c r="V33" s="15"/>
      <c r="W33" s="18" t="str">
        <f>IF($K33 = "Machine 1", $Q33, " ")</f>
        <v xml:space="preserve"> </v>
      </c>
      <c r="X33" s="18" t="str">
        <f>IF($K33 = "Machine 2", $Q33, " ")</f>
        <v xml:space="preserve"> </v>
      </c>
      <c r="Y33" s="18">
        <f>IF($K33 = "Machine 3", $Q33, " ")</f>
        <v>3</v>
      </c>
      <c r="Z33" s="18" t="str">
        <f>IF($K33="Machine 1", $R33," ")</f>
        <v xml:space="preserve"> </v>
      </c>
      <c r="AA33" s="18" t="str">
        <f>IF($K33="Machine 2", $R33," ")</f>
        <v xml:space="preserve"> </v>
      </c>
      <c r="AB33" s="18">
        <f>IF($K33="Machine 3", $R33," ")</f>
        <v>5</v>
      </c>
    </row>
    <row r="34" spans="1:28" x14ac:dyDescent="0.25">
      <c r="A34" t="s">
        <v>41</v>
      </c>
      <c r="B34" t="s">
        <v>1</v>
      </c>
      <c r="C34" t="str">
        <f t="shared" si="0"/>
        <v>057152</v>
      </c>
      <c r="D34" t="str">
        <f t="shared" si="1"/>
        <v>TOR</v>
      </c>
      <c r="E34" t="str" cm="1">
        <f t="array" ref="E34">INDEX($E$2:$E$4, MOD(ROW()-1,3)+1)</f>
        <v>Machine 1</v>
      </c>
      <c r="F34">
        <f t="shared" ca="1" si="2"/>
        <v>3</v>
      </c>
      <c r="G34">
        <f t="shared" ca="1" si="3"/>
        <v>0</v>
      </c>
      <c r="H34">
        <f ca="1">RANDBETWEEN(1,J34-2)</f>
        <v>2</v>
      </c>
      <c r="I34">
        <f t="shared" ca="1" si="4"/>
        <v>39</v>
      </c>
      <c r="J34">
        <f t="shared" ca="1" si="5"/>
        <v>6</v>
      </c>
      <c r="K34" t="str" cm="1">
        <f t="array" ref="K34">INDEX($E$2:$E$4, MOD(ROW()-1,3)+1)</f>
        <v>Machine 1</v>
      </c>
      <c r="L34">
        <v>1</v>
      </c>
      <c r="M34">
        <v>3</v>
      </c>
      <c r="N34">
        <v>2</v>
      </c>
      <c r="O34">
        <f t="shared" ca="1" si="6"/>
        <v>2</v>
      </c>
      <c r="P34">
        <f t="shared" ca="1" si="7"/>
        <v>11</v>
      </c>
      <c r="Q34" s="7">
        <f t="shared" si="8"/>
        <v>2</v>
      </c>
      <c r="R34" s="7">
        <f>MAX(L34:N34)-MIN(L34:N34)</f>
        <v>2</v>
      </c>
      <c r="S34" s="7">
        <f t="shared" ca="1" si="9"/>
        <v>2.5043457426187254E-2</v>
      </c>
      <c r="T34" s="7">
        <f t="shared" ca="1" si="10"/>
        <v>2.3588264363227137E-2</v>
      </c>
      <c r="U34" s="5"/>
      <c r="V34" s="15"/>
      <c r="W34" s="18">
        <f>IF($K34 = "Machine 1", $Q34, " ")</f>
        <v>2</v>
      </c>
      <c r="X34" s="18" t="str">
        <f>IF($K34 = "Machine 2", $Q34, " ")</f>
        <v xml:space="preserve"> </v>
      </c>
      <c r="Y34" s="18" t="str">
        <f>IF($K34 = "Machine 3", $Q34, " ")</f>
        <v xml:space="preserve"> </v>
      </c>
      <c r="Z34" s="18">
        <f>IF($K34="Machine 1", $R34," ")</f>
        <v>2</v>
      </c>
      <c r="AA34" s="18" t="str">
        <f>IF($K34="Machine 2", $R34," ")</f>
        <v xml:space="preserve"> </v>
      </c>
      <c r="AB34" s="18" t="str">
        <f>IF($K34="Machine 3", $R34," ")</f>
        <v xml:space="preserve"> </v>
      </c>
    </row>
    <row r="35" spans="1:28" x14ac:dyDescent="0.25">
      <c r="A35" t="s">
        <v>42</v>
      </c>
      <c r="B35" t="s">
        <v>1</v>
      </c>
      <c r="C35" t="str">
        <f t="shared" si="0"/>
        <v>057157</v>
      </c>
      <c r="D35" t="str">
        <f t="shared" si="1"/>
        <v>TOR</v>
      </c>
      <c r="E35" t="str" cm="1">
        <f t="array" ref="E35">INDEX($E$2:$E$4, MOD(ROW()-1,3)+1)</f>
        <v>Machine 2</v>
      </c>
      <c r="F35">
        <f t="shared" ca="1" si="2"/>
        <v>2</v>
      </c>
      <c r="G35">
        <f t="shared" ca="1" si="3"/>
        <v>1</v>
      </c>
      <c r="H35">
        <f ca="1">RANDBETWEEN(1,J35-2)</f>
        <v>2</v>
      </c>
      <c r="I35">
        <f t="shared" ca="1" si="4"/>
        <v>37</v>
      </c>
      <c r="J35">
        <f t="shared" ca="1" si="5"/>
        <v>5</v>
      </c>
      <c r="K35" t="str" cm="1">
        <f t="array" ref="K35">INDEX($E$2:$E$4, MOD(ROW()-1,3)+1)</f>
        <v>Machine 2</v>
      </c>
      <c r="L35">
        <v>0</v>
      </c>
      <c r="M35">
        <v>5</v>
      </c>
      <c r="N35">
        <v>2</v>
      </c>
      <c r="O35">
        <f t="shared" ca="1" si="6"/>
        <v>1</v>
      </c>
      <c r="P35">
        <f t="shared" ca="1" si="7"/>
        <v>8</v>
      </c>
      <c r="Q35" s="7">
        <f t="shared" si="8"/>
        <v>2.3333333333333335</v>
      </c>
      <c r="R35" s="7">
        <f>MAX(L35:N35)-MIN(L35:N35)</f>
        <v>5</v>
      </c>
      <c r="S35" s="7">
        <f t="shared" ca="1" si="9"/>
        <v>2.502576151969987E-2</v>
      </c>
      <c r="T35" s="7">
        <f t="shared" ca="1" si="10"/>
        <v>3.0345129911012913E-2</v>
      </c>
      <c r="U35" s="5"/>
      <c r="V35" s="15"/>
      <c r="W35" s="18" t="str">
        <f>IF($K35 = "Machine 1", $Q35, " ")</f>
        <v xml:space="preserve"> </v>
      </c>
      <c r="X35" s="18">
        <f>IF($K35 = "Machine 2", $Q35, " ")</f>
        <v>2.3333333333333335</v>
      </c>
      <c r="Y35" s="18" t="str">
        <f>IF($K35 = "Machine 3", $Q35, " ")</f>
        <v xml:space="preserve"> </v>
      </c>
      <c r="Z35" s="18" t="str">
        <f>IF($K35="Machine 1", $R35," ")</f>
        <v xml:space="preserve"> </v>
      </c>
      <c r="AA35" s="18">
        <f>IF($K35="Machine 2", $R35," ")</f>
        <v>5</v>
      </c>
      <c r="AB35" s="18" t="str">
        <f>IF($K35="Machine 3", $R35," ")</f>
        <v xml:space="preserve"> </v>
      </c>
    </row>
    <row r="36" spans="1:28" x14ac:dyDescent="0.25">
      <c r="A36" t="s">
        <v>43</v>
      </c>
      <c r="B36" t="s">
        <v>1</v>
      </c>
      <c r="C36" t="str">
        <f t="shared" si="0"/>
        <v>057159</v>
      </c>
      <c r="D36" t="str">
        <f t="shared" si="1"/>
        <v>TOR</v>
      </c>
      <c r="E36" t="str" cm="1">
        <f t="array" ref="E36">INDEX($E$2:$E$4, MOD(ROW()-1,3)+1)</f>
        <v>Machine 3</v>
      </c>
      <c r="F36">
        <f t="shared" ca="1" si="2"/>
        <v>3</v>
      </c>
      <c r="G36">
        <f t="shared" ca="1" si="3"/>
        <v>1</v>
      </c>
      <c r="H36">
        <f ca="1">RANDBETWEEN(1,J36-2)</f>
        <v>5</v>
      </c>
      <c r="I36">
        <f t="shared" ca="1" si="4"/>
        <v>45</v>
      </c>
      <c r="J36">
        <f t="shared" ca="1" si="5"/>
        <v>10</v>
      </c>
      <c r="K36" t="str" cm="1">
        <f t="array" ref="K36">INDEX($E$2:$E$4, MOD(ROW()-1,3)+1)</f>
        <v>Machine 3</v>
      </c>
      <c r="L36">
        <v>1</v>
      </c>
      <c r="M36">
        <v>3</v>
      </c>
      <c r="N36">
        <v>3</v>
      </c>
      <c r="O36">
        <f t="shared" ca="1" si="6"/>
        <v>4</v>
      </c>
      <c r="P36">
        <f t="shared" ca="1" si="7"/>
        <v>7</v>
      </c>
      <c r="Q36" s="7">
        <f t="shared" si="8"/>
        <v>2.3333333333333335</v>
      </c>
      <c r="R36" s="7">
        <f>MAX(L36:N36)-MIN(L36:N36)</f>
        <v>2</v>
      </c>
      <c r="S36" s="7">
        <f t="shared" ca="1" si="9"/>
        <v>1.9112376941514759E-2</v>
      </c>
      <c r="T36" s="7">
        <f t="shared" ca="1" si="10"/>
        <v>3.3601157936829482E-2</v>
      </c>
      <c r="U36" s="5"/>
      <c r="V36" s="15"/>
      <c r="W36" s="18" t="str">
        <f>IF($K36 = "Machine 1", $Q36, " ")</f>
        <v xml:space="preserve"> </v>
      </c>
      <c r="X36" s="18" t="str">
        <f>IF($K36 = "Machine 2", $Q36, " ")</f>
        <v xml:space="preserve"> </v>
      </c>
      <c r="Y36" s="18">
        <f>IF($K36 = "Machine 3", $Q36, " ")</f>
        <v>2.3333333333333335</v>
      </c>
      <c r="Z36" s="18" t="str">
        <f>IF($K36="Machine 1", $R36," ")</f>
        <v xml:space="preserve"> </v>
      </c>
      <c r="AA36" s="18" t="str">
        <f>IF($K36="Machine 2", $R36," ")</f>
        <v xml:space="preserve"> </v>
      </c>
      <c r="AB36" s="18">
        <f>IF($K36="Machine 3", $R36," ")</f>
        <v>2</v>
      </c>
    </row>
    <row r="37" spans="1:28" x14ac:dyDescent="0.25">
      <c r="A37" t="s">
        <v>44</v>
      </c>
      <c r="B37" t="s">
        <v>1</v>
      </c>
      <c r="C37" t="str">
        <f t="shared" si="0"/>
        <v>057162</v>
      </c>
      <c r="D37" t="str">
        <f t="shared" si="1"/>
        <v>TOR</v>
      </c>
      <c r="E37" t="str" cm="1">
        <f t="array" ref="E37">INDEX($E$2:$E$4, MOD(ROW()-1,3)+1)</f>
        <v>Machine 1</v>
      </c>
      <c r="F37">
        <f t="shared" ca="1" si="2"/>
        <v>2</v>
      </c>
      <c r="G37">
        <f t="shared" ca="1" si="3"/>
        <v>1</v>
      </c>
      <c r="H37">
        <f ca="1">RANDBETWEEN(1,J37-2)</f>
        <v>3</v>
      </c>
      <c r="I37">
        <f t="shared" ca="1" si="4"/>
        <v>34</v>
      </c>
      <c r="J37">
        <f t="shared" ca="1" si="5"/>
        <v>12</v>
      </c>
      <c r="K37" t="str" cm="1">
        <f t="array" ref="K37">INDEX($E$2:$E$4, MOD(ROW()-1,3)+1)</f>
        <v>Machine 1</v>
      </c>
      <c r="L37">
        <v>0</v>
      </c>
      <c r="M37">
        <v>3</v>
      </c>
      <c r="N37">
        <v>2</v>
      </c>
      <c r="O37">
        <f t="shared" ca="1" si="6"/>
        <v>2</v>
      </c>
      <c r="P37">
        <f t="shared" ca="1" si="7"/>
        <v>7</v>
      </c>
      <c r="Q37" s="7">
        <f t="shared" si="8"/>
        <v>1.6666666666666667</v>
      </c>
      <c r="R37" s="7">
        <f>MAX(L37:N37)-MIN(L37:N37)</f>
        <v>3</v>
      </c>
      <c r="S37" s="7">
        <f t="shared" ca="1" si="9"/>
        <v>2.4975564393729086E-2</v>
      </c>
      <c r="T37" s="7">
        <f t="shared" ca="1" si="10"/>
        <v>3.0778098344618653E-2</v>
      </c>
      <c r="U37" s="5"/>
      <c r="V37" s="15"/>
      <c r="W37" s="18">
        <f>IF($K37 = "Machine 1", $Q37, " ")</f>
        <v>1.6666666666666667</v>
      </c>
      <c r="X37" s="18" t="str">
        <f>IF($K37 = "Machine 2", $Q37, " ")</f>
        <v xml:space="preserve"> </v>
      </c>
      <c r="Y37" s="18" t="str">
        <f>IF($K37 = "Machine 3", $Q37, " ")</f>
        <v xml:space="preserve"> </v>
      </c>
      <c r="Z37" s="18">
        <f>IF($K37="Machine 1", $R37," ")</f>
        <v>3</v>
      </c>
      <c r="AA37" s="18" t="str">
        <f>IF($K37="Machine 2", $R37," ")</f>
        <v xml:space="preserve"> </v>
      </c>
      <c r="AB37" s="18" t="str">
        <f>IF($K37="Machine 3", $R37," ")</f>
        <v xml:space="preserve"> </v>
      </c>
    </row>
    <row r="38" spans="1:28" x14ac:dyDescent="0.25">
      <c r="A38" t="s">
        <v>45</v>
      </c>
      <c r="B38" t="s">
        <v>1</v>
      </c>
      <c r="C38" t="str">
        <f t="shared" si="0"/>
        <v>057164</v>
      </c>
      <c r="D38" t="str">
        <f t="shared" si="1"/>
        <v>TOR</v>
      </c>
      <c r="E38" t="str" cm="1">
        <f t="array" ref="E38">INDEX($E$2:$E$4, MOD(ROW()-1,3)+1)</f>
        <v>Machine 2</v>
      </c>
      <c r="F38">
        <f t="shared" ca="1" si="2"/>
        <v>2</v>
      </c>
      <c r="G38">
        <f t="shared" ca="1" si="3"/>
        <v>1</v>
      </c>
      <c r="H38">
        <f ca="1">RANDBETWEEN(1,J38-2)</f>
        <v>8</v>
      </c>
      <c r="I38">
        <f t="shared" ca="1" si="4"/>
        <v>32</v>
      </c>
      <c r="J38">
        <f t="shared" ca="1" si="5"/>
        <v>11</v>
      </c>
      <c r="K38" t="str" cm="1">
        <f t="array" ref="K38">INDEX($E$2:$E$4, MOD(ROW()-1,3)+1)</f>
        <v>Machine 2</v>
      </c>
      <c r="L38">
        <v>0</v>
      </c>
      <c r="M38">
        <v>6</v>
      </c>
      <c r="N38">
        <v>3</v>
      </c>
      <c r="O38">
        <f t="shared" ca="1" si="6"/>
        <v>5</v>
      </c>
      <c r="P38">
        <f t="shared" ca="1" si="7"/>
        <v>7</v>
      </c>
      <c r="Q38" s="7">
        <f t="shared" si="8"/>
        <v>3</v>
      </c>
      <c r="R38" s="7">
        <f>MAX(L38:N38)-MIN(L38:N38)</f>
        <v>6</v>
      </c>
      <c r="S38" s="7">
        <f t="shared" ca="1" si="9"/>
        <v>2.6465017336793406E-2</v>
      </c>
      <c r="T38" s="7">
        <f t="shared" ca="1" si="10"/>
        <v>3.0946385919520005E-2</v>
      </c>
      <c r="U38" s="5"/>
      <c r="V38" s="15"/>
      <c r="W38" s="18" t="str">
        <f>IF($K38 = "Machine 1", $Q38, " ")</f>
        <v xml:space="preserve"> </v>
      </c>
      <c r="X38" s="18">
        <f>IF($K38 = "Machine 2", $Q38, " ")</f>
        <v>3</v>
      </c>
      <c r="Y38" s="18" t="str">
        <f>IF($K38 = "Machine 3", $Q38, " ")</f>
        <v xml:space="preserve"> </v>
      </c>
      <c r="Z38" s="18" t="str">
        <f>IF($K38="Machine 1", $R38," ")</f>
        <v xml:space="preserve"> </v>
      </c>
      <c r="AA38" s="18">
        <f>IF($K38="Machine 2", $R38," ")</f>
        <v>6</v>
      </c>
      <c r="AB38" s="18" t="str">
        <f>IF($K38="Machine 3", $R38," ")</f>
        <v xml:space="preserve"> </v>
      </c>
    </row>
    <row r="39" spans="1:28" x14ac:dyDescent="0.25">
      <c r="A39" t="s">
        <v>46</v>
      </c>
      <c r="B39" t="s">
        <v>1</v>
      </c>
      <c r="C39" t="str">
        <f t="shared" si="0"/>
        <v>057166</v>
      </c>
      <c r="D39" t="str">
        <f t="shared" si="1"/>
        <v>TOR</v>
      </c>
      <c r="E39" t="str" cm="1">
        <f t="array" ref="E39">INDEX($E$2:$E$4, MOD(ROW()-1,3)+1)</f>
        <v>Machine 3</v>
      </c>
      <c r="F39">
        <f t="shared" ca="1" si="2"/>
        <v>2</v>
      </c>
      <c r="G39">
        <f t="shared" ca="1" si="3"/>
        <v>1</v>
      </c>
      <c r="H39">
        <f ca="1">RANDBETWEEN(1,J39-2)</f>
        <v>1</v>
      </c>
      <c r="I39">
        <f t="shared" ca="1" si="4"/>
        <v>25</v>
      </c>
      <c r="J39">
        <f t="shared" ca="1" si="5"/>
        <v>10</v>
      </c>
      <c r="K39" t="str" cm="1">
        <f t="array" ref="K39">INDEX($E$2:$E$4, MOD(ROW()-1,3)+1)</f>
        <v>Machine 3</v>
      </c>
      <c r="L39">
        <v>0</v>
      </c>
      <c r="M39">
        <v>3</v>
      </c>
      <c r="N39">
        <v>2</v>
      </c>
      <c r="O39">
        <f t="shared" ca="1" si="6"/>
        <v>1</v>
      </c>
      <c r="P39">
        <f t="shared" ca="1" si="7"/>
        <v>8</v>
      </c>
      <c r="Q39" s="7">
        <f t="shared" si="8"/>
        <v>1.6666666666666667</v>
      </c>
      <c r="R39" s="7">
        <f>MAX(L39:N39)-MIN(L39:N39)</f>
        <v>3</v>
      </c>
      <c r="S39" s="7">
        <f t="shared" ca="1" si="9"/>
        <v>3.576996808090737E-2</v>
      </c>
      <c r="T39" s="7">
        <f t="shared" ca="1" si="10"/>
        <v>3.1575642302409328E-2</v>
      </c>
      <c r="U39" s="5"/>
      <c r="V39" s="15"/>
      <c r="W39" s="18" t="str">
        <f>IF($K39 = "Machine 1", $Q39, " ")</f>
        <v xml:space="preserve"> </v>
      </c>
      <c r="X39" s="18" t="str">
        <f>IF($K39 = "Machine 2", $Q39, " ")</f>
        <v xml:space="preserve"> </v>
      </c>
      <c r="Y39" s="18">
        <f>IF($K39 = "Machine 3", $Q39, " ")</f>
        <v>1.6666666666666667</v>
      </c>
      <c r="Z39" s="18" t="str">
        <f>IF($K39="Machine 1", $R39," ")</f>
        <v xml:space="preserve"> </v>
      </c>
      <c r="AA39" s="18" t="str">
        <f>IF($K39="Machine 2", $R39," ")</f>
        <v xml:space="preserve"> </v>
      </c>
      <c r="AB39" s="18">
        <f>IF($K39="Machine 3", $R39," ")</f>
        <v>3</v>
      </c>
    </row>
    <row r="40" spans="1:28" x14ac:dyDescent="0.25">
      <c r="A40" t="s">
        <v>47</v>
      </c>
      <c r="B40" t="s">
        <v>1</v>
      </c>
      <c r="C40" t="str">
        <f t="shared" si="0"/>
        <v>057172</v>
      </c>
      <c r="D40" t="str">
        <f t="shared" si="1"/>
        <v>TOR</v>
      </c>
      <c r="E40" t="str" cm="1">
        <f t="array" ref="E40">INDEX($E$2:$E$4, MOD(ROW()-1,3)+1)</f>
        <v>Machine 1</v>
      </c>
      <c r="F40">
        <f t="shared" ca="1" si="2"/>
        <v>2</v>
      </c>
      <c r="G40">
        <f t="shared" ca="1" si="3"/>
        <v>1</v>
      </c>
      <c r="H40">
        <f ca="1">RANDBETWEEN(1,J40-2)</f>
        <v>5</v>
      </c>
      <c r="I40">
        <f t="shared" ca="1" si="4"/>
        <v>36</v>
      </c>
      <c r="J40">
        <f t="shared" ca="1" si="5"/>
        <v>10</v>
      </c>
      <c r="K40" t="str" cm="1">
        <f t="array" ref="K40">INDEX($E$2:$E$4, MOD(ROW()-1,3)+1)</f>
        <v>Machine 1</v>
      </c>
      <c r="L40">
        <v>0</v>
      </c>
      <c r="M40">
        <v>3</v>
      </c>
      <c r="N40">
        <v>3</v>
      </c>
      <c r="O40">
        <f t="shared" ca="1" si="6"/>
        <v>3</v>
      </c>
      <c r="P40">
        <f t="shared" ca="1" si="7"/>
        <v>4</v>
      </c>
      <c r="Q40" s="7">
        <f t="shared" si="8"/>
        <v>2</v>
      </c>
      <c r="R40" s="7">
        <f>MAX(L40:N40)-MIN(L40:N40)</f>
        <v>3</v>
      </c>
      <c r="S40" s="7">
        <f t="shared" ca="1" si="9"/>
        <v>3.1642536391105862E-2</v>
      </c>
      <c r="T40" s="7">
        <f t="shared" ca="1" si="10"/>
        <v>3.3363922601482465E-2</v>
      </c>
      <c r="U40" s="5"/>
      <c r="V40" s="15"/>
      <c r="W40" s="18">
        <f>IF($K40 = "Machine 1", $Q40, " ")</f>
        <v>2</v>
      </c>
      <c r="X40" s="18" t="str">
        <f>IF($K40 = "Machine 2", $Q40, " ")</f>
        <v xml:space="preserve"> </v>
      </c>
      <c r="Y40" s="18" t="str">
        <f>IF($K40 = "Machine 3", $Q40, " ")</f>
        <v xml:space="preserve"> </v>
      </c>
      <c r="Z40" s="18">
        <f>IF($K40="Machine 1", $R40," ")</f>
        <v>3</v>
      </c>
      <c r="AA40" s="18" t="str">
        <f>IF($K40="Machine 2", $R40," ")</f>
        <v xml:space="preserve"> </v>
      </c>
      <c r="AB40" s="18" t="str">
        <f>IF($K40="Machine 3", $R40," ")</f>
        <v xml:space="preserve"> </v>
      </c>
    </row>
    <row r="41" spans="1:28" x14ac:dyDescent="0.25">
      <c r="A41" t="s">
        <v>48</v>
      </c>
      <c r="B41" t="s">
        <v>1</v>
      </c>
      <c r="C41" t="str">
        <f t="shared" si="0"/>
        <v>057191</v>
      </c>
      <c r="D41" t="str">
        <f t="shared" si="1"/>
        <v>TOR</v>
      </c>
      <c r="E41" t="str" cm="1">
        <f t="array" ref="E41">INDEX($E$2:$E$4, MOD(ROW()-1,3)+1)</f>
        <v>Machine 2</v>
      </c>
      <c r="F41">
        <f t="shared" ca="1" si="2"/>
        <v>3</v>
      </c>
      <c r="G41">
        <f t="shared" ca="1" si="3"/>
        <v>1</v>
      </c>
      <c r="H41">
        <f ca="1">RANDBETWEEN(1,J41-2)</f>
        <v>2</v>
      </c>
      <c r="I41">
        <f t="shared" ca="1" si="4"/>
        <v>40</v>
      </c>
      <c r="J41">
        <f t="shared" ca="1" si="5"/>
        <v>5</v>
      </c>
      <c r="K41" t="str" cm="1">
        <f t="array" ref="K41">INDEX($E$2:$E$4, MOD(ROW()-1,3)+1)</f>
        <v>Machine 2</v>
      </c>
      <c r="L41">
        <v>1</v>
      </c>
      <c r="M41">
        <v>3</v>
      </c>
      <c r="N41">
        <v>2</v>
      </c>
      <c r="O41">
        <f t="shared" ca="1" si="6"/>
        <v>2</v>
      </c>
      <c r="P41">
        <f t="shared" ca="1" si="7"/>
        <v>4</v>
      </c>
      <c r="Q41" s="7">
        <f t="shared" si="8"/>
        <v>2</v>
      </c>
      <c r="R41" s="7">
        <f>MAX(L41:N41)-MIN(L41:N41)</f>
        <v>2</v>
      </c>
      <c r="S41" s="7">
        <f t="shared" ca="1" si="9"/>
        <v>3.7194063682087858E-2</v>
      </c>
      <c r="T41" s="7">
        <f t="shared" ca="1" si="10"/>
        <v>3.4088781835894484E-2</v>
      </c>
      <c r="U41" s="5"/>
      <c r="V41" s="15"/>
      <c r="W41" s="18" t="str">
        <f>IF($K41 = "Machine 1", $Q41, " ")</f>
        <v xml:space="preserve"> </v>
      </c>
      <c r="X41" s="18">
        <f>IF($K41 = "Machine 2", $Q41, " ")</f>
        <v>2</v>
      </c>
      <c r="Y41" s="18" t="str">
        <f>IF($K41 = "Machine 3", $Q41, " ")</f>
        <v xml:space="preserve"> </v>
      </c>
      <c r="Z41" s="18" t="str">
        <f>IF($K41="Machine 1", $R41," ")</f>
        <v xml:space="preserve"> </v>
      </c>
      <c r="AA41" s="18">
        <f>IF($K41="Machine 2", $R41," ")</f>
        <v>2</v>
      </c>
      <c r="AB41" s="18" t="str">
        <f>IF($K41="Machine 3", $R41," ")</f>
        <v xml:space="preserve"> </v>
      </c>
    </row>
    <row r="42" spans="1:28" x14ac:dyDescent="0.25">
      <c r="A42" t="s">
        <v>49</v>
      </c>
      <c r="B42" t="s">
        <v>1</v>
      </c>
      <c r="C42" t="str">
        <f t="shared" si="0"/>
        <v>057193</v>
      </c>
      <c r="D42" t="str">
        <f t="shared" si="1"/>
        <v>TOR</v>
      </c>
      <c r="E42" t="str" cm="1">
        <f t="array" ref="E42">INDEX($E$2:$E$4, MOD(ROW()-1,3)+1)</f>
        <v>Machine 3</v>
      </c>
      <c r="F42">
        <f t="shared" ca="1" si="2"/>
        <v>3</v>
      </c>
      <c r="G42">
        <f t="shared" ca="1" si="3"/>
        <v>0</v>
      </c>
      <c r="H42">
        <f ca="1">RANDBETWEEN(1,J42-2)</f>
        <v>3</v>
      </c>
      <c r="I42">
        <f t="shared" ca="1" si="4"/>
        <v>33</v>
      </c>
      <c r="J42">
        <f t="shared" ca="1" si="5"/>
        <v>6</v>
      </c>
      <c r="K42" t="str" cm="1">
        <f t="array" ref="K42">INDEX($E$2:$E$4, MOD(ROW()-1,3)+1)</f>
        <v>Machine 3</v>
      </c>
      <c r="L42">
        <v>1</v>
      </c>
      <c r="M42">
        <v>4</v>
      </c>
      <c r="N42">
        <v>2</v>
      </c>
      <c r="O42">
        <f t="shared" ca="1" si="6"/>
        <v>5</v>
      </c>
      <c r="P42">
        <f t="shared" ca="1" si="7"/>
        <v>8</v>
      </c>
      <c r="Q42" s="7">
        <f t="shared" si="8"/>
        <v>2.3333333333333335</v>
      </c>
      <c r="R42" s="7">
        <f>MAX(L42:N42)-MIN(L42:N42)</f>
        <v>3</v>
      </c>
      <c r="S42" s="7">
        <f t="shared" ca="1" si="9"/>
        <v>3.7174518897640424E-2</v>
      </c>
      <c r="T42" s="7">
        <f t="shared" ca="1" si="10"/>
        <v>3.1558718831436169E-2</v>
      </c>
      <c r="U42" s="5"/>
      <c r="V42" s="15"/>
      <c r="W42" s="18" t="str">
        <f>IF($K42 = "Machine 1", $Q42, " ")</f>
        <v xml:space="preserve"> </v>
      </c>
      <c r="X42" s="18" t="str">
        <f>IF($K42 = "Machine 2", $Q42, " ")</f>
        <v xml:space="preserve"> </v>
      </c>
      <c r="Y42" s="18">
        <f>IF($K42 = "Machine 3", $Q42, " ")</f>
        <v>2.3333333333333335</v>
      </c>
      <c r="Z42" s="18" t="str">
        <f>IF($K42="Machine 1", $R42," ")</f>
        <v xml:space="preserve"> </v>
      </c>
      <c r="AA42" s="18" t="str">
        <f>IF($K42="Machine 2", $R42," ")</f>
        <v xml:space="preserve"> </v>
      </c>
      <c r="AB42" s="18">
        <f>IF($K42="Machine 3", $R42," ")</f>
        <v>3</v>
      </c>
    </row>
    <row r="43" spans="1:28" x14ac:dyDescent="0.25">
      <c r="A43" t="s">
        <v>50</v>
      </c>
      <c r="B43" t="s">
        <v>1</v>
      </c>
      <c r="C43" t="str">
        <f t="shared" si="0"/>
        <v>057198</v>
      </c>
      <c r="D43" t="str">
        <f t="shared" si="1"/>
        <v>TOR</v>
      </c>
      <c r="E43" t="str" cm="1">
        <f t="array" ref="E43">INDEX($E$2:$E$4, MOD(ROW()-1,3)+1)</f>
        <v>Machine 1</v>
      </c>
      <c r="F43">
        <f t="shared" ca="1" si="2"/>
        <v>2</v>
      </c>
      <c r="G43">
        <f t="shared" ca="1" si="3"/>
        <v>1</v>
      </c>
      <c r="H43">
        <f ca="1">RANDBETWEEN(1,J43-2)</f>
        <v>3</v>
      </c>
      <c r="I43">
        <f t="shared" ca="1" si="4"/>
        <v>30</v>
      </c>
      <c r="J43">
        <f t="shared" ca="1" si="5"/>
        <v>12</v>
      </c>
      <c r="K43" t="str" cm="1">
        <f t="array" ref="K43">INDEX($E$2:$E$4, MOD(ROW()-1,3)+1)</f>
        <v>Machine 1</v>
      </c>
      <c r="L43">
        <v>1</v>
      </c>
      <c r="M43">
        <v>2</v>
      </c>
      <c r="N43">
        <v>3</v>
      </c>
      <c r="O43">
        <f t="shared" ca="1" si="6"/>
        <v>5</v>
      </c>
      <c r="P43">
        <f t="shared" ca="1" si="7"/>
        <v>12</v>
      </c>
      <c r="Q43" s="7">
        <f t="shared" si="8"/>
        <v>2</v>
      </c>
      <c r="R43" s="7">
        <f>MAX(L43:N43)-MIN(L43:N43)</f>
        <v>2</v>
      </c>
      <c r="S43" s="7">
        <f t="shared" ca="1" si="9"/>
        <v>5.3689909229673385E-2</v>
      </c>
      <c r="T43" s="7">
        <f t="shared" ca="1" si="10"/>
        <v>3.3111784062639031E-2</v>
      </c>
      <c r="U43" s="5"/>
      <c r="V43" s="15"/>
      <c r="W43" s="18">
        <f>IF($K43 = "Machine 1", $Q43, " ")</f>
        <v>2</v>
      </c>
      <c r="X43" s="18" t="str">
        <f>IF($K43 = "Machine 2", $Q43, " ")</f>
        <v xml:space="preserve"> </v>
      </c>
      <c r="Y43" s="18" t="str">
        <f>IF($K43 = "Machine 3", $Q43, " ")</f>
        <v xml:space="preserve"> </v>
      </c>
      <c r="Z43" s="18">
        <f>IF($K43="Machine 1", $R43," ")</f>
        <v>2</v>
      </c>
      <c r="AA43" s="18" t="str">
        <f>IF($K43="Machine 2", $R43," ")</f>
        <v xml:space="preserve"> </v>
      </c>
      <c r="AB43" s="18" t="str">
        <f>IF($K43="Machine 3", $R43," ")</f>
        <v xml:space="preserve"> </v>
      </c>
    </row>
    <row r="44" spans="1:28" x14ac:dyDescent="0.25">
      <c r="A44" t="s">
        <v>51</v>
      </c>
      <c r="B44" t="s">
        <v>1</v>
      </c>
      <c r="C44" t="str">
        <f t="shared" si="0"/>
        <v>057203</v>
      </c>
      <c r="D44" t="str">
        <f t="shared" si="1"/>
        <v>TOR</v>
      </c>
      <c r="E44" t="str" cm="1">
        <f t="array" ref="E44">INDEX($E$2:$E$4, MOD(ROW()-1,3)+1)</f>
        <v>Machine 2</v>
      </c>
      <c r="F44">
        <f t="shared" ca="1" si="2"/>
        <v>3</v>
      </c>
      <c r="G44">
        <f t="shared" ca="1" si="3"/>
        <v>0</v>
      </c>
      <c r="H44">
        <f ca="1">RANDBETWEEN(1,J44-2)</f>
        <v>5</v>
      </c>
      <c r="I44">
        <f t="shared" ca="1" si="4"/>
        <v>34</v>
      </c>
      <c r="J44">
        <f t="shared" ca="1" si="5"/>
        <v>12</v>
      </c>
      <c r="K44" t="str" cm="1">
        <f t="array" ref="K44">INDEX($E$2:$E$4, MOD(ROW()-1,3)+1)</f>
        <v>Machine 2</v>
      </c>
      <c r="L44">
        <v>1</v>
      </c>
      <c r="M44">
        <v>3</v>
      </c>
      <c r="N44">
        <v>3</v>
      </c>
      <c r="O44">
        <f t="shared" ca="1" si="6"/>
        <v>3</v>
      </c>
      <c r="P44">
        <f t="shared" ca="1" si="7"/>
        <v>2</v>
      </c>
      <c r="Q44" s="7">
        <f t="shared" si="8"/>
        <v>2.3333333333333335</v>
      </c>
      <c r="R44" s="7">
        <f>MAX(L44:N44)-MIN(L44:N44)</f>
        <v>2</v>
      </c>
      <c r="S44" s="7">
        <f t="shared" ca="1" si="9"/>
        <v>7.916433720095542E-2</v>
      </c>
      <c r="T44" s="7">
        <f t="shared" ca="1" si="10"/>
        <v>4.9228180130718745E-2</v>
      </c>
      <c r="U44" s="5"/>
      <c r="V44" s="15"/>
      <c r="W44" s="18" t="str">
        <f>IF($K44 = "Machine 1", $Q44, " ")</f>
        <v xml:space="preserve"> </v>
      </c>
      <c r="X44" s="18">
        <f>IF($K44 = "Machine 2", $Q44, " ")</f>
        <v>2.3333333333333335</v>
      </c>
      <c r="Y44" s="18" t="str">
        <f>IF($K44 = "Machine 3", $Q44, " ")</f>
        <v xml:space="preserve"> </v>
      </c>
      <c r="Z44" s="18" t="str">
        <f>IF($K44="Machine 1", $R44," ")</f>
        <v xml:space="preserve"> </v>
      </c>
      <c r="AA44" s="18">
        <f>IF($K44="Machine 2", $R44," ")</f>
        <v>2</v>
      </c>
      <c r="AB44" s="18" t="str">
        <f>IF($K44="Machine 3", $R44," ")</f>
        <v xml:space="preserve"> </v>
      </c>
    </row>
    <row r="45" spans="1:28" x14ac:dyDescent="0.25">
      <c r="A45" t="s">
        <v>52</v>
      </c>
      <c r="B45" t="s">
        <v>1</v>
      </c>
      <c r="C45" t="str">
        <f t="shared" si="0"/>
        <v>057221</v>
      </c>
      <c r="D45" t="str">
        <f t="shared" si="1"/>
        <v>TOR</v>
      </c>
      <c r="E45" t="str" cm="1">
        <f t="array" ref="E45">INDEX($E$2:$E$4, MOD(ROW()-1,3)+1)</f>
        <v>Machine 3</v>
      </c>
      <c r="F45">
        <f t="shared" ca="1" si="2"/>
        <v>3</v>
      </c>
      <c r="G45">
        <f t="shared" ca="1" si="3"/>
        <v>0</v>
      </c>
      <c r="H45">
        <f ca="1">RANDBETWEEN(1,J45-2)</f>
        <v>11</v>
      </c>
      <c r="I45">
        <f t="shared" ca="1" si="4"/>
        <v>45</v>
      </c>
      <c r="J45">
        <f t="shared" ca="1" si="5"/>
        <v>13</v>
      </c>
      <c r="K45" t="str" cm="1">
        <f t="array" ref="K45">INDEX($E$2:$E$4, MOD(ROW()-1,3)+1)</f>
        <v>Machine 3</v>
      </c>
      <c r="L45">
        <v>0</v>
      </c>
      <c r="M45">
        <v>6</v>
      </c>
      <c r="N45">
        <v>2</v>
      </c>
      <c r="O45">
        <f t="shared" ca="1" si="6"/>
        <v>5</v>
      </c>
      <c r="P45">
        <f t="shared" ca="1" si="7"/>
        <v>2</v>
      </c>
      <c r="Q45" s="7">
        <f t="shared" si="8"/>
        <v>2.6666666666666665</v>
      </c>
      <c r="R45" s="7">
        <f>MAX(L45:N45)-MIN(L45:N45)</f>
        <v>6</v>
      </c>
      <c r="S45" s="7">
        <f t="shared" ca="1" si="9"/>
        <v>8.7374564882841135E-2</v>
      </c>
      <c r="T45" s="7">
        <f t="shared" ca="1" si="10"/>
        <v>5.1266816059586787E-2</v>
      </c>
      <c r="U45" s="5"/>
      <c r="V45" s="15"/>
      <c r="W45" s="18" t="str">
        <f>IF($K45 = "Machine 1", $Q45, " ")</f>
        <v xml:space="preserve"> </v>
      </c>
      <c r="X45" s="18" t="str">
        <f>IF($K45 = "Machine 2", $Q45, " ")</f>
        <v xml:space="preserve"> </v>
      </c>
      <c r="Y45" s="18">
        <f>IF($K45 = "Machine 3", $Q45, " ")</f>
        <v>2.6666666666666665</v>
      </c>
      <c r="Z45" s="18" t="str">
        <f>IF($K45="Machine 1", $R45," ")</f>
        <v xml:space="preserve"> </v>
      </c>
      <c r="AA45" s="18" t="str">
        <f>IF($K45="Machine 2", $R45," ")</f>
        <v xml:space="preserve"> </v>
      </c>
      <c r="AB45" s="18">
        <f>IF($K45="Machine 3", $R45," ")</f>
        <v>6</v>
      </c>
    </row>
    <row r="46" spans="1:28" x14ac:dyDescent="0.25">
      <c r="A46" t="s">
        <v>53</v>
      </c>
      <c r="B46" t="s">
        <v>1</v>
      </c>
      <c r="C46" t="str">
        <f t="shared" si="0"/>
        <v>057225</v>
      </c>
      <c r="D46" t="str">
        <f t="shared" si="1"/>
        <v>TOR</v>
      </c>
      <c r="E46" t="str" cm="1">
        <f t="array" ref="E46">INDEX($E$2:$E$4, MOD(ROW()-1,3)+1)</f>
        <v>Machine 1</v>
      </c>
      <c r="F46">
        <f t="shared" ca="1" si="2"/>
        <v>2</v>
      </c>
      <c r="G46">
        <f t="shared" ca="1" si="3"/>
        <v>1</v>
      </c>
      <c r="H46">
        <f ca="1">RANDBETWEEN(1,J46-2)</f>
        <v>4</v>
      </c>
      <c r="I46">
        <f t="shared" ca="1" si="4"/>
        <v>44</v>
      </c>
      <c r="J46">
        <f t="shared" ca="1" si="5"/>
        <v>8</v>
      </c>
      <c r="K46" t="str" cm="1">
        <f t="array" ref="K46">INDEX($E$2:$E$4, MOD(ROW()-1,3)+1)</f>
        <v>Machine 1</v>
      </c>
      <c r="L46">
        <v>1</v>
      </c>
      <c r="M46">
        <v>2</v>
      </c>
      <c r="N46">
        <v>3</v>
      </c>
      <c r="O46">
        <f t="shared" ca="1" si="6"/>
        <v>5</v>
      </c>
      <c r="P46">
        <f t="shared" ca="1" si="7"/>
        <v>8</v>
      </c>
      <c r="Q46" s="7">
        <f t="shared" si="8"/>
        <v>2</v>
      </c>
      <c r="R46" s="7">
        <f>MAX(L46:N46)-MIN(L46:N46)</f>
        <v>2</v>
      </c>
      <c r="S46" s="7">
        <f t="shared" ca="1" si="9"/>
        <v>0.11798572902914946</v>
      </c>
      <c r="T46" s="7">
        <f t="shared" ca="1" si="10"/>
        <v>6.145076906350299E-2</v>
      </c>
      <c r="U46" s="5"/>
      <c r="V46" s="15"/>
      <c r="W46" s="18">
        <f>IF($K46 = "Machine 1", $Q46, " ")</f>
        <v>2</v>
      </c>
      <c r="X46" s="18" t="str">
        <f>IF($K46 = "Machine 2", $Q46, " ")</f>
        <v xml:space="preserve"> </v>
      </c>
      <c r="Y46" s="18" t="str">
        <f>IF($K46 = "Machine 3", $Q46, " ")</f>
        <v xml:space="preserve"> </v>
      </c>
      <c r="Z46" s="18">
        <f>IF($K46="Machine 1", $R46," ")</f>
        <v>2</v>
      </c>
      <c r="AA46" s="18" t="str">
        <f>IF($K46="Machine 2", $R46," ")</f>
        <v xml:space="preserve"> </v>
      </c>
      <c r="AB46" s="18" t="str">
        <f>IF($K46="Machine 3", $R46," ")</f>
        <v xml:space="preserve"> </v>
      </c>
    </row>
    <row r="47" spans="1:28" x14ac:dyDescent="0.25">
      <c r="A47" t="s">
        <v>54</v>
      </c>
      <c r="B47" t="s">
        <v>1</v>
      </c>
      <c r="C47" t="str">
        <f t="shared" si="0"/>
        <v>057230</v>
      </c>
      <c r="D47" t="str">
        <f t="shared" si="1"/>
        <v>TOR</v>
      </c>
      <c r="E47" t="str" cm="1">
        <f t="array" ref="E47">INDEX($E$2:$E$4, MOD(ROW()-1,3)+1)</f>
        <v>Machine 2</v>
      </c>
      <c r="F47">
        <f t="shared" ca="1" si="2"/>
        <v>2</v>
      </c>
      <c r="G47">
        <f t="shared" ca="1" si="3"/>
        <v>1</v>
      </c>
      <c r="H47">
        <f ca="1">RANDBETWEEN(1,J47-2)</f>
        <v>4</v>
      </c>
      <c r="I47">
        <f t="shared" ca="1" si="4"/>
        <v>46</v>
      </c>
      <c r="J47">
        <f t="shared" ca="1" si="5"/>
        <v>6</v>
      </c>
      <c r="K47" t="str" cm="1">
        <f t="array" ref="K47">INDEX($E$2:$E$4, MOD(ROW()-1,3)+1)</f>
        <v>Machine 2</v>
      </c>
      <c r="L47">
        <v>0</v>
      </c>
      <c r="M47">
        <v>5</v>
      </c>
      <c r="N47">
        <v>2</v>
      </c>
      <c r="O47">
        <f t="shared" ca="1" si="6"/>
        <v>3</v>
      </c>
      <c r="P47">
        <f t="shared" ca="1" si="7"/>
        <v>11</v>
      </c>
      <c r="Q47" s="7">
        <f t="shared" si="8"/>
        <v>2.3333333333333335</v>
      </c>
      <c r="R47" s="7">
        <f>MAX(L47:N47)-MIN(L47:N47)</f>
        <v>5</v>
      </c>
      <c r="S47" s="7">
        <f t="shared" ca="1" si="9"/>
        <v>0.16805358535651391</v>
      </c>
      <c r="T47" s="7">
        <f t="shared" ca="1" si="10"/>
        <v>5.7844262429744622E-2</v>
      </c>
      <c r="U47" s="5"/>
      <c r="V47" s="15"/>
      <c r="W47" s="18" t="str">
        <f>IF($K47 = "Machine 1", $Q47, " ")</f>
        <v xml:space="preserve"> </v>
      </c>
      <c r="X47" s="18">
        <f>IF($K47 = "Machine 2", $Q47, " ")</f>
        <v>2.3333333333333335</v>
      </c>
      <c r="Y47" s="18" t="str">
        <f>IF($K47 = "Machine 3", $Q47, " ")</f>
        <v xml:space="preserve"> </v>
      </c>
      <c r="Z47" s="18" t="str">
        <f>IF($K47="Machine 1", $R47," ")</f>
        <v xml:space="preserve"> </v>
      </c>
      <c r="AA47" s="18">
        <f>IF($K47="Machine 2", $R47," ")</f>
        <v>5</v>
      </c>
      <c r="AB47" s="18" t="str">
        <f>IF($K47="Machine 3", $R47," ")</f>
        <v xml:space="preserve"> </v>
      </c>
    </row>
    <row r="48" spans="1:28" x14ac:dyDescent="0.25">
      <c r="A48" t="s">
        <v>55</v>
      </c>
      <c r="B48" t="s">
        <v>1</v>
      </c>
      <c r="C48" t="str">
        <f t="shared" si="0"/>
        <v>057236</v>
      </c>
      <c r="D48" t="str">
        <f t="shared" si="1"/>
        <v>TOR</v>
      </c>
      <c r="E48" t="str" cm="1">
        <f t="array" ref="E48">INDEX($E$2:$E$4, MOD(ROW()-1,3)+1)</f>
        <v>Machine 3</v>
      </c>
      <c r="F48">
        <f t="shared" ca="1" si="2"/>
        <v>3</v>
      </c>
      <c r="G48">
        <f t="shared" ca="1" si="3"/>
        <v>0</v>
      </c>
      <c r="H48">
        <f ca="1">RANDBETWEEN(1,J48-2)</f>
        <v>6</v>
      </c>
      <c r="I48">
        <f t="shared" ca="1" si="4"/>
        <v>38</v>
      </c>
      <c r="J48">
        <f t="shared" ca="1" si="5"/>
        <v>13</v>
      </c>
      <c r="K48" t="str" cm="1">
        <f t="array" ref="K48">INDEX($E$2:$E$4, MOD(ROW()-1,3)+1)</f>
        <v>Machine 3</v>
      </c>
      <c r="L48">
        <v>1</v>
      </c>
      <c r="M48">
        <v>1</v>
      </c>
      <c r="N48">
        <v>3</v>
      </c>
      <c r="O48">
        <f t="shared" ca="1" si="6"/>
        <v>1</v>
      </c>
      <c r="P48">
        <f t="shared" ca="1" si="7"/>
        <v>5</v>
      </c>
      <c r="Q48" s="7">
        <f t="shared" si="8"/>
        <v>1.6666666666666667</v>
      </c>
      <c r="R48" s="7">
        <f>MAX(L48:N48)-MIN(L48:N48)</f>
        <v>2</v>
      </c>
      <c r="S48" s="7">
        <f t="shared" ca="1" si="9"/>
        <v>0.18326964808901075</v>
      </c>
      <c r="T48" s="7">
        <f t="shared" ca="1" si="10"/>
        <v>8.6160025903724999E-2</v>
      </c>
      <c r="U48" s="5"/>
      <c r="V48" s="15"/>
      <c r="W48" s="18" t="str">
        <f>IF($K48 = "Machine 1", $Q48, " ")</f>
        <v xml:space="preserve"> </v>
      </c>
      <c r="X48" s="18" t="str">
        <f>IF($K48 = "Machine 2", $Q48, " ")</f>
        <v xml:space="preserve"> </v>
      </c>
      <c r="Y48" s="18">
        <f>IF($K48 = "Machine 3", $Q48, " ")</f>
        <v>1.6666666666666667</v>
      </c>
      <c r="Z48" s="18" t="str">
        <f>IF($K48="Machine 1", $R48," ")</f>
        <v xml:space="preserve"> </v>
      </c>
      <c r="AA48" s="18" t="str">
        <f>IF($K48="Machine 2", $R48," ")</f>
        <v xml:space="preserve"> </v>
      </c>
      <c r="AB48" s="18">
        <f>IF($K48="Machine 3", $R48," ")</f>
        <v>2</v>
      </c>
    </row>
    <row r="49" spans="1:28" x14ac:dyDescent="0.25">
      <c r="A49" t="s">
        <v>56</v>
      </c>
      <c r="B49" t="s">
        <v>1</v>
      </c>
      <c r="C49" t="str">
        <f t="shared" si="0"/>
        <v>057238</v>
      </c>
      <c r="D49" t="str">
        <f t="shared" si="1"/>
        <v>TOR</v>
      </c>
      <c r="E49" t="str" cm="1">
        <f t="array" ref="E49">INDEX($E$2:$E$4, MOD(ROW()-1,3)+1)</f>
        <v>Machine 1</v>
      </c>
      <c r="F49">
        <f t="shared" ca="1" si="2"/>
        <v>2</v>
      </c>
      <c r="G49">
        <f t="shared" ca="1" si="3"/>
        <v>0</v>
      </c>
      <c r="H49">
        <f ca="1">RANDBETWEEN(1,J49-2)</f>
        <v>1</v>
      </c>
      <c r="I49">
        <f t="shared" ca="1" si="4"/>
        <v>42</v>
      </c>
      <c r="J49">
        <f t="shared" ca="1" si="5"/>
        <v>9</v>
      </c>
      <c r="K49" t="str" cm="1">
        <f t="array" ref="K49">INDEX($E$2:$E$4, MOD(ROW()-1,3)+1)</f>
        <v>Machine 1</v>
      </c>
      <c r="L49">
        <v>0</v>
      </c>
      <c r="M49">
        <v>5</v>
      </c>
      <c r="N49">
        <v>2</v>
      </c>
      <c r="O49">
        <f t="shared" ca="1" si="6"/>
        <v>5</v>
      </c>
      <c r="P49">
        <f t="shared" ca="1" si="7"/>
        <v>11</v>
      </c>
      <c r="Q49" s="7">
        <f t="shared" si="8"/>
        <v>2.3333333333333335</v>
      </c>
      <c r="R49" s="7">
        <f>MAX(L49:N49)-MIN(L49:N49)</f>
        <v>5</v>
      </c>
      <c r="S49" s="7">
        <f t="shared" ca="1" si="9"/>
        <v>0.1671080143538119</v>
      </c>
      <c r="T49" s="7">
        <f t="shared" ca="1" si="10"/>
        <v>7.6077800876724638E-2</v>
      </c>
      <c r="U49" s="5"/>
      <c r="V49" s="15"/>
      <c r="W49" s="18">
        <f>IF($K49 = "Machine 1", $Q49, " ")</f>
        <v>2.3333333333333335</v>
      </c>
      <c r="X49" s="18" t="str">
        <f>IF($K49 = "Machine 2", $Q49, " ")</f>
        <v xml:space="preserve"> </v>
      </c>
      <c r="Y49" s="18" t="str">
        <f>IF($K49 = "Machine 3", $Q49, " ")</f>
        <v xml:space="preserve"> </v>
      </c>
      <c r="Z49" s="18">
        <f>IF($K49="Machine 1", $R49," ")</f>
        <v>5</v>
      </c>
      <c r="AA49" s="18" t="str">
        <f>IF($K49="Machine 2", $R49," ")</f>
        <v xml:space="preserve"> </v>
      </c>
      <c r="AB49" s="18" t="str">
        <f>IF($K49="Machine 3", $R49," ")</f>
        <v xml:space="preserve"> </v>
      </c>
    </row>
    <row r="50" spans="1:28" x14ac:dyDescent="0.25">
      <c r="A50" t="s">
        <v>57</v>
      </c>
      <c r="B50" t="s">
        <v>1</v>
      </c>
      <c r="C50" t="str">
        <f t="shared" si="0"/>
        <v>057240</v>
      </c>
      <c r="D50" t="str">
        <f t="shared" si="1"/>
        <v>TOR</v>
      </c>
      <c r="E50" t="str" cm="1">
        <f t="array" ref="E50">INDEX($E$2:$E$4, MOD(ROW()-1,3)+1)</f>
        <v>Machine 2</v>
      </c>
      <c r="F50">
        <f t="shared" ca="1" si="2"/>
        <v>3</v>
      </c>
      <c r="G50">
        <f t="shared" ca="1" si="3"/>
        <v>1</v>
      </c>
      <c r="H50">
        <f ca="1">RANDBETWEEN(1,J50-2)</f>
        <v>1</v>
      </c>
      <c r="I50">
        <f t="shared" ca="1" si="4"/>
        <v>36</v>
      </c>
      <c r="J50">
        <f t="shared" ca="1" si="5"/>
        <v>9</v>
      </c>
      <c r="K50" t="str" cm="1">
        <f t="array" ref="K50">INDEX($E$2:$E$4, MOD(ROW()-1,3)+1)</f>
        <v>Machine 2</v>
      </c>
      <c r="L50">
        <v>0</v>
      </c>
      <c r="M50">
        <v>3</v>
      </c>
      <c r="N50">
        <v>3</v>
      </c>
      <c r="O50">
        <f t="shared" ca="1" si="6"/>
        <v>2</v>
      </c>
      <c r="P50">
        <f t="shared" ca="1" si="7"/>
        <v>10</v>
      </c>
      <c r="Q50" s="7">
        <f t="shared" si="8"/>
        <v>2</v>
      </c>
      <c r="R50" s="7">
        <f>MAX(L50:N50)-MIN(L50:N50)</f>
        <v>3</v>
      </c>
      <c r="S50" s="7">
        <f t="shared" ca="1" si="9"/>
        <v>0.22701788003170698</v>
      </c>
      <c r="T50" s="7">
        <f t="shared" ca="1" si="10"/>
        <v>0.11349857864318785</v>
      </c>
      <c r="U50" s="5"/>
      <c r="V50" s="15"/>
      <c r="W50" s="18" t="str">
        <f>IF($K50 = "Machine 1", $Q50, " ")</f>
        <v xml:space="preserve"> </v>
      </c>
      <c r="X50" s="18">
        <f>IF($K50 = "Machine 2", $Q50, " ")</f>
        <v>2</v>
      </c>
      <c r="Y50" s="18" t="str">
        <f>IF($K50 = "Machine 3", $Q50, " ")</f>
        <v xml:space="preserve"> </v>
      </c>
      <c r="Z50" s="18" t="str">
        <f>IF($K50="Machine 1", $R50," ")</f>
        <v xml:space="preserve"> </v>
      </c>
      <c r="AA50" s="18">
        <f>IF($K50="Machine 2", $R50," ")</f>
        <v>3</v>
      </c>
      <c r="AB50" s="18" t="str">
        <f>IF($K50="Machine 3", $R50," ")</f>
        <v xml:space="preserve"> </v>
      </c>
    </row>
    <row r="51" spans="1:28" x14ac:dyDescent="0.25">
      <c r="A51" t="s">
        <v>58</v>
      </c>
      <c r="B51" t="s">
        <v>1</v>
      </c>
      <c r="C51" t="str">
        <f t="shared" si="0"/>
        <v>057245</v>
      </c>
      <c r="D51" t="str">
        <f t="shared" si="1"/>
        <v>TOR</v>
      </c>
      <c r="E51" t="str" cm="1">
        <f t="array" ref="E51">INDEX($E$2:$E$4, MOD(ROW()-1,3)+1)</f>
        <v>Machine 3</v>
      </c>
      <c r="F51">
        <f t="shared" ca="1" si="2"/>
        <v>2</v>
      </c>
      <c r="G51">
        <f t="shared" ca="1" si="3"/>
        <v>0</v>
      </c>
      <c r="H51">
        <f ca="1">RANDBETWEEN(1,J51-2)</f>
        <v>6</v>
      </c>
      <c r="I51">
        <f t="shared" ca="1" si="4"/>
        <v>46</v>
      </c>
      <c r="J51">
        <f t="shared" ca="1" si="5"/>
        <v>15</v>
      </c>
      <c r="K51" t="str" cm="1">
        <f t="array" ref="K51">INDEX($E$2:$E$4, MOD(ROW()-1,3)+1)</f>
        <v>Machine 3</v>
      </c>
      <c r="L51">
        <v>1</v>
      </c>
      <c r="M51">
        <v>7</v>
      </c>
      <c r="N51">
        <v>3</v>
      </c>
      <c r="O51">
        <f t="shared" ca="1" si="6"/>
        <v>2</v>
      </c>
      <c r="P51">
        <f t="shared" ca="1" si="7"/>
        <v>12</v>
      </c>
      <c r="Q51" s="7">
        <f t="shared" si="8"/>
        <v>3.6666666666666665</v>
      </c>
      <c r="R51" s="7">
        <f>MAX(L51:N51)-MIN(L51:N51)</f>
        <v>6</v>
      </c>
      <c r="S51" s="7">
        <f t="shared" ca="1" si="9"/>
        <v>0.22708606552296001</v>
      </c>
      <c r="T51" s="7">
        <f t="shared" ca="1" si="10"/>
        <v>0.14020550233195458</v>
      </c>
      <c r="U51" s="5"/>
      <c r="V51" s="15"/>
      <c r="W51" s="18" t="str">
        <f>IF($K51 = "Machine 1", $Q51, " ")</f>
        <v xml:space="preserve"> </v>
      </c>
      <c r="X51" s="18" t="str">
        <f>IF($K51 = "Machine 2", $Q51, " ")</f>
        <v xml:space="preserve"> </v>
      </c>
      <c r="Y51" s="18">
        <f>IF($K51 = "Machine 3", $Q51, " ")</f>
        <v>3.6666666666666665</v>
      </c>
      <c r="Z51" s="18" t="str">
        <f>IF($K51="Machine 1", $R51," ")</f>
        <v xml:space="preserve"> </v>
      </c>
      <c r="AA51" s="18" t="str">
        <f>IF($K51="Machine 2", $R51," ")</f>
        <v xml:space="preserve"> </v>
      </c>
      <c r="AB51" s="18">
        <f>IF($K51="Machine 3", $R51," ")</f>
        <v>6</v>
      </c>
    </row>
    <row r="52" spans="1:28" x14ac:dyDescent="0.25">
      <c r="A52" t="s">
        <v>59</v>
      </c>
      <c r="B52" t="s">
        <v>1</v>
      </c>
      <c r="C52" t="str">
        <f t="shared" si="0"/>
        <v>057247</v>
      </c>
      <c r="D52" t="str">
        <f t="shared" si="1"/>
        <v>TOR</v>
      </c>
      <c r="E52" t="str" cm="1">
        <f t="array" ref="E52">INDEX($E$2:$E$4, MOD(ROW()-1,3)+1)</f>
        <v>Machine 1</v>
      </c>
      <c r="F52">
        <f t="shared" ca="1" si="2"/>
        <v>2</v>
      </c>
      <c r="G52">
        <f t="shared" ca="1" si="3"/>
        <v>0</v>
      </c>
      <c r="H52">
        <f ca="1">RANDBETWEEN(1,J52-2)</f>
        <v>9</v>
      </c>
      <c r="I52">
        <f t="shared" ca="1" si="4"/>
        <v>38</v>
      </c>
      <c r="J52">
        <f t="shared" ca="1" si="5"/>
        <v>13</v>
      </c>
      <c r="K52" t="str" cm="1">
        <f t="array" ref="K52">INDEX($E$2:$E$4, MOD(ROW()-1,3)+1)</f>
        <v>Machine 1</v>
      </c>
      <c r="L52">
        <v>1</v>
      </c>
      <c r="M52">
        <v>5</v>
      </c>
      <c r="N52">
        <v>2</v>
      </c>
      <c r="O52">
        <f t="shared" ca="1" si="6"/>
        <v>2</v>
      </c>
      <c r="P52">
        <f t="shared" ca="1" si="7"/>
        <v>2</v>
      </c>
      <c r="Q52" s="7">
        <f t="shared" si="8"/>
        <v>2.6666666666666665</v>
      </c>
      <c r="R52" s="7">
        <f>MAX(L52:N52)-MIN(L52:N52)</f>
        <v>4</v>
      </c>
      <c r="S52" s="7">
        <f t="shared" ca="1" si="9"/>
        <v>0.17903687229335682</v>
      </c>
      <c r="T52" s="7">
        <f t="shared" ca="1" si="10"/>
        <v>0.23470040309173343</v>
      </c>
      <c r="U52" s="5"/>
      <c r="V52" s="15"/>
      <c r="W52" s="18">
        <f>IF($K52 = "Machine 1", $Q52, " ")</f>
        <v>2.6666666666666665</v>
      </c>
      <c r="X52" s="18" t="str">
        <f>IF($K52 = "Machine 2", $Q52, " ")</f>
        <v xml:space="preserve"> </v>
      </c>
      <c r="Y52" s="18" t="str">
        <f>IF($K52 = "Machine 3", $Q52, " ")</f>
        <v xml:space="preserve"> </v>
      </c>
      <c r="Z52" s="18">
        <f>IF($K52="Machine 1", $R52," ")</f>
        <v>4</v>
      </c>
      <c r="AA52" s="18" t="str">
        <f>IF($K52="Machine 2", $R52," ")</f>
        <v xml:space="preserve"> </v>
      </c>
      <c r="AB52" s="18" t="str">
        <f>IF($K52="Machine 3", $R52," ")</f>
        <v xml:space="preserve"> </v>
      </c>
    </row>
    <row r="53" spans="1:28" x14ac:dyDescent="0.25">
      <c r="A53" t="s">
        <v>60</v>
      </c>
      <c r="B53" t="s">
        <v>1</v>
      </c>
      <c r="C53" t="str">
        <f t="shared" si="0"/>
        <v>057249</v>
      </c>
      <c r="D53" t="str">
        <f t="shared" si="1"/>
        <v>TOR</v>
      </c>
      <c r="E53" t="str" cm="1">
        <f t="array" ref="E53">INDEX($E$2:$E$4, MOD(ROW()-1,3)+1)</f>
        <v>Machine 2</v>
      </c>
      <c r="F53">
        <f t="shared" ca="1" si="2"/>
        <v>3</v>
      </c>
      <c r="G53">
        <f t="shared" ca="1" si="3"/>
        <v>0</v>
      </c>
      <c r="H53">
        <f ca="1">RANDBETWEEN(1,J53-2)</f>
        <v>2</v>
      </c>
      <c r="I53">
        <f t="shared" ca="1" si="4"/>
        <v>34</v>
      </c>
      <c r="J53">
        <f t="shared" ca="1" si="5"/>
        <v>9</v>
      </c>
      <c r="K53" t="str" cm="1">
        <f t="array" ref="K53">INDEX($E$2:$E$4, MOD(ROW()-1,3)+1)</f>
        <v>Machine 2</v>
      </c>
      <c r="L53">
        <v>1</v>
      </c>
      <c r="M53">
        <v>4</v>
      </c>
      <c r="N53">
        <v>2</v>
      </c>
      <c r="O53">
        <f t="shared" ca="1" si="6"/>
        <v>5</v>
      </c>
      <c r="P53">
        <f t="shared" ca="1" si="7"/>
        <v>4</v>
      </c>
      <c r="Q53" s="7">
        <f t="shared" si="8"/>
        <v>2.3333333333333335</v>
      </c>
      <c r="R53" s="7">
        <f>MAX(L53:N53)-MIN(L53:N53)</f>
        <v>3</v>
      </c>
      <c r="S53" s="7">
        <f t="shared" ca="1" si="9"/>
        <v>0.16267638136761003</v>
      </c>
      <c r="T53" s="7">
        <f t="shared" ca="1" si="10"/>
        <v>0.2662405515480285</v>
      </c>
      <c r="U53" s="5"/>
      <c r="V53" s="15"/>
      <c r="W53" s="18" t="str">
        <f>IF($K53 = "Machine 1", $Q53, " ")</f>
        <v xml:space="preserve"> </v>
      </c>
      <c r="X53" s="18">
        <f>IF($K53 = "Machine 2", $Q53, " ")</f>
        <v>2.3333333333333335</v>
      </c>
      <c r="Y53" s="18" t="str">
        <f>IF($K53 = "Machine 3", $Q53, " ")</f>
        <v xml:space="preserve"> </v>
      </c>
      <c r="Z53" s="18" t="str">
        <f>IF($K53="Machine 1", $R53," ")</f>
        <v xml:space="preserve"> </v>
      </c>
      <c r="AA53" s="18">
        <f>IF($K53="Machine 2", $R53," ")</f>
        <v>3</v>
      </c>
      <c r="AB53" s="18" t="str">
        <f>IF($K53="Machine 3", $R53," ")</f>
        <v xml:space="preserve"> </v>
      </c>
    </row>
    <row r="54" spans="1:28" x14ac:dyDescent="0.25">
      <c r="A54" t="s">
        <v>61</v>
      </c>
      <c r="B54" t="s">
        <v>1</v>
      </c>
      <c r="C54" t="str">
        <f t="shared" si="0"/>
        <v>057260</v>
      </c>
      <c r="D54" t="str">
        <f t="shared" si="1"/>
        <v>TOR</v>
      </c>
      <c r="E54" t="str" cm="1">
        <f t="array" ref="E54">INDEX($E$2:$E$4, MOD(ROW()-1,3)+1)</f>
        <v>Machine 3</v>
      </c>
      <c r="F54">
        <f t="shared" ca="1" si="2"/>
        <v>3</v>
      </c>
      <c r="G54">
        <f t="shared" ca="1" si="3"/>
        <v>0</v>
      </c>
      <c r="H54">
        <f ca="1">RANDBETWEEN(1,J54-2)</f>
        <v>2</v>
      </c>
      <c r="I54">
        <f t="shared" ca="1" si="4"/>
        <v>39</v>
      </c>
      <c r="J54">
        <f t="shared" ca="1" si="5"/>
        <v>13</v>
      </c>
      <c r="K54" t="str" cm="1">
        <f t="array" ref="K54">INDEX($E$2:$E$4, MOD(ROW()-1,3)+1)</f>
        <v>Machine 3</v>
      </c>
      <c r="L54">
        <v>1</v>
      </c>
      <c r="M54">
        <v>9</v>
      </c>
      <c r="N54">
        <v>2</v>
      </c>
      <c r="O54">
        <f t="shared" ca="1" si="6"/>
        <v>5</v>
      </c>
      <c r="P54">
        <f t="shared" ca="1" si="7"/>
        <v>8</v>
      </c>
      <c r="Q54" s="7">
        <f t="shared" si="8"/>
        <v>4</v>
      </c>
      <c r="R54" s="7">
        <f>MAX(L54:N54)-MIN(L54:N54)</f>
        <v>8</v>
      </c>
      <c r="S54" s="7">
        <f t="shared" ca="1" si="9"/>
        <v>0.22310346373590462</v>
      </c>
      <c r="T54" s="7">
        <f t="shared" ca="1" si="10"/>
        <v>0.26158028421278728</v>
      </c>
      <c r="U54" s="5"/>
      <c r="V54" s="15"/>
      <c r="W54" s="18" t="str">
        <f>IF($K54 = "Machine 1", $Q54, " ")</f>
        <v xml:space="preserve"> </v>
      </c>
      <c r="X54" s="18" t="str">
        <f>IF($K54 = "Machine 2", $Q54, " ")</f>
        <v xml:space="preserve"> </v>
      </c>
      <c r="Y54" s="18">
        <f>IF($K54 = "Machine 3", $Q54, " ")</f>
        <v>4</v>
      </c>
      <c r="Z54" s="18" t="str">
        <f>IF($K54="Machine 1", $R54," ")</f>
        <v xml:space="preserve"> </v>
      </c>
      <c r="AA54" s="18" t="str">
        <f>IF($K54="Machine 2", $R54," ")</f>
        <v xml:space="preserve"> </v>
      </c>
      <c r="AB54" s="18">
        <f>IF($K54="Machine 3", $R54," ")</f>
        <v>8</v>
      </c>
    </row>
    <row r="55" spans="1:28" x14ac:dyDescent="0.25">
      <c r="A55" t="s">
        <v>62</v>
      </c>
      <c r="B55" t="s">
        <v>1</v>
      </c>
      <c r="C55" t="str">
        <f t="shared" si="0"/>
        <v>057262</v>
      </c>
      <c r="D55" t="str">
        <f t="shared" si="1"/>
        <v>TOR</v>
      </c>
      <c r="E55" t="str" cm="1">
        <f t="array" ref="E55">INDEX($E$2:$E$4, MOD(ROW()-1,3)+1)</f>
        <v>Machine 1</v>
      </c>
      <c r="F55">
        <f t="shared" ca="1" si="2"/>
        <v>2</v>
      </c>
      <c r="G55">
        <f t="shared" ca="1" si="3"/>
        <v>0</v>
      </c>
      <c r="H55">
        <f ca="1">RANDBETWEEN(1,J55-2)</f>
        <v>3</v>
      </c>
      <c r="I55">
        <f t="shared" ca="1" si="4"/>
        <v>42</v>
      </c>
      <c r="J55">
        <f t="shared" ca="1" si="5"/>
        <v>8</v>
      </c>
      <c r="K55" t="str" cm="1">
        <f t="array" ref="K55">INDEX($E$2:$E$4, MOD(ROW()-1,3)+1)</f>
        <v>Machine 1</v>
      </c>
      <c r="L55">
        <v>1</v>
      </c>
      <c r="M55">
        <v>4</v>
      </c>
      <c r="N55">
        <v>3</v>
      </c>
      <c r="O55">
        <f t="shared" ca="1" si="6"/>
        <v>2</v>
      </c>
      <c r="P55">
        <f t="shared" ca="1" si="7"/>
        <v>4</v>
      </c>
      <c r="Q55" s="7">
        <f t="shared" si="8"/>
        <v>2.6666666666666665</v>
      </c>
      <c r="R55" s="7">
        <f>MAX(L55:N55)-MIN(L55:N55)</f>
        <v>3</v>
      </c>
      <c r="S55" s="7">
        <f t="shared" ca="1" si="9"/>
        <v>0.25251459188629111</v>
      </c>
      <c r="T55" s="7">
        <f t="shared" ca="1" si="10"/>
        <v>0.24982675224750855</v>
      </c>
      <c r="U55" s="5"/>
      <c r="V55" s="15"/>
      <c r="W55" s="18">
        <f>IF($K55 = "Machine 1", $Q55, " ")</f>
        <v>2.6666666666666665</v>
      </c>
      <c r="X55" s="18" t="str">
        <f>IF($K55 = "Machine 2", $Q55, " ")</f>
        <v xml:space="preserve"> </v>
      </c>
      <c r="Y55" s="18" t="str">
        <f>IF($K55 = "Machine 3", $Q55, " ")</f>
        <v xml:space="preserve"> </v>
      </c>
      <c r="Z55" s="18">
        <f>IF($K55="Machine 1", $R55," ")</f>
        <v>3</v>
      </c>
      <c r="AA55" s="18" t="str">
        <f>IF($K55="Machine 2", $R55," ")</f>
        <v xml:space="preserve"> </v>
      </c>
      <c r="AB55" s="18" t="str">
        <f>IF($K55="Machine 3", $R55," ")</f>
        <v xml:space="preserve"> </v>
      </c>
    </row>
    <row r="56" spans="1:28" x14ac:dyDescent="0.25">
      <c r="A56" t="s">
        <v>63</v>
      </c>
      <c r="B56" t="s">
        <v>1</v>
      </c>
      <c r="C56" t="str">
        <f t="shared" si="0"/>
        <v>057270</v>
      </c>
      <c r="D56" t="str">
        <f t="shared" si="1"/>
        <v>TOR</v>
      </c>
      <c r="E56" t="str" cm="1">
        <f t="array" ref="E56">INDEX($E$2:$E$4, MOD(ROW()-1,3)+1)</f>
        <v>Machine 2</v>
      </c>
      <c r="F56">
        <f t="shared" ca="1" si="2"/>
        <v>3</v>
      </c>
      <c r="G56">
        <f t="shared" ca="1" si="3"/>
        <v>1</v>
      </c>
      <c r="H56">
        <f ca="1">RANDBETWEEN(1,J56-2)</f>
        <v>2</v>
      </c>
      <c r="I56">
        <f t="shared" ca="1" si="4"/>
        <v>46</v>
      </c>
      <c r="J56">
        <f t="shared" ca="1" si="5"/>
        <v>6</v>
      </c>
      <c r="K56" t="str" cm="1">
        <f t="array" ref="K56">INDEX($E$2:$E$4, MOD(ROW()-1,3)+1)</f>
        <v>Machine 2</v>
      </c>
      <c r="L56">
        <v>0</v>
      </c>
      <c r="M56">
        <v>3</v>
      </c>
      <c r="N56">
        <v>3</v>
      </c>
      <c r="O56">
        <f t="shared" ca="1" si="6"/>
        <v>2</v>
      </c>
      <c r="P56">
        <f t="shared" ca="1" si="7"/>
        <v>4</v>
      </c>
      <c r="Q56" s="7">
        <f t="shared" si="8"/>
        <v>2</v>
      </c>
      <c r="R56" s="7">
        <f>MAX(L56:N56)-MIN(L56:N56)</f>
        <v>3</v>
      </c>
      <c r="S56" s="7">
        <f t="shared" ca="1" si="9"/>
        <v>0.23119206172431789</v>
      </c>
      <c r="T56" s="7">
        <f t="shared" ca="1" si="10"/>
        <v>0.24568761192514729</v>
      </c>
      <c r="U56" s="5"/>
      <c r="V56" s="15"/>
      <c r="W56" s="18" t="str">
        <f>IF($K56 = "Machine 1", $Q56, " ")</f>
        <v xml:space="preserve"> </v>
      </c>
      <c r="X56" s="18">
        <f>IF($K56 = "Machine 2", $Q56, " ")</f>
        <v>2</v>
      </c>
      <c r="Y56" s="18" t="str">
        <f>IF($K56 = "Machine 3", $Q56, " ")</f>
        <v xml:space="preserve"> </v>
      </c>
      <c r="Z56" s="18" t="str">
        <f>IF($K56="Machine 1", $R56," ")</f>
        <v xml:space="preserve"> </v>
      </c>
      <c r="AA56" s="18">
        <f>IF($K56="Machine 2", $R56," ")</f>
        <v>3</v>
      </c>
      <c r="AB56" s="18" t="str">
        <f>IF($K56="Machine 3", $R56," ")</f>
        <v xml:space="preserve"> </v>
      </c>
    </row>
    <row r="57" spans="1:28" x14ac:dyDescent="0.25">
      <c r="A57" t="s">
        <v>64</v>
      </c>
      <c r="B57" t="s">
        <v>1</v>
      </c>
      <c r="C57" t="str">
        <f t="shared" si="0"/>
        <v>057284</v>
      </c>
      <c r="D57" t="str">
        <f t="shared" si="1"/>
        <v>TOR</v>
      </c>
      <c r="E57" t="str" cm="1">
        <f t="array" ref="E57">INDEX($E$2:$E$4, MOD(ROW()-1,3)+1)</f>
        <v>Machine 3</v>
      </c>
      <c r="F57">
        <f t="shared" ca="1" si="2"/>
        <v>3</v>
      </c>
      <c r="G57">
        <f t="shared" ca="1" si="3"/>
        <v>0</v>
      </c>
      <c r="H57">
        <f ca="1">RANDBETWEEN(1,J57-2)</f>
        <v>6</v>
      </c>
      <c r="I57">
        <f t="shared" ca="1" si="4"/>
        <v>29</v>
      </c>
      <c r="J57">
        <f t="shared" ca="1" si="5"/>
        <v>14</v>
      </c>
      <c r="K57" t="str" cm="1">
        <f t="array" ref="K57">INDEX($E$2:$E$4, MOD(ROW()-1,3)+1)</f>
        <v>Machine 3</v>
      </c>
      <c r="L57">
        <v>1</v>
      </c>
      <c r="M57">
        <v>2</v>
      </c>
      <c r="N57">
        <v>4</v>
      </c>
      <c r="O57">
        <f t="shared" ca="1" si="6"/>
        <v>5</v>
      </c>
      <c r="P57">
        <f t="shared" ca="1" si="7"/>
        <v>4</v>
      </c>
      <c r="Q57" s="7">
        <f t="shared" si="8"/>
        <v>2.3333333333333335</v>
      </c>
      <c r="R57" s="7">
        <f>MAX(L57:N57)-MIN(L57:N57)</f>
        <v>3</v>
      </c>
      <c r="S57" s="7">
        <f t="shared" ca="1" si="9"/>
        <v>0.23128143417202238</v>
      </c>
      <c r="T57" s="7">
        <f t="shared" ca="1" si="10"/>
        <v>0.24132672284759393</v>
      </c>
      <c r="U57" s="5"/>
      <c r="V57" s="15"/>
      <c r="W57" s="18" t="str">
        <f>IF($K57 = "Machine 1", $Q57, " ")</f>
        <v xml:space="preserve"> </v>
      </c>
      <c r="X57" s="18" t="str">
        <f>IF($K57 = "Machine 2", $Q57, " ")</f>
        <v xml:space="preserve"> </v>
      </c>
      <c r="Y57" s="18">
        <f>IF($K57 = "Machine 3", $Q57, " ")</f>
        <v>2.3333333333333335</v>
      </c>
      <c r="Z57" s="18" t="str">
        <f>IF($K57="Machine 1", $R57," ")</f>
        <v xml:space="preserve"> </v>
      </c>
      <c r="AA57" s="18" t="str">
        <f>IF($K57="Machine 2", $R57," ")</f>
        <v xml:space="preserve"> </v>
      </c>
      <c r="AB57" s="18">
        <f>IF($K57="Machine 3", $R57," ")</f>
        <v>3</v>
      </c>
    </row>
    <row r="58" spans="1:28" x14ac:dyDescent="0.25">
      <c r="A58" t="s">
        <v>65</v>
      </c>
      <c r="B58" t="s">
        <v>1</v>
      </c>
      <c r="C58" t="str">
        <f t="shared" si="0"/>
        <v>057286</v>
      </c>
      <c r="D58" t="str">
        <f t="shared" si="1"/>
        <v>TOR</v>
      </c>
      <c r="E58" t="str" cm="1">
        <f t="array" ref="E58">INDEX($E$2:$E$4, MOD(ROW()-1,3)+1)</f>
        <v>Machine 1</v>
      </c>
      <c r="F58">
        <f t="shared" ca="1" si="2"/>
        <v>3</v>
      </c>
      <c r="G58">
        <f t="shared" ca="1" si="3"/>
        <v>0</v>
      </c>
      <c r="H58">
        <f ca="1">RANDBETWEEN(1,J58-2)</f>
        <v>2</v>
      </c>
      <c r="I58">
        <f t="shared" ca="1" si="4"/>
        <v>28</v>
      </c>
      <c r="J58">
        <f t="shared" ca="1" si="5"/>
        <v>6</v>
      </c>
      <c r="K58" t="str" cm="1">
        <f t="array" ref="K58">INDEX($E$2:$E$4, MOD(ROW()-1,3)+1)</f>
        <v>Machine 1</v>
      </c>
      <c r="L58">
        <v>0</v>
      </c>
      <c r="M58">
        <v>10</v>
      </c>
      <c r="N58">
        <v>3</v>
      </c>
      <c r="O58">
        <f t="shared" ca="1" si="6"/>
        <v>4</v>
      </c>
      <c r="P58">
        <f t="shared" ca="1" si="7"/>
        <v>5</v>
      </c>
      <c r="Q58" s="7">
        <f t="shared" si="8"/>
        <v>4.333333333333333</v>
      </c>
      <c r="R58" s="7">
        <f>MAX(L58:N58)-MIN(L58:N58)</f>
        <v>10</v>
      </c>
      <c r="S58" s="7">
        <f t="shared" ca="1" si="9"/>
        <v>0.31136943429284636</v>
      </c>
      <c r="T58" s="7">
        <f t="shared" ca="1" si="10"/>
        <v>0.23673020507543152</v>
      </c>
      <c r="U58" s="5"/>
      <c r="V58" s="15"/>
      <c r="W58" s="18">
        <f>IF($K58 = "Machine 1", $Q58, " ")</f>
        <v>4.333333333333333</v>
      </c>
      <c r="X58" s="18" t="str">
        <f>IF($K58 = "Machine 2", $Q58, " ")</f>
        <v xml:space="preserve"> </v>
      </c>
      <c r="Y58" s="18" t="str">
        <f>IF($K58 = "Machine 3", $Q58, " ")</f>
        <v xml:space="preserve"> </v>
      </c>
      <c r="Z58" s="18">
        <f>IF($K58="Machine 1", $R58," ")</f>
        <v>10</v>
      </c>
      <c r="AA58" s="18" t="str">
        <f>IF($K58="Machine 2", $R58," ")</f>
        <v xml:space="preserve"> </v>
      </c>
      <c r="AB58" s="18" t="str">
        <f>IF($K58="Machine 3", $R58," ")</f>
        <v xml:space="preserve"> </v>
      </c>
    </row>
    <row r="59" spans="1:28" x14ac:dyDescent="0.25">
      <c r="A59" t="s">
        <v>66</v>
      </c>
      <c r="B59" t="s">
        <v>1</v>
      </c>
      <c r="C59" t="str">
        <f t="shared" si="0"/>
        <v>057288</v>
      </c>
      <c r="D59" t="str">
        <f t="shared" si="1"/>
        <v>TOR</v>
      </c>
      <c r="E59" t="str" cm="1">
        <f t="array" ref="E59">INDEX($E$2:$E$4, MOD(ROW()-1,3)+1)</f>
        <v>Machine 2</v>
      </c>
      <c r="F59">
        <f t="shared" ca="1" si="2"/>
        <v>3</v>
      </c>
      <c r="G59">
        <f t="shared" ca="1" si="3"/>
        <v>0</v>
      </c>
      <c r="H59">
        <f ca="1">RANDBETWEEN(1,J59-2)</f>
        <v>1</v>
      </c>
      <c r="I59">
        <f t="shared" ca="1" si="4"/>
        <v>31</v>
      </c>
      <c r="J59">
        <f t="shared" ca="1" si="5"/>
        <v>6</v>
      </c>
      <c r="K59" t="str" cm="1">
        <f t="array" ref="K59">INDEX($E$2:$E$4, MOD(ROW()-1,3)+1)</f>
        <v>Machine 2</v>
      </c>
      <c r="L59">
        <v>0</v>
      </c>
      <c r="M59">
        <v>1</v>
      </c>
      <c r="N59">
        <v>2</v>
      </c>
      <c r="O59">
        <f t="shared" ca="1" si="6"/>
        <v>1</v>
      </c>
      <c r="P59">
        <f t="shared" ca="1" si="7"/>
        <v>8</v>
      </c>
      <c r="Q59" s="7">
        <f t="shared" si="8"/>
        <v>1</v>
      </c>
      <c r="R59" s="7">
        <f>MAX(L59:N59)-MIN(L59:N59)</f>
        <v>2</v>
      </c>
      <c r="S59" s="7">
        <f t="shared" ca="1" si="9"/>
        <v>0.2989292282361502</v>
      </c>
      <c r="T59" s="7">
        <f t="shared" ca="1" si="10"/>
        <v>0.15806176082830825</v>
      </c>
      <c r="U59" s="5"/>
      <c r="V59" s="15"/>
      <c r="W59" s="18" t="str">
        <f>IF($K59 = "Machine 1", $Q59, " ")</f>
        <v xml:space="preserve"> </v>
      </c>
      <c r="X59" s="18">
        <f>IF($K59 = "Machine 2", $Q59, " ")</f>
        <v>1</v>
      </c>
      <c r="Y59" s="18" t="str">
        <f>IF($K59 = "Machine 3", $Q59, " ")</f>
        <v xml:space="preserve"> </v>
      </c>
      <c r="Z59" s="18" t="str">
        <f>IF($K59="Machine 1", $R59," ")</f>
        <v xml:space="preserve"> </v>
      </c>
      <c r="AA59" s="18">
        <f>IF($K59="Machine 2", $R59," ")</f>
        <v>2</v>
      </c>
      <c r="AB59" s="18" t="str">
        <f>IF($K59="Machine 3", $R59," ")</f>
        <v xml:space="preserve"> </v>
      </c>
    </row>
    <row r="60" spans="1:28" x14ac:dyDescent="0.25">
      <c r="A60" t="s">
        <v>67</v>
      </c>
      <c r="B60" t="s">
        <v>1</v>
      </c>
      <c r="C60" t="str">
        <f t="shared" si="0"/>
        <v>057290</v>
      </c>
      <c r="D60" t="str">
        <f t="shared" si="1"/>
        <v>TOR</v>
      </c>
      <c r="E60" t="str" cm="1">
        <f t="array" ref="E60">INDEX($E$2:$E$4, MOD(ROW()-1,3)+1)</f>
        <v>Machine 3</v>
      </c>
      <c r="F60">
        <f t="shared" ca="1" si="2"/>
        <v>2</v>
      </c>
      <c r="G60">
        <f t="shared" ca="1" si="3"/>
        <v>1</v>
      </c>
      <c r="H60">
        <f ca="1">RANDBETWEEN(1,J60-2)</f>
        <v>3</v>
      </c>
      <c r="I60">
        <f t="shared" ca="1" si="4"/>
        <v>45</v>
      </c>
      <c r="J60">
        <f t="shared" ca="1" si="5"/>
        <v>12</v>
      </c>
      <c r="K60" t="str" cm="1">
        <f t="array" ref="K60">INDEX($E$2:$E$4, MOD(ROW()-1,3)+1)</f>
        <v>Machine 3</v>
      </c>
      <c r="L60">
        <v>1</v>
      </c>
      <c r="M60">
        <v>6</v>
      </c>
      <c r="N60">
        <v>2</v>
      </c>
      <c r="O60">
        <f t="shared" ca="1" si="6"/>
        <v>4</v>
      </c>
      <c r="P60">
        <f t="shared" ca="1" si="7"/>
        <v>7</v>
      </c>
      <c r="Q60" s="7">
        <f t="shared" si="8"/>
        <v>3</v>
      </c>
      <c r="R60" s="7">
        <f>MAX(L60:N60)-MIN(L60:N60)</f>
        <v>5</v>
      </c>
      <c r="S60" s="7">
        <f t="shared" ca="1" si="9"/>
        <v>0.29906061300613868</v>
      </c>
      <c r="T60" s="7">
        <f t="shared" ca="1" si="10"/>
        <v>0.15086966256578363</v>
      </c>
      <c r="U60" s="5"/>
      <c r="V60" s="15"/>
      <c r="W60" s="18" t="str">
        <f>IF($K60 = "Machine 1", $Q60, " ")</f>
        <v xml:space="preserve"> </v>
      </c>
      <c r="X60" s="18" t="str">
        <f>IF($K60 = "Machine 2", $Q60, " ")</f>
        <v xml:space="preserve"> </v>
      </c>
      <c r="Y60" s="18">
        <f>IF($K60 = "Machine 3", $Q60, " ")</f>
        <v>3</v>
      </c>
      <c r="Z60" s="18" t="str">
        <f>IF($K60="Machine 1", $R60," ")</f>
        <v xml:space="preserve"> </v>
      </c>
      <c r="AA60" s="18" t="str">
        <f>IF($K60="Machine 2", $R60," ")</f>
        <v xml:space="preserve"> </v>
      </c>
      <c r="AB60" s="18">
        <f>IF($K60="Machine 3", $R60," ")</f>
        <v>5</v>
      </c>
    </row>
    <row r="61" spans="1:28" x14ac:dyDescent="0.25">
      <c r="A61" t="s">
        <v>68</v>
      </c>
      <c r="B61" t="s">
        <v>1</v>
      </c>
      <c r="C61" t="str">
        <f t="shared" si="0"/>
        <v>057293</v>
      </c>
      <c r="D61" t="str">
        <f t="shared" si="1"/>
        <v>TOR</v>
      </c>
      <c r="E61" t="str" cm="1">
        <f t="array" ref="E61">INDEX($E$2:$E$4, MOD(ROW()-1,3)+1)</f>
        <v>Machine 1</v>
      </c>
      <c r="F61">
        <f t="shared" ca="1" si="2"/>
        <v>3</v>
      </c>
      <c r="G61">
        <f t="shared" ca="1" si="3"/>
        <v>0</v>
      </c>
      <c r="H61">
        <f ca="1">RANDBETWEEN(1,J61-2)</f>
        <v>3</v>
      </c>
      <c r="I61">
        <f t="shared" ca="1" si="4"/>
        <v>28</v>
      </c>
      <c r="J61">
        <f t="shared" ca="1" si="5"/>
        <v>6</v>
      </c>
      <c r="K61" t="str" cm="1">
        <f t="array" ref="K61">INDEX($E$2:$E$4, MOD(ROW()-1,3)+1)</f>
        <v>Machine 1</v>
      </c>
      <c r="L61">
        <v>0</v>
      </c>
      <c r="M61">
        <v>2</v>
      </c>
      <c r="N61">
        <v>3</v>
      </c>
      <c r="O61">
        <f t="shared" ca="1" si="6"/>
        <v>2</v>
      </c>
      <c r="P61">
        <f t="shared" ca="1" si="7"/>
        <v>4</v>
      </c>
      <c r="Q61" s="7">
        <f t="shared" si="8"/>
        <v>1.6666666666666667</v>
      </c>
      <c r="R61" s="7">
        <f>MAX(L61:N61)-MIN(L61:N61)</f>
        <v>3</v>
      </c>
      <c r="S61" s="7">
        <f t="shared" ca="1" si="9"/>
        <v>0.33586657091005856</v>
      </c>
      <c r="T61" s="7">
        <f t="shared" ca="1" si="10"/>
        <v>0.16135473451709417</v>
      </c>
      <c r="U61" s="5"/>
      <c r="V61" s="15"/>
      <c r="W61" s="18">
        <f>IF($K61 = "Machine 1", $Q61, " ")</f>
        <v>1.6666666666666667</v>
      </c>
      <c r="X61" s="18" t="str">
        <f>IF($K61 = "Machine 2", $Q61, " ")</f>
        <v xml:space="preserve"> </v>
      </c>
      <c r="Y61" s="18" t="str">
        <f>IF($K61 = "Machine 3", $Q61, " ")</f>
        <v xml:space="preserve"> </v>
      </c>
      <c r="Z61" s="18">
        <f>IF($K61="Machine 1", $R61," ")</f>
        <v>3</v>
      </c>
      <c r="AA61" s="18" t="str">
        <f>IF($K61="Machine 2", $R61," ")</f>
        <v xml:space="preserve"> </v>
      </c>
      <c r="AB61" s="18" t="str">
        <f>IF($K61="Machine 3", $R61," ")</f>
        <v xml:space="preserve"> </v>
      </c>
    </row>
    <row r="62" spans="1:28" x14ac:dyDescent="0.25">
      <c r="A62" t="s">
        <v>69</v>
      </c>
      <c r="B62" t="s">
        <v>1</v>
      </c>
      <c r="C62" t="str">
        <f t="shared" si="0"/>
        <v>057296</v>
      </c>
      <c r="D62" t="str">
        <f t="shared" si="1"/>
        <v>TOR</v>
      </c>
      <c r="E62" t="str" cm="1">
        <f t="array" ref="E62">INDEX($E$2:$E$4, MOD(ROW()-1,3)+1)</f>
        <v>Machine 2</v>
      </c>
      <c r="F62">
        <f t="shared" ca="1" si="2"/>
        <v>2</v>
      </c>
      <c r="G62">
        <f t="shared" ca="1" si="3"/>
        <v>0</v>
      </c>
      <c r="H62">
        <f ca="1">RANDBETWEEN(1,J62-2)</f>
        <v>1</v>
      </c>
      <c r="I62">
        <f t="shared" ca="1" si="4"/>
        <v>29</v>
      </c>
      <c r="J62">
        <f t="shared" ca="1" si="5"/>
        <v>5</v>
      </c>
      <c r="K62" t="str" cm="1">
        <f t="array" ref="K62">INDEX($E$2:$E$4, MOD(ROW()-1,3)+1)</f>
        <v>Machine 2</v>
      </c>
      <c r="L62">
        <v>0</v>
      </c>
      <c r="M62">
        <v>1</v>
      </c>
      <c r="N62">
        <v>3</v>
      </c>
      <c r="O62">
        <f t="shared" ca="1" si="6"/>
        <v>1</v>
      </c>
      <c r="P62">
        <f t="shared" ca="1" si="7"/>
        <v>5</v>
      </c>
      <c r="Q62" s="7">
        <f t="shared" si="8"/>
        <v>1.3333333333333333</v>
      </c>
      <c r="R62" s="7">
        <f>MAX(L62:N62)-MIN(L62:N62)</f>
        <v>3</v>
      </c>
      <c r="S62" s="7">
        <f t="shared" ca="1" si="9"/>
        <v>0.34923374105217619</v>
      </c>
      <c r="T62" s="7">
        <f t="shared" ca="1" si="10"/>
        <v>0.15808035042281524</v>
      </c>
      <c r="U62" s="5"/>
      <c r="V62" s="15"/>
      <c r="W62" s="18" t="str">
        <f>IF($K62 = "Machine 1", $Q62, " ")</f>
        <v xml:space="preserve"> </v>
      </c>
      <c r="X62" s="18">
        <f>IF($K62 = "Machine 2", $Q62, " ")</f>
        <v>1.3333333333333333</v>
      </c>
      <c r="Y62" s="18" t="str">
        <f>IF($K62 = "Machine 3", $Q62, " ")</f>
        <v xml:space="preserve"> </v>
      </c>
      <c r="Z62" s="18" t="str">
        <f>IF($K62="Machine 1", $R62," ")</f>
        <v xml:space="preserve"> </v>
      </c>
      <c r="AA62" s="18">
        <f>IF($K62="Machine 2", $R62," ")</f>
        <v>3</v>
      </c>
      <c r="AB62" s="18" t="str">
        <f>IF($K62="Machine 3", $R62," ")</f>
        <v xml:space="preserve"> </v>
      </c>
    </row>
    <row r="63" spans="1:28" x14ac:dyDescent="0.25">
      <c r="A63" t="s">
        <v>70</v>
      </c>
      <c r="B63" t="s">
        <v>1</v>
      </c>
      <c r="C63" t="str">
        <f t="shared" si="0"/>
        <v>057298</v>
      </c>
      <c r="D63" t="str">
        <f t="shared" si="1"/>
        <v>TOR</v>
      </c>
      <c r="E63" t="str" cm="1">
        <f t="array" ref="E63">INDEX($E$2:$E$4, MOD(ROW()-1,3)+1)</f>
        <v>Machine 3</v>
      </c>
      <c r="F63">
        <f t="shared" ca="1" si="2"/>
        <v>2</v>
      </c>
      <c r="G63">
        <f t="shared" ca="1" si="3"/>
        <v>1</v>
      </c>
      <c r="H63">
        <f ca="1">RANDBETWEEN(1,J63-2)</f>
        <v>4</v>
      </c>
      <c r="I63">
        <f t="shared" ca="1" si="4"/>
        <v>29</v>
      </c>
      <c r="J63">
        <f t="shared" ca="1" si="5"/>
        <v>10</v>
      </c>
      <c r="K63" t="str" cm="1">
        <f t="array" ref="K63">INDEX($E$2:$E$4, MOD(ROW()-1,3)+1)</f>
        <v>Machine 3</v>
      </c>
      <c r="L63">
        <v>1</v>
      </c>
      <c r="M63">
        <v>4</v>
      </c>
      <c r="N63">
        <v>3</v>
      </c>
      <c r="O63">
        <f t="shared" ca="1" si="6"/>
        <v>1</v>
      </c>
      <c r="P63">
        <f t="shared" ca="1" si="7"/>
        <v>4</v>
      </c>
      <c r="Q63" s="7">
        <f t="shared" si="8"/>
        <v>2.6666666666666665</v>
      </c>
      <c r="R63" s="7">
        <f>MAX(L63:N63)-MIN(L63:N63)</f>
        <v>3</v>
      </c>
      <c r="S63" s="7">
        <f t="shared" ca="1" si="9"/>
        <v>0.33584857190657713</v>
      </c>
      <c r="T63" s="7">
        <f t="shared" ca="1" si="10"/>
        <v>0.15153735853686662</v>
      </c>
      <c r="U63" s="5"/>
      <c r="V63" s="15"/>
      <c r="W63" s="18" t="str">
        <f>IF($K63 = "Machine 1", $Q63, " ")</f>
        <v xml:space="preserve"> </v>
      </c>
      <c r="X63" s="18" t="str">
        <f>IF($K63 = "Machine 2", $Q63, " ")</f>
        <v xml:space="preserve"> </v>
      </c>
      <c r="Y63" s="18">
        <f>IF($K63 = "Machine 3", $Q63, " ")</f>
        <v>2.6666666666666665</v>
      </c>
      <c r="Z63" s="18" t="str">
        <f>IF($K63="Machine 1", $R63," ")</f>
        <v xml:space="preserve"> </v>
      </c>
      <c r="AA63" s="18" t="str">
        <f>IF($K63="Machine 2", $R63," ")</f>
        <v xml:space="preserve"> </v>
      </c>
      <c r="AB63" s="18">
        <f>IF($K63="Machine 3", $R63," ")</f>
        <v>3</v>
      </c>
    </row>
    <row r="64" spans="1:28" x14ac:dyDescent="0.25">
      <c r="A64" t="s">
        <v>71</v>
      </c>
      <c r="B64" t="s">
        <v>1</v>
      </c>
      <c r="C64" t="str">
        <f t="shared" si="0"/>
        <v>057301</v>
      </c>
      <c r="D64" t="str">
        <f t="shared" si="1"/>
        <v>TOR</v>
      </c>
      <c r="E64" t="str" cm="1">
        <f t="array" ref="E64">INDEX($E$2:$E$4, MOD(ROW()-1,3)+1)</f>
        <v>Machine 1</v>
      </c>
      <c r="F64">
        <f t="shared" ca="1" si="2"/>
        <v>2</v>
      </c>
      <c r="G64">
        <f t="shared" ca="1" si="3"/>
        <v>1</v>
      </c>
      <c r="H64">
        <f ca="1">RANDBETWEEN(1,J64-2)</f>
        <v>8</v>
      </c>
      <c r="I64">
        <f t="shared" ca="1" si="4"/>
        <v>44</v>
      </c>
      <c r="J64">
        <f t="shared" ca="1" si="5"/>
        <v>14</v>
      </c>
      <c r="K64" t="str" cm="1">
        <f t="array" ref="K64">INDEX($E$2:$E$4, MOD(ROW()-1,3)+1)</f>
        <v>Machine 1</v>
      </c>
      <c r="L64">
        <v>0</v>
      </c>
      <c r="M64">
        <v>2</v>
      </c>
      <c r="N64">
        <v>2</v>
      </c>
      <c r="O64">
        <f t="shared" ca="1" si="6"/>
        <v>5</v>
      </c>
      <c r="P64">
        <f t="shared" ca="1" si="7"/>
        <v>6</v>
      </c>
      <c r="Q64" s="7">
        <f t="shared" si="8"/>
        <v>1.3333333333333333</v>
      </c>
      <c r="R64" s="7">
        <f>MAX(L64:N64)-MIN(L64:N64)</f>
        <v>2</v>
      </c>
      <c r="S64" s="7">
        <f t="shared" ca="1" si="9"/>
        <v>0.26964502058059109</v>
      </c>
      <c r="T64" s="7">
        <f t="shared" ca="1" si="10"/>
        <v>0.14775007029288664</v>
      </c>
      <c r="U64" s="5"/>
      <c r="V64" s="15"/>
      <c r="W64" s="18">
        <f>IF($K64 = "Machine 1", $Q64, " ")</f>
        <v>1.3333333333333333</v>
      </c>
      <c r="X64" s="18" t="str">
        <f>IF($K64 = "Machine 2", $Q64, " ")</f>
        <v xml:space="preserve"> </v>
      </c>
      <c r="Y64" s="18" t="str">
        <f>IF($K64 = "Machine 3", $Q64, " ")</f>
        <v xml:space="preserve"> </v>
      </c>
      <c r="Z64" s="18">
        <f>IF($K64="Machine 1", $R64," ")</f>
        <v>2</v>
      </c>
      <c r="AA64" s="18" t="str">
        <f>IF($K64="Machine 2", $R64," ")</f>
        <v xml:space="preserve"> </v>
      </c>
      <c r="AB64" s="18" t="str">
        <f>IF($K64="Machine 3", $R64," ")</f>
        <v xml:space="preserve"> </v>
      </c>
    </row>
    <row r="65" spans="1:28" x14ac:dyDescent="0.25">
      <c r="A65" t="s">
        <v>72</v>
      </c>
      <c r="B65" t="s">
        <v>1</v>
      </c>
      <c r="C65" t="str">
        <f t="shared" si="0"/>
        <v>057305</v>
      </c>
      <c r="D65" t="str">
        <f t="shared" si="1"/>
        <v>TOR</v>
      </c>
      <c r="E65" t="str" cm="1">
        <f t="array" ref="E65">INDEX($E$2:$E$4, MOD(ROW()-1,3)+1)</f>
        <v>Machine 2</v>
      </c>
      <c r="F65">
        <f t="shared" ca="1" si="2"/>
        <v>2</v>
      </c>
      <c r="G65">
        <f t="shared" ca="1" si="3"/>
        <v>1</v>
      </c>
      <c r="H65">
        <f ca="1">RANDBETWEEN(1,J65-2)</f>
        <v>1</v>
      </c>
      <c r="I65">
        <f t="shared" ca="1" si="4"/>
        <v>46</v>
      </c>
      <c r="J65">
        <f t="shared" ca="1" si="5"/>
        <v>15</v>
      </c>
      <c r="K65" t="str" cm="1">
        <f t="array" ref="K65">INDEX($E$2:$E$4, MOD(ROW()-1,3)+1)</f>
        <v>Machine 2</v>
      </c>
      <c r="L65">
        <v>0</v>
      </c>
      <c r="M65">
        <v>5</v>
      </c>
      <c r="N65">
        <v>3</v>
      </c>
      <c r="O65">
        <f t="shared" ca="1" si="6"/>
        <v>4</v>
      </c>
      <c r="P65">
        <f t="shared" ca="1" si="7"/>
        <v>1</v>
      </c>
      <c r="Q65" s="7">
        <f t="shared" si="8"/>
        <v>2.6666666666666665</v>
      </c>
      <c r="R65" s="7">
        <f>MAX(L65:N65)-MIN(L65:N65)</f>
        <v>5</v>
      </c>
      <c r="S65" s="7">
        <f t="shared" ca="1" si="9"/>
        <v>0.39599638890821531</v>
      </c>
      <c r="T65" s="7">
        <f t="shared" ca="1" si="10"/>
        <v>0.12704833193027015</v>
      </c>
      <c r="U65" s="5"/>
      <c r="V65" s="15"/>
      <c r="W65" s="18" t="str">
        <f>IF($K65 = "Machine 1", $Q65, " ")</f>
        <v xml:space="preserve"> </v>
      </c>
      <c r="X65" s="18">
        <f>IF($K65 = "Machine 2", $Q65, " ")</f>
        <v>2.6666666666666665</v>
      </c>
      <c r="Y65" s="18" t="str">
        <f>IF($K65 = "Machine 3", $Q65, " ")</f>
        <v xml:space="preserve"> </v>
      </c>
      <c r="Z65" s="18" t="str">
        <f>IF($K65="Machine 1", $R65," ")</f>
        <v xml:space="preserve"> </v>
      </c>
      <c r="AA65" s="18">
        <f>IF($K65="Machine 2", $R65," ")</f>
        <v>5</v>
      </c>
      <c r="AB65" s="18" t="str">
        <f>IF($K65="Machine 3", $R65," ")</f>
        <v xml:space="preserve"> </v>
      </c>
    </row>
    <row r="66" spans="1:28" x14ac:dyDescent="0.25">
      <c r="A66" t="s">
        <v>73</v>
      </c>
      <c r="B66" t="s">
        <v>1</v>
      </c>
      <c r="C66" t="str">
        <f t="shared" si="0"/>
        <v>057307</v>
      </c>
      <c r="D66" t="str">
        <f t="shared" si="1"/>
        <v>TOR</v>
      </c>
      <c r="E66" t="str" cm="1">
        <f t="array" ref="E66">INDEX($E$2:$E$4, MOD(ROW()-1,3)+1)</f>
        <v>Machine 3</v>
      </c>
      <c r="F66">
        <f t="shared" ca="1" si="2"/>
        <v>2</v>
      </c>
      <c r="G66">
        <f t="shared" ca="1" si="3"/>
        <v>0</v>
      </c>
      <c r="H66">
        <f ca="1">RANDBETWEEN(1,J66-2)</f>
        <v>2</v>
      </c>
      <c r="I66">
        <f t="shared" ca="1" si="4"/>
        <v>41</v>
      </c>
      <c r="J66">
        <f t="shared" ca="1" si="5"/>
        <v>11</v>
      </c>
      <c r="K66" t="str" cm="1">
        <f t="array" ref="K66">INDEX($E$2:$E$4, MOD(ROW()-1,3)+1)</f>
        <v>Machine 3</v>
      </c>
      <c r="L66">
        <v>1</v>
      </c>
      <c r="M66">
        <v>2</v>
      </c>
      <c r="N66">
        <v>3</v>
      </c>
      <c r="O66">
        <f t="shared" ca="1" si="6"/>
        <v>2</v>
      </c>
      <c r="P66">
        <f t="shared" ca="1" si="7"/>
        <v>6</v>
      </c>
      <c r="Q66" s="7">
        <f t="shared" si="8"/>
        <v>2</v>
      </c>
      <c r="R66" s="7">
        <f>MAX(L66:N66)-MIN(L66:N66)</f>
        <v>2</v>
      </c>
      <c r="S66" s="7">
        <f t="shared" ca="1" si="9"/>
        <v>0.45769091704318654</v>
      </c>
      <c r="T66" s="7">
        <f t="shared" ca="1" si="10"/>
        <v>0.1658822906001737</v>
      </c>
      <c r="U66" s="5"/>
      <c r="V66" s="15"/>
      <c r="W66" s="18" t="str">
        <f>IF($K66 = "Machine 1", $Q66, " ")</f>
        <v xml:space="preserve"> </v>
      </c>
      <c r="X66" s="18" t="str">
        <f>IF($K66 = "Machine 2", $Q66, " ")</f>
        <v xml:space="preserve"> </v>
      </c>
      <c r="Y66" s="18">
        <f>IF($K66 = "Machine 3", $Q66, " ")</f>
        <v>2</v>
      </c>
      <c r="Z66" s="18" t="str">
        <f>IF($K66="Machine 1", $R66," ")</f>
        <v xml:space="preserve"> </v>
      </c>
      <c r="AA66" s="18" t="str">
        <f>IF($K66="Machine 2", $R66," ")</f>
        <v xml:space="preserve"> </v>
      </c>
      <c r="AB66" s="18">
        <f>IF($K66="Machine 3", $R66," ")</f>
        <v>2</v>
      </c>
    </row>
    <row r="67" spans="1:28" x14ac:dyDescent="0.25">
      <c r="A67" t="s">
        <v>74</v>
      </c>
      <c r="B67" t="s">
        <v>1</v>
      </c>
      <c r="C67" t="str">
        <f t="shared" ref="C67:C130" si="11">RIGHT(A67,6)</f>
        <v>057309</v>
      </c>
      <c r="D67" t="str">
        <f t="shared" ref="D67:D130" si="12">RIGHT(B67,3)</f>
        <v>TOR</v>
      </c>
      <c r="E67" t="str" cm="1">
        <f t="array" ref="E67">INDEX($E$2:$E$4, MOD(ROW()-1,3)+1)</f>
        <v>Machine 1</v>
      </c>
      <c r="F67">
        <f t="shared" ref="F67:F130" ca="1" si="13">RANDBETWEEN(2,3)</f>
        <v>3</v>
      </c>
      <c r="G67">
        <f t="shared" ref="G67:G130" ca="1" si="14">RANDBETWEEN(0,1)</f>
        <v>1</v>
      </c>
      <c r="H67">
        <f ca="1">RANDBETWEEN(1,J67-2)</f>
        <v>5</v>
      </c>
      <c r="I67">
        <f t="shared" ref="I67:I130" ca="1" si="15">RANDBETWEEN(24,48)</f>
        <v>41</v>
      </c>
      <c r="J67">
        <f t="shared" ref="J67:J130" ca="1" si="16">RANDBETWEEN(5,15)</f>
        <v>10</v>
      </c>
      <c r="K67" t="str" cm="1">
        <f t="array" ref="K67">INDEX($E$2:$E$4, MOD(ROW()-1,3)+1)</f>
        <v>Machine 1</v>
      </c>
      <c r="L67">
        <v>1</v>
      </c>
      <c r="M67">
        <v>7</v>
      </c>
      <c r="N67">
        <v>2</v>
      </c>
      <c r="O67">
        <f t="shared" ref="O67:O101" ca="1" si="17">RANDBETWEEN(1,5)</f>
        <v>4</v>
      </c>
      <c r="P67">
        <f t="shared" ref="P67:P101" ca="1" si="18">RANDBETWEEN(1,12)</f>
        <v>10</v>
      </c>
      <c r="Q67" s="7">
        <f t="shared" ref="Q67:Q101" si="19">AVERAGE(L67:N67)</f>
        <v>3.3333333333333335</v>
      </c>
      <c r="R67" s="7">
        <f>MAX(L67:N67)-MIN(L67:N67)</f>
        <v>6</v>
      </c>
      <c r="S67" s="7">
        <f t="shared" ref="S67:S101" ca="1" si="20">_xlfn.T.TEST(Q67:Q166,O67:O166,2,1)</f>
        <v>0.45791708591888325</v>
      </c>
      <c r="T67" s="7">
        <f t="shared" ref="T67:T101" ca="1" si="21">_xlfn.F.TEST(R67:R166,P67:P166)</f>
        <v>0.14122829609668014</v>
      </c>
      <c r="U67" s="5"/>
      <c r="V67" s="15"/>
      <c r="W67" s="18">
        <f>IF($K67 = "Machine 1", $Q67, " ")</f>
        <v>3.3333333333333335</v>
      </c>
      <c r="X67" s="18" t="str">
        <f>IF($K67 = "Machine 2", $Q67, " ")</f>
        <v xml:space="preserve"> </v>
      </c>
      <c r="Y67" s="18" t="str">
        <f>IF($K67 = "Machine 3", $Q67, " ")</f>
        <v xml:space="preserve"> </v>
      </c>
      <c r="Z67" s="18">
        <f>IF($K67="Machine 1", $R67," ")</f>
        <v>6</v>
      </c>
      <c r="AA67" s="18" t="str">
        <f>IF($K67="Machine 2", $R67," ")</f>
        <v xml:space="preserve"> </v>
      </c>
      <c r="AB67" s="18" t="str">
        <f>IF($K67="Machine 3", $R67," ")</f>
        <v xml:space="preserve"> </v>
      </c>
    </row>
    <row r="68" spans="1:28" x14ac:dyDescent="0.25">
      <c r="A68" t="s">
        <v>75</v>
      </c>
      <c r="B68" t="s">
        <v>1</v>
      </c>
      <c r="C68" t="str">
        <f t="shared" si="11"/>
        <v>057313</v>
      </c>
      <c r="D68" t="str">
        <f t="shared" si="12"/>
        <v>TOR</v>
      </c>
      <c r="E68" t="str" cm="1">
        <f t="array" ref="E68">INDEX($E$2:$E$4, MOD(ROW()-1,3)+1)</f>
        <v>Machine 2</v>
      </c>
      <c r="F68">
        <f t="shared" ca="1" si="13"/>
        <v>3</v>
      </c>
      <c r="G68">
        <f t="shared" ca="1" si="14"/>
        <v>1</v>
      </c>
      <c r="H68">
        <f ca="1">RANDBETWEEN(1,J68-2)</f>
        <v>9</v>
      </c>
      <c r="I68">
        <f t="shared" ca="1" si="15"/>
        <v>35</v>
      </c>
      <c r="J68">
        <f t="shared" ca="1" si="16"/>
        <v>13</v>
      </c>
      <c r="K68" t="str" cm="1">
        <f t="array" ref="K68">INDEX($E$2:$E$4, MOD(ROW()-1,3)+1)</f>
        <v>Machine 2</v>
      </c>
      <c r="L68">
        <v>0</v>
      </c>
      <c r="M68">
        <v>10</v>
      </c>
      <c r="N68">
        <v>3</v>
      </c>
      <c r="O68">
        <f t="shared" ca="1" si="17"/>
        <v>2</v>
      </c>
      <c r="P68">
        <f t="shared" ca="1" si="18"/>
        <v>8</v>
      </c>
      <c r="Q68" s="7">
        <f t="shared" si="19"/>
        <v>4.333333333333333</v>
      </c>
      <c r="R68" s="7">
        <f>MAX(L68:N68)-MIN(L68:N68)</f>
        <v>10</v>
      </c>
      <c r="S68" s="7">
        <f t="shared" ca="1" si="20"/>
        <v>0.49170547685641108</v>
      </c>
      <c r="T68" s="7">
        <f t="shared" ca="1" si="21"/>
        <v>0.18617796733672481</v>
      </c>
      <c r="U68" s="5"/>
      <c r="V68" s="15"/>
      <c r="W68" s="18" t="str">
        <f>IF($K68 = "Machine 1", $Q68, " ")</f>
        <v xml:space="preserve"> </v>
      </c>
      <c r="X68" s="18">
        <f>IF($K68 = "Machine 2", $Q68, " ")</f>
        <v>4.333333333333333</v>
      </c>
      <c r="Y68" s="18" t="str">
        <f>IF($K68 = "Machine 3", $Q68, " ")</f>
        <v xml:space="preserve"> </v>
      </c>
      <c r="Z68" s="18" t="str">
        <f>IF($K68="Machine 1", $R68," ")</f>
        <v xml:space="preserve"> </v>
      </c>
      <c r="AA68" s="18">
        <f>IF($K68="Machine 2", $R68," ")</f>
        <v>10</v>
      </c>
      <c r="AB68" s="18" t="str">
        <f>IF($K68="Machine 3", $R68," ")</f>
        <v xml:space="preserve"> </v>
      </c>
    </row>
    <row r="69" spans="1:28" x14ac:dyDescent="0.25">
      <c r="A69" t="s">
        <v>76</v>
      </c>
      <c r="B69" t="s">
        <v>1</v>
      </c>
      <c r="C69" t="str">
        <f t="shared" si="11"/>
        <v>057322</v>
      </c>
      <c r="D69" t="str">
        <f t="shared" si="12"/>
        <v>TOR</v>
      </c>
      <c r="E69" t="str" cm="1">
        <f t="array" ref="E69">INDEX($E$2:$E$4, MOD(ROW()-1,3)+1)</f>
        <v>Machine 3</v>
      </c>
      <c r="F69">
        <f t="shared" ca="1" si="13"/>
        <v>3</v>
      </c>
      <c r="G69">
        <f t="shared" ca="1" si="14"/>
        <v>0</v>
      </c>
      <c r="H69">
        <f ca="1">RANDBETWEEN(1,J69-2)</f>
        <v>3</v>
      </c>
      <c r="I69">
        <f t="shared" ca="1" si="15"/>
        <v>29</v>
      </c>
      <c r="J69">
        <f t="shared" ca="1" si="16"/>
        <v>11</v>
      </c>
      <c r="K69" t="str" cm="1">
        <f t="array" ref="K69">INDEX($E$2:$E$4, MOD(ROW()-1,3)+1)</f>
        <v>Machine 3</v>
      </c>
      <c r="L69">
        <v>0</v>
      </c>
      <c r="M69">
        <v>7</v>
      </c>
      <c r="N69">
        <v>2</v>
      </c>
      <c r="O69">
        <f t="shared" ca="1" si="17"/>
        <v>5</v>
      </c>
      <c r="P69">
        <f t="shared" ca="1" si="18"/>
        <v>12</v>
      </c>
      <c r="Q69" s="7">
        <f t="shared" si="19"/>
        <v>3</v>
      </c>
      <c r="R69" s="7">
        <f>MAX(L69:N69)-MIN(L69:N69)</f>
        <v>7</v>
      </c>
      <c r="S69" s="7">
        <f t="shared" ca="1" si="20"/>
        <v>0.36841599980227713</v>
      </c>
      <c r="T69" s="7">
        <f t="shared" ca="1" si="21"/>
        <v>0.13559286004780741</v>
      </c>
      <c r="U69" s="5"/>
      <c r="V69" s="15"/>
      <c r="W69" s="18" t="str">
        <f>IF($K69 = "Machine 1", $Q69, " ")</f>
        <v xml:space="preserve"> </v>
      </c>
      <c r="X69" s="18" t="str">
        <f>IF($K69 = "Machine 2", $Q69, " ")</f>
        <v xml:space="preserve"> </v>
      </c>
      <c r="Y69" s="18">
        <f>IF($K69 = "Machine 3", $Q69, " ")</f>
        <v>3</v>
      </c>
      <c r="Z69" s="18" t="str">
        <f>IF($K69="Machine 1", $R69," ")</f>
        <v xml:space="preserve"> </v>
      </c>
      <c r="AA69" s="18" t="str">
        <f>IF($K69="Machine 2", $R69," ")</f>
        <v xml:space="preserve"> </v>
      </c>
      <c r="AB69" s="18">
        <f>IF($K69="Machine 3", $R69," ")</f>
        <v>7</v>
      </c>
    </row>
    <row r="70" spans="1:28" x14ac:dyDescent="0.25">
      <c r="A70" t="s">
        <v>77</v>
      </c>
      <c r="B70" t="s">
        <v>1</v>
      </c>
      <c r="C70" t="str">
        <f t="shared" si="11"/>
        <v>057325</v>
      </c>
      <c r="D70" t="str">
        <f t="shared" si="12"/>
        <v>TOR</v>
      </c>
      <c r="E70" t="str" cm="1">
        <f t="array" ref="E70">INDEX($E$2:$E$4, MOD(ROW()-1,3)+1)</f>
        <v>Machine 1</v>
      </c>
      <c r="F70">
        <f t="shared" ca="1" si="13"/>
        <v>3</v>
      </c>
      <c r="G70">
        <f t="shared" ca="1" si="14"/>
        <v>0</v>
      </c>
      <c r="H70">
        <f ca="1">RANDBETWEEN(1,J70-2)</f>
        <v>5</v>
      </c>
      <c r="I70">
        <f t="shared" ca="1" si="15"/>
        <v>41</v>
      </c>
      <c r="J70">
        <f t="shared" ca="1" si="16"/>
        <v>10</v>
      </c>
      <c r="K70" t="str" cm="1">
        <f t="array" ref="K70">INDEX($E$2:$E$4, MOD(ROW()-1,3)+1)</f>
        <v>Machine 1</v>
      </c>
      <c r="L70">
        <v>0</v>
      </c>
      <c r="M70">
        <v>2</v>
      </c>
      <c r="N70">
        <v>3</v>
      </c>
      <c r="O70">
        <f t="shared" ca="1" si="17"/>
        <v>4</v>
      </c>
      <c r="P70">
        <f t="shared" ca="1" si="18"/>
        <v>12</v>
      </c>
      <c r="Q70" s="7">
        <f t="shared" si="19"/>
        <v>1.6666666666666667</v>
      </c>
      <c r="R70" s="7">
        <f>MAX(L70:N70)-MIN(L70:N70)</f>
        <v>3</v>
      </c>
      <c r="S70" s="7">
        <f t="shared" ca="1" si="20"/>
        <v>0.45941585628156989</v>
      </c>
      <c r="T70" s="7">
        <f t="shared" ca="1" si="21"/>
        <v>0.23250944384508399</v>
      </c>
      <c r="U70" s="5"/>
      <c r="V70" s="15"/>
      <c r="W70" s="18">
        <f>IF($K70 = "Machine 1", $Q70, " ")</f>
        <v>1.6666666666666667</v>
      </c>
      <c r="X70" s="18" t="str">
        <f>IF($K70 = "Machine 2", $Q70, " ")</f>
        <v xml:space="preserve"> </v>
      </c>
      <c r="Y70" s="18" t="str">
        <f>IF($K70 = "Machine 3", $Q70, " ")</f>
        <v xml:space="preserve"> </v>
      </c>
      <c r="Z70" s="18">
        <f>IF($K70="Machine 1", $R70," ")</f>
        <v>3</v>
      </c>
      <c r="AA70" s="18" t="str">
        <f>IF($K70="Machine 2", $R70," ")</f>
        <v xml:space="preserve"> </v>
      </c>
      <c r="AB70" s="18" t="str">
        <f>IF($K70="Machine 3", $R70," ")</f>
        <v xml:space="preserve"> </v>
      </c>
    </row>
    <row r="71" spans="1:28" x14ac:dyDescent="0.25">
      <c r="A71" t="s">
        <v>78</v>
      </c>
      <c r="B71" t="s">
        <v>1</v>
      </c>
      <c r="C71" t="str">
        <f t="shared" si="11"/>
        <v>057327</v>
      </c>
      <c r="D71" t="str">
        <f t="shared" si="12"/>
        <v>TOR</v>
      </c>
      <c r="E71" t="str" cm="1">
        <f t="array" ref="E71">INDEX($E$2:$E$4, MOD(ROW()-1,3)+1)</f>
        <v>Machine 2</v>
      </c>
      <c r="F71">
        <f t="shared" ca="1" si="13"/>
        <v>2</v>
      </c>
      <c r="G71">
        <f t="shared" ca="1" si="14"/>
        <v>1</v>
      </c>
      <c r="H71">
        <f ca="1">RANDBETWEEN(1,J71-2)</f>
        <v>6</v>
      </c>
      <c r="I71">
        <f t="shared" ca="1" si="15"/>
        <v>29</v>
      </c>
      <c r="J71">
        <f t="shared" ca="1" si="16"/>
        <v>11</v>
      </c>
      <c r="K71" t="str" cm="1">
        <f t="array" ref="K71">INDEX($E$2:$E$4, MOD(ROW()-1,3)+1)</f>
        <v>Machine 2</v>
      </c>
      <c r="L71">
        <v>1</v>
      </c>
      <c r="M71">
        <v>2</v>
      </c>
      <c r="N71">
        <v>3</v>
      </c>
      <c r="O71">
        <f t="shared" ca="1" si="17"/>
        <v>5</v>
      </c>
      <c r="P71">
        <f t="shared" ca="1" si="18"/>
        <v>6</v>
      </c>
      <c r="Q71" s="7">
        <f t="shared" si="19"/>
        <v>2</v>
      </c>
      <c r="R71" s="7">
        <f>MAX(L71:N71)-MIN(L71:N71)</f>
        <v>2</v>
      </c>
      <c r="S71" s="7">
        <f t="shared" ca="1" si="20"/>
        <v>0.58187763270236359</v>
      </c>
      <c r="T71" s="7">
        <f t="shared" ca="1" si="21"/>
        <v>0.39550570502467147</v>
      </c>
      <c r="U71" s="5"/>
      <c r="V71" s="15"/>
      <c r="W71" s="18" t="str">
        <f>IF($K71 = "Machine 1", $Q71, " ")</f>
        <v xml:space="preserve"> </v>
      </c>
      <c r="X71" s="18">
        <f>IF($K71 = "Machine 2", $Q71, " ")</f>
        <v>2</v>
      </c>
      <c r="Y71" s="18" t="str">
        <f>IF($K71 = "Machine 3", $Q71, " ")</f>
        <v xml:space="preserve"> </v>
      </c>
      <c r="Z71" s="18" t="str">
        <f>IF($K71="Machine 1", $R71," ")</f>
        <v xml:space="preserve"> </v>
      </c>
      <c r="AA71" s="18">
        <f>IF($K71="Machine 2", $R71," ")</f>
        <v>2</v>
      </c>
      <c r="AB71" s="18" t="str">
        <f>IF($K71="Machine 3", $R71," ")</f>
        <v xml:space="preserve"> </v>
      </c>
    </row>
    <row r="72" spans="1:28" x14ac:dyDescent="0.25">
      <c r="A72" t="s">
        <v>79</v>
      </c>
      <c r="B72" t="s">
        <v>1</v>
      </c>
      <c r="C72" t="str">
        <f t="shared" si="11"/>
        <v>057329</v>
      </c>
      <c r="D72" t="str">
        <f t="shared" si="12"/>
        <v>TOR</v>
      </c>
      <c r="E72" t="str" cm="1">
        <f t="array" ref="E72">INDEX($E$2:$E$4, MOD(ROW()-1,3)+1)</f>
        <v>Machine 3</v>
      </c>
      <c r="F72">
        <f t="shared" ca="1" si="13"/>
        <v>3</v>
      </c>
      <c r="G72">
        <f t="shared" ca="1" si="14"/>
        <v>1</v>
      </c>
      <c r="H72">
        <f ca="1">RANDBETWEEN(1,J72-2)</f>
        <v>4</v>
      </c>
      <c r="I72">
        <f t="shared" ca="1" si="15"/>
        <v>26</v>
      </c>
      <c r="J72">
        <f t="shared" ca="1" si="16"/>
        <v>10</v>
      </c>
      <c r="K72" t="str" cm="1">
        <f t="array" ref="K72">INDEX($E$2:$E$4, MOD(ROW()-1,3)+1)</f>
        <v>Machine 3</v>
      </c>
      <c r="L72">
        <v>0</v>
      </c>
      <c r="M72">
        <v>4</v>
      </c>
      <c r="N72">
        <v>3</v>
      </c>
      <c r="O72">
        <f t="shared" ca="1" si="17"/>
        <v>1</v>
      </c>
      <c r="P72">
        <f t="shared" ca="1" si="18"/>
        <v>6</v>
      </c>
      <c r="Q72" s="7">
        <f t="shared" si="19"/>
        <v>2.3333333333333335</v>
      </c>
      <c r="R72" s="7">
        <f>MAX(L72:N72)-MIN(L72:N72)</f>
        <v>4</v>
      </c>
      <c r="S72" s="7">
        <f t="shared" ca="1" si="20"/>
        <v>0.76424320584049599</v>
      </c>
      <c r="T72" s="7">
        <f t="shared" ca="1" si="21"/>
        <v>0.34867852701079727</v>
      </c>
      <c r="U72" s="5"/>
      <c r="V72" s="15"/>
      <c r="W72" s="18" t="str">
        <f>IF($K72 = "Machine 1", $Q72, " ")</f>
        <v xml:space="preserve"> </v>
      </c>
      <c r="X72" s="18" t="str">
        <f>IF($K72 = "Machine 2", $Q72, " ")</f>
        <v xml:space="preserve"> </v>
      </c>
      <c r="Y72" s="18">
        <f>IF($K72 = "Machine 3", $Q72, " ")</f>
        <v>2.3333333333333335</v>
      </c>
      <c r="Z72" s="18" t="str">
        <f>IF($K72="Machine 1", $R72," ")</f>
        <v xml:space="preserve"> </v>
      </c>
      <c r="AA72" s="18" t="str">
        <f>IF($K72="Machine 2", $R72," ")</f>
        <v xml:space="preserve"> </v>
      </c>
      <c r="AB72" s="18">
        <f>IF($K72="Machine 3", $R72," ")</f>
        <v>4</v>
      </c>
    </row>
    <row r="73" spans="1:28" x14ac:dyDescent="0.25">
      <c r="A73" t="s">
        <v>80</v>
      </c>
      <c r="B73" t="s">
        <v>1</v>
      </c>
      <c r="C73" t="str">
        <f t="shared" si="11"/>
        <v>057336</v>
      </c>
      <c r="D73" t="str">
        <f t="shared" si="12"/>
        <v>TOR</v>
      </c>
      <c r="E73" t="str" cm="1">
        <f t="array" ref="E73">INDEX($E$2:$E$4, MOD(ROW()-1,3)+1)</f>
        <v>Machine 1</v>
      </c>
      <c r="F73">
        <f t="shared" ca="1" si="13"/>
        <v>3</v>
      </c>
      <c r="G73">
        <f t="shared" ca="1" si="14"/>
        <v>1</v>
      </c>
      <c r="H73">
        <f ca="1">RANDBETWEEN(1,J73-2)</f>
        <v>5</v>
      </c>
      <c r="I73">
        <f t="shared" ca="1" si="15"/>
        <v>37</v>
      </c>
      <c r="J73">
        <f t="shared" ca="1" si="16"/>
        <v>14</v>
      </c>
      <c r="K73" t="str" cm="1">
        <f t="array" ref="K73">INDEX($E$2:$E$4, MOD(ROW()-1,3)+1)</f>
        <v>Machine 1</v>
      </c>
      <c r="L73">
        <v>0</v>
      </c>
      <c r="M73">
        <v>10</v>
      </c>
      <c r="N73">
        <v>3</v>
      </c>
      <c r="O73">
        <f t="shared" ca="1" si="17"/>
        <v>1</v>
      </c>
      <c r="P73">
        <f t="shared" ca="1" si="18"/>
        <v>7</v>
      </c>
      <c r="Q73" s="7">
        <f t="shared" si="19"/>
        <v>4.333333333333333</v>
      </c>
      <c r="R73" s="7">
        <f>MAX(L73:N73)-MIN(L73:N73)</f>
        <v>10</v>
      </c>
      <c r="S73" s="7">
        <f t="shared" ca="1" si="20"/>
        <v>0.67224885449021632</v>
      </c>
      <c r="T73" s="7">
        <f t="shared" ca="1" si="21"/>
        <v>0.35407649299234084</v>
      </c>
      <c r="U73" s="5"/>
      <c r="V73" s="15"/>
      <c r="W73" s="18">
        <f>IF($K73 = "Machine 1", $Q73, " ")</f>
        <v>4.333333333333333</v>
      </c>
      <c r="X73" s="18" t="str">
        <f>IF($K73 = "Machine 2", $Q73, " ")</f>
        <v xml:space="preserve"> </v>
      </c>
      <c r="Y73" s="18" t="str">
        <f>IF($K73 = "Machine 3", $Q73, " ")</f>
        <v xml:space="preserve"> </v>
      </c>
      <c r="Z73" s="18">
        <f>IF($K73="Machine 1", $R73," ")</f>
        <v>10</v>
      </c>
      <c r="AA73" s="18" t="str">
        <f>IF($K73="Machine 2", $R73," ")</f>
        <v xml:space="preserve"> </v>
      </c>
      <c r="AB73" s="18" t="str">
        <f>IF($K73="Machine 3", $R73," ")</f>
        <v xml:space="preserve"> </v>
      </c>
    </row>
    <row r="74" spans="1:28" x14ac:dyDescent="0.25">
      <c r="A74" t="s">
        <v>81</v>
      </c>
      <c r="B74" t="s">
        <v>1</v>
      </c>
      <c r="C74" t="str">
        <f t="shared" si="11"/>
        <v>057338</v>
      </c>
      <c r="D74" t="str">
        <f t="shared" si="12"/>
        <v>TOR</v>
      </c>
      <c r="E74" t="str" cm="1">
        <f t="array" ref="E74">INDEX($E$2:$E$4, MOD(ROW()-1,3)+1)</f>
        <v>Machine 2</v>
      </c>
      <c r="F74">
        <f t="shared" ca="1" si="13"/>
        <v>3</v>
      </c>
      <c r="G74">
        <f t="shared" ca="1" si="14"/>
        <v>0</v>
      </c>
      <c r="H74">
        <f ca="1">RANDBETWEEN(1,J74-2)</f>
        <v>4</v>
      </c>
      <c r="I74">
        <f t="shared" ca="1" si="15"/>
        <v>32</v>
      </c>
      <c r="J74">
        <f t="shared" ca="1" si="16"/>
        <v>7</v>
      </c>
      <c r="K74" t="str" cm="1">
        <f t="array" ref="K74">INDEX($E$2:$E$4, MOD(ROW()-1,3)+1)</f>
        <v>Machine 2</v>
      </c>
      <c r="L74">
        <v>0</v>
      </c>
      <c r="M74">
        <v>9</v>
      </c>
      <c r="N74">
        <v>2</v>
      </c>
      <c r="O74">
        <f t="shared" ca="1" si="17"/>
        <v>5</v>
      </c>
      <c r="P74">
        <f t="shared" ca="1" si="18"/>
        <v>2</v>
      </c>
      <c r="Q74" s="7">
        <f t="shared" si="19"/>
        <v>3.6666666666666665</v>
      </c>
      <c r="R74" s="7">
        <f>MAX(L74:N74)-MIN(L74:N74)</f>
        <v>9</v>
      </c>
      <c r="S74" s="7">
        <f t="shared" ca="1" si="20"/>
        <v>0.44426386409827867</v>
      </c>
      <c r="T74" s="7">
        <f t="shared" ca="1" si="21"/>
        <v>0.25879544439736057</v>
      </c>
      <c r="U74" s="5"/>
      <c r="V74" s="15"/>
      <c r="W74" s="18" t="str">
        <f>IF($K74 = "Machine 1", $Q74, " ")</f>
        <v xml:space="preserve"> </v>
      </c>
      <c r="X74" s="18">
        <f>IF($K74 = "Machine 2", $Q74, " ")</f>
        <v>3.6666666666666665</v>
      </c>
      <c r="Y74" s="18" t="str">
        <f>IF($K74 = "Machine 3", $Q74, " ")</f>
        <v xml:space="preserve"> </v>
      </c>
      <c r="Z74" s="18" t="str">
        <f>IF($K74="Machine 1", $R74," ")</f>
        <v xml:space="preserve"> </v>
      </c>
      <c r="AA74" s="18">
        <f>IF($K74="Machine 2", $R74," ")</f>
        <v>9</v>
      </c>
      <c r="AB74" s="18" t="str">
        <f>IF($K74="Machine 3", $R74," ")</f>
        <v xml:space="preserve"> </v>
      </c>
    </row>
    <row r="75" spans="1:28" x14ac:dyDescent="0.25">
      <c r="A75" t="s">
        <v>82</v>
      </c>
      <c r="B75" t="s">
        <v>1</v>
      </c>
      <c r="C75" t="str">
        <f t="shared" si="11"/>
        <v>057340</v>
      </c>
      <c r="D75" t="str">
        <f t="shared" si="12"/>
        <v>TOR</v>
      </c>
      <c r="E75" t="str" cm="1">
        <f t="array" ref="E75">INDEX($E$2:$E$4, MOD(ROW()-1,3)+1)</f>
        <v>Machine 3</v>
      </c>
      <c r="F75">
        <f t="shared" ca="1" si="13"/>
        <v>3</v>
      </c>
      <c r="G75">
        <f t="shared" ca="1" si="14"/>
        <v>0</v>
      </c>
      <c r="H75">
        <f ca="1">RANDBETWEEN(1,J75-2)</f>
        <v>3</v>
      </c>
      <c r="I75">
        <f t="shared" ca="1" si="15"/>
        <v>33</v>
      </c>
      <c r="J75">
        <f t="shared" ca="1" si="16"/>
        <v>11</v>
      </c>
      <c r="K75" t="str" cm="1">
        <f t="array" ref="K75">INDEX($E$2:$E$4, MOD(ROW()-1,3)+1)</f>
        <v>Machine 3</v>
      </c>
      <c r="L75">
        <v>0</v>
      </c>
      <c r="M75">
        <v>5</v>
      </c>
      <c r="N75">
        <v>3</v>
      </c>
      <c r="O75">
        <f t="shared" ca="1" si="17"/>
        <v>5</v>
      </c>
      <c r="P75">
        <f t="shared" ca="1" si="18"/>
        <v>8</v>
      </c>
      <c r="Q75" s="7">
        <f t="shared" si="19"/>
        <v>2.6666666666666665</v>
      </c>
      <c r="R75" s="7">
        <f>MAX(L75:N75)-MIN(L75:N75)</f>
        <v>5</v>
      </c>
      <c r="S75" s="7">
        <f t="shared" ca="1" si="20"/>
        <v>0.52128210889042381</v>
      </c>
      <c r="T75" s="7">
        <f t="shared" ca="1" si="21"/>
        <v>0.21461584348559179</v>
      </c>
      <c r="U75" s="5"/>
      <c r="V75" s="15"/>
      <c r="W75" s="18" t="str">
        <f>IF($K75 = "Machine 1", $Q75, " ")</f>
        <v xml:space="preserve"> </v>
      </c>
      <c r="X75" s="18" t="str">
        <f>IF($K75 = "Machine 2", $Q75, " ")</f>
        <v xml:space="preserve"> </v>
      </c>
      <c r="Y75" s="18">
        <f>IF($K75 = "Machine 3", $Q75, " ")</f>
        <v>2.6666666666666665</v>
      </c>
      <c r="Z75" s="18" t="str">
        <f>IF($K75="Machine 1", $R75," ")</f>
        <v xml:space="preserve"> </v>
      </c>
      <c r="AA75" s="18" t="str">
        <f>IF($K75="Machine 2", $R75," ")</f>
        <v xml:space="preserve"> </v>
      </c>
      <c r="AB75" s="18">
        <f>IF($K75="Machine 3", $R75," ")</f>
        <v>5</v>
      </c>
    </row>
    <row r="76" spans="1:28" x14ac:dyDescent="0.25">
      <c r="A76" t="s">
        <v>83</v>
      </c>
      <c r="B76" t="s">
        <v>1</v>
      </c>
      <c r="C76" t="str">
        <f t="shared" si="11"/>
        <v>057343</v>
      </c>
      <c r="D76" t="str">
        <f t="shared" si="12"/>
        <v>TOR</v>
      </c>
      <c r="E76" t="str" cm="1">
        <f t="array" ref="E76">INDEX($E$2:$E$4, MOD(ROW()-1,3)+1)</f>
        <v>Machine 1</v>
      </c>
      <c r="F76">
        <f t="shared" ca="1" si="13"/>
        <v>2</v>
      </c>
      <c r="G76">
        <f t="shared" ca="1" si="14"/>
        <v>1</v>
      </c>
      <c r="H76">
        <f ca="1">RANDBETWEEN(1,J76-2)</f>
        <v>9</v>
      </c>
      <c r="I76">
        <f t="shared" ca="1" si="15"/>
        <v>44</v>
      </c>
      <c r="J76">
        <f t="shared" ca="1" si="16"/>
        <v>11</v>
      </c>
      <c r="K76" t="str" cm="1">
        <f t="array" ref="K76">INDEX($E$2:$E$4, MOD(ROW()-1,3)+1)</f>
        <v>Machine 1</v>
      </c>
      <c r="L76">
        <v>0</v>
      </c>
      <c r="M76">
        <v>1</v>
      </c>
      <c r="N76">
        <v>2</v>
      </c>
      <c r="O76">
        <f t="shared" ca="1" si="17"/>
        <v>5</v>
      </c>
      <c r="P76">
        <f t="shared" ca="1" si="18"/>
        <v>3</v>
      </c>
      <c r="Q76" s="7">
        <f t="shared" si="19"/>
        <v>1</v>
      </c>
      <c r="R76" s="7">
        <f>MAX(L76:N76)-MIN(L76:N76)</f>
        <v>2</v>
      </c>
      <c r="S76" s="7">
        <f t="shared" ca="1" si="20"/>
        <v>0.66940283716593618</v>
      </c>
      <c r="T76" s="7">
        <f t="shared" ca="1" si="21"/>
        <v>0.25801543456663717</v>
      </c>
      <c r="U76" s="5"/>
      <c r="V76" s="15"/>
      <c r="W76" s="18">
        <f>IF($K76 = "Machine 1", $Q76, " ")</f>
        <v>1</v>
      </c>
      <c r="X76" s="18" t="str">
        <f>IF($K76 = "Machine 2", $Q76, " ")</f>
        <v xml:space="preserve"> </v>
      </c>
      <c r="Y76" s="18" t="str">
        <f>IF($K76 = "Machine 3", $Q76, " ")</f>
        <v xml:space="preserve"> </v>
      </c>
      <c r="Z76" s="18">
        <f>IF($K76="Machine 1", $R76," ")</f>
        <v>2</v>
      </c>
      <c r="AA76" s="18" t="str">
        <f>IF($K76="Machine 2", $R76," ")</f>
        <v xml:space="preserve"> </v>
      </c>
      <c r="AB76" s="18" t="str">
        <f>IF($K76="Machine 3", $R76," ")</f>
        <v xml:space="preserve"> </v>
      </c>
    </row>
    <row r="77" spans="1:28" x14ac:dyDescent="0.25">
      <c r="A77" t="s">
        <v>84</v>
      </c>
      <c r="B77" t="s">
        <v>1</v>
      </c>
      <c r="C77" t="str">
        <f t="shared" si="11"/>
        <v>057345</v>
      </c>
      <c r="D77" t="str">
        <f t="shared" si="12"/>
        <v>TOR</v>
      </c>
      <c r="E77" t="str" cm="1">
        <f t="array" ref="E77">INDEX($E$2:$E$4, MOD(ROW()-1,3)+1)</f>
        <v>Machine 2</v>
      </c>
      <c r="F77">
        <f t="shared" ca="1" si="13"/>
        <v>3</v>
      </c>
      <c r="G77">
        <f t="shared" ca="1" si="14"/>
        <v>0</v>
      </c>
      <c r="H77">
        <f ca="1">RANDBETWEEN(1,J77-2)</f>
        <v>3</v>
      </c>
      <c r="I77">
        <f t="shared" ca="1" si="15"/>
        <v>30</v>
      </c>
      <c r="J77">
        <f t="shared" ca="1" si="16"/>
        <v>5</v>
      </c>
      <c r="K77" t="str" cm="1">
        <f t="array" ref="K77">INDEX($E$2:$E$4, MOD(ROW()-1,3)+1)</f>
        <v>Machine 2</v>
      </c>
      <c r="L77">
        <v>0</v>
      </c>
      <c r="M77">
        <v>4</v>
      </c>
      <c r="N77">
        <v>2</v>
      </c>
      <c r="O77">
        <f t="shared" ca="1" si="17"/>
        <v>2</v>
      </c>
      <c r="P77">
        <f t="shared" ca="1" si="18"/>
        <v>9</v>
      </c>
      <c r="Q77" s="7">
        <f t="shared" si="19"/>
        <v>2</v>
      </c>
      <c r="R77" s="7">
        <f>MAX(L77:N77)-MIN(L77:N77)</f>
        <v>4</v>
      </c>
      <c r="S77" s="7">
        <f t="shared" ca="1" si="20"/>
        <v>0.9714297393018918</v>
      </c>
      <c r="T77" s="7">
        <f t="shared" ca="1" si="21"/>
        <v>0.22868827962980909</v>
      </c>
      <c r="U77" s="5"/>
      <c r="V77" s="15"/>
      <c r="W77" s="18" t="str">
        <f>IF($K77 = "Machine 1", $Q77, " ")</f>
        <v xml:space="preserve"> </v>
      </c>
      <c r="X77" s="18">
        <f>IF($K77 = "Machine 2", $Q77, " ")</f>
        <v>2</v>
      </c>
      <c r="Y77" s="18" t="str">
        <f>IF($K77 = "Machine 3", $Q77, " ")</f>
        <v xml:space="preserve"> </v>
      </c>
      <c r="Z77" s="18" t="str">
        <f>IF($K77="Machine 1", $R77," ")</f>
        <v xml:space="preserve"> </v>
      </c>
      <c r="AA77" s="18">
        <f>IF($K77="Machine 2", $R77," ")</f>
        <v>4</v>
      </c>
      <c r="AB77" s="18" t="str">
        <f>IF($K77="Machine 3", $R77," ")</f>
        <v xml:space="preserve"> </v>
      </c>
    </row>
    <row r="78" spans="1:28" x14ac:dyDescent="0.25">
      <c r="A78" t="s">
        <v>85</v>
      </c>
      <c r="B78" t="s">
        <v>1</v>
      </c>
      <c r="C78" t="str">
        <f t="shared" si="11"/>
        <v>057356</v>
      </c>
      <c r="D78" t="str">
        <f t="shared" si="12"/>
        <v>TOR</v>
      </c>
      <c r="E78" t="str" cm="1">
        <f t="array" ref="E78">INDEX($E$2:$E$4, MOD(ROW()-1,3)+1)</f>
        <v>Machine 3</v>
      </c>
      <c r="F78">
        <f t="shared" ca="1" si="13"/>
        <v>3</v>
      </c>
      <c r="G78">
        <f t="shared" ca="1" si="14"/>
        <v>1</v>
      </c>
      <c r="H78">
        <f ca="1">RANDBETWEEN(1,J78-2)</f>
        <v>2</v>
      </c>
      <c r="I78">
        <f t="shared" ca="1" si="15"/>
        <v>25</v>
      </c>
      <c r="J78">
        <f t="shared" ca="1" si="16"/>
        <v>9</v>
      </c>
      <c r="K78" t="str" cm="1">
        <f t="array" ref="K78">INDEX($E$2:$E$4, MOD(ROW()-1,3)+1)</f>
        <v>Machine 3</v>
      </c>
      <c r="L78">
        <v>1</v>
      </c>
      <c r="M78">
        <v>4</v>
      </c>
      <c r="N78">
        <v>3</v>
      </c>
      <c r="O78">
        <f t="shared" ca="1" si="17"/>
        <v>5</v>
      </c>
      <c r="P78">
        <f t="shared" ca="1" si="18"/>
        <v>2</v>
      </c>
      <c r="Q78" s="7">
        <f t="shared" si="19"/>
        <v>2.6666666666666665</v>
      </c>
      <c r="R78" s="7">
        <f>MAX(L78:N78)-MIN(L78:N78)</f>
        <v>3</v>
      </c>
      <c r="S78" s="7">
        <f t="shared" ca="1" si="20"/>
        <v>0.97146743181491735</v>
      </c>
      <c r="T78" s="7">
        <f t="shared" ca="1" si="21"/>
        <v>0.29766770271716614</v>
      </c>
      <c r="U78" s="5"/>
      <c r="V78" s="15"/>
      <c r="W78" s="18" t="str">
        <f>IF($K78 = "Machine 1", $Q78, " ")</f>
        <v xml:space="preserve"> </v>
      </c>
      <c r="X78" s="18" t="str">
        <f>IF($K78 = "Machine 2", $Q78, " ")</f>
        <v xml:space="preserve"> </v>
      </c>
      <c r="Y78" s="18">
        <f>IF($K78 = "Machine 3", $Q78, " ")</f>
        <v>2.6666666666666665</v>
      </c>
      <c r="Z78" s="18" t="str">
        <f>IF($K78="Machine 1", $R78," ")</f>
        <v xml:space="preserve"> </v>
      </c>
      <c r="AA78" s="18" t="str">
        <f>IF($K78="Machine 2", $R78," ")</f>
        <v xml:space="preserve"> </v>
      </c>
      <c r="AB78" s="18">
        <f>IF($K78="Machine 3", $R78," ")</f>
        <v>3</v>
      </c>
    </row>
    <row r="79" spans="1:28" x14ac:dyDescent="0.25">
      <c r="A79" t="s">
        <v>86</v>
      </c>
      <c r="B79" t="s">
        <v>1</v>
      </c>
      <c r="C79" t="str">
        <f t="shared" si="11"/>
        <v>057375</v>
      </c>
      <c r="D79" t="str">
        <f t="shared" si="12"/>
        <v>TOR</v>
      </c>
      <c r="E79" t="str" cm="1">
        <f t="array" ref="E79">INDEX($E$2:$E$4, MOD(ROW()-1,3)+1)</f>
        <v>Machine 1</v>
      </c>
      <c r="F79">
        <f t="shared" ca="1" si="13"/>
        <v>3</v>
      </c>
      <c r="G79">
        <f t="shared" ca="1" si="14"/>
        <v>1</v>
      </c>
      <c r="H79">
        <f ca="1">RANDBETWEEN(1,J79-2)</f>
        <v>2</v>
      </c>
      <c r="I79">
        <f t="shared" ca="1" si="15"/>
        <v>25</v>
      </c>
      <c r="J79">
        <f t="shared" ca="1" si="16"/>
        <v>5</v>
      </c>
      <c r="K79" t="str" cm="1">
        <f t="array" ref="K79">INDEX($E$2:$E$4, MOD(ROW()-1,3)+1)</f>
        <v>Machine 1</v>
      </c>
      <c r="L79">
        <v>0</v>
      </c>
      <c r="M79">
        <v>5</v>
      </c>
      <c r="N79">
        <v>3</v>
      </c>
      <c r="O79">
        <f t="shared" ca="1" si="17"/>
        <v>5</v>
      </c>
      <c r="P79">
        <f t="shared" ca="1" si="18"/>
        <v>4</v>
      </c>
      <c r="Q79" s="7">
        <f t="shared" si="19"/>
        <v>2.6666666666666665</v>
      </c>
      <c r="R79" s="7">
        <f>MAX(L79:N79)-MIN(L79:N79)</f>
        <v>5</v>
      </c>
      <c r="S79" s="7">
        <f t="shared" ca="1" si="20"/>
        <v>0.82434021225646481</v>
      </c>
      <c r="T79" s="7">
        <f t="shared" ca="1" si="21"/>
        <v>0.30444476478514215</v>
      </c>
      <c r="U79" s="5"/>
      <c r="V79" s="15"/>
      <c r="W79" s="18">
        <f>IF($K79 = "Machine 1", $Q79, " ")</f>
        <v>2.6666666666666665</v>
      </c>
      <c r="X79" s="18" t="str">
        <f>IF($K79 = "Machine 2", $Q79, " ")</f>
        <v xml:space="preserve"> </v>
      </c>
      <c r="Y79" s="18" t="str">
        <f>IF($K79 = "Machine 3", $Q79, " ")</f>
        <v xml:space="preserve"> </v>
      </c>
      <c r="Z79" s="18">
        <f>IF($K79="Machine 1", $R79," ")</f>
        <v>5</v>
      </c>
      <c r="AA79" s="18" t="str">
        <f>IF($K79="Machine 2", $R79," ")</f>
        <v xml:space="preserve"> </v>
      </c>
      <c r="AB79" s="18" t="str">
        <f>IF($K79="Machine 3", $R79," ")</f>
        <v xml:space="preserve"> </v>
      </c>
    </row>
    <row r="80" spans="1:28" x14ac:dyDescent="0.25">
      <c r="A80" t="s">
        <v>87</v>
      </c>
      <c r="B80" t="s">
        <v>1</v>
      </c>
      <c r="C80" t="str">
        <f t="shared" si="11"/>
        <v>057377</v>
      </c>
      <c r="D80" t="str">
        <f t="shared" si="12"/>
        <v>TOR</v>
      </c>
      <c r="E80" t="str" cm="1">
        <f t="array" ref="E80">INDEX($E$2:$E$4, MOD(ROW()-1,3)+1)</f>
        <v>Machine 2</v>
      </c>
      <c r="F80">
        <f t="shared" ca="1" si="13"/>
        <v>2</v>
      </c>
      <c r="G80">
        <f t="shared" ca="1" si="14"/>
        <v>0</v>
      </c>
      <c r="H80">
        <f ca="1">RANDBETWEEN(1,J80-2)</f>
        <v>7</v>
      </c>
      <c r="I80">
        <f t="shared" ca="1" si="15"/>
        <v>31</v>
      </c>
      <c r="J80">
        <f t="shared" ca="1" si="16"/>
        <v>15</v>
      </c>
      <c r="K80" t="str" cm="1">
        <f t="array" ref="K80">INDEX($E$2:$E$4, MOD(ROW()-1,3)+1)</f>
        <v>Machine 2</v>
      </c>
      <c r="L80">
        <v>0</v>
      </c>
      <c r="M80">
        <v>2</v>
      </c>
      <c r="N80">
        <v>3</v>
      </c>
      <c r="O80">
        <f t="shared" ca="1" si="17"/>
        <v>3</v>
      </c>
      <c r="P80">
        <f t="shared" ca="1" si="18"/>
        <v>12</v>
      </c>
      <c r="Q80" s="7">
        <f t="shared" si="19"/>
        <v>1.6666666666666667</v>
      </c>
      <c r="R80" s="7">
        <f>MAX(L80:N80)-MIN(L80:N80)</f>
        <v>3</v>
      </c>
      <c r="S80" s="7">
        <f t="shared" ca="1" si="20"/>
        <v>0.6173651594376558</v>
      </c>
      <c r="T80" s="7">
        <f t="shared" ca="1" si="21"/>
        <v>0.31702073971341255</v>
      </c>
      <c r="U80" s="5"/>
      <c r="V80" s="15"/>
      <c r="W80" s="18" t="str">
        <f>IF($K80 = "Machine 1", $Q80, " ")</f>
        <v xml:space="preserve"> </v>
      </c>
      <c r="X80" s="18">
        <f>IF($K80 = "Machine 2", $Q80, " ")</f>
        <v>1.6666666666666667</v>
      </c>
      <c r="Y80" s="18" t="str">
        <f>IF($K80 = "Machine 3", $Q80, " ")</f>
        <v xml:space="preserve"> </v>
      </c>
      <c r="Z80" s="18" t="str">
        <f>IF($K80="Machine 1", $R80," ")</f>
        <v xml:space="preserve"> </v>
      </c>
      <c r="AA80" s="18">
        <f>IF($K80="Machine 2", $R80," ")</f>
        <v>3</v>
      </c>
      <c r="AB80" s="18" t="str">
        <f>IF($K80="Machine 3", $R80," ")</f>
        <v xml:space="preserve"> </v>
      </c>
    </row>
    <row r="81" spans="1:28" x14ac:dyDescent="0.25">
      <c r="A81" t="s">
        <v>88</v>
      </c>
      <c r="B81" t="s">
        <v>1</v>
      </c>
      <c r="C81" t="str">
        <f t="shared" si="11"/>
        <v>057387</v>
      </c>
      <c r="D81" t="str">
        <f t="shared" si="12"/>
        <v>TOR</v>
      </c>
      <c r="E81" t="str" cm="1">
        <f t="array" ref="E81">INDEX($E$2:$E$4, MOD(ROW()-1,3)+1)</f>
        <v>Machine 3</v>
      </c>
      <c r="F81">
        <f t="shared" ca="1" si="13"/>
        <v>3</v>
      </c>
      <c r="G81">
        <f t="shared" ca="1" si="14"/>
        <v>1</v>
      </c>
      <c r="H81">
        <f ca="1">RANDBETWEEN(1,J81-2)</f>
        <v>1</v>
      </c>
      <c r="I81">
        <f t="shared" ca="1" si="15"/>
        <v>45</v>
      </c>
      <c r="J81">
        <f t="shared" ca="1" si="16"/>
        <v>11</v>
      </c>
      <c r="K81" t="str" cm="1">
        <f t="array" ref="K81">INDEX($E$2:$E$4, MOD(ROW()-1,3)+1)</f>
        <v>Machine 3</v>
      </c>
      <c r="L81">
        <v>1</v>
      </c>
      <c r="M81">
        <v>2</v>
      </c>
      <c r="N81">
        <v>3</v>
      </c>
      <c r="O81">
        <f t="shared" ca="1" si="17"/>
        <v>5</v>
      </c>
      <c r="P81">
        <f t="shared" ca="1" si="18"/>
        <v>10</v>
      </c>
      <c r="Q81" s="7">
        <f t="shared" si="19"/>
        <v>2</v>
      </c>
      <c r="R81" s="7">
        <f>MAX(L81:N81)-MIN(L81:N81)</f>
        <v>2</v>
      </c>
      <c r="S81" s="7">
        <f t="shared" ca="1" si="20"/>
        <v>0.50780369162898698</v>
      </c>
      <c r="T81" s="7">
        <f t="shared" ca="1" si="21"/>
        <v>0.58378537414595122</v>
      </c>
      <c r="U81" s="5"/>
      <c r="V81" s="15"/>
      <c r="W81" s="18" t="str">
        <f>IF($K81 = "Machine 1", $Q81, " ")</f>
        <v xml:space="preserve"> </v>
      </c>
      <c r="X81" s="18" t="str">
        <f>IF($K81 = "Machine 2", $Q81, " ")</f>
        <v xml:space="preserve"> </v>
      </c>
      <c r="Y81" s="18">
        <f>IF($K81 = "Machine 3", $Q81, " ")</f>
        <v>2</v>
      </c>
      <c r="Z81" s="18" t="str">
        <f>IF($K81="Machine 1", $R81," ")</f>
        <v xml:space="preserve"> </v>
      </c>
      <c r="AA81" s="18" t="str">
        <f>IF($K81="Machine 2", $R81," ")</f>
        <v xml:space="preserve"> </v>
      </c>
      <c r="AB81" s="18">
        <f>IF($K81="Machine 3", $R81," ")</f>
        <v>2</v>
      </c>
    </row>
    <row r="82" spans="1:28" x14ac:dyDescent="0.25">
      <c r="A82" t="s">
        <v>89</v>
      </c>
      <c r="B82" t="s">
        <v>1</v>
      </c>
      <c r="C82" t="str">
        <f t="shared" si="11"/>
        <v>057414</v>
      </c>
      <c r="D82" t="str">
        <f t="shared" si="12"/>
        <v>TOR</v>
      </c>
      <c r="E82" t="str" cm="1">
        <f t="array" ref="E82">INDEX($E$2:$E$4, MOD(ROW()-1,3)+1)</f>
        <v>Machine 1</v>
      </c>
      <c r="F82">
        <f t="shared" ca="1" si="13"/>
        <v>3</v>
      </c>
      <c r="G82">
        <f t="shared" ca="1" si="14"/>
        <v>1</v>
      </c>
      <c r="H82">
        <f ca="1">RANDBETWEEN(1,J82-2)</f>
        <v>2</v>
      </c>
      <c r="I82">
        <f t="shared" ca="1" si="15"/>
        <v>40</v>
      </c>
      <c r="J82">
        <f t="shared" ca="1" si="16"/>
        <v>8</v>
      </c>
      <c r="K82" t="str" cm="1">
        <f t="array" ref="K82">INDEX($E$2:$E$4, MOD(ROW()-1,3)+1)</f>
        <v>Machine 1</v>
      </c>
      <c r="L82">
        <v>1</v>
      </c>
      <c r="M82">
        <v>3</v>
      </c>
      <c r="N82">
        <v>2</v>
      </c>
      <c r="O82">
        <f t="shared" ca="1" si="17"/>
        <v>3</v>
      </c>
      <c r="P82">
        <f t="shared" ca="1" si="18"/>
        <v>4</v>
      </c>
      <c r="Q82" s="7">
        <f t="shared" si="19"/>
        <v>2</v>
      </c>
      <c r="R82" s="7">
        <f>MAX(L82:N82)-MIN(L82:N82)</f>
        <v>2</v>
      </c>
      <c r="S82" s="7">
        <f t="shared" ca="1" si="20"/>
        <v>0.27312281113598186</v>
      </c>
      <c r="T82" s="7">
        <f t="shared" ca="1" si="21"/>
        <v>0.74125791770193905</v>
      </c>
      <c r="U82" s="5"/>
      <c r="V82" s="15"/>
      <c r="W82" s="18">
        <f>IF($K82 = "Machine 1", $Q82, " ")</f>
        <v>2</v>
      </c>
      <c r="X82" s="18" t="str">
        <f>IF($K82 = "Machine 2", $Q82, " ")</f>
        <v xml:space="preserve"> </v>
      </c>
      <c r="Y82" s="18" t="str">
        <f>IF($K82 = "Machine 3", $Q82, " ")</f>
        <v xml:space="preserve"> </v>
      </c>
      <c r="Z82" s="18">
        <f>IF($K82="Machine 1", $R82," ")</f>
        <v>2</v>
      </c>
      <c r="AA82" s="18" t="str">
        <f>IF($K82="Machine 2", $R82," ")</f>
        <v xml:space="preserve"> </v>
      </c>
      <c r="AB82" s="18" t="str">
        <f>IF($K82="Machine 3", $R82," ")</f>
        <v xml:space="preserve"> </v>
      </c>
    </row>
    <row r="83" spans="1:28" x14ac:dyDescent="0.25">
      <c r="A83" t="s">
        <v>90</v>
      </c>
      <c r="B83" t="s">
        <v>1</v>
      </c>
      <c r="C83" t="str">
        <f t="shared" si="11"/>
        <v>057416</v>
      </c>
      <c r="D83" t="str">
        <f t="shared" si="12"/>
        <v>TOR</v>
      </c>
      <c r="E83" t="str" cm="1">
        <f t="array" ref="E83">INDEX($E$2:$E$4, MOD(ROW()-1,3)+1)</f>
        <v>Machine 2</v>
      </c>
      <c r="F83">
        <f t="shared" ca="1" si="13"/>
        <v>3</v>
      </c>
      <c r="G83">
        <f t="shared" ca="1" si="14"/>
        <v>0</v>
      </c>
      <c r="H83">
        <f ca="1">RANDBETWEEN(1,J83-2)</f>
        <v>7</v>
      </c>
      <c r="I83">
        <f t="shared" ca="1" si="15"/>
        <v>30</v>
      </c>
      <c r="J83">
        <f t="shared" ca="1" si="16"/>
        <v>11</v>
      </c>
      <c r="K83" t="str" cm="1">
        <f t="array" ref="K83">INDEX($E$2:$E$4, MOD(ROW()-1,3)+1)</f>
        <v>Machine 2</v>
      </c>
      <c r="L83">
        <v>0</v>
      </c>
      <c r="M83">
        <v>3</v>
      </c>
      <c r="N83">
        <v>2</v>
      </c>
      <c r="O83">
        <f t="shared" ca="1" si="17"/>
        <v>1</v>
      </c>
      <c r="P83">
        <f t="shared" ca="1" si="18"/>
        <v>7</v>
      </c>
      <c r="Q83" s="7">
        <f t="shared" si="19"/>
        <v>1.6666666666666667</v>
      </c>
      <c r="R83" s="7">
        <f>MAX(L83:N83)-MIN(L83:N83)</f>
        <v>3</v>
      </c>
      <c r="S83" s="7">
        <f t="shared" ca="1" si="20"/>
        <v>0.21609285385859114</v>
      </c>
      <c r="T83" s="7">
        <f t="shared" ca="1" si="21"/>
        <v>0.618222325686136</v>
      </c>
      <c r="U83" s="5"/>
      <c r="V83" s="15"/>
      <c r="W83" s="18" t="str">
        <f>IF($K83 = "Machine 1", $Q83, " ")</f>
        <v xml:space="preserve"> </v>
      </c>
      <c r="X83" s="18">
        <f>IF($K83 = "Machine 2", $Q83, " ")</f>
        <v>1.6666666666666667</v>
      </c>
      <c r="Y83" s="18" t="str">
        <f>IF($K83 = "Machine 3", $Q83, " ")</f>
        <v xml:space="preserve"> </v>
      </c>
      <c r="Z83" s="18" t="str">
        <f>IF($K83="Machine 1", $R83," ")</f>
        <v xml:space="preserve"> </v>
      </c>
      <c r="AA83" s="18">
        <f>IF($K83="Machine 2", $R83," ")</f>
        <v>3</v>
      </c>
      <c r="AB83" s="18" t="str">
        <f>IF($K83="Machine 3", $R83," ")</f>
        <v xml:space="preserve"> </v>
      </c>
    </row>
    <row r="84" spans="1:28" x14ac:dyDescent="0.25">
      <c r="A84" t="s">
        <v>91</v>
      </c>
      <c r="B84" t="s">
        <v>1</v>
      </c>
      <c r="C84" t="str">
        <f t="shared" si="11"/>
        <v>057423</v>
      </c>
      <c r="D84" t="str">
        <f t="shared" si="12"/>
        <v>TOR</v>
      </c>
      <c r="E84" t="str" cm="1">
        <f t="array" ref="E84">INDEX($E$2:$E$4, MOD(ROW()-1,3)+1)</f>
        <v>Machine 3</v>
      </c>
      <c r="F84">
        <f t="shared" ca="1" si="13"/>
        <v>2</v>
      </c>
      <c r="G84">
        <f t="shared" ca="1" si="14"/>
        <v>1</v>
      </c>
      <c r="H84">
        <f ca="1">RANDBETWEEN(1,J84-2)</f>
        <v>6</v>
      </c>
      <c r="I84">
        <f t="shared" ca="1" si="15"/>
        <v>45</v>
      </c>
      <c r="J84">
        <f t="shared" ca="1" si="16"/>
        <v>14</v>
      </c>
      <c r="K84" t="str" cm="1">
        <f t="array" ref="K84">INDEX($E$2:$E$4, MOD(ROW()-1,3)+1)</f>
        <v>Machine 3</v>
      </c>
      <c r="L84">
        <v>0</v>
      </c>
      <c r="M84">
        <v>5</v>
      </c>
      <c r="N84">
        <v>3</v>
      </c>
      <c r="O84">
        <f t="shared" ca="1" si="17"/>
        <v>1</v>
      </c>
      <c r="P84">
        <f t="shared" ca="1" si="18"/>
        <v>10</v>
      </c>
      <c r="Q84" s="7">
        <f t="shared" si="19"/>
        <v>2.6666666666666665</v>
      </c>
      <c r="R84" s="7">
        <f>MAX(L84:N84)-MIN(L84:N84)</f>
        <v>5</v>
      </c>
      <c r="S84" s="7">
        <f t="shared" ca="1" si="20"/>
        <v>0.24960580238450294</v>
      </c>
      <c r="T84" s="7">
        <f t="shared" ca="1" si="21"/>
        <v>0.62416570464927401</v>
      </c>
      <c r="U84" s="5"/>
      <c r="V84" s="15"/>
      <c r="W84" s="18" t="str">
        <f>IF($K84 = "Machine 1", $Q84, " ")</f>
        <v xml:space="preserve"> </v>
      </c>
      <c r="X84" s="18" t="str">
        <f>IF($K84 = "Machine 2", $Q84, " ")</f>
        <v xml:space="preserve"> </v>
      </c>
      <c r="Y84" s="18">
        <f>IF($K84 = "Machine 3", $Q84, " ")</f>
        <v>2.6666666666666665</v>
      </c>
      <c r="Z84" s="18" t="str">
        <f>IF($K84="Machine 1", $R84," ")</f>
        <v xml:space="preserve"> </v>
      </c>
      <c r="AA84" s="18" t="str">
        <f>IF($K84="Machine 2", $R84," ")</f>
        <v xml:space="preserve"> </v>
      </c>
      <c r="AB84" s="18">
        <f>IF($K84="Machine 3", $R84," ")</f>
        <v>5</v>
      </c>
    </row>
    <row r="85" spans="1:28" x14ac:dyDescent="0.25">
      <c r="A85" t="s">
        <v>92</v>
      </c>
      <c r="B85" t="s">
        <v>1</v>
      </c>
      <c r="C85" t="str">
        <f t="shared" si="11"/>
        <v>057427</v>
      </c>
      <c r="D85" t="str">
        <f t="shared" si="12"/>
        <v>TOR</v>
      </c>
      <c r="E85" t="str" cm="1">
        <f t="array" ref="E85">INDEX($E$2:$E$4, MOD(ROW()-1,3)+1)</f>
        <v>Machine 1</v>
      </c>
      <c r="F85">
        <f t="shared" ca="1" si="13"/>
        <v>2</v>
      </c>
      <c r="G85">
        <f t="shared" ca="1" si="14"/>
        <v>1</v>
      </c>
      <c r="H85">
        <f ca="1">RANDBETWEEN(1,J85-2)</f>
        <v>2</v>
      </c>
      <c r="I85">
        <f t="shared" ca="1" si="15"/>
        <v>26</v>
      </c>
      <c r="J85">
        <f t="shared" ca="1" si="16"/>
        <v>7</v>
      </c>
      <c r="K85" t="str" cm="1">
        <f t="array" ref="K85">INDEX($E$2:$E$4, MOD(ROW()-1,3)+1)</f>
        <v>Machine 1</v>
      </c>
      <c r="L85">
        <v>0</v>
      </c>
      <c r="M85">
        <v>10</v>
      </c>
      <c r="N85">
        <v>2</v>
      </c>
      <c r="O85">
        <f t="shared" ca="1" si="17"/>
        <v>1</v>
      </c>
      <c r="P85">
        <f t="shared" ca="1" si="18"/>
        <v>3</v>
      </c>
      <c r="Q85" s="7">
        <f t="shared" si="19"/>
        <v>4</v>
      </c>
      <c r="R85" s="7">
        <f>MAX(L85:N85)-MIN(L85:N85)</f>
        <v>10</v>
      </c>
      <c r="S85" s="7">
        <f t="shared" ca="1" si="20"/>
        <v>0.34029299192390561</v>
      </c>
      <c r="T85" s="7">
        <f t="shared" ca="1" si="21"/>
        <v>0.99211202434005163</v>
      </c>
      <c r="U85" s="5"/>
      <c r="V85" s="15"/>
      <c r="W85" s="18">
        <f>IF($K85 = "Machine 1", $Q85, " ")</f>
        <v>4</v>
      </c>
      <c r="X85" s="18" t="str">
        <f>IF($K85 = "Machine 2", $Q85, " ")</f>
        <v xml:space="preserve"> </v>
      </c>
      <c r="Y85" s="18" t="str">
        <f>IF($K85 = "Machine 3", $Q85, " ")</f>
        <v xml:space="preserve"> </v>
      </c>
      <c r="Z85" s="18">
        <f>IF($K85="Machine 1", $R85," ")</f>
        <v>10</v>
      </c>
      <c r="AA85" s="18" t="str">
        <f>IF($K85="Machine 2", $R85," ")</f>
        <v xml:space="preserve"> </v>
      </c>
      <c r="AB85" s="18" t="str">
        <f>IF($K85="Machine 3", $R85," ")</f>
        <v xml:space="preserve"> </v>
      </c>
    </row>
    <row r="86" spans="1:28" x14ac:dyDescent="0.25">
      <c r="A86" t="s">
        <v>93</v>
      </c>
      <c r="B86" t="s">
        <v>1</v>
      </c>
      <c r="C86" t="str">
        <f t="shared" si="11"/>
        <v>057440</v>
      </c>
      <c r="D86" t="str">
        <f t="shared" si="12"/>
        <v>TOR</v>
      </c>
      <c r="E86" t="str" cm="1">
        <f t="array" ref="E86">INDEX($E$2:$E$4, MOD(ROW()-1,3)+1)</f>
        <v>Machine 2</v>
      </c>
      <c r="F86">
        <f t="shared" ca="1" si="13"/>
        <v>2</v>
      </c>
      <c r="G86">
        <f t="shared" ca="1" si="14"/>
        <v>0</v>
      </c>
      <c r="H86">
        <f ca="1">RANDBETWEEN(1,J86-2)</f>
        <v>3</v>
      </c>
      <c r="I86">
        <f t="shared" ca="1" si="15"/>
        <v>47</v>
      </c>
      <c r="J86">
        <f t="shared" ca="1" si="16"/>
        <v>9</v>
      </c>
      <c r="K86" t="str" cm="1">
        <f t="array" ref="K86">INDEX($E$2:$E$4, MOD(ROW()-1,3)+1)</f>
        <v>Machine 2</v>
      </c>
      <c r="L86">
        <v>0</v>
      </c>
      <c r="M86">
        <v>5</v>
      </c>
      <c r="N86">
        <v>3</v>
      </c>
      <c r="O86">
        <f t="shared" ca="1" si="17"/>
        <v>1</v>
      </c>
      <c r="P86">
        <f t="shared" ca="1" si="18"/>
        <v>7</v>
      </c>
      <c r="Q86" s="7">
        <f t="shared" si="19"/>
        <v>2.6666666666666665</v>
      </c>
      <c r="R86" s="7">
        <f>MAX(L86:N86)-MIN(L86:N86)</f>
        <v>5</v>
      </c>
      <c r="S86" s="7">
        <f t="shared" ca="1" si="20"/>
        <v>0.54275316866222645</v>
      </c>
      <c r="T86" s="7">
        <f t="shared" ca="1" si="21"/>
        <v>0.81055200118997217</v>
      </c>
      <c r="U86" s="5"/>
      <c r="V86" s="15"/>
      <c r="W86" s="18" t="str">
        <f>IF($K86 = "Machine 1", $Q86, " ")</f>
        <v xml:space="preserve"> </v>
      </c>
      <c r="X86" s="18">
        <f>IF($K86 = "Machine 2", $Q86, " ")</f>
        <v>2.6666666666666665</v>
      </c>
      <c r="Y86" s="18" t="str">
        <f>IF($K86 = "Machine 3", $Q86, " ")</f>
        <v xml:space="preserve"> </v>
      </c>
      <c r="Z86" s="18" t="str">
        <f>IF($K86="Machine 1", $R86," ")</f>
        <v xml:space="preserve"> </v>
      </c>
      <c r="AA86" s="18">
        <f>IF($K86="Machine 2", $R86," ")</f>
        <v>5</v>
      </c>
      <c r="AB86" s="18" t="str">
        <f>IF($K86="Machine 3", $R86," ")</f>
        <v xml:space="preserve"> </v>
      </c>
    </row>
    <row r="87" spans="1:28" x14ac:dyDescent="0.25">
      <c r="A87" t="s">
        <v>94</v>
      </c>
      <c r="B87" t="s">
        <v>1</v>
      </c>
      <c r="C87" t="str">
        <f t="shared" si="11"/>
        <v>057442</v>
      </c>
      <c r="D87" t="str">
        <f t="shared" si="12"/>
        <v>TOR</v>
      </c>
      <c r="E87" t="str" cm="1">
        <f t="array" ref="E87">INDEX($E$2:$E$4, MOD(ROW()-1,3)+1)</f>
        <v>Machine 3</v>
      </c>
      <c r="F87">
        <f t="shared" ca="1" si="13"/>
        <v>2</v>
      </c>
      <c r="G87">
        <f t="shared" ca="1" si="14"/>
        <v>1</v>
      </c>
      <c r="H87">
        <f ca="1">RANDBETWEEN(1,J87-2)</f>
        <v>3</v>
      </c>
      <c r="I87">
        <f t="shared" ca="1" si="15"/>
        <v>33</v>
      </c>
      <c r="J87">
        <f t="shared" ca="1" si="16"/>
        <v>8</v>
      </c>
      <c r="K87" t="str" cm="1">
        <f t="array" ref="K87">INDEX($E$2:$E$4, MOD(ROW()-1,3)+1)</f>
        <v>Machine 3</v>
      </c>
      <c r="L87">
        <v>0</v>
      </c>
      <c r="M87">
        <v>1</v>
      </c>
      <c r="N87">
        <v>2</v>
      </c>
      <c r="O87">
        <f t="shared" ca="1" si="17"/>
        <v>2</v>
      </c>
      <c r="P87">
        <f t="shared" ca="1" si="18"/>
        <v>1</v>
      </c>
      <c r="Q87" s="7">
        <f t="shared" si="19"/>
        <v>1</v>
      </c>
      <c r="R87" s="7">
        <f>MAX(L87:N87)-MIN(L87:N87)</f>
        <v>2</v>
      </c>
      <c r="S87" s="7">
        <f t="shared" ca="1" si="20"/>
        <v>0.70132644489229679</v>
      </c>
      <c r="T87" s="7">
        <f t="shared" ca="1" si="21"/>
        <v>0.95307713987804987</v>
      </c>
      <c r="U87" s="5"/>
      <c r="V87" s="15"/>
      <c r="W87" s="18" t="str">
        <f>IF($K87 = "Machine 1", $Q87, " ")</f>
        <v xml:space="preserve"> </v>
      </c>
      <c r="X87" s="18" t="str">
        <f>IF($K87 = "Machine 2", $Q87, " ")</f>
        <v xml:space="preserve"> </v>
      </c>
      <c r="Y87" s="18">
        <f>IF($K87 = "Machine 3", $Q87, " ")</f>
        <v>1</v>
      </c>
      <c r="Z87" s="18" t="str">
        <f>IF($K87="Machine 1", $R87," ")</f>
        <v xml:space="preserve"> </v>
      </c>
      <c r="AA87" s="18" t="str">
        <f>IF($K87="Machine 2", $R87," ")</f>
        <v xml:space="preserve"> </v>
      </c>
      <c r="AB87" s="18">
        <f>IF($K87="Machine 3", $R87," ")</f>
        <v>2</v>
      </c>
    </row>
    <row r="88" spans="1:28" x14ac:dyDescent="0.25">
      <c r="A88" t="s">
        <v>95</v>
      </c>
      <c r="B88" t="s">
        <v>1</v>
      </c>
      <c r="C88" t="str">
        <f t="shared" si="11"/>
        <v>057444</v>
      </c>
      <c r="D88" t="str">
        <f t="shared" si="12"/>
        <v>TOR</v>
      </c>
      <c r="E88" t="str" cm="1">
        <f t="array" ref="E88">INDEX($E$2:$E$4, MOD(ROW()-1,3)+1)</f>
        <v>Machine 1</v>
      </c>
      <c r="F88">
        <f t="shared" ca="1" si="13"/>
        <v>2</v>
      </c>
      <c r="G88">
        <f t="shared" ca="1" si="14"/>
        <v>0</v>
      </c>
      <c r="H88">
        <f ca="1">RANDBETWEEN(1,J88-2)</f>
        <v>7</v>
      </c>
      <c r="I88">
        <f t="shared" ca="1" si="15"/>
        <v>25</v>
      </c>
      <c r="J88">
        <f t="shared" ca="1" si="16"/>
        <v>12</v>
      </c>
      <c r="K88" t="str" cm="1">
        <f t="array" ref="K88">INDEX($E$2:$E$4, MOD(ROW()-1,3)+1)</f>
        <v>Machine 1</v>
      </c>
      <c r="L88">
        <v>1</v>
      </c>
      <c r="M88">
        <v>10</v>
      </c>
      <c r="N88">
        <v>3</v>
      </c>
      <c r="O88">
        <f t="shared" ca="1" si="17"/>
        <v>1</v>
      </c>
      <c r="P88">
        <f t="shared" ca="1" si="18"/>
        <v>7</v>
      </c>
      <c r="Q88" s="7">
        <f t="shared" si="19"/>
        <v>4.666666666666667</v>
      </c>
      <c r="R88" s="7">
        <f>MAX(L88:N88)-MIN(L88:N88)</f>
        <v>9</v>
      </c>
      <c r="S88" s="7">
        <f t="shared" ca="1" si="20"/>
        <v>0.59405398399904863</v>
      </c>
      <c r="T88" s="7">
        <f t="shared" ca="1" si="21"/>
        <v>0.83585532132292084</v>
      </c>
      <c r="U88" s="5"/>
      <c r="V88" s="15"/>
      <c r="W88" s="18">
        <f>IF($K88 = "Machine 1", $Q88, " ")</f>
        <v>4.666666666666667</v>
      </c>
      <c r="X88" s="18" t="str">
        <f>IF($K88 = "Machine 2", $Q88, " ")</f>
        <v xml:space="preserve"> </v>
      </c>
      <c r="Y88" s="18" t="str">
        <f>IF($K88 = "Machine 3", $Q88, " ")</f>
        <v xml:space="preserve"> </v>
      </c>
      <c r="Z88" s="18">
        <f>IF($K88="Machine 1", $R88," ")</f>
        <v>9</v>
      </c>
      <c r="AA88" s="18" t="str">
        <f>IF($K88="Machine 2", $R88," ")</f>
        <v xml:space="preserve"> </v>
      </c>
      <c r="AB88" s="18" t="str">
        <f>IF($K88="Machine 3", $R88," ")</f>
        <v xml:space="preserve"> </v>
      </c>
    </row>
    <row r="89" spans="1:28" x14ac:dyDescent="0.25">
      <c r="A89" t="s">
        <v>96</v>
      </c>
      <c r="B89" t="s">
        <v>1</v>
      </c>
      <c r="C89" t="str">
        <f t="shared" si="11"/>
        <v>057447</v>
      </c>
      <c r="D89" t="str">
        <f t="shared" si="12"/>
        <v>TOR</v>
      </c>
      <c r="E89" t="str" cm="1">
        <f t="array" ref="E89">INDEX($E$2:$E$4, MOD(ROW()-1,3)+1)</f>
        <v>Machine 2</v>
      </c>
      <c r="F89">
        <f t="shared" ca="1" si="13"/>
        <v>2</v>
      </c>
      <c r="G89">
        <f t="shared" ca="1" si="14"/>
        <v>1</v>
      </c>
      <c r="H89">
        <f ca="1">RANDBETWEEN(1,J89-2)</f>
        <v>2</v>
      </c>
      <c r="I89">
        <f t="shared" ca="1" si="15"/>
        <v>39</v>
      </c>
      <c r="J89">
        <f t="shared" ca="1" si="16"/>
        <v>5</v>
      </c>
      <c r="K89" t="str" cm="1">
        <f t="array" ref="K89">INDEX($E$2:$E$4, MOD(ROW()-1,3)+1)</f>
        <v>Machine 2</v>
      </c>
      <c r="L89">
        <v>1</v>
      </c>
      <c r="M89">
        <v>11</v>
      </c>
      <c r="N89">
        <v>2</v>
      </c>
      <c r="O89">
        <f t="shared" ca="1" si="17"/>
        <v>5</v>
      </c>
      <c r="P89">
        <f t="shared" ca="1" si="18"/>
        <v>1</v>
      </c>
      <c r="Q89" s="7">
        <f t="shared" si="19"/>
        <v>4.666666666666667</v>
      </c>
      <c r="R89" s="7">
        <f>MAX(L89:N89)-MIN(L89:N89)</f>
        <v>10</v>
      </c>
      <c r="S89" s="7">
        <f t="shared" ca="1" si="20"/>
        <v>1</v>
      </c>
      <c r="T89" s="7">
        <f t="shared" ca="1" si="21"/>
        <v>0.87710294989946258</v>
      </c>
      <c r="U89" s="5"/>
      <c r="V89" s="15"/>
      <c r="W89" s="18" t="str">
        <f>IF($K89 = "Machine 1", $Q89, " ")</f>
        <v xml:space="preserve"> </v>
      </c>
      <c r="X89" s="18">
        <f>IF($K89 = "Machine 2", $Q89, " ")</f>
        <v>4.666666666666667</v>
      </c>
      <c r="Y89" s="18" t="str">
        <f>IF($K89 = "Machine 3", $Q89, " ")</f>
        <v xml:space="preserve"> </v>
      </c>
      <c r="Z89" s="18" t="str">
        <f>IF($K89="Machine 1", $R89," ")</f>
        <v xml:space="preserve"> </v>
      </c>
      <c r="AA89" s="18">
        <f>IF($K89="Machine 2", $R89," ")</f>
        <v>10</v>
      </c>
      <c r="AB89" s="18" t="str">
        <f>IF($K89="Machine 3", $R89," ")</f>
        <v xml:space="preserve"> </v>
      </c>
    </row>
    <row r="90" spans="1:28" x14ac:dyDescent="0.25">
      <c r="A90" t="s">
        <v>97</v>
      </c>
      <c r="B90" t="s">
        <v>1</v>
      </c>
      <c r="C90" t="str">
        <f t="shared" si="11"/>
        <v>057450</v>
      </c>
      <c r="D90" t="str">
        <f t="shared" si="12"/>
        <v>TOR</v>
      </c>
      <c r="E90" t="str" cm="1">
        <f t="array" ref="E90">INDEX($E$2:$E$4, MOD(ROW()-1,3)+1)</f>
        <v>Machine 3</v>
      </c>
      <c r="F90">
        <f t="shared" ca="1" si="13"/>
        <v>2</v>
      </c>
      <c r="G90">
        <f t="shared" ca="1" si="14"/>
        <v>1</v>
      </c>
      <c r="H90">
        <f ca="1">RANDBETWEEN(1,J90-2)</f>
        <v>2</v>
      </c>
      <c r="I90">
        <f t="shared" ca="1" si="15"/>
        <v>24</v>
      </c>
      <c r="J90">
        <f t="shared" ca="1" si="16"/>
        <v>9</v>
      </c>
      <c r="K90" t="str" cm="1">
        <f t="array" ref="K90">INDEX($E$2:$E$4, MOD(ROW()-1,3)+1)</f>
        <v>Machine 3</v>
      </c>
      <c r="L90">
        <v>1</v>
      </c>
      <c r="M90">
        <v>6</v>
      </c>
      <c r="N90">
        <v>3</v>
      </c>
      <c r="O90">
        <f t="shared" ca="1" si="17"/>
        <v>4</v>
      </c>
      <c r="P90">
        <f t="shared" ca="1" si="18"/>
        <v>1</v>
      </c>
      <c r="Q90" s="7">
        <f t="shared" si="19"/>
        <v>3.3333333333333335</v>
      </c>
      <c r="R90" s="7">
        <f>MAX(L90:N90)-MIN(L90:N90)</f>
        <v>5</v>
      </c>
      <c r="S90" s="7">
        <f t="shared" ca="1" si="20"/>
        <v>0.95397385011101155</v>
      </c>
      <c r="T90" s="7">
        <f t="shared" ca="1" si="21"/>
        <v>0.67017713395746759</v>
      </c>
      <c r="U90" s="5"/>
      <c r="V90" s="15"/>
      <c r="W90" s="18" t="str">
        <f>IF($K90 = "Machine 1", $Q90, " ")</f>
        <v xml:space="preserve"> </v>
      </c>
      <c r="X90" s="18" t="str">
        <f>IF($K90 = "Machine 2", $Q90, " ")</f>
        <v xml:space="preserve"> </v>
      </c>
      <c r="Y90" s="18">
        <f>IF($K90 = "Machine 3", $Q90, " ")</f>
        <v>3.3333333333333335</v>
      </c>
      <c r="Z90" s="18" t="str">
        <f>IF($K90="Machine 1", $R90," ")</f>
        <v xml:space="preserve"> </v>
      </c>
      <c r="AA90" s="18" t="str">
        <f>IF($K90="Machine 2", $R90," ")</f>
        <v xml:space="preserve"> </v>
      </c>
      <c r="AB90" s="18">
        <f>IF($K90="Machine 3", $R90," ")</f>
        <v>5</v>
      </c>
    </row>
    <row r="91" spans="1:28" x14ac:dyDescent="0.25">
      <c r="A91" t="s">
        <v>98</v>
      </c>
      <c r="B91" t="s">
        <v>1</v>
      </c>
      <c r="C91" t="str">
        <f t="shared" si="11"/>
        <v>057452</v>
      </c>
      <c r="D91" t="str">
        <f t="shared" si="12"/>
        <v>TOR</v>
      </c>
      <c r="E91" t="str" cm="1">
        <f t="array" ref="E91">INDEX($E$2:$E$4, MOD(ROW()-1,3)+1)</f>
        <v>Machine 1</v>
      </c>
      <c r="F91">
        <f t="shared" ca="1" si="13"/>
        <v>2</v>
      </c>
      <c r="G91">
        <f t="shared" ca="1" si="14"/>
        <v>1</v>
      </c>
      <c r="H91">
        <f ca="1">RANDBETWEEN(1,J91-2)</f>
        <v>5</v>
      </c>
      <c r="I91">
        <f t="shared" ca="1" si="15"/>
        <v>37</v>
      </c>
      <c r="J91">
        <f t="shared" ca="1" si="16"/>
        <v>7</v>
      </c>
      <c r="K91" t="str" cm="1">
        <f t="array" ref="K91">INDEX($E$2:$E$4, MOD(ROW()-1,3)+1)</f>
        <v>Machine 1</v>
      </c>
      <c r="L91">
        <v>1</v>
      </c>
      <c r="M91">
        <v>9</v>
      </c>
      <c r="N91">
        <v>3</v>
      </c>
      <c r="O91">
        <f t="shared" ca="1" si="17"/>
        <v>5</v>
      </c>
      <c r="P91">
        <f t="shared" ca="1" si="18"/>
        <v>2</v>
      </c>
      <c r="Q91" s="7">
        <f t="shared" si="19"/>
        <v>4.333333333333333</v>
      </c>
      <c r="R91" s="7">
        <f>MAX(L91:N91)-MIN(L91:N91)</f>
        <v>8</v>
      </c>
      <c r="S91" s="7">
        <f t="shared" ca="1" si="20"/>
        <v>0.86226392096613225</v>
      </c>
      <c r="T91" s="7">
        <f t="shared" ca="1" si="21"/>
        <v>0.7510403053604815</v>
      </c>
      <c r="U91" s="5"/>
      <c r="V91" s="15"/>
      <c r="W91" s="18">
        <f>IF($K91 = "Machine 1", $Q91, " ")</f>
        <v>4.333333333333333</v>
      </c>
      <c r="X91" s="18" t="str">
        <f>IF($K91 = "Machine 2", $Q91, " ")</f>
        <v xml:space="preserve"> </v>
      </c>
      <c r="Y91" s="18" t="str">
        <f>IF($K91 = "Machine 3", $Q91, " ")</f>
        <v xml:space="preserve"> </v>
      </c>
      <c r="Z91" s="18">
        <f>IF($K91="Machine 1", $R91," ")</f>
        <v>8</v>
      </c>
      <c r="AA91" s="18" t="str">
        <f>IF($K91="Machine 2", $R91," ")</f>
        <v xml:space="preserve"> </v>
      </c>
      <c r="AB91" s="18" t="str">
        <f>IF($K91="Machine 3", $R91," ")</f>
        <v xml:space="preserve"> </v>
      </c>
    </row>
    <row r="92" spans="1:28" x14ac:dyDescent="0.25">
      <c r="A92" t="s">
        <v>99</v>
      </c>
      <c r="B92" t="s">
        <v>1</v>
      </c>
      <c r="C92" t="str">
        <f t="shared" si="11"/>
        <v>057455</v>
      </c>
      <c r="D92" t="str">
        <f t="shared" si="12"/>
        <v>TOR</v>
      </c>
      <c r="E92" t="str" cm="1">
        <f t="array" ref="E92">INDEX($E$2:$E$4, MOD(ROW()-1,3)+1)</f>
        <v>Machine 2</v>
      </c>
      <c r="F92">
        <f t="shared" ca="1" si="13"/>
        <v>3</v>
      </c>
      <c r="G92">
        <f t="shared" ca="1" si="14"/>
        <v>1</v>
      </c>
      <c r="H92">
        <f ca="1">RANDBETWEEN(1,J92-2)</f>
        <v>6</v>
      </c>
      <c r="I92">
        <f t="shared" ca="1" si="15"/>
        <v>41</v>
      </c>
      <c r="J92">
        <f t="shared" ca="1" si="16"/>
        <v>11</v>
      </c>
      <c r="K92" t="str" cm="1">
        <f t="array" ref="K92">INDEX($E$2:$E$4, MOD(ROW()-1,3)+1)</f>
        <v>Machine 2</v>
      </c>
      <c r="L92">
        <v>0</v>
      </c>
      <c r="M92">
        <v>4</v>
      </c>
      <c r="N92">
        <v>3</v>
      </c>
      <c r="O92">
        <f t="shared" ca="1" si="17"/>
        <v>3</v>
      </c>
      <c r="P92">
        <f t="shared" ca="1" si="18"/>
        <v>1</v>
      </c>
      <c r="Q92" s="7">
        <f t="shared" si="19"/>
        <v>2.3333333333333335</v>
      </c>
      <c r="R92" s="7">
        <f>MAX(L92:N92)-MIN(L92:N92)</f>
        <v>4</v>
      </c>
      <c r="S92" s="7">
        <f t="shared" ca="1" si="20"/>
        <v>0.77209034073059235</v>
      </c>
      <c r="T92" s="7">
        <f t="shared" ca="1" si="21"/>
        <v>0.69056530079409151</v>
      </c>
      <c r="U92" s="5"/>
      <c r="V92" s="15"/>
      <c r="W92" s="18" t="str">
        <f>IF($K92 = "Machine 1", $Q92, " ")</f>
        <v xml:space="preserve"> </v>
      </c>
      <c r="X92" s="18">
        <f>IF($K92 = "Machine 2", $Q92, " ")</f>
        <v>2.3333333333333335</v>
      </c>
      <c r="Y92" s="18" t="str">
        <f>IF($K92 = "Machine 3", $Q92, " ")</f>
        <v xml:space="preserve"> </v>
      </c>
      <c r="Z92" s="18" t="str">
        <f>IF($K92="Machine 1", $R92," ")</f>
        <v xml:space="preserve"> </v>
      </c>
      <c r="AA92" s="18">
        <f>IF($K92="Machine 2", $R92," ")</f>
        <v>4</v>
      </c>
      <c r="AB92" s="18" t="str">
        <f>IF($K92="Machine 3", $R92," ")</f>
        <v xml:space="preserve"> </v>
      </c>
    </row>
    <row r="93" spans="1:28" x14ac:dyDescent="0.25">
      <c r="A93" t="s">
        <v>100</v>
      </c>
      <c r="B93" t="s">
        <v>1</v>
      </c>
      <c r="C93" t="str">
        <f t="shared" si="11"/>
        <v>057457</v>
      </c>
      <c r="D93" t="str">
        <f t="shared" si="12"/>
        <v>TOR</v>
      </c>
      <c r="E93" t="str" cm="1">
        <f t="array" ref="E93">INDEX($E$2:$E$4, MOD(ROW()-1,3)+1)</f>
        <v>Machine 3</v>
      </c>
      <c r="F93">
        <f t="shared" ca="1" si="13"/>
        <v>2</v>
      </c>
      <c r="G93">
        <f t="shared" ca="1" si="14"/>
        <v>0</v>
      </c>
      <c r="H93">
        <f ca="1">RANDBETWEEN(1,J93-2)</f>
        <v>2</v>
      </c>
      <c r="I93">
        <f t="shared" ca="1" si="15"/>
        <v>47</v>
      </c>
      <c r="J93">
        <f t="shared" ca="1" si="16"/>
        <v>9</v>
      </c>
      <c r="K93" t="str" cm="1">
        <f t="array" ref="K93">INDEX($E$2:$E$4, MOD(ROW()-1,3)+1)</f>
        <v>Machine 3</v>
      </c>
      <c r="L93">
        <v>0</v>
      </c>
      <c r="M93">
        <v>1</v>
      </c>
      <c r="N93">
        <v>3</v>
      </c>
      <c r="O93">
        <f t="shared" ca="1" si="17"/>
        <v>1</v>
      </c>
      <c r="P93">
        <f t="shared" ca="1" si="18"/>
        <v>4</v>
      </c>
      <c r="Q93" s="7">
        <f t="shared" si="19"/>
        <v>1.3333333333333333</v>
      </c>
      <c r="R93" s="7">
        <f>MAX(L93:N93)-MIN(L93:N93)</f>
        <v>3</v>
      </c>
      <c r="S93" s="7">
        <f t="shared" ca="1" si="20"/>
        <v>0.68472561763135253</v>
      </c>
      <c r="T93" s="7">
        <f t="shared" ca="1" si="21"/>
        <v>0.77798628742834741</v>
      </c>
      <c r="U93" s="5"/>
      <c r="V93" s="15"/>
      <c r="W93" s="18" t="str">
        <f>IF($K93 = "Machine 1", $Q93, " ")</f>
        <v xml:space="preserve"> </v>
      </c>
      <c r="X93" s="18" t="str">
        <f>IF($K93 = "Machine 2", $Q93, " ")</f>
        <v xml:space="preserve"> </v>
      </c>
      <c r="Y93" s="18">
        <f>IF($K93 = "Machine 3", $Q93, " ")</f>
        <v>1.3333333333333333</v>
      </c>
      <c r="Z93" s="18" t="str">
        <f>IF($K93="Machine 1", $R93," ")</f>
        <v xml:space="preserve"> </v>
      </c>
      <c r="AA93" s="18" t="str">
        <f>IF($K93="Machine 2", $R93," ")</f>
        <v xml:space="preserve"> </v>
      </c>
      <c r="AB93" s="18">
        <f>IF($K93="Machine 3", $R93," ")</f>
        <v>3</v>
      </c>
    </row>
    <row r="94" spans="1:28" x14ac:dyDescent="0.25">
      <c r="A94" t="s">
        <v>101</v>
      </c>
      <c r="B94" t="s">
        <v>1</v>
      </c>
      <c r="C94" t="str">
        <f t="shared" si="11"/>
        <v>057464</v>
      </c>
      <c r="D94" t="str">
        <f t="shared" si="12"/>
        <v>TOR</v>
      </c>
      <c r="E94" t="str" cm="1">
        <f t="array" ref="E94">INDEX($E$2:$E$4, MOD(ROW()-1,3)+1)</f>
        <v>Machine 1</v>
      </c>
      <c r="F94">
        <f t="shared" ca="1" si="13"/>
        <v>2</v>
      </c>
      <c r="G94">
        <f t="shared" ca="1" si="14"/>
        <v>0</v>
      </c>
      <c r="H94">
        <f ca="1">RANDBETWEEN(1,J94-2)</f>
        <v>6</v>
      </c>
      <c r="I94">
        <f t="shared" ca="1" si="15"/>
        <v>39</v>
      </c>
      <c r="J94">
        <f t="shared" ca="1" si="16"/>
        <v>13</v>
      </c>
      <c r="K94" t="str" cm="1">
        <f t="array" ref="K94">INDEX($E$2:$E$4, MOD(ROW()-1,3)+1)</f>
        <v>Machine 1</v>
      </c>
      <c r="L94">
        <v>1</v>
      </c>
      <c r="M94">
        <v>3</v>
      </c>
      <c r="N94">
        <v>2</v>
      </c>
      <c r="O94">
        <f t="shared" ca="1" si="17"/>
        <v>5</v>
      </c>
      <c r="P94">
        <f t="shared" ca="1" si="18"/>
        <v>2</v>
      </c>
      <c r="Q94" s="7">
        <f t="shared" si="19"/>
        <v>2</v>
      </c>
      <c r="R94" s="7">
        <f>MAX(L94:N94)-MIN(L94:N94)</f>
        <v>2</v>
      </c>
      <c r="S94" s="7">
        <f t="shared" ca="1" si="20"/>
        <v>0.73074979886973035</v>
      </c>
      <c r="T94" s="7">
        <f t="shared" ca="1" si="21"/>
        <v>0.70467292467642839</v>
      </c>
      <c r="U94" s="5"/>
      <c r="V94" s="15"/>
      <c r="W94" s="18">
        <f>IF($K94 = "Machine 1", $Q94, " ")</f>
        <v>2</v>
      </c>
      <c r="X94" s="18" t="str">
        <f>IF($K94 = "Machine 2", $Q94, " ")</f>
        <v xml:space="preserve"> </v>
      </c>
      <c r="Y94" s="18" t="str">
        <f>IF($K94 = "Machine 3", $Q94, " ")</f>
        <v xml:space="preserve"> </v>
      </c>
      <c r="Z94" s="18">
        <f>IF($K94="Machine 1", $R94," ")</f>
        <v>2</v>
      </c>
      <c r="AA94" s="18" t="str">
        <f>IF($K94="Machine 2", $R94," ")</f>
        <v xml:space="preserve"> </v>
      </c>
      <c r="AB94" s="18" t="str">
        <f>IF($K94="Machine 3", $R94," ")</f>
        <v xml:space="preserve"> </v>
      </c>
    </row>
    <row r="95" spans="1:28" x14ac:dyDescent="0.25">
      <c r="A95" t="s">
        <v>102</v>
      </c>
      <c r="B95" t="s">
        <v>1</v>
      </c>
      <c r="C95" t="str">
        <f t="shared" si="11"/>
        <v>057468</v>
      </c>
      <c r="D95" t="str">
        <f t="shared" si="12"/>
        <v>TOR</v>
      </c>
      <c r="E95" t="str" cm="1">
        <f t="array" ref="E95">INDEX($E$2:$E$4, MOD(ROW()-1,3)+1)</f>
        <v>Machine 2</v>
      </c>
      <c r="F95">
        <f t="shared" ca="1" si="13"/>
        <v>3</v>
      </c>
      <c r="G95">
        <f t="shared" ca="1" si="14"/>
        <v>0</v>
      </c>
      <c r="H95">
        <f ca="1">RANDBETWEEN(1,J95-2)</f>
        <v>3</v>
      </c>
      <c r="I95">
        <f t="shared" ca="1" si="15"/>
        <v>24</v>
      </c>
      <c r="J95">
        <f t="shared" ca="1" si="16"/>
        <v>5</v>
      </c>
      <c r="K95" t="str" cm="1">
        <f t="array" ref="K95">INDEX($E$2:$E$4, MOD(ROW()-1,3)+1)</f>
        <v>Machine 2</v>
      </c>
      <c r="L95">
        <v>1</v>
      </c>
      <c r="M95">
        <v>10</v>
      </c>
      <c r="N95">
        <v>3</v>
      </c>
      <c r="O95">
        <f t="shared" ca="1" si="17"/>
        <v>1</v>
      </c>
      <c r="P95">
        <f t="shared" ca="1" si="18"/>
        <v>3</v>
      </c>
      <c r="Q95" s="7">
        <f t="shared" si="19"/>
        <v>4.666666666666667</v>
      </c>
      <c r="R95" s="7">
        <f>MAX(L95:N95)-MIN(L95:N95)</f>
        <v>9</v>
      </c>
      <c r="S95" s="7">
        <f t="shared" ca="1" si="20"/>
        <v>0.28005522285406287</v>
      </c>
      <c r="T95" s="7">
        <f t="shared" ca="1" si="21"/>
        <v>0.55041503906250022</v>
      </c>
      <c r="U95" s="5"/>
      <c r="V95" s="15"/>
      <c r="W95" s="18" t="str">
        <f>IF($K95 = "Machine 1", $Q95, " ")</f>
        <v xml:space="preserve"> </v>
      </c>
      <c r="X95" s="18">
        <f>IF($K95 = "Machine 2", $Q95, " ")</f>
        <v>4.666666666666667</v>
      </c>
      <c r="Y95" s="18" t="str">
        <f>IF($K95 = "Machine 3", $Q95, " ")</f>
        <v xml:space="preserve"> </v>
      </c>
      <c r="Z95" s="18" t="str">
        <f>IF($K95="Machine 1", $R95," ")</f>
        <v xml:space="preserve"> </v>
      </c>
      <c r="AA95" s="18">
        <f>IF($K95="Machine 2", $R95," ")</f>
        <v>9</v>
      </c>
      <c r="AB95" s="18" t="str">
        <f>IF($K95="Machine 3", $R95," ")</f>
        <v xml:space="preserve"> </v>
      </c>
    </row>
    <row r="96" spans="1:28" x14ac:dyDescent="0.25">
      <c r="A96" t="s">
        <v>103</v>
      </c>
      <c r="B96" t="s">
        <v>1</v>
      </c>
      <c r="C96" t="str">
        <f t="shared" si="11"/>
        <v>057470</v>
      </c>
      <c r="D96" t="str">
        <f t="shared" si="12"/>
        <v>TOR</v>
      </c>
      <c r="E96" t="str" cm="1">
        <f t="array" ref="E96">INDEX($E$2:$E$4, MOD(ROW()-1,3)+1)</f>
        <v>Machine 3</v>
      </c>
      <c r="F96">
        <f t="shared" ca="1" si="13"/>
        <v>2</v>
      </c>
      <c r="G96">
        <f t="shared" ca="1" si="14"/>
        <v>1</v>
      </c>
      <c r="H96">
        <f ca="1">RANDBETWEEN(1,J96-2)</f>
        <v>2</v>
      </c>
      <c r="I96">
        <f t="shared" ca="1" si="15"/>
        <v>48</v>
      </c>
      <c r="J96">
        <f t="shared" ca="1" si="16"/>
        <v>9</v>
      </c>
      <c r="K96" t="str" cm="1">
        <f t="array" ref="K96">INDEX($E$2:$E$4, MOD(ROW()-1,3)+1)</f>
        <v>Machine 3</v>
      </c>
      <c r="L96">
        <v>1</v>
      </c>
      <c r="M96">
        <v>12</v>
      </c>
      <c r="N96">
        <v>2</v>
      </c>
      <c r="O96">
        <f t="shared" ca="1" si="17"/>
        <v>4</v>
      </c>
      <c r="P96">
        <f t="shared" ca="1" si="18"/>
        <v>2</v>
      </c>
      <c r="Q96" s="7">
        <f t="shared" si="19"/>
        <v>5</v>
      </c>
      <c r="R96" s="7">
        <f>MAX(L96:N96)-MIN(L96:N96)</f>
        <v>11</v>
      </c>
      <c r="S96" s="7">
        <f t="shared" ca="1" si="20"/>
        <v>0.61088118339625508</v>
      </c>
      <c r="T96" s="7">
        <f t="shared" ca="1" si="21"/>
        <v>0.4583888588353332</v>
      </c>
      <c r="U96" s="5"/>
      <c r="V96" s="15"/>
      <c r="W96" s="18" t="str">
        <f>IF($K96 = "Machine 1", $Q96, " ")</f>
        <v xml:space="preserve"> </v>
      </c>
      <c r="X96" s="18" t="str">
        <f>IF($K96 = "Machine 2", $Q96, " ")</f>
        <v xml:space="preserve"> </v>
      </c>
      <c r="Y96" s="18">
        <f>IF($K96 = "Machine 3", $Q96, " ")</f>
        <v>5</v>
      </c>
      <c r="Z96" s="18" t="str">
        <f>IF($K96="Machine 1", $R96," ")</f>
        <v xml:space="preserve"> </v>
      </c>
      <c r="AA96" s="18" t="str">
        <f>IF($K96="Machine 2", $R96," ")</f>
        <v xml:space="preserve"> </v>
      </c>
      <c r="AB96" s="18">
        <f>IF($K96="Machine 3", $R96," ")</f>
        <v>11</v>
      </c>
    </row>
    <row r="97" spans="1:29" x14ac:dyDescent="0.25">
      <c r="A97" t="s">
        <v>104</v>
      </c>
      <c r="B97" t="s">
        <v>1</v>
      </c>
      <c r="C97" t="str">
        <f t="shared" si="11"/>
        <v>057492</v>
      </c>
      <c r="D97" t="str">
        <f t="shared" si="12"/>
        <v>TOR</v>
      </c>
      <c r="E97" t="str" cm="1">
        <f t="array" ref="E97">INDEX($E$2:$E$4, MOD(ROW()-1,3)+1)</f>
        <v>Machine 1</v>
      </c>
      <c r="F97">
        <f t="shared" ca="1" si="13"/>
        <v>2</v>
      </c>
      <c r="G97">
        <f t="shared" ca="1" si="14"/>
        <v>1</v>
      </c>
      <c r="H97">
        <f ca="1">RANDBETWEEN(1,J97-2)</f>
        <v>10</v>
      </c>
      <c r="I97">
        <f t="shared" ca="1" si="15"/>
        <v>37</v>
      </c>
      <c r="J97">
        <f t="shared" ca="1" si="16"/>
        <v>13</v>
      </c>
      <c r="K97" t="str" cm="1">
        <f t="array" ref="K97">INDEX($E$2:$E$4, MOD(ROW()-1,3)+1)</f>
        <v>Machine 1</v>
      </c>
      <c r="L97">
        <v>0</v>
      </c>
      <c r="M97">
        <v>5</v>
      </c>
      <c r="N97">
        <v>3</v>
      </c>
      <c r="O97">
        <f t="shared" ca="1" si="17"/>
        <v>2</v>
      </c>
      <c r="P97">
        <f t="shared" ca="1" si="18"/>
        <v>5</v>
      </c>
      <c r="Q97" s="7">
        <f t="shared" si="19"/>
        <v>2.6666666666666665</v>
      </c>
      <c r="R97" s="7">
        <f>MAX(L97:N97)-MIN(L97:N97)</f>
        <v>5</v>
      </c>
      <c r="S97" s="7">
        <f t="shared" ca="1" si="20"/>
        <v>0.89276638809255693</v>
      </c>
      <c r="T97" s="7">
        <f t="shared" ca="1" si="21"/>
        <v>2.5999793853352392E-2</v>
      </c>
      <c r="U97" s="5"/>
      <c r="V97" s="15"/>
      <c r="W97" s="18">
        <f>IF($K97 = "Machine 1", $Q97, " ")</f>
        <v>2.6666666666666665</v>
      </c>
      <c r="X97" s="18" t="str">
        <f>IF($K97 = "Machine 2", $Q97, " ")</f>
        <v xml:space="preserve"> </v>
      </c>
      <c r="Y97" s="18" t="str">
        <f>IF($K97 = "Machine 3", $Q97, " ")</f>
        <v xml:space="preserve"> </v>
      </c>
      <c r="Z97" s="18">
        <f>IF($K97="Machine 1", $R97," ")</f>
        <v>5</v>
      </c>
      <c r="AA97" s="18" t="str">
        <f>IF($K97="Machine 2", $R97," ")</f>
        <v xml:space="preserve"> </v>
      </c>
      <c r="AB97" s="18" t="str">
        <f>IF($K97="Machine 3", $R97," ")</f>
        <v xml:space="preserve"> </v>
      </c>
    </row>
    <row r="98" spans="1:29" x14ac:dyDescent="0.25">
      <c r="A98" t="s">
        <v>105</v>
      </c>
      <c r="B98" t="s">
        <v>1</v>
      </c>
      <c r="C98" t="str">
        <f t="shared" si="11"/>
        <v>057506</v>
      </c>
      <c r="D98" t="str">
        <f t="shared" si="12"/>
        <v>TOR</v>
      </c>
      <c r="E98" t="str" cm="1">
        <f t="array" ref="E98">INDEX($E$2:$E$4, MOD(ROW()-1,3)+1)</f>
        <v>Machine 2</v>
      </c>
      <c r="F98">
        <f t="shared" ca="1" si="13"/>
        <v>2</v>
      </c>
      <c r="G98">
        <f t="shared" ca="1" si="14"/>
        <v>1</v>
      </c>
      <c r="H98">
        <f ca="1">RANDBETWEEN(1,J98-2)</f>
        <v>7</v>
      </c>
      <c r="I98">
        <f t="shared" ca="1" si="15"/>
        <v>27</v>
      </c>
      <c r="J98">
        <f t="shared" ca="1" si="16"/>
        <v>13</v>
      </c>
      <c r="K98" t="str" cm="1">
        <f t="array" ref="K98">INDEX($E$2:$E$4, MOD(ROW()-1,3)+1)</f>
        <v>Machine 2</v>
      </c>
      <c r="L98">
        <v>1</v>
      </c>
      <c r="M98">
        <v>7</v>
      </c>
      <c r="N98">
        <v>2</v>
      </c>
      <c r="O98">
        <f t="shared" ca="1" si="17"/>
        <v>5</v>
      </c>
      <c r="P98">
        <f t="shared" ca="1" si="18"/>
        <v>7</v>
      </c>
      <c r="Q98" s="7">
        <f t="shared" si="19"/>
        <v>3.3333333333333335</v>
      </c>
      <c r="R98" s="7">
        <f>MAX(L98:N98)-MIN(L98:N98)</f>
        <v>6</v>
      </c>
      <c r="S98" s="7">
        <f t="shared" ca="1" si="20"/>
        <v>0.89251986097129032</v>
      </c>
      <c r="T98" s="7">
        <f t="shared" ca="1" si="21"/>
        <v>5.5074595932976644E-2</v>
      </c>
      <c r="U98" s="5"/>
      <c r="V98" s="15"/>
      <c r="W98" s="18" t="str">
        <f>IF($K98 = "Machine 1", $Q98, " ")</f>
        <v xml:space="preserve"> </v>
      </c>
      <c r="X98" s="18">
        <f>IF($K98 = "Machine 2", $Q98, " ")</f>
        <v>3.3333333333333335</v>
      </c>
      <c r="Y98" s="18" t="str">
        <f>IF($K98 = "Machine 3", $Q98, " ")</f>
        <v xml:space="preserve"> </v>
      </c>
      <c r="Z98" s="18" t="str">
        <f>IF($K98="Machine 1", $R98," ")</f>
        <v xml:space="preserve"> </v>
      </c>
      <c r="AA98" s="18">
        <f>IF($K98="Machine 2", $R98," ")</f>
        <v>6</v>
      </c>
      <c r="AB98" s="18" t="str">
        <f>IF($K98="Machine 3", $R98," ")</f>
        <v xml:space="preserve"> </v>
      </c>
    </row>
    <row r="99" spans="1:29" x14ac:dyDescent="0.25">
      <c r="A99" t="s">
        <v>106</v>
      </c>
      <c r="B99" t="s">
        <v>1</v>
      </c>
      <c r="C99" t="str">
        <f t="shared" si="11"/>
        <v>057510</v>
      </c>
      <c r="D99" t="str">
        <f t="shared" si="12"/>
        <v>TOR</v>
      </c>
      <c r="E99" t="str" cm="1">
        <f t="array" ref="E99">INDEX($E$2:$E$4, MOD(ROW()-1,3)+1)</f>
        <v>Machine 3</v>
      </c>
      <c r="F99">
        <f t="shared" ca="1" si="13"/>
        <v>2</v>
      </c>
      <c r="G99">
        <f t="shared" ca="1" si="14"/>
        <v>0</v>
      </c>
      <c r="H99">
        <f ca="1">RANDBETWEEN(1,J99-2)</f>
        <v>4</v>
      </c>
      <c r="I99">
        <f t="shared" ca="1" si="15"/>
        <v>45</v>
      </c>
      <c r="J99">
        <f t="shared" ca="1" si="16"/>
        <v>8</v>
      </c>
      <c r="K99" t="str" cm="1">
        <f t="array" ref="K99">INDEX($E$2:$E$4, MOD(ROW()-1,3)+1)</f>
        <v>Machine 3</v>
      </c>
      <c r="L99">
        <v>1</v>
      </c>
      <c r="M99">
        <v>6</v>
      </c>
      <c r="N99">
        <v>3</v>
      </c>
      <c r="O99">
        <f t="shared" ca="1" si="17"/>
        <v>3</v>
      </c>
      <c r="P99">
        <f t="shared" ca="1" si="18"/>
        <v>1</v>
      </c>
      <c r="Q99" s="7">
        <f t="shared" si="19"/>
        <v>3.3333333333333335</v>
      </c>
      <c r="R99" s="7">
        <f>MAX(L99:N99)-MIN(L99:N99)</f>
        <v>5</v>
      </c>
      <c r="S99" s="7">
        <f t="shared" ca="1" si="20"/>
        <v>0.26970325665977835</v>
      </c>
      <c r="T99" s="7">
        <f t="shared" ca="1" si="21"/>
        <v>5.8252427184466007E-2</v>
      </c>
      <c r="U99" s="5"/>
      <c r="V99" s="15"/>
      <c r="W99" s="18" t="str">
        <f>IF($K99 = "Machine 1", $Q99, " ")</f>
        <v xml:space="preserve"> </v>
      </c>
      <c r="X99" s="18" t="str">
        <f>IF($K99 = "Machine 2", $Q99, " ")</f>
        <v xml:space="preserve"> </v>
      </c>
      <c r="Y99" s="18">
        <f>IF($K99 = "Machine 3", $Q99, " ")</f>
        <v>3.3333333333333335</v>
      </c>
      <c r="Z99" s="18" t="str">
        <f>IF($K99="Machine 1", $R99," ")</f>
        <v xml:space="preserve"> </v>
      </c>
      <c r="AA99" s="18" t="str">
        <f>IF($K99="Machine 2", $R99," ")</f>
        <v xml:space="preserve"> </v>
      </c>
      <c r="AB99" s="18">
        <f>IF($K99="Machine 3", $R99," ")</f>
        <v>5</v>
      </c>
    </row>
    <row r="100" spans="1:29" x14ac:dyDescent="0.25">
      <c r="A100" t="s">
        <v>107</v>
      </c>
      <c r="B100" t="s">
        <v>1</v>
      </c>
      <c r="C100" t="str">
        <f t="shared" si="11"/>
        <v>057516</v>
      </c>
      <c r="D100" t="str">
        <f t="shared" si="12"/>
        <v>TOR</v>
      </c>
      <c r="E100" t="str" cm="1">
        <f t="array" ref="E100">INDEX($E$2:$E$4, MOD(ROW()-1,3)+1)</f>
        <v>Machine 1</v>
      </c>
      <c r="F100">
        <f t="shared" ca="1" si="13"/>
        <v>2</v>
      </c>
      <c r="G100">
        <f t="shared" ca="1" si="14"/>
        <v>0</v>
      </c>
      <c r="H100">
        <f ca="1">RANDBETWEEN(1,J100-2)</f>
        <v>10</v>
      </c>
      <c r="I100">
        <f t="shared" ca="1" si="15"/>
        <v>30</v>
      </c>
      <c r="J100">
        <f t="shared" ca="1" si="16"/>
        <v>15</v>
      </c>
      <c r="K100" t="str" cm="1">
        <f t="array" ref="K100">INDEX($E$2:$E$4, MOD(ROW()-1,3)+1)</f>
        <v>Machine 1</v>
      </c>
      <c r="L100">
        <v>0</v>
      </c>
      <c r="M100">
        <v>4</v>
      </c>
      <c r="N100">
        <v>2</v>
      </c>
      <c r="O100">
        <f t="shared" ca="1" si="17"/>
        <v>2</v>
      </c>
      <c r="P100">
        <f t="shared" ca="1" si="18"/>
        <v>1</v>
      </c>
      <c r="Q100" s="7">
        <f t="shared" si="19"/>
        <v>2</v>
      </c>
      <c r="R100" s="7">
        <f>MAX(L100:N100)-MIN(L100:N100)</f>
        <v>4</v>
      </c>
      <c r="S100" s="7">
        <f t="shared" ca="1" si="20"/>
        <v>0.50000000000000011</v>
      </c>
      <c r="T100" s="7">
        <f t="shared" ca="1" si="21"/>
        <v>0.12690206972221429</v>
      </c>
      <c r="U100" s="5"/>
      <c r="V100" s="15"/>
      <c r="W100" s="18">
        <f>IF($K100 = "Machine 1", $Q100, " ")</f>
        <v>2</v>
      </c>
      <c r="X100" s="18" t="str">
        <f>IF($K100 = "Machine 2", $Q100, " ")</f>
        <v xml:space="preserve"> </v>
      </c>
      <c r="Y100" s="18" t="str">
        <f>IF($K100 = "Machine 3", $Q100, " ")</f>
        <v xml:space="preserve"> </v>
      </c>
      <c r="Z100" s="18">
        <f>IF($K100="Machine 1", $R100," ")</f>
        <v>4</v>
      </c>
      <c r="AA100" s="18" t="str">
        <f>IF($K100="Machine 2", $R100," ")</f>
        <v xml:space="preserve"> </v>
      </c>
      <c r="AB100" s="18" t="str">
        <f>IF($K100="Machine 3", $R100," ")</f>
        <v xml:space="preserve"> </v>
      </c>
    </row>
    <row r="101" spans="1:29" x14ac:dyDescent="0.25">
      <c r="A101" t="s">
        <v>108</v>
      </c>
      <c r="B101" t="s">
        <v>1</v>
      </c>
      <c r="C101" t="str">
        <f t="shared" si="11"/>
        <v>057519</v>
      </c>
      <c r="D101" t="str">
        <f t="shared" si="12"/>
        <v>TOR</v>
      </c>
      <c r="E101" t="str" cm="1">
        <f t="array" ref="E101">INDEX($E$2:$E$4, MOD(ROW()-1,3)+1)</f>
        <v>Machine 2</v>
      </c>
      <c r="F101">
        <f t="shared" ca="1" si="13"/>
        <v>2</v>
      </c>
      <c r="G101">
        <f t="shared" ca="1" si="14"/>
        <v>0</v>
      </c>
      <c r="H101">
        <f ca="1">RANDBETWEEN(1,J101-2)</f>
        <v>6</v>
      </c>
      <c r="I101">
        <f t="shared" ca="1" si="15"/>
        <v>47</v>
      </c>
      <c r="J101">
        <f t="shared" ca="1" si="16"/>
        <v>15</v>
      </c>
      <c r="K101" t="str" cm="1">
        <f t="array" ref="K101">INDEX($E$2:$E$4, MOD(ROW()-1,3)+1)</f>
        <v>Machine 2</v>
      </c>
      <c r="L101">
        <v>0</v>
      </c>
      <c r="M101">
        <v>3</v>
      </c>
      <c r="N101">
        <v>3</v>
      </c>
      <c r="O101">
        <f t="shared" ca="1" si="17"/>
        <v>1</v>
      </c>
      <c r="P101">
        <f t="shared" ca="1" si="18"/>
        <v>11</v>
      </c>
      <c r="Q101" s="7">
        <f t="shared" si="19"/>
        <v>2</v>
      </c>
      <c r="R101" s="7">
        <f>MAX(L101:N101)-MIN(L101:N101)</f>
        <v>3</v>
      </c>
      <c r="S101" s="7" t="e">
        <f t="shared" ca="1" si="20"/>
        <v>#DIV/0!</v>
      </c>
      <c r="T101" s="7" t="e">
        <f t="shared" ca="1" si="21"/>
        <v>#DIV/0!</v>
      </c>
      <c r="U101" s="5"/>
      <c r="V101" s="15"/>
      <c r="W101" s="18" t="str">
        <f>IF($K101 = "Machine 1", $Q101, " ")</f>
        <v xml:space="preserve"> </v>
      </c>
      <c r="X101" s="18">
        <f>IF($K101 = "Machine 2", $Q101, " ")</f>
        <v>2</v>
      </c>
      <c r="Y101" s="18" t="str">
        <f>IF($K101 = "Machine 3", $Q101, " ")</f>
        <v xml:space="preserve"> </v>
      </c>
      <c r="Z101" s="18" t="str">
        <f>IF($K101="Machine 1", $R101," ")</f>
        <v xml:space="preserve"> </v>
      </c>
      <c r="AA101" s="18">
        <f>IF($K101="Machine 2", $R101," ")</f>
        <v>3</v>
      </c>
      <c r="AB101" s="18" t="str">
        <f>IF($K101="Machine 3", $R101," ")</f>
        <v xml:space="preserve"> </v>
      </c>
    </row>
    <row r="102" spans="1:29" x14ac:dyDescent="0.25">
      <c r="A102" t="s">
        <v>109</v>
      </c>
      <c r="B102" t="s">
        <v>1</v>
      </c>
      <c r="C102" t="str">
        <f t="shared" si="11"/>
        <v>057531</v>
      </c>
      <c r="D102" t="str">
        <f t="shared" si="12"/>
        <v>TOR</v>
      </c>
      <c r="E102" t="str" cm="1">
        <f t="array" ref="E102">INDEX($E$2:$E$4, MOD(ROW()-1,3)+1)</f>
        <v>Machine 3</v>
      </c>
      <c r="F102">
        <f t="shared" ca="1" si="13"/>
        <v>2</v>
      </c>
      <c r="G102">
        <f t="shared" ca="1" si="14"/>
        <v>1</v>
      </c>
      <c r="H102">
        <f ca="1">RANDBETWEEN(1,J102-2)</f>
        <v>2</v>
      </c>
      <c r="I102">
        <f t="shared" ca="1" si="15"/>
        <v>32</v>
      </c>
      <c r="J102">
        <f t="shared" ca="1" si="16"/>
        <v>14</v>
      </c>
      <c r="O102" s="2"/>
      <c r="P102" s="2"/>
      <c r="Q102" s="7"/>
      <c r="R102" s="7"/>
      <c r="S102" s="7"/>
      <c r="T102" s="7"/>
      <c r="AC102" s="7"/>
    </row>
    <row r="103" spans="1:29" x14ac:dyDescent="0.25">
      <c r="A103" t="s">
        <v>110</v>
      </c>
      <c r="B103" t="s">
        <v>1</v>
      </c>
      <c r="C103" t="str">
        <f t="shared" si="11"/>
        <v>057533</v>
      </c>
      <c r="D103" t="str">
        <f t="shared" si="12"/>
        <v>TOR</v>
      </c>
      <c r="E103" t="str" cm="1">
        <f t="array" ref="E103">INDEX($E$2:$E$4, MOD(ROW()-1,3)+1)</f>
        <v>Machine 1</v>
      </c>
      <c r="F103">
        <f t="shared" ca="1" si="13"/>
        <v>2</v>
      </c>
      <c r="G103">
        <f t="shared" ca="1" si="14"/>
        <v>1</v>
      </c>
      <c r="H103">
        <f ca="1">RANDBETWEEN(1,J103-2)</f>
        <v>3</v>
      </c>
      <c r="I103">
        <f t="shared" ca="1" si="15"/>
        <v>48</v>
      </c>
      <c r="J103">
        <f t="shared" ca="1" si="16"/>
        <v>5</v>
      </c>
      <c r="O103" s="2"/>
      <c r="P103" s="2"/>
      <c r="Q103" s="7"/>
    </row>
    <row r="104" spans="1:29" x14ac:dyDescent="0.25">
      <c r="A104" t="s">
        <v>111</v>
      </c>
      <c r="B104" t="s">
        <v>1</v>
      </c>
      <c r="C104" t="str">
        <f t="shared" si="11"/>
        <v>057535</v>
      </c>
      <c r="D104" t="str">
        <f t="shared" si="12"/>
        <v>TOR</v>
      </c>
      <c r="E104" t="str" cm="1">
        <f t="array" ref="E104">INDEX($E$2:$E$4, MOD(ROW()-1,3)+1)</f>
        <v>Machine 2</v>
      </c>
      <c r="F104">
        <f t="shared" ca="1" si="13"/>
        <v>2</v>
      </c>
      <c r="G104">
        <f t="shared" ca="1" si="14"/>
        <v>1</v>
      </c>
      <c r="H104">
        <f ca="1">RANDBETWEEN(1,J104-2)</f>
        <v>3</v>
      </c>
      <c r="I104">
        <f t="shared" ca="1" si="15"/>
        <v>47</v>
      </c>
      <c r="J104">
        <f t="shared" ca="1" si="16"/>
        <v>9</v>
      </c>
    </row>
    <row r="105" spans="1:29" x14ac:dyDescent="0.25">
      <c r="A105" t="s">
        <v>112</v>
      </c>
      <c r="B105" t="s">
        <v>1</v>
      </c>
      <c r="C105" t="str">
        <f t="shared" si="11"/>
        <v>057538</v>
      </c>
      <c r="D105" t="str">
        <f t="shared" si="12"/>
        <v>TOR</v>
      </c>
      <c r="E105" t="str" cm="1">
        <f t="array" ref="E105">INDEX($E$2:$E$4, MOD(ROW()-1,3)+1)</f>
        <v>Machine 3</v>
      </c>
      <c r="F105">
        <f t="shared" ca="1" si="13"/>
        <v>2</v>
      </c>
      <c r="G105">
        <f t="shared" ca="1" si="14"/>
        <v>1</v>
      </c>
      <c r="H105">
        <f ca="1">RANDBETWEEN(1,J105-2)</f>
        <v>3</v>
      </c>
      <c r="I105">
        <f t="shared" ca="1" si="15"/>
        <v>43</v>
      </c>
      <c r="J105">
        <f t="shared" ca="1" si="16"/>
        <v>11</v>
      </c>
    </row>
    <row r="106" spans="1:29" x14ac:dyDescent="0.25">
      <c r="A106" t="s">
        <v>113</v>
      </c>
      <c r="B106" t="s">
        <v>1</v>
      </c>
      <c r="C106" t="str">
        <f t="shared" si="11"/>
        <v>057550</v>
      </c>
      <c r="D106" t="str">
        <f t="shared" si="12"/>
        <v>TOR</v>
      </c>
      <c r="E106" t="str" cm="1">
        <f t="array" ref="E106">INDEX($E$2:$E$4, MOD(ROW()-1,3)+1)</f>
        <v>Machine 1</v>
      </c>
      <c r="F106">
        <f t="shared" ca="1" si="13"/>
        <v>3</v>
      </c>
      <c r="G106">
        <f t="shared" ca="1" si="14"/>
        <v>1</v>
      </c>
      <c r="H106">
        <f ca="1">RANDBETWEEN(1,J106-2)</f>
        <v>4</v>
      </c>
      <c r="I106">
        <f t="shared" ca="1" si="15"/>
        <v>29</v>
      </c>
      <c r="J106">
        <f t="shared" ca="1" si="16"/>
        <v>11</v>
      </c>
    </row>
    <row r="107" spans="1:29" x14ac:dyDescent="0.25">
      <c r="A107" t="s">
        <v>114</v>
      </c>
      <c r="B107" t="s">
        <v>1</v>
      </c>
      <c r="C107" t="str">
        <f t="shared" si="11"/>
        <v>057554</v>
      </c>
      <c r="D107" t="str">
        <f t="shared" si="12"/>
        <v>TOR</v>
      </c>
      <c r="E107" t="str" cm="1">
        <f t="array" ref="E107">INDEX($E$2:$E$4, MOD(ROW()-1,3)+1)</f>
        <v>Machine 2</v>
      </c>
      <c r="F107">
        <f t="shared" ca="1" si="13"/>
        <v>3</v>
      </c>
      <c r="G107">
        <f t="shared" ca="1" si="14"/>
        <v>1</v>
      </c>
      <c r="H107">
        <f ca="1">RANDBETWEEN(1,J107-2)</f>
        <v>1</v>
      </c>
      <c r="I107">
        <f t="shared" ca="1" si="15"/>
        <v>33</v>
      </c>
      <c r="J107">
        <f t="shared" ca="1" si="16"/>
        <v>5</v>
      </c>
    </row>
    <row r="108" spans="1:29" x14ac:dyDescent="0.25">
      <c r="A108" t="s">
        <v>115</v>
      </c>
      <c r="B108" t="s">
        <v>1</v>
      </c>
      <c r="C108" t="str">
        <f t="shared" si="11"/>
        <v>057560</v>
      </c>
      <c r="D108" t="str">
        <f t="shared" si="12"/>
        <v>TOR</v>
      </c>
      <c r="E108" t="str" cm="1">
        <f t="array" ref="E108">INDEX($E$2:$E$4, MOD(ROW()-1,3)+1)</f>
        <v>Machine 3</v>
      </c>
      <c r="F108">
        <f t="shared" ca="1" si="13"/>
        <v>2</v>
      </c>
      <c r="G108">
        <f t="shared" ca="1" si="14"/>
        <v>0</v>
      </c>
      <c r="H108">
        <f ca="1">RANDBETWEEN(1,J108-2)</f>
        <v>3</v>
      </c>
      <c r="I108">
        <f t="shared" ca="1" si="15"/>
        <v>25</v>
      </c>
      <c r="J108">
        <f t="shared" ca="1" si="16"/>
        <v>11</v>
      </c>
    </row>
    <row r="109" spans="1:29" x14ac:dyDescent="0.25">
      <c r="A109" t="s">
        <v>116</v>
      </c>
      <c r="B109" t="s">
        <v>1</v>
      </c>
      <c r="C109" t="str">
        <f t="shared" si="11"/>
        <v>057562</v>
      </c>
      <c r="D109" t="str">
        <f t="shared" si="12"/>
        <v>TOR</v>
      </c>
      <c r="E109" t="str" cm="1">
        <f t="array" ref="E109">INDEX($E$2:$E$4, MOD(ROW()-1,3)+1)</f>
        <v>Machine 1</v>
      </c>
      <c r="F109">
        <f t="shared" ca="1" si="13"/>
        <v>2</v>
      </c>
      <c r="G109">
        <f t="shared" ca="1" si="14"/>
        <v>0</v>
      </c>
      <c r="H109">
        <f ca="1">RANDBETWEEN(1,J109-2)</f>
        <v>5</v>
      </c>
      <c r="I109">
        <f t="shared" ca="1" si="15"/>
        <v>28</v>
      </c>
      <c r="J109">
        <f t="shared" ca="1" si="16"/>
        <v>14</v>
      </c>
    </row>
    <row r="110" spans="1:29" x14ac:dyDescent="0.25">
      <c r="A110" t="s">
        <v>117</v>
      </c>
      <c r="B110" t="s">
        <v>1</v>
      </c>
      <c r="C110" t="str">
        <f t="shared" si="11"/>
        <v>057568</v>
      </c>
      <c r="D110" t="str">
        <f t="shared" si="12"/>
        <v>TOR</v>
      </c>
      <c r="E110" t="str" cm="1">
        <f t="array" ref="E110">INDEX($E$2:$E$4, MOD(ROW()-1,3)+1)</f>
        <v>Machine 2</v>
      </c>
      <c r="F110">
        <f t="shared" ca="1" si="13"/>
        <v>3</v>
      </c>
      <c r="G110">
        <f t="shared" ca="1" si="14"/>
        <v>0</v>
      </c>
      <c r="H110">
        <f ca="1">RANDBETWEEN(1,J110-2)</f>
        <v>3</v>
      </c>
      <c r="I110">
        <f t="shared" ca="1" si="15"/>
        <v>27</v>
      </c>
      <c r="J110">
        <f t="shared" ca="1" si="16"/>
        <v>15</v>
      </c>
    </row>
    <row r="111" spans="1:29" x14ac:dyDescent="0.25">
      <c r="A111" t="s">
        <v>118</v>
      </c>
      <c r="B111" t="s">
        <v>1</v>
      </c>
      <c r="C111" t="str">
        <f t="shared" si="11"/>
        <v>057571</v>
      </c>
      <c r="D111" t="str">
        <f t="shared" si="12"/>
        <v>TOR</v>
      </c>
      <c r="E111" t="str" cm="1">
        <f t="array" ref="E111">INDEX($E$2:$E$4, MOD(ROW()-1,3)+1)</f>
        <v>Machine 3</v>
      </c>
      <c r="F111">
        <f t="shared" ca="1" si="13"/>
        <v>3</v>
      </c>
      <c r="G111">
        <f t="shared" ca="1" si="14"/>
        <v>1</v>
      </c>
      <c r="H111">
        <f ca="1">RANDBETWEEN(1,J111-2)</f>
        <v>8</v>
      </c>
      <c r="I111">
        <f t="shared" ca="1" si="15"/>
        <v>44</v>
      </c>
      <c r="J111">
        <f t="shared" ca="1" si="16"/>
        <v>11</v>
      </c>
    </row>
    <row r="112" spans="1:29" x14ac:dyDescent="0.25">
      <c r="A112" t="s">
        <v>119</v>
      </c>
      <c r="B112" t="s">
        <v>1</v>
      </c>
      <c r="C112" t="str">
        <f t="shared" si="11"/>
        <v>057573</v>
      </c>
      <c r="D112" t="str">
        <f t="shared" si="12"/>
        <v>TOR</v>
      </c>
      <c r="E112" t="str" cm="1">
        <f t="array" ref="E112">INDEX($E$2:$E$4, MOD(ROW()-1,3)+1)</f>
        <v>Machine 1</v>
      </c>
      <c r="F112">
        <f t="shared" ca="1" si="13"/>
        <v>2</v>
      </c>
      <c r="G112">
        <f t="shared" ca="1" si="14"/>
        <v>1</v>
      </c>
      <c r="H112">
        <f ca="1">RANDBETWEEN(1,J112-2)</f>
        <v>6</v>
      </c>
      <c r="I112">
        <f t="shared" ca="1" si="15"/>
        <v>45</v>
      </c>
      <c r="J112">
        <f t="shared" ca="1" si="16"/>
        <v>10</v>
      </c>
    </row>
    <row r="113" spans="1:10" x14ac:dyDescent="0.25">
      <c r="A113" t="s">
        <v>120</v>
      </c>
      <c r="B113" t="s">
        <v>1</v>
      </c>
      <c r="C113" t="str">
        <f t="shared" si="11"/>
        <v>057578</v>
      </c>
      <c r="D113" t="str">
        <f t="shared" si="12"/>
        <v>TOR</v>
      </c>
      <c r="E113" t="str" cm="1">
        <f t="array" ref="E113">INDEX($E$2:$E$4, MOD(ROW()-1,3)+1)</f>
        <v>Machine 2</v>
      </c>
      <c r="F113">
        <f t="shared" ca="1" si="13"/>
        <v>3</v>
      </c>
      <c r="G113">
        <f t="shared" ca="1" si="14"/>
        <v>1</v>
      </c>
      <c r="H113">
        <f ca="1">RANDBETWEEN(1,J113-2)</f>
        <v>3</v>
      </c>
      <c r="I113">
        <f t="shared" ca="1" si="15"/>
        <v>41</v>
      </c>
      <c r="J113">
        <f t="shared" ca="1" si="16"/>
        <v>13</v>
      </c>
    </row>
    <row r="114" spans="1:10" x14ac:dyDescent="0.25">
      <c r="A114" t="s">
        <v>121</v>
      </c>
      <c r="B114" t="s">
        <v>1</v>
      </c>
      <c r="C114" t="str">
        <f t="shared" si="11"/>
        <v>057595</v>
      </c>
      <c r="D114" t="str">
        <f t="shared" si="12"/>
        <v>TOR</v>
      </c>
      <c r="E114" t="str" cm="1">
        <f t="array" ref="E114">INDEX($E$2:$E$4, MOD(ROW()-1,3)+1)</f>
        <v>Machine 3</v>
      </c>
      <c r="F114">
        <f t="shared" ca="1" si="13"/>
        <v>2</v>
      </c>
      <c r="G114">
        <f t="shared" ca="1" si="14"/>
        <v>1</v>
      </c>
      <c r="H114">
        <f ca="1">RANDBETWEEN(1,J114-2)</f>
        <v>4</v>
      </c>
      <c r="I114">
        <f t="shared" ca="1" si="15"/>
        <v>44</v>
      </c>
      <c r="J114">
        <f t="shared" ca="1" si="16"/>
        <v>7</v>
      </c>
    </row>
    <row r="115" spans="1:10" x14ac:dyDescent="0.25">
      <c r="A115" t="s">
        <v>122</v>
      </c>
      <c r="B115" t="s">
        <v>1</v>
      </c>
      <c r="C115" t="str">
        <f t="shared" si="11"/>
        <v>057597</v>
      </c>
      <c r="D115" t="str">
        <f t="shared" si="12"/>
        <v>TOR</v>
      </c>
      <c r="E115" t="str" cm="1">
        <f t="array" ref="E115">INDEX($E$2:$E$4, MOD(ROW()-1,3)+1)</f>
        <v>Machine 1</v>
      </c>
      <c r="F115">
        <f t="shared" ca="1" si="13"/>
        <v>2</v>
      </c>
      <c r="G115">
        <f t="shared" ca="1" si="14"/>
        <v>0</v>
      </c>
      <c r="H115">
        <f ca="1">RANDBETWEEN(1,J115-2)</f>
        <v>9</v>
      </c>
      <c r="I115">
        <f t="shared" ca="1" si="15"/>
        <v>35</v>
      </c>
      <c r="J115">
        <f t="shared" ca="1" si="16"/>
        <v>12</v>
      </c>
    </row>
    <row r="116" spans="1:10" x14ac:dyDescent="0.25">
      <c r="A116" t="s">
        <v>123</v>
      </c>
      <c r="B116" t="s">
        <v>1</v>
      </c>
      <c r="C116" t="str">
        <f t="shared" si="11"/>
        <v>057600</v>
      </c>
      <c r="D116" t="str">
        <f t="shared" si="12"/>
        <v>TOR</v>
      </c>
      <c r="E116" t="str" cm="1">
        <f t="array" ref="E116">INDEX($E$2:$E$4, MOD(ROW()-1,3)+1)</f>
        <v>Machine 2</v>
      </c>
      <c r="F116">
        <f t="shared" ca="1" si="13"/>
        <v>3</v>
      </c>
      <c r="G116">
        <f t="shared" ca="1" si="14"/>
        <v>0</v>
      </c>
      <c r="H116">
        <f ca="1">RANDBETWEEN(1,J116-2)</f>
        <v>8</v>
      </c>
      <c r="I116">
        <f t="shared" ca="1" si="15"/>
        <v>41</v>
      </c>
      <c r="J116">
        <f t="shared" ca="1" si="16"/>
        <v>13</v>
      </c>
    </row>
    <row r="117" spans="1:10" x14ac:dyDescent="0.25">
      <c r="A117" t="s">
        <v>124</v>
      </c>
      <c r="B117" t="s">
        <v>1</v>
      </c>
      <c r="C117" t="str">
        <f t="shared" si="11"/>
        <v>057604</v>
      </c>
      <c r="D117" t="str">
        <f t="shared" si="12"/>
        <v>TOR</v>
      </c>
      <c r="E117" t="str" cm="1">
        <f t="array" ref="E117">INDEX($E$2:$E$4, MOD(ROW()-1,3)+1)</f>
        <v>Machine 3</v>
      </c>
      <c r="F117">
        <f t="shared" ca="1" si="13"/>
        <v>2</v>
      </c>
      <c r="G117">
        <f t="shared" ca="1" si="14"/>
        <v>0</v>
      </c>
      <c r="H117">
        <f ca="1">RANDBETWEEN(1,J117-2)</f>
        <v>2</v>
      </c>
      <c r="I117">
        <f t="shared" ca="1" si="15"/>
        <v>33</v>
      </c>
      <c r="J117">
        <f t="shared" ca="1" si="16"/>
        <v>12</v>
      </c>
    </row>
    <row r="118" spans="1:10" x14ac:dyDescent="0.25">
      <c r="A118" t="s">
        <v>125</v>
      </c>
      <c r="B118" t="s">
        <v>1</v>
      </c>
      <c r="C118" t="str">
        <f t="shared" si="11"/>
        <v>057615</v>
      </c>
      <c r="D118" t="str">
        <f t="shared" si="12"/>
        <v>TOR</v>
      </c>
      <c r="E118" t="str" cm="1">
        <f t="array" ref="E118">INDEX($E$2:$E$4, MOD(ROW()-1,3)+1)</f>
        <v>Machine 1</v>
      </c>
      <c r="F118">
        <f t="shared" ca="1" si="13"/>
        <v>2</v>
      </c>
      <c r="G118">
        <f t="shared" ca="1" si="14"/>
        <v>0</v>
      </c>
      <c r="H118">
        <f ca="1">RANDBETWEEN(1,J118-2)</f>
        <v>3</v>
      </c>
      <c r="I118">
        <f t="shared" ca="1" si="15"/>
        <v>46</v>
      </c>
      <c r="J118">
        <f t="shared" ca="1" si="16"/>
        <v>5</v>
      </c>
    </row>
    <row r="119" spans="1:10" x14ac:dyDescent="0.25">
      <c r="A119" t="s">
        <v>126</v>
      </c>
      <c r="B119" t="s">
        <v>1</v>
      </c>
      <c r="C119" t="str">
        <f t="shared" si="11"/>
        <v>057624</v>
      </c>
      <c r="D119" t="str">
        <f t="shared" si="12"/>
        <v>TOR</v>
      </c>
      <c r="E119" t="str" cm="1">
        <f t="array" ref="E119">INDEX($E$2:$E$4, MOD(ROW()-1,3)+1)</f>
        <v>Machine 2</v>
      </c>
      <c r="F119">
        <f t="shared" ca="1" si="13"/>
        <v>3</v>
      </c>
      <c r="G119">
        <f t="shared" ca="1" si="14"/>
        <v>1</v>
      </c>
      <c r="H119">
        <f ca="1">RANDBETWEEN(1,J119-2)</f>
        <v>7</v>
      </c>
      <c r="I119">
        <f t="shared" ca="1" si="15"/>
        <v>27</v>
      </c>
      <c r="J119">
        <f t="shared" ca="1" si="16"/>
        <v>15</v>
      </c>
    </row>
    <row r="120" spans="1:10" x14ac:dyDescent="0.25">
      <c r="A120" t="s">
        <v>127</v>
      </c>
      <c r="B120" t="s">
        <v>1</v>
      </c>
      <c r="C120" t="str">
        <f t="shared" si="11"/>
        <v>057632</v>
      </c>
      <c r="D120" t="str">
        <f t="shared" si="12"/>
        <v>TOR</v>
      </c>
      <c r="E120" t="str" cm="1">
        <f t="array" ref="E120">INDEX($E$2:$E$4, MOD(ROW()-1,3)+1)</f>
        <v>Machine 3</v>
      </c>
      <c r="F120">
        <f t="shared" ca="1" si="13"/>
        <v>3</v>
      </c>
      <c r="G120">
        <f t="shared" ca="1" si="14"/>
        <v>0</v>
      </c>
      <c r="H120">
        <f ca="1">RANDBETWEEN(1,J120-2)</f>
        <v>5</v>
      </c>
      <c r="I120">
        <f t="shared" ca="1" si="15"/>
        <v>33</v>
      </c>
      <c r="J120">
        <f t="shared" ca="1" si="16"/>
        <v>14</v>
      </c>
    </row>
    <row r="121" spans="1:10" x14ac:dyDescent="0.25">
      <c r="A121" t="s">
        <v>128</v>
      </c>
      <c r="B121" t="s">
        <v>1</v>
      </c>
      <c r="C121" t="str">
        <f t="shared" si="11"/>
        <v>057638</v>
      </c>
      <c r="D121" t="str">
        <f t="shared" si="12"/>
        <v>TOR</v>
      </c>
      <c r="E121" t="str" cm="1">
        <f t="array" ref="E121">INDEX($E$2:$E$4, MOD(ROW()-1,3)+1)</f>
        <v>Machine 1</v>
      </c>
      <c r="F121">
        <f t="shared" ca="1" si="13"/>
        <v>2</v>
      </c>
      <c r="G121">
        <f t="shared" ca="1" si="14"/>
        <v>0</v>
      </c>
      <c r="H121">
        <f ca="1">RANDBETWEEN(1,J121-2)</f>
        <v>2</v>
      </c>
      <c r="I121">
        <f t="shared" ca="1" si="15"/>
        <v>26</v>
      </c>
      <c r="J121">
        <f t="shared" ca="1" si="16"/>
        <v>7</v>
      </c>
    </row>
    <row r="122" spans="1:10" x14ac:dyDescent="0.25">
      <c r="A122" t="s">
        <v>129</v>
      </c>
      <c r="B122" t="s">
        <v>1</v>
      </c>
      <c r="C122" t="str">
        <f t="shared" si="11"/>
        <v>057640</v>
      </c>
      <c r="D122" t="str">
        <f t="shared" si="12"/>
        <v>TOR</v>
      </c>
      <c r="E122" t="str" cm="1">
        <f t="array" ref="E122">INDEX($E$2:$E$4, MOD(ROW()-1,3)+1)</f>
        <v>Machine 2</v>
      </c>
      <c r="F122">
        <f t="shared" ca="1" si="13"/>
        <v>3</v>
      </c>
      <c r="G122">
        <f t="shared" ca="1" si="14"/>
        <v>1</v>
      </c>
      <c r="H122">
        <f ca="1">RANDBETWEEN(1,J122-2)</f>
        <v>3</v>
      </c>
      <c r="I122">
        <f t="shared" ca="1" si="15"/>
        <v>31</v>
      </c>
      <c r="J122">
        <f t="shared" ca="1" si="16"/>
        <v>6</v>
      </c>
    </row>
    <row r="123" spans="1:10" x14ac:dyDescent="0.25">
      <c r="A123" t="s">
        <v>130</v>
      </c>
      <c r="B123" t="s">
        <v>1</v>
      </c>
      <c r="C123" t="str">
        <f t="shared" si="11"/>
        <v>057643</v>
      </c>
      <c r="D123" t="str">
        <f t="shared" si="12"/>
        <v>TOR</v>
      </c>
      <c r="E123" t="str" cm="1">
        <f t="array" ref="E123">INDEX($E$2:$E$4, MOD(ROW()-1,3)+1)</f>
        <v>Machine 3</v>
      </c>
      <c r="F123">
        <f t="shared" ca="1" si="13"/>
        <v>3</v>
      </c>
      <c r="G123">
        <f t="shared" ca="1" si="14"/>
        <v>1</v>
      </c>
      <c r="H123">
        <f ca="1">RANDBETWEEN(1,J123-2)</f>
        <v>9</v>
      </c>
      <c r="I123">
        <f t="shared" ca="1" si="15"/>
        <v>28</v>
      </c>
      <c r="J123">
        <f t="shared" ca="1" si="16"/>
        <v>11</v>
      </c>
    </row>
    <row r="124" spans="1:10" x14ac:dyDescent="0.25">
      <c r="A124" t="s">
        <v>131</v>
      </c>
      <c r="B124" t="s">
        <v>1</v>
      </c>
      <c r="C124" t="str">
        <f t="shared" si="11"/>
        <v>057645</v>
      </c>
      <c r="D124" t="str">
        <f t="shared" si="12"/>
        <v>TOR</v>
      </c>
      <c r="E124" t="str" cm="1">
        <f t="array" ref="E124">INDEX($E$2:$E$4, MOD(ROW()-1,3)+1)</f>
        <v>Machine 1</v>
      </c>
      <c r="F124">
        <f t="shared" ca="1" si="13"/>
        <v>3</v>
      </c>
      <c r="G124">
        <f t="shared" ca="1" si="14"/>
        <v>1</v>
      </c>
      <c r="H124">
        <f ca="1">RANDBETWEEN(1,J124-2)</f>
        <v>2</v>
      </c>
      <c r="I124">
        <f t="shared" ca="1" si="15"/>
        <v>24</v>
      </c>
      <c r="J124">
        <f t="shared" ca="1" si="16"/>
        <v>6</v>
      </c>
    </row>
    <row r="125" spans="1:10" x14ac:dyDescent="0.25">
      <c r="A125" t="s">
        <v>132</v>
      </c>
      <c r="B125" t="s">
        <v>1</v>
      </c>
      <c r="C125" t="str">
        <f t="shared" si="11"/>
        <v>057647</v>
      </c>
      <c r="D125" t="str">
        <f t="shared" si="12"/>
        <v>TOR</v>
      </c>
      <c r="E125" t="str" cm="1">
        <f t="array" ref="E125">INDEX($E$2:$E$4, MOD(ROW()-1,3)+1)</f>
        <v>Machine 2</v>
      </c>
      <c r="F125">
        <f t="shared" ca="1" si="13"/>
        <v>3</v>
      </c>
      <c r="G125">
        <f t="shared" ca="1" si="14"/>
        <v>0</v>
      </c>
      <c r="H125">
        <f ca="1">RANDBETWEEN(1,J125-2)</f>
        <v>4</v>
      </c>
      <c r="I125">
        <f t="shared" ca="1" si="15"/>
        <v>34</v>
      </c>
      <c r="J125">
        <f t="shared" ca="1" si="16"/>
        <v>7</v>
      </c>
    </row>
    <row r="126" spans="1:10" x14ac:dyDescent="0.25">
      <c r="A126" t="s">
        <v>133</v>
      </c>
      <c r="B126" t="s">
        <v>1</v>
      </c>
      <c r="C126" t="str">
        <f t="shared" si="11"/>
        <v>057649</v>
      </c>
      <c r="D126" t="str">
        <f t="shared" si="12"/>
        <v>TOR</v>
      </c>
      <c r="E126" t="str" cm="1">
        <f t="array" ref="E126">INDEX($E$2:$E$4, MOD(ROW()-1,3)+1)</f>
        <v>Machine 3</v>
      </c>
      <c r="F126">
        <f t="shared" ca="1" si="13"/>
        <v>3</v>
      </c>
      <c r="G126">
        <f t="shared" ca="1" si="14"/>
        <v>0</v>
      </c>
      <c r="H126">
        <f ca="1">RANDBETWEEN(1,J126-2)</f>
        <v>2</v>
      </c>
      <c r="I126">
        <f t="shared" ca="1" si="15"/>
        <v>44</v>
      </c>
      <c r="J126">
        <f t="shared" ca="1" si="16"/>
        <v>8</v>
      </c>
    </row>
    <row r="127" spans="1:10" x14ac:dyDescent="0.25">
      <c r="A127" t="s">
        <v>134</v>
      </c>
      <c r="B127" t="s">
        <v>1</v>
      </c>
      <c r="C127" t="str">
        <f t="shared" si="11"/>
        <v>057651</v>
      </c>
      <c r="D127" t="str">
        <f t="shared" si="12"/>
        <v>TOR</v>
      </c>
      <c r="E127" t="str" cm="1">
        <f t="array" ref="E127">INDEX($E$2:$E$4, MOD(ROW()-1,3)+1)</f>
        <v>Machine 1</v>
      </c>
      <c r="F127">
        <f t="shared" ca="1" si="13"/>
        <v>3</v>
      </c>
      <c r="G127">
        <f t="shared" ca="1" si="14"/>
        <v>1</v>
      </c>
      <c r="H127">
        <f ca="1">RANDBETWEEN(1,J127-2)</f>
        <v>1</v>
      </c>
      <c r="I127">
        <f t="shared" ca="1" si="15"/>
        <v>48</v>
      </c>
      <c r="J127">
        <f t="shared" ca="1" si="16"/>
        <v>5</v>
      </c>
    </row>
    <row r="128" spans="1:10" x14ac:dyDescent="0.25">
      <c r="A128" t="s">
        <v>135</v>
      </c>
      <c r="B128" t="s">
        <v>1</v>
      </c>
      <c r="C128" t="str">
        <f t="shared" si="11"/>
        <v>057658</v>
      </c>
      <c r="D128" t="str">
        <f t="shared" si="12"/>
        <v>TOR</v>
      </c>
      <c r="E128" t="str" cm="1">
        <f t="array" ref="E128">INDEX($E$2:$E$4, MOD(ROW()-1,3)+1)</f>
        <v>Machine 2</v>
      </c>
      <c r="F128">
        <f t="shared" ca="1" si="13"/>
        <v>2</v>
      </c>
      <c r="G128">
        <f t="shared" ca="1" si="14"/>
        <v>1</v>
      </c>
      <c r="H128">
        <f ca="1">RANDBETWEEN(1,J128-2)</f>
        <v>1</v>
      </c>
      <c r="I128">
        <f t="shared" ca="1" si="15"/>
        <v>35</v>
      </c>
      <c r="J128">
        <f t="shared" ca="1" si="16"/>
        <v>11</v>
      </c>
    </row>
    <row r="129" spans="1:10" x14ac:dyDescent="0.25">
      <c r="A129" t="s">
        <v>136</v>
      </c>
      <c r="B129" t="s">
        <v>1</v>
      </c>
      <c r="C129" t="str">
        <f t="shared" si="11"/>
        <v>057660</v>
      </c>
      <c r="D129" t="str">
        <f t="shared" si="12"/>
        <v>TOR</v>
      </c>
      <c r="E129" t="str" cm="1">
        <f t="array" ref="E129">INDEX($E$2:$E$4, MOD(ROW()-1,3)+1)</f>
        <v>Machine 3</v>
      </c>
      <c r="F129">
        <f t="shared" ca="1" si="13"/>
        <v>3</v>
      </c>
      <c r="G129">
        <f t="shared" ca="1" si="14"/>
        <v>0</v>
      </c>
      <c r="H129">
        <f ca="1">RANDBETWEEN(1,J129-2)</f>
        <v>5</v>
      </c>
      <c r="I129">
        <f t="shared" ca="1" si="15"/>
        <v>44</v>
      </c>
      <c r="J129">
        <f t="shared" ca="1" si="16"/>
        <v>7</v>
      </c>
    </row>
    <row r="130" spans="1:10" x14ac:dyDescent="0.25">
      <c r="A130" t="s">
        <v>137</v>
      </c>
      <c r="B130" t="s">
        <v>1</v>
      </c>
      <c r="C130" t="str">
        <f t="shared" si="11"/>
        <v>057676</v>
      </c>
      <c r="D130" t="str">
        <f t="shared" si="12"/>
        <v>TOR</v>
      </c>
      <c r="E130" t="str" cm="1">
        <f t="array" ref="E130">INDEX($E$2:$E$4, MOD(ROW()-1,3)+1)</f>
        <v>Machine 1</v>
      </c>
      <c r="F130">
        <f t="shared" ca="1" si="13"/>
        <v>2</v>
      </c>
      <c r="G130">
        <f t="shared" ca="1" si="14"/>
        <v>1</v>
      </c>
      <c r="H130">
        <f ca="1">RANDBETWEEN(1,J130-2)</f>
        <v>5</v>
      </c>
      <c r="I130">
        <f t="shared" ca="1" si="15"/>
        <v>33</v>
      </c>
      <c r="J130">
        <f t="shared" ca="1" si="16"/>
        <v>7</v>
      </c>
    </row>
    <row r="131" spans="1:10" x14ac:dyDescent="0.25">
      <c r="A131" t="s">
        <v>138</v>
      </c>
      <c r="B131" t="s">
        <v>1</v>
      </c>
      <c r="C131" t="str">
        <f t="shared" ref="C131:C194" si="22">RIGHT(A131,6)</f>
        <v>057680</v>
      </c>
      <c r="D131" t="str">
        <f t="shared" ref="D131:D194" si="23">RIGHT(B131,3)</f>
        <v>TOR</v>
      </c>
      <c r="E131" t="str" cm="1">
        <f t="array" ref="E131">INDEX($E$2:$E$4, MOD(ROW()-1,3)+1)</f>
        <v>Machine 2</v>
      </c>
      <c r="F131">
        <f t="shared" ref="F131:F194" ca="1" si="24">RANDBETWEEN(2,3)</f>
        <v>2</v>
      </c>
      <c r="G131">
        <f t="shared" ref="G131:G194" ca="1" si="25">RANDBETWEEN(0,1)</f>
        <v>1</v>
      </c>
      <c r="H131">
        <f ca="1">RANDBETWEEN(1,J131-2)</f>
        <v>4</v>
      </c>
      <c r="I131">
        <f t="shared" ref="I131:I194" ca="1" si="26">RANDBETWEEN(24,48)</f>
        <v>37</v>
      </c>
      <c r="J131">
        <f t="shared" ref="J131:J194" ca="1" si="27">RANDBETWEEN(5,15)</f>
        <v>12</v>
      </c>
    </row>
    <row r="132" spans="1:10" x14ac:dyDescent="0.25">
      <c r="A132" t="s">
        <v>139</v>
      </c>
      <c r="B132" t="s">
        <v>1</v>
      </c>
      <c r="C132" t="str">
        <f t="shared" si="22"/>
        <v>057685</v>
      </c>
      <c r="D132" t="str">
        <f t="shared" si="23"/>
        <v>TOR</v>
      </c>
      <c r="E132" t="str" cm="1">
        <f t="array" ref="E132">INDEX($E$2:$E$4, MOD(ROW()-1,3)+1)</f>
        <v>Machine 3</v>
      </c>
      <c r="F132">
        <f t="shared" ca="1" si="24"/>
        <v>3</v>
      </c>
      <c r="G132">
        <f t="shared" ca="1" si="25"/>
        <v>1</v>
      </c>
      <c r="H132">
        <f ca="1">RANDBETWEEN(1,J132-2)</f>
        <v>5</v>
      </c>
      <c r="I132">
        <f t="shared" ca="1" si="26"/>
        <v>43</v>
      </c>
      <c r="J132">
        <f t="shared" ca="1" si="27"/>
        <v>13</v>
      </c>
    </row>
    <row r="133" spans="1:10" x14ac:dyDescent="0.25">
      <c r="A133" t="s">
        <v>140</v>
      </c>
      <c r="B133" t="s">
        <v>1</v>
      </c>
      <c r="C133" t="str">
        <f t="shared" si="22"/>
        <v>057690</v>
      </c>
      <c r="D133" t="str">
        <f t="shared" si="23"/>
        <v>TOR</v>
      </c>
      <c r="E133" t="str" cm="1">
        <f t="array" ref="E133">INDEX($E$2:$E$4, MOD(ROW()-1,3)+1)</f>
        <v>Machine 1</v>
      </c>
      <c r="F133">
        <f t="shared" ca="1" si="24"/>
        <v>3</v>
      </c>
      <c r="G133">
        <f t="shared" ca="1" si="25"/>
        <v>1</v>
      </c>
      <c r="H133">
        <f ca="1">RANDBETWEEN(1,J133-2)</f>
        <v>1</v>
      </c>
      <c r="I133">
        <f t="shared" ca="1" si="26"/>
        <v>24</v>
      </c>
      <c r="J133">
        <f t="shared" ca="1" si="27"/>
        <v>10</v>
      </c>
    </row>
    <row r="134" spans="1:10" x14ac:dyDescent="0.25">
      <c r="A134" t="s">
        <v>141</v>
      </c>
      <c r="B134" t="s">
        <v>1</v>
      </c>
      <c r="C134" t="str">
        <f t="shared" si="22"/>
        <v>057693</v>
      </c>
      <c r="D134" t="str">
        <f t="shared" si="23"/>
        <v>TOR</v>
      </c>
      <c r="E134" t="str" cm="1">
        <f t="array" ref="E134">INDEX($E$2:$E$4, MOD(ROW()-1,3)+1)</f>
        <v>Machine 2</v>
      </c>
      <c r="F134">
        <f t="shared" ca="1" si="24"/>
        <v>2</v>
      </c>
      <c r="G134">
        <f t="shared" ca="1" si="25"/>
        <v>0</v>
      </c>
      <c r="H134">
        <f ca="1">RANDBETWEEN(1,J134-2)</f>
        <v>11</v>
      </c>
      <c r="I134">
        <f t="shared" ca="1" si="26"/>
        <v>27</v>
      </c>
      <c r="J134">
        <f t="shared" ca="1" si="27"/>
        <v>15</v>
      </c>
    </row>
    <row r="135" spans="1:10" x14ac:dyDescent="0.25">
      <c r="A135" t="s">
        <v>142</v>
      </c>
      <c r="B135" t="s">
        <v>1</v>
      </c>
      <c r="C135" t="str">
        <f t="shared" si="22"/>
        <v>057698</v>
      </c>
      <c r="D135" t="str">
        <f t="shared" si="23"/>
        <v>TOR</v>
      </c>
      <c r="E135" t="str" cm="1">
        <f t="array" ref="E135">INDEX($E$2:$E$4, MOD(ROW()-1,3)+1)</f>
        <v>Machine 3</v>
      </c>
      <c r="F135">
        <f t="shared" ca="1" si="24"/>
        <v>2</v>
      </c>
      <c r="G135">
        <f t="shared" ca="1" si="25"/>
        <v>1</v>
      </c>
      <c r="H135">
        <f ca="1">RANDBETWEEN(1,J135-2)</f>
        <v>9</v>
      </c>
      <c r="I135">
        <f t="shared" ca="1" si="26"/>
        <v>27</v>
      </c>
      <c r="J135">
        <f t="shared" ca="1" si="27"/>
        <v>14</v>
      </c>
    </row>
    <row r="136" spans="1:10" x14ac:dyDescent="0.25">
      <c r="A136" t="s">
        <v>143</v>
      </c>
      <c r="B136" t="s">
        <v>1</v>
      </c>
      <c r="C136" t="str">
        <f t="shared" si="22"/>
        <v>057730</v>
      </c>
      <c r="D136" t="str">
        <f t="shared" si="23"/>
        <v>TOR</v>
      </c>
      <c r="E136" t="str" cm="1">
        <f t="array" ref="E136">INDEX($E$2:$E$4, MOD(ROW()-1,3)+1)</f>
        <v>Machine 1</v>
      </c>
      <c r="F136">
        <f t="shared" ca="1" si="24"/>
        <v>2</v>
      </c>
      <c r="G136">
        <f t="shared" ca="1" si="25"/>
        <v>1</v>
      </c>
      <c r="H136">
        <f ca="1">RANDBETWEEN(1,J136-2)</f>
        <v>6</v>
      </c>
      <c r="I136">
        <f t="shared" ca="1" si="26"/>
        <v>36</v>
      </c>
      <c r="J136">
        <f t="shared" ca="1" si="27"/>
        <v>8</v>
      </c>
    </row>
    <row r="137" spans="1:10" x14ac:dyDescent="0.25">
      <c r="A137" t="s">
        <v>144</v>
      </c>
      <c r="B137" t="s">
        <v>1</v>
      </c>
      <c r="C137" t="str">
        <f t="shared" si="22"/>
        <v>057732</v>
      </c>
      <c r="D137" t="str">
        <f t="shared" si="23"/>
        <v>TOR</v>
      </c>
      <c r="E137" t="str" cm="1">
        <f t="array" ref="E137">INDEX($E$2:$E$4, MOD(ROW()-1,3)+1)</f>
        <v>Machine 2</v>
      </c>
      <c r="F137">
        <f t="shared" ca="1" si="24"/>
        <v>3</v>
      </c>
      <c r="G137">
        <f t="shared" ca="1" si="25"/>
        <v>0</v>
      </c>
      <c r="H137">
        <f ca="1">RANDBETWEEN(1,J137-2)</f>
        <v>3</v>
      </c>
      <c r="I137">
        <f t="shared" ca="1" si="26"/>
        <v>31</v>
      </c>
      <c r="J137">
        <f t="shared" ca="1" si="27"/>
        <v>7</v>
      </c>
    </row>
    <row r="138" spans="1:10" x14ac:dyDescent="0.25">
      <c r="A138" t="s">
        <v>145</v>
      </c>
      <c r="B138" t="s">
        <v>1</v>
      </c>
      <c r="C138" t="str">
        <f t="shared" si="22"/>
        <v>057742</v>
      </c>
      <c r="D138" t="str">
        <f t="shared" si="23"/>
        <v>TOR</v>
      </c>
      <c r="E138" t="str" cm="1">
        <f t="array" ref="E138">INDEX($E$2:$E$4, MOD(ROW()-1,3)+1)</f>
        <v>Machine 3</v>
      </c>
      <c r="F138">
        <f t="shared" ca="1" si="24"/>
        <v>2</v>
      </c>
      <c r="G138">
        <f t="shared" ca="1" si="25"/>
        <v>1</v>
      </c>
      <c r="H138">
        <f ca="1">RANDBETWEEN(1,J138-2)</f>
        <v>3</v>
      </c>
      <c r="I138">
        <f t="shared" ca="1" si="26"/>
        <v>34</v>
      </c>
      <c r="J138">
        <f t="shared" ca="1" si="27"/>
        <v>7</v>
      </c>
    </row>
    <row r="139" spans="1:10" x14ac:dyDescent="0.25">
      <c r="A139" t="s">
        <v>146</v>
      </c>
      <c r="B139" t="s">
        <v>1</v>
      </c>
      <c r="C139" t="str">
        <f t="shared" si="22"/>
        <v>057755</v>
      </c>
      <c r="D139" t="str">
        <f t="shared" si="23"/>
        <v>TOR</v>
      </c>
      <c r="E139" t="str" cm="1">
        <f t="array" ref="E139">INDEX($E$2:$E$4, MOD(ROW()-1,3)+1)</f>
        <v>Machine 1</v>
      </c>
      <c r="F139">
        <f t="shared" ca="1" si="24"/>
        <v>3</v>
      </c>
      <c r="G139">
        <f t="shared" ca="1" si="25"/>
        <v>0</v>
      </c>
      <c r="H139">
        <f ca="1">RANDBETWEEN(1,J139-2)</f>
        <v>2</v>
      </c>
      <c r="I139">
        <f t="shared" ca="1" si="26"/>
        <v>42</v>
      </c>
      <c r="J139">
        <f t="shared" ca="1" si="27"/>
        <v>5</v>
      </c>
    </row>
    <row r="140" spans="1:10" x14ac:dyDescent="0.25">
      <c r="A140" t="s">
        <v>147</v>
      </c>
      <c r="B140" t="s">
        <v>1</v>
      </c>
      <c r="C140" t="str">
        <f t="shared" si="22"/>
        <v>057757</v>
      </c>
      <c r="D140" t="str">
        <f t="shared" si="23"/>
        <v>TOR</v>
      </c>
      <c r="E140" t="str" cm="1">
        <f t="array" ref="E140">INDEX($E$2:$E$4, MOD(ROW()-1,3)+1)</f>
        <v>Machine 2</v>
      </c>
      <c r="F140">
        <f t="shared" ca="1" si="24"/>
        <v>3</v>
      </c>
      <c r="G140">
        <f t="shared" ca="1" si="25"/>
        <v>0</v>
      </c>
      <c r="H140">
        <f ca="1">RANDBETWEEN(1,J140-2)</f>
        <v>2</v>
      </c>
      <c r="I140">
        <f t="shared" ca="1" si="26"/>
        <v>26</v>
      </c>
      <c r="J140">
        <f t="shared" ca="1" si="27"/>
        <v>12</v>
      </c>
    </row>
    <row r="141" spans="1:10" x14ac:dyDescent="0.25">
      <c r="A141" t="s">
        <v>148</v>
      </c>
      <c r="B141" t="s">
        <v>1</v>
      </c>
      <c r="C141" t="str">
        <f t="shared" si="22"/>
        <v>057764</v>
      </c>
      <c r="D141" t="str">
        <f t="shared" si="23"/>
        <v>TOR</v>
      </c>
      <c r="E141" t="str" cm="1">
        <f t="array" ref="E141">INDEX($E$2:$E$4, MOD(ROW()-1,3)+1)</f>
        <v>Machine 3</v>
      </c>
      <c r="F141">
        <f t="shared" ca="1" si="24"/>
        <v>3</v>
      </c>
      <c r="G141">
        <f t="shared" ca="1" si="25"/>
        <v>0</v>
      </c>
      <c r="H141">
        <f ca="1">RANDBETWEEN(1,J141-2)</f>
        <v>4</v>
      </c>
      <c r="I141">
        <f t="shared" ca="1" si="26"/>
        <v>33</v>
      </c>
      <c r="J141">
        <f t="shared" ca="1" si="27"/>
        <v>8</v>
      </c>
    </row>
    <row r="142" spans="1:10" x14ac:dyDescent="0.25">
      <c r="A142" t="s">
        <v>149</v>
      </c>
      <c r="B142" t="s">
        <v>1</v>
      </c>
      <c r="C142" t="str">
        <f t="shared" si="22"/>
        <v>057777</v>
      </c>
      <c r="D142" t="str">
        <f t="shared" si="23"/>
        <v>TOR</v>
      </c>
      <c r="E142" t="str" cm="1">
        <f t="array" ref="E142">INDEX($E$2:$E$4, MOD(ROW()-1,3)+1)</f>
        <v>Machine 1</v>
      </c>
      <c r="F142">
        <f t="shared" ca="1" si="24"/>
        <v>2</v>
      </c>
      <c r="G142">
        <f t="shared" ca="1" si="25"/>
        <v>1</v>
      </c>
      <c r="H142">
        <f ca="1">RANDBETWEEN(1,J142-2)</f>
        <v>12</v>
      </c>
      <c r="I142">
        <f t="shared" ca="1" si="26"/>
        <v>30</v>
      </c>
      <c r="J142">
        <f t="shared" ca="1" si="27"/>
        <v>14</v>
      </c>
    </row>
    <row r="143" spans="1:10" x14ac:dyDescent="0.25">
      <c r="A143" t="s">
        <v>150</v>
      </c>
      <c r="B143" t="s">
        <v>1</v>
      </c>
      <c r="C143" t="str">
        <f t="shared" si="22"/>
        <v>057784</v>
      </c>
      <c r="D143" t="str">
        <f t="shared" si="23"/>
        <v>TOR</v>
      </c>
      <c r="E143" t="str" cm="1">
        <f t="array" ref="E143">INDEX($E$2:$E$4, MOD(ROW()-1,3)+1)</f>
        <v>Machine 2</v>
      </c>
      <c r="F143">
        <f t="shared" ca="1" si="24"/>
        <v>2</v>
      </c>
      <c r="G143">
        <f t="shared" ca="1" si="25"/>
        <v>1</v>
      </c>
      <c r="H143">
        <f ca="1">RANDBETWEEN(1,J143-2)</f>
        <v>3</v>
      </c>
      <c r="I143">
        <f t="shared" ca="1" si="26"/>
        <v>24</v>
      </c>
      <c r="J143">
        <f t="shared" ca="1" si="27"/>
        <v>9</v>
      </c>
    </row>
    <row r="144" spans="1:10" x14ac:dyDescent="0.25">
      <c r="A144" t="s">
        <v>151</v>
      </c>
      <c r="B144" t="s">
        <v>1</v>
      </c>
      <c r="C144" t="str">
        <f t="shared" si="22"/>
        <v>057786</v>
      </c>
      <c r="D144" t="str">
        <f t="shared" si="23"/>
        <v>TOR</v>
      </c>
      <c r="E144" t="str" cm="1">
        <f t="array" ref="E144">INDEX($E$2:$E$4, MOD(ROW()-1,3)+1)</f>
        <v>Machine 3</v>
      </c>
      <c r="F144">
        <f t="shared" ca="1" si="24"/>
        <v>3</v>
      </c>
      <c r="G144">
        <f t="shared" ca="1" si="25"/>
        <v>1</v>
      </c>
      <c r="H144">
        <f ca="1">RANDBETWEEN(1,J144-2)</f>
        <v>9</v>
      </c>
      <c r="I144">
        <f t="shared" ca="1" si="26"/>
        <v>46</v>
      </c>
      <c r="J144">
        <f t="shared" ca="1" si="27"/>
        <v>15</v>
      </c>
    </row>
    <row r="145" spans="1:10" x14ac:dyDescent="0.25">
      <c r="A145" t="s">
        <v>152</v>
      </c>
      <c r="B145" t="s">
        <v>1</v>
      </c>
      <c r="C145" t="str">
        <f t="shared" si="22"/>
        <v>057788</v>
      </c>
      <c r="D145" t="str">
        <f t="shared" si="23"/>
        <v>TOR</v>
      </c>
      <c r="E145" t="str" cm="1">
        <f t="array" ref="E145">INDEX($E$2:$E$4, MOD(ROW()-1,3)+1)</f>
        <v>Machine 1</v>
      </c>
      <c r="F145">
        <f t="shared" ca="1" si="24"/>
        <v>3</v>
      </c>
      <c r="G145">
        <f t="shared" ca="1" si="25"/>
        <v>1</v>
      </c>
      <c r="H145">
        <f ca="1">RANDBETWEEN(1,J145-2)</f>
        <v>1</v>
      </c>
      <c r="I145">
        <f t="shared" ca="1" si="26"/>
        <v>48</v>
      </c>
      <c r="J145">
        <f t="shared" ca="1" si="27"/>
        <v>6</v>
      </c>
    </row>
    <row r="146" spans="1:10" x14ac:dyDescent="0.25">
      <c r="A146" t="s">
        <v>153</v>
      </c>
      <c r="B146" t="s">
        <v>1</v>
      </c>
      <c r="C146" t="str">
        <f t="shared" si="22"/>
        <v>057791</v>
      </c>
      <c r="D146" t="str">
        <f t="shared" si="23"/>
        <v>TOR</v>
      </c>
      <c r="E146" t="str" cm="1">
        <f t="array" ref="E146">INDEX($E$2:$E$4, MOD(ROW()-1,3)+1)</f>
        <v>Machine 2</v>
      </c>
      <c r="F146">
        <f t="shared" ca="1" si="24"/>
        <v>2</v>
      </c>
      <c r="G146">
        <f t="shared" ca="1" si="25"/>
        <v>0</v>
      </c>
      <c r="H146">
        <f ca="1">RANDBETWEEN(1,J146-2)</f>
        <v>5</v>
      </c>
      <c r="I146">
        <f t="shared" ca="1" si="26"/>
        <v>35</v>
      </c>
      <c r="J146">
        <f t="shared" ca="1" si="27"/>
        <v>11</v>
      </c>
    </row>
    <row r="147" spans="1:10" x14ac:dyDescent="0.25">
      <c r="A147" t="s">
        <v>154</v>
      </c>
      <c r="B147" t="s">
        <v>1</v>
      </c>
      <c r="C147" t="str">
        <f t="shared" si="22"/>
        <v>057796</v>
      </c>
      <c r="D147" t="str">
        <f t="shared" si="23"/>
        <v>TOR</v>
      </c>
      <c r="E147" t="str" cm="1">
        <f t="array" ref="E147">INDEX($E$2:$E$4, MOD(ROW()-1,3)+1)</f>
        <v>Machine 3</v>
      </c>
      <c r="F147">
        <f t="shared" ca="1" si="24"/>
        <v>3</v>
      </c>
      <c r="G147">
        <f t="shared" ca="1" si="25"/>
        <v>0</v>
      </c>
      <c r="H147">
        <f ca="1">RANDBETWEEN(1,J147-2)</f>
        <v>5</v>
      </c>
      <c r="I147">
        <f t="shared" ca="1" si="26"/>
        <v>34</v>
      </c>
      <c r="J147">
        <f t="shared" ca="1" si="27"/>
        <v>7</v>
      </c>
    </row>
    <row r="148" spans="1:10" x14ac:dyDescent="0.25">
      <c r="A148" t="s">
        <v>155</v>
      </c>
      <c r="B148" t="s">
        <v>1</v>
      </c>
      <c r="C148" t="str">
        <f t="shared" si="22"/>
        <v>057824</v>
      </c>
      <c r="D148" t="str">
        <f t="shared" si="23"/>
        <v>TOR</v>
      </c>
      <c r="E148" t="str" cm="1">
        <f t="array" ref="E148">INDEX($E$2:$E$4, MOD(ROW()-1,3)+1)</f>
        <v>Machine 1</v>
      </c>
      <c r="F148">
        <f t="shared" ca="1" si="24"/>
        <v>2</v>
      </c>
      <c r="G148">
        <f t="shared" ca="1" si="25"/>
        <v>0</v>
      </c>
      <c r="H148">
        <f ca="1">RANDBETWEEN(1,J148-2)</f>
        <v>3</v>
      </c>
      <c r="I148">
        <f t="shared" ca="1" si="26"/>
        <v>30</v>
      </c>
      <c r="J148">
        <f t="shared" ca="1" si="27"/>
        <v>7</v>
      </c>
    </row>
    <row r="149" spans="1:10" x14ac:dyDescent="0.25">
      <c r="A149" t="s">
        <v>156</v>
      </c>
      <c r="B149" t="s">
        <v>1</v>
      </c>
      <c r="C149" t="str">
        <f t="shared" si="22"/>
        <v>057850</v>
      </c>
      <c r="D149" t="str">
        <f t="shared" si="23"/>
        <v>TOR</v>
      </c>
      <c r="E149" t="str" cm="1">
        <f t="array" ref="E149">INDEX($E$2:$E$4, MOD(ROW()-1,3)+1)</f>
        <v>Machine 2</v>
      </c>
      <c r="F149">
        <f t="shared" ca="1" si="24"/>
        <v>3</v>
      </c>
      <c r="G149">
        <f t="shared" ca="1" si="25"/>
        <v>1</v>
      </c>
      <c r="H149">
        <f ca="1">RANDBETWEEN(1,J149-2)</f>
        <v>2</v>
      </c>
      <c r="I149">
        <f t="shared" ca="1" si="26"/>
        <v>44</v>
      </c>
      <c r="J149">
        <f t="shared" ca="1" si="27"/>
        <v>9</v>
      </c>
    </row>
    <row r="150" spans="1:10" x14ac:dyDescent="0.25">
      <c r="A150" t="s">
        <v>157</v>
      </c>
      <c r="B150" t="s">
        <v>1</v>
      </c>
      <c r="C150" t="str">
        <f t="shared" si="22"/>
        <v>057861</v>
      </c>
      <c r="D150" t="str">
        <f t="shared" si="23"/>
        <v>TOR</v>
      </c>
      <c r="E150" t="str" cm="1">
        <f t="array" ref="E150">INDEX($E$2:$E$4, MOD(ROW()-1,3)+1)</f>
        <v>Machine 3</v>
      </c>
      <c r="F150">
        <f t="shared" ca="1" si="24"/>
        <v>2</v>
      </c>
      <c r="G150">
        <f t="shared" ca="1" si="25"/>
        <v>1</v>
      </c>
      <c r="H150">
        <f ca="1">RANDBETWEEN(1,J150-2)</f>
        <v>7</v>
      </c>
      <c r="I150">
        <f t="shared" ca="1" si="26"/>
        <v>24</v>
      </c>
      <c r="J150">
        <f t="shared" ca="1" si="27"/>
        <v>10</v>
      </c>
    </row>
    <row r="151" spans="1:10" x14ac:dyDescent="0.25">
      <c r="A151" t="s">
        <v>158</v>
      </c>
      <c r="B151" t="s">
        <v>1</v>
      </c>
      <c r="C151" t="str">
        <f t="shared" si="22"/>
        <v>057863</v>
      </c>
      <c r="D151" t="str">
        <f t="shared" si="23"/>
        <v>TOR</v>
      </c>
      <c r="E151" t="str" cm="1">
        <f t="array" ref="E151">INDEX($E$2:$E$4, MOD(ROW()-1,3)+1)</f>
        <v>Machine 1</v>
      </c>
      <c r="F151">
        <f t="shared" ca="1" si="24"/>
        <v>3</v>
      </c>
      <c r="G151">
        <f t="shared" ca="1" si="25"/>
        <v>0</v>
      </c>
      <c r="H151">
        <f ca="1">RANDBETWEEN(1,J151-2)</f>
        <v>2</v>
      </c>
      <c r="I151">
        <f t="shared" ca="1" si="26"/>
        <v>28</v>
      </c>
      <c r="J151">
        <f t="shared" ca="1" si="27"/>
        <v>12</v>
      </c>
    </row>
    <row r="152" spans="1:10" x14ac:dyDescent="0.25">
      <c r="A152" t="s">
        <v>159</v>
      </c>
      <c r="B152" t="s">
        <v>1</v>
      </c>
      <c r="C152" t="str">
        <f t="shared" si="22"/>
        <v>057865</v>
      </c>
      <c r="D152" t="str">
        <f t="shared" si="23"/>
        <v>TOR</v>
      </c>
      <c r="E152" t="str" cm="1">
        <f t="array" ref="E152">INDEX($E$2:$E$4, MOD(ROW()-1,3)+1)</f>
        <v>Machine 2</v>
      </c>
      <c r="F152">
        <f t="shared" ca="1" si="24"/>
        <v>2</v>
      </c>
      <c r="G152">
        <f t="shared" ca="1" si="25"/>
        <v>0</v>
      </c>
      <c r="H152">
        <f ca="1">RANDBETWEEN(1,J152-2)</f>
        <v>2</v>
      </c>
      <c r="I152">
        <f t="shared" ca="1" si="26"/>
        <v>39</v>
      </c>
      <c r="J152">
        <f t="shared" ca="1" si="27"/>
        <v>5</v>
      </c>
    </row>
    <row r="153" spans="1:10" x14ac:dyDescent="0.25">
      <c r="A153" t="s">
        <v>160</v>
      </c>
      <c r="B153" t="s">
        <v>1</v>
      </c>
      <c r="C153" t="str">
        <f t="shared" si="22"/>
        <v>057884</v>
      </c>
      <c r="D153" t="str">
        <f t="shared" si="23"/>
        <v>TOR</v>
      </c>
      <c r="E153" t="str" cm="1">
        <f t="array" ref="E153">INDEX($E$2:$E$4, MOD(ROW()-1,3)+1)</f>
        <v>Machine 3</v>
      </c>
      <c r="F153">
        <f t="shared" ca="1" si="24"/>
        <v>3</v>
      </c>
      <c r="G153">
        <f t="shared" ca="1" si="25"/>
        <v>1</v>
      </c>
      <c r="H153">
        <f ca="1">RANDBETWEEN(1,J153-2)</f>
        <v>4</v>
      </c>
      <c r="I153">
        <f t="shared" ca="1" si="26"/>
        <v>42</v>
      </c>
      <c r="J153">
        <f t="shared" ca="1" si="27"/>
        <v>10</v>
      </c>
    </row>
    <row r="154" spans="1:10" x14ac:dyDescent="0.25">
      <c r="A154" t="s">
        <v>161</v>
      </c>
      <c r="B154" t="s">
        <v>1</v>
      </c>
      <c r="C154" t="str">
        <f t="shared" si="22"/>
        <v>057886</v>
      </c>
      <c r="D154" t="str">
        <f t="shared" si="23"/>
        <v>TOR</v>
      </c>
      <c r="E154" t="str" cm="1">
        <f t="array" ref="E154">INDEX($E$2:$E$4, MOD(ROW()-1,3)+1)</f>
        <v>Machine 1</v>
      </c>
      <c r="F154">
        <f t="shared" ca="1" si="24"/>
        <v>3</v>
      </c>
      <c r="G154">
        <f t="shared" ca="1" si="25"/>
        <v>1</v>
      </c>
      <c r="H154">
        <f ca="1">RANDBETWEEN(1,J154-2)</f>
        <v>3</v>
      </c>
      <c r="I154">
        <f t="shared" ca="1" si="26"/>
        <v>36</v>
      </c>
      <c r="J154">
        <f t="shared" ca="1" si="27"/>
        <v>5</v>
      </c>
    </row>
    <row r="155" spans="1:10" x14ac:dyDescent="0.25">
      <c r="A155" t="s">
        <v>162</v>
      </c>
      <c r="B155" t="s">
        <v>1</v>
      </c>
      <c r="C155" t="str">
        <f t="shared" si="22"/>
        <v>057894</v>
      </c>
      <c r="D155" t="str">
        <f t="shared" si="23"/>
        <v>TOR</v>
      </c>
      <c r="E155" t="str" cm="1">
        <f t="array" ref="E155">INDEX($E$2:$E$4, MOD(ROW()-1,3)+1)</f>
        <v>Machine 2</v>
      </c>
      <c r="F155">
        <f t="shared" ca="1" si="24"/>
        <v>2</v>
      </c>
      <c r="G155">
        <f t="shared" ca="1" si="25"/>
        <v>1</v>
      </c>
      <c r="H155">
        <f ca="1">RANDBETWEEN(1,J155-2)</f>
        <v>4</v>
      </c>
      <c r="I155">
        <f t="shared" ca="1" si="26"/>
        <v>37</v>
      </c>
      <c r="J155">
        <f t="shared" ca="1" si="27"/>
        <v>6</v>
      </c>
    </row>
    <row r="156" spans="1:10" x14ac:dyDescent="0.25">
      <c r="A156" t="s">
        <v>163</v>
      </c>
      <c r="B156" t="s">
        <v>1</v>
      </c>
      <c r="C156" t="str">
        <f t="shared" si="22"/>
        <v>057896</v>
      </c>
      <c r="D156" t="str">
        <f t="shared" si="23"/>
        <v>TOR</v>
      </c>
      <c r="E156" t="str" cm="1">
        <f t="array" ref="E156">INDEX($E$2:$E$4, MOD(ROW()-1,3)+1)</f>
        <v>Machine 3</v>
      </c>
      <c r="F156">
        <f t="shared" ca="1" si="24"/>
        <v>2</v>
      </c>
      <c r="G156">
        <f t="shared" ca="1" si="25"/>
        <v>0</v>
      </c>
      <c r="H156">
        <f ca="1">RANDBETWEEN(1,J156-2)</f>
        <v>1</v>
      </c>
      <c r="I156">
        <f t="shared" ca="1" si="26"/>
        <v>38</v>
      </c>
      <c r="J156">
        <f t="shared" ca="1" si="27"/>
        <v>15</v>
      </c>
    </row>
    <row r="157" spans="1:10" x14ac:dyDescent="0.25">
      <c r="A157" t="s">
        <v>164</v>
      </c>
      <c r="B157" t="s">
        <v>1</v>
      </c>
      <c r="C157" t="str">
        <f t="shared" si="22"/>
        <v>057902</v>
      </c>
      <c r="D157" t="str">
        <f t="shared" si="23"/>
        <v>TOR</v>
      </c>
      <c r="E157" t="str" cm="1">
        <f t="array" ref="E157">INDEX($E$2:$E$4, MOD(ROW()-1,3)+1)</f>
        <v>Machine 1</v>
      </c>
      <c r="F157">
        <f t="shared" ca="1" si="24"/>
        <v>2</v>
      </c>
      <c r="G157">
        <f t="shared" ca="1" si="25"/>
        <v>0</v>
      </c>
      <c r="H157">
        <f ca="1">RANDBETWEEN(1,J157-2)</f>
        <v>4</v>
      </c>
      <c r="I157">
        <f t="shared" ca="1" si="26"/>
        <v>38</v>
      </c>
      <c r="J157">
        <f t="shared" ca="1" si="27"/>
        <v>12</v>
      </c>
    </row>
    <row r="158" spans="1:10" x14ac:dyDescent="0.25">
      <c r="A158" t="s">
        <v>165</v>
      </c>
      <c r="B158" t="s">
        <v>1</v>
      </c>
      <c r="C158" t="str">
        <f t="shared" si="22"/>
        <v>057906</v>
      </c>
      <c r="D158" t="str">
        <f t="shared" si="23"/>
        <v>TOR</v>
      </c>
      <c r="E158" t="str" cm="1">
        <f t="array" ref="E158">INDEX($E$2:$E$4, MOD(ROW()-1,3)+1)</f>
        <v>Machine 2</v>
      </c>
      <c r="F158">
        <f t="shared" ca="1" si="24"/>
        <v>2</v>
      </c>
      <c r="G158">
        <f t="shared" ca="1" si="25"/>
        <v>0</v>
      </c>
      <c r="H158">
        <f ca="1">RANDBETWEEN(1,J158-2)</f>
        <v>1</v>
      </c>
      <c r="I158">
        <f t="shared" ca="1" si="26"/>
        <v>25</v>
      </c>
      <c r="J158">
        <f t="shared" ca="1" si="27"/>
        <v>5</v>
      </c>
    </row>
    <row r="159" spans="1:10" x14ac:dyDescent="0.25">
      <c r="A159" t="s">
        <v>166</v>
      </c>
      <c r="B159" t="s">
        <v>1</v>
      </c>
      <c r="C159" t="str">
        <f t="shared" si="22"/>
        <v>057910</v>
      </c>
      <c r="D159" t="str">
        <f t="shared" si="23"/>
        <v>TOR</v>
      </c>
      <c r="E159" t="str" cm="1">
        <f t="array" ref="E159">INDEX($E$2:$E$4, MOD(ROW()-1,3)+1)</f>
        <v>Machine 3</v>
      </c>
      <c r="F159">
        <f t="shared" ca="1" si="24"/>
        <v>2</v>
      </c>
      <c r="G159">
        <f t="shared" ca="1" si="25"/>
        <v>1</v>
      </c>
      <c r="H159">
        <f ca="1">RANDBETWEEN(1,J159-2)</f>
        <v>1</v>
      </c>
      <c r="I159">
        <f t="shared" ca="1" si="26"/>
        <v>48</v>
      </c>
      <c r="J159">
        <f t="shared" ca="1" si="27"/>
        <v>6</v>
      </c>
    </row>
    <row r="160" spans="1:10" x14ac:dyDescent="0.25">
      <c r="A160" t="s">
        <v>167</v>
      </c>
      <c r="B160" t="s">
        <v>1</v>
      </c>
      <c r="C160" t="str">
        <f t="shared" si="22"/>
        <v>057917</v>
      </c>
      <c r="D160" t="str">
        <f t="shared" si="23"/>
        <v>TOR</v>
      </c>
      <c r="E160" t="str" cm="1">
        <f t="array" ref="E160">INDEX($E$2:$E$4, MOD(ROW()-1,3)+1)</f>
        <v>Machine 1</v>
      </c>
      <c r="F160">
        <f t="shared" ca="1" si="24"/>
        <v>2</v>
      </c>
      <c r="G160">
        <f t="shared" ca="1" si="25"/>
        <v>0</v>
      </c>
      <c r="H160">
        <f ca="1">RANDBETWEEN(1,J160-2)</f>
        <v>3</v>
      </c>
      <c r="I160">
        <f t="shared" ca="1" si="26"/>
        <v>46</v>
      </c>
      <c r="J160">
        <f t="shared" ca="1" si="27"/>
        <v>10</v>
      </c>
    </row>
    <row r="161" spans="1:10" x14ac:dyDescent="0.25">
      <c r="A161" t="s">
        <v>168</v>
      </c>
      <c r="B161" t="s">
        <v>1</v>
      </c>
      <c r="C161" t="str">
        <f t="shared" si="22"/>
        <v>057925</v>
      </c>
      <c r="D161" t="str">
        <f t="shared" si="23"/>
        <v>TOR</v>
      </c>
      <c r="E161" t="str" cm="1">
        <f t="array" ref="E161">INDEX($E$2:$E$4, MOD(ROW()-1,3)+1)</f>
        <v>Machine 2</v>
      </c>
      <c r="F161">
        <f t="shared" ca="1" si="24"/>
        <v>3</v>
      </c>
      <c r="G161">
        <f t="shared" ca="1" si="25"/>
        <v>0</v>
      </c>
      <c r="H161">
        <f ca="1">RANDBETWEEN(1,J161-2)</f>
        <v>10</v>
      </c>
      <c r="I161">
        <f t="shared" ca="1" si="26"/>
        <v>48</v>
      </c>
      <c r="J161">
        <f t="shared" ca="1" si="27"/>
        <v>14</v>
      </c>
    </row>
    <row r="162" spans="1:10" x14ac:dyDescent="0.25">
      <c r="A162" t="s">
        <v>169</v>
      </c>
      <c r="B162" t="s">
        <v>1</v>
      </c>
      <c r="C162" t="str">
        <f t="shared" si="22"/>
        <v>057946</v>
      </c>
      <c r="D162" t="str">
        <f t="shared" si="23"/>
        <v>TOR</v>
      </c>
      <c r="E162" t="str" cm="1">
        <f t="array" ref="E162">INDEX($E$2:$E$4, MOD(ROW()-1,3)+1)</f>
        <v>Machine 3</v>
      </c>
      <c r="F162">
        <f t="shared" ca="1" si="24"/>
        <v>2</v>
      </c>
      <c r="G162">
        <f t="shared" ca="1" si="25"/>
        <v>0</v>
      </c>
      <c r="H162">
        <f ca="1">RANDBETWEEN(1,J162-2)</f>
        <v>3</v>
      </c>
      <c r="I162">
        <f t="shared" ca="1" si="26"/>
        <v>31</v>
      </c>
      <c r="J162">
        <f t="shared" ca="1" si="27"/>
        <v>12</v>
      </c>
    </row>
    <row r="163" spans="1:10" x14ac:dyDescent="0.25">
      <c r="A163" t="s">
        <v>170</v>
      </c>
      <c r="B163" t="s">
        <v>1</v>
      </c>
      <c r="C163" t="str">
        <f t="shared" si="22"/>
        <v>057949</v>
      </c>
      <c r="D163" t="str">
        <f t="shared" si="23"/>
        <v>TOR</v>
      </c>
      <c r="E163" t="str" cm="1">
        <f t="array" ref="E163">INDEX($E$2:$E$4, MOD(ROW()-1,3)+1)</f>
        <v>Machine 1</v>
      </c>
      <c r="F163">
        <f t="shared" ca="1" si="24"/>
        <v>2</v>
      </c>
      <c r="G163">
        <f t="shared" ca="1" si="25"/>
        <v>0</v>
      </c>
      <c r="H163">
        <f ca="1">RANDBETWEEN(1,J163-2)</f>
        <v>2</v>
      </c>
      <c r="I163">
        <f t="shared" ca="1" si="26"/>
        <v>40</v>
      </c>
      <c r="J163">
        <f t="shared" ca="1" si="27"/>
        <v>8</v>
      </c>
    </row>
    <row r="164" spans="1:10" x14ac:dyDescent="0.25">
      <c r="A164" t="s">
        <v>171</v>
      </c>
      <c r="B164" t="s">
        <v>1</v>
      </c>
      <c r="C164" t="str">
        <f t="shared" si="22"/>
        <v>057987</v>
      </c>
      <c r="D164" t="str">
        <f t="shared" si="23"/>
        <v>TOR</v>
      </c>
      <c r="E164" t="str" cm="1">
        <f t="array" ref="E164">INDEX($E$2:$E$4, MOD(ROW()-1,3)+1)</f>
        <v>Machine 2</v>
      </c>
      <c r="F164">
        <f t="shared" ca="1" si="24"/>
        <v>3</v>
      </c>
      <c r="G164">
        <f t="shared" ca="1" si="25"/>
        <v>1</v>
      </c>
      <c r="H164">
        <f ca="1">RANDBETWEEN(1,J164-2)</f>
        <v>7</v>
      </c>
      <c r="I164">
        <f t="shared" ca="1" si="26"/>
        <v>24</v>
      </c>
      <c r="J164">
        <f t="shared" ca="1" si="27"/>
        <v>9</v>
      </c>
    </row>
    <row r="165" spans="1:10" x14ac:dyDescent="0.25">
      <c r="A165" t="s">
        <v>172</v>
      </c>
      <c r="B165" t="s">
        <v>1</v>
      </c>
      <c r="C165" t="str">
        <f t="shared" si="22"/>
        <v>057989</v>
      </c>
      <c r="D165" t="str">
        <f t="shared" si="23"/>
        <v>TOR</v>
      </c>
      <c r="E165" t="str" cm="1">
        <f t="array" ref="E165">INDEX($E$2:$E$4, MOD(ROW()-1,3)+1)</f>
        <v>Machine 3</v>
      </c>
      <c r="F165">
        <f t="shared" ca="1" si="24"/>
        <v>2</v>
      </c>
      <c r="G165">
        <f t="shared" ca="1" si="25"/>
        <v>0</v>
      </c>
      <c r="H165">
        <f ca="1">RANDBETWEEN(1,J165-2)</f>
        <v>2</v>
      </c>
      <c r="I165">
        <f t="shared" ca="1" si="26"/>
        <v>27</v>
      </c>
      <c r="J165">
        <f t="shared" ca="1" si="27"/>
        <v>14</v>
      </c>
    </row>
    <row r="166" spans="1:10" x14ac:dyDescent="0.25">
      <c r="A166" t="s">
        <v>173</v>
      </c>
      <c r="B166" t="s">
        <v>1</v>
      </c>
      <c r="C166" t="str">
        <f t="shared" si="22"/>
        <v>057991</v>
      </c>
      <c r="D166" t="str">
        <f t="shared" si="23"/>
        <v>TOR</v>
      </c>
      <c r="E166" t="str" cm="1">
        <f t="array" ref="E166">INDEX($E$2:$E$4, MOD(ROW()-1,3)+1)</f>
        <v>Machine 1</v>
      </c>
      <c r="F166">
        <f t="shared" ca="1" si="24"/>
        <v>3</v>
      </c>
      <c r="G166">
        <f t="shared" ca="1" si="25"/>
        <v>1</v>
      </c>
      <c r="H166">
        <f ca="1">RANDBETWEEN(1,J166-2)</f>
        <v>4</v>
      </c>
      <c r="I166">
        <f t="shared" ca="1" si="26"/>
        <v>33</v>
      </c>
      <c r="J166">
        <f t="shared" ca="1" si="27"/>
        <v>14</v>
      </c>
    </row>
    <row r="167" spans="1:10" x14ac:dyDescent="0.25">
      <c r="A167" t="s">
        <v>174</v>
      </c>
      <c r="B167" t="s">
        <v>1</v>
      </c>
      <c r="C167" t="str">
        <f t="shared" si="22"/>
        <v>057993</v>
      </c>
      <c r="D167" t="str">
        <f t="shared" si="23"/>
        <v>TOR</v>
      </c>
      <c r="E167" t="str" cm="1">
        <f t="array" ref="E167">INDEX($E$2:$E$4, MOD(ROW()-1,3)+1)</f>
        <v>Machine 2</v>
      </c>
      <c r="F167">
        <f t="shared" ca="1" si="24"/>
        <v>3</v>
      </c>
      <c r="G167">
        <f t="shared" ca="1" si="25"/>
        <v>0</v>
      </c>
      <c r="H167">
        <f ca="1">RANDBETWEEN(1,J167-2)</f>
        <v>3</v>
      </c>
      <c r="I167">
        <f t="shared" ca="1" si="26"/>
        <v>29</v>
      </c>
      <c r="J167">
        <f t="shared" ca="1" si="27"/>
        <v>5</v>
      </c>
    </row>
    <row r="168" spans="1:10" x14ac:dyDescent="0.25">
      <c r="A168" t="s">
        <v>175</v>
      </c>
      <c r="B168" t="s">
        <v>1</v>
      </c>
      <c r="C168" t="str">
        <f t="shared" si="22"/>
        <v>057997</v>
      </c>
      <c r="D168" t="str">
        <f t="shared" si="23"/>
        <v>TOR</v>
      </c>
      <c r="E168" t="str" cm="1">
        <f t="array" ref="E168">INDEX($E$2:$E$4, MOD(ROW()-1,3)+1)</f>
        <v>Machine 3</v>
      </c>
      <c r="F168">
        <f t="shared" ca="1" si="24"/>
        <v>3</v>
      </c>
      <c r="G168">
        <f t="shared" ca="1" si="25"/>
        <v>1</v>
      </c>
      <c r="H168">
        <f ca="1">RANDBETWEEN(1,J168-2)</f>
        <v>4</v>
      </c>
      <c r="I168">
        <f t="shared" ca="1" si="26"/>
        <v>32</v>
      </c>
      <c r="J168">
        <f t="shared" ca="1" si="27"/>
        <v>9</v>
      </c>
    </row>
    <row r="169" spans="1:10" x14ac:dyDescent="0.25">
      <c r="A169" t="s">
        <v>176</v>
      </c>
      <c r="B169" t="s">
        <v>1</v>
      </c>
      <c r="C169" t="str">
        <f t="shared" si="22"/>
        <v>058000</v>
      </c>
      <c r="D169" t="str">
        <f t="shared" si="23"/>
        <v>TOR</v>
      </c>
      <c r="E169" t="str" cm="1">
        <f t="array" ref="E169">INDEX($E$2:$E$4, MOD(ROW()-1,3)+1)</f>
        <v>Machine 1</v>
      </c>
      <c r="F169">
        <f t="shared" ca="1" si="24"/>
        <v>3</v>
      </c>
      <c r="G169">
        <f t="shared" ca="1" si="25"/>
        <v>0</v>
      </c>
      <c r="H169">
        <f ca="1">RANDBETWEEN(1,J169-2)</f>
        <v>3</v>
      </c>
      <c r="I169">
        <f t="shared" ca="1" si="26"/>
        <v>43</v>
      </c>
      <c r="J169">
        <f t="shared" ca="1" si="27"/>
        <v>13</v>
      </c>
    </row>
    <row r="170" spans="1:10" x14ac:dyDescent="0.25">
      <c r="A170" t="s">
        <v>177</v>
      </c>
      <c r="B170" t="s">
        <v>1</v>
      </c>
      <c r="C170" t="str">
        <f t="shared" si="22"/>
        <v>058003</v>
      </c>
      <c r="D170" t="str">
        <f t="shared" si="23"/>
        <v>TOR</v>
      </c>
      <c r="E170" t="str" cm="1">
        <f t="array" ref="E170">INDEX($E$2:$E$4, MOD(ROW()-1,3)+1)</f>
        <v>Machine 2</v>
      </c>
      <c r="F170">
        <f t="shared" ca="1" si="24"/>
        <v>2</v>
      </c>
      <c r="G170">
        <f t="shared" ca="1" si="25"/>
        <v>0</v>
      </c>
      <c r="H170">
        <f ca="1">RANDBETWEEN(1,J170-2)</f>
        <v>1</v>
      </c>
      <c r="I170">
        <f t="shared" ca="1" si="26"/>
        <v>41</v>
      </c>
      <c r="J170">
        <f t="shared" ca="1" si="27"/>
        <v>5</v>
      </c>
    </row>
    <row r="171" spans="1:10" x14ac:dyDescent="0.25">
      <c r="A171" t="s">
        <v>178</v>
      </c>
      <c r="B171" t="s">
        <v>1</v>
      </c>
      <c r="C171" t="str">
        <f t="shared" si="22"/>
        <v>058006</v>
      </c>
      <c r="D171" t="str">
        <f t="shared" si="23"/>
        <v>TOR</v>
      </c>
      <c r="E171" t="str" cm="1">
        <f t="array" ref="E171">INDEX($E$2:$E$4, MOD(ROW()-1,3)+1)</f>
        <v>Machine 3</v>
      </c>
      <c r="F171">
        <f t="shared" ca="1" si="24"/>
        <v>2</v>
      </c>
      <c r="G171">
        <f t="shared" ca="1" si="25"/>
        <v>0</v>
      </c>
      <c r="H171">
        <f ca="1">RANDBETWEEN(1,J171-2)</f>
        <v>3</v>
      </c>
      <c r="I171">
        <f t="shared" ca="1" si="26"/>
        <v>40</v>
      </c>
      <c r="J171">
        <f t="shared" ca="1" si="27"/>
        <v>13</v>
      </c>
    </row>
    <row r="172" spans="1:10" x14ac:dyDescent="0.25">
      <c r="A172" t="s">
        <v>179</v>
      </c>
      <c r="B172" t="s">
        <v>1</v>
      </c>
      <c r="C172" t="str">
        <f t="shared" si="22"/>
        <v>058009</v>
      </c>
      <c r="D172" t="str">
        <f t="shared" si="23"/>
        <v>TOR</v>
      </c>
      <c r="E172" t="str" cm="1">
        <f t="array" ref="E172">INDEX($E$2:$E$4, MOD(ROW()-1,3)+1)</f>
        <v>Machine 1</v>
      </c>
      <c r="F172">
        <f t="shared" ca="1" si="24"/>
        <v>2</v>
      </c>
      <c r="G172">
        <f t="shared" ca="1" si="25"/>
        <v>1</v>
      </c>
      <c r="H172">
        <f ca="1">RANDBETWEEN(1,J172-2)</f>
        <v>1</v>
      </c>
      <c r="I172">
        <f t="shared" ca="1" si="26"/>
        <v>44</v>
      </c>
      <c r="J172">
        <f t="shared" ca="1" si="27"/>
        <v>8</v>
      </c>
    </row>
    <row r="173" spans="1:10" x14ac:dyDescent="0.25">
      <c r="A173" t="s">
        <v>180</v>
      </c>
      <c r="B173" t="s">
        <v>1</v>
      </c>
      <c r="C173" t="str">
        <f t="shared" si="22"/>
        <v>058012</v>
      </c>
      <c r="D173" t="str">
        <f t="shared" si="23"/>
        <v>TOR</v>
      </c>
      <c r="E173" t="str" cm="1">
        <f t="array" ref="E173">INDEX($E$2:$E$4, MOD(ROW()-1,3)+1)</f>
        <v>Machine 2</v>
      </c>
      <c r="F173">
        <f t="shared" ca="1" si="24"/>
        <v>3</v>
      </c>
      <c r="G173">
        <f t="shared" ca="1" si="25"/>
        <v>0</v>
      </c>
      <c r="H173">
        <f ca="1">RANDBETWEEN(1,J173-2)</f>
        <v>3</v>
      </c>
      <c r="I173">
        <f t="shared" ca="1" si="26"/>
        <v>35</v>
      </c>
      <c r="J173">
        <f t="shared" ca="1" si="27"/>
        <v>15</v>
      </c>
    </row>
    <row r="174" spans="1:10" x14ac:dyDescent="0.25">
      <c r="A174" t="s">
        <v>181</v>
      </c>
      <c r="B174" t="s">
        <v>1</v>
      </c>
      <c r="C174" t="str">
        <f t="shared" si="22"/>
        <v>058015</v>
      </c>
      <c r="D174" t="str">
        <f t="shared" si="23"/>
        <v>TOR</v>
      </c>
      <c r="E174" t="str" cm="1">
        <f t="array" ref="E174">INDEX($E$2:$E$4, MOD(ROW()-1,3)+1)</f>
        <v>Machine 3</v>
      </c>
      <c r="F174">
        <f t="shared" ca="1" si="24"/>
        <v>2</v>
      </c>
      <c r="G174">
        <f t="shared" ca="1" si="25"/>
        <v>1</v>
      </c>
      <c r="H174">
        <f ca="1">RANDBETWEEN(1,J174-2)</f>
        <v>10</v>
      </c>
      <c r="I174">
        <f t="shared" ca="1" si="26"/>
        <v>44</v>
      </c>
      <c r="J174">
        <f t="shared" ca="1" si="27"/>
        <v>13</v>
      </c>
    </row>
    <row r="175" spans="1:10" x14ac:dyDescent="0.25">
      <c r="A175" t="s">
        <v>182</v>
      </c>
      <c r="B175" t="s">
        <v>1</v>
      </c>
      <c r="C175" t="str">
        <f t="shared" si="22"/>
        <v>058027</v>
      </c>
      <c r="D175" t="str">
        <f t="shared" si="23"/>
        <v>TOR</v>
      </c>
      <c r="E175" t="str" cm="1">
        <f t="array" ref="E175">INDEX($E$2:$E$4, MOD(ROW()-1,3)+1)</f>
        <v>Machine 1</v>
      </c>
      <c r="F175">
        <f t="shared" ca="1" si="24"/>
        <v>2</v>
      </c>
      <c r="G175">
        <f t="shared" ca="1" si="25"/>
        <v>1</v>
      </c>
      <c r="H175">
        <f ca="1">RANDBETWEEN(1,J175-2)</f>
        <v>4</v>
      </c>
      <c r="I175">
        <f t="shared" ca="1" si="26"/>
        <v>39</v>
      </c>
      <c r="J175">
        <f t="shared" ca="1" si="27"/>
        <v>8</v>
      </c>
    </row>
    <row r="176" spans="1:10" x14ac:dyDescent="0.25">
      <c r="A176" t="s">
        <v>183</v>
      </c>
      <c r="B176" t="s">
        <v>1</v>
      </c>
      <c r="C176" t="str">
        <f t="shared" si="22"/>
        <v>058033</v>
      </c>
      <c r="D176" t="str">
        <f t="shared" si="23"/>
        <v>TOR</v>
      </c>
      <c r="E176" t="str" cm="1">
        <f t="array" ref="E176">INDEX($E$2:$E$4, MOD(ROW()-1,3)+1)</f>
        <v>Machine 2</v>
      </c>
      <c r="F176">
        <f t="shared" ca="1" si="24"/>
        <v>2</v>
      </c>
      <c r="G176">
        <f t="shared" ca="1" si="25"/>
        <v>1</v>
      </c>
      <c r="H176">
        <f ca="1">RANDBETWEEN(1,J176-2)</f>
        <v>7</v>
      </c>
      <c r="I176">
        <f t="shared" ca="1" si="26"/>
        <v>24</v>
      </c>
      <c r="J176">
        <f t="shared" ca="1" si="27"/>
        <v>15</v>
      </c>
    </row>
    <row r="177" spans="1:10" x14ac:dyDescent="0.25">
      <c r="A177" t="s">
        <v>184</v>
      </c>
      <c r="B177" t="s">
        <v>1</v>
      </c>
      <c r="C177" t="str">
        <f t="shared" si="22"/>
        <v>058049</v>
      </c>
      <c r="D177" t="str">
        <f t="shared" si="23"/>
        <v>TOR</v>
      </c>
      <c r="E177" t="str" cm="1">
        <f t="array" ref="E177">INDEX($E$2:$E$4, MOD(ROW()-1,3)+1)</f>
        <v>Machine 3</v>
      </c>
      <c r="F177">
        <f t="shared" ca="1" si="24"/>
        <v>3</v>
      </c>
      <c r="G177">
        <f t="shared" ca="1" si="25"/>
        <v>0</v>
      </c>
      <c r="H177">
        <f ca="1">RANDBETWEEN(1,J177-2)</f>
        <v>5</v>
      </c>
      <c r="I177">
        <f t="shared" ca="1" si="26"/>
        <v>44</v>
      </c>
      <c r="J177">
        <f t="shared" ca="1" si="27"/>
        <v>9</v>
      </c>
    </row>
    <row r="178" spans="1:10" x14ac:dyDescent="0.25">
      <c r="A178" t="s">
        <v>185</v>
      </c>
      <c r="B178" t="s">
        <v>1</v>
      </c>
      <c r="C178" t="str">
        <f t="shared" si="22"/>
        <v>058055</v>
      </c>
      <c r="D178" t="str">
        <f t="shared" si="23"/>
        <v>TOR</v>
      </c>
      <c r="E178" t="str" cm="1">
        <f t="array" ref="E178">INDEX($E$2:$E$4, MOD(ROW()-1,3)+1)</f>
        <v>Machine 1</v>
      </c>
      <c r="F178">
        <f t="shared" ca="1" si="24"/>
        <v>2</v>
      </c>
      <c r="G178">
        <f t="shared" ca="1" si="25"/>
        <v>1</v>
      </c>
      <c r="H178">
        <f ca="1">RANDBETWEEN(1,J178-2)</f>
        <v>3</v>
      </c>
      <c r="I178">
        <f t="shared" ca="1" si="26"/>
        <v>47</v>
      </c>
      <c r="J178">
        <f t="shared" ca="1" si="27"/>
        <v>13</v>
      </c>
    </row>
    <row r="179" spans="1:10" x14ac:dyDescent="0.25">
      <c r="A179" t="s">
        <v>186</v>
      </c>
      <c r="B179" t="s">
        <v>1</v>
      </c>
      <c r="C179" t="str">
        <f t="shared" si="22"/>
        <v>058058</v>
      </c>
      <c r="D179" t="str">
        <f t="shared" si="23"/>
        <v>TOR</v>
      </c>
      <c r="E179" t="str" cm="1">
        <f t="array" ref="E179">INDEX($E$2:$E$4, MOD(ROW()-1,3)+1)</f>
        <v>Machine 2</v>
      </c>
      <c r="F179">
        <f t="shared" ca="1" si="24"/>
        <v>3</v>
      </c>
      <c r="G179">
        <f t="shared" ca="1" si="25"/>
        <v>0</v>
      </c>
      <c r="H179">
        <f ca="1">RANDBETWEEN(1,J179-2)</f>
        <v>2</v>
      </c>
      <c r="I179">
        <f t="shared" ca="1" si="26"/>
        <v>30</v>
      </c>
      <c r="J179">
        <f t="shared" ca="1" si="27"/>
        <v>12</v>
      </c>
    </row>
    <row r="180" spans="1:10" x14ac:dyDescent="0.25">
      <c r="A180" t="s">
        <v>187</v>
      </c>
      <c r="B180" t="s">
        <v>1</v>
      </c>
      <c r="C180" t="str">
        <f t="shared" si="22"/>
        <v>058060</v>
      </c>
      <c r="D180" t="str">
        <f t="shared" si="23"/>
        <v>TOR</v>
      </c>
      <c r="E180" t="str" cm="1">
        <f t="array" ref="E180">INDEX($E$2:$E$4, MOD(ROW()-1,3)+1)</f>
        <v>Machine 3</v>
      </c>
      <c r="F180">
        <f t="shared" ca="1" si="24"/>
        <v>3</v>
      </c>
      <c r="G180">
        <f t="shared" ca="1" si="25"/>
        <v>1</v>
      </c>
      <c r="H180">
        <f ca="1">RANDBETWEEN(1,J180-2)</f>
        <v>1</v>
      </c>
      <c r="I180">
        <f t="shared" ca="1" si="26"/>
        <v>40</v>
      </c>
      <c r="J180">
        <f t="shared" ca="1" si="27"/>
        <v>8</v>
      </c>
    </row>
    <row r="181" spans="1:10" x14ac:dyDescent="0.25">
      <c r="A181" t="s">
        <v>188</v>
      </c>
      <c r="B181" t="s">
        <v>1</v>
      </c>
      <c r="C181" t="str">
        <f t="shared" si="22"/>
        <v>058078</v>
      </c>
      <c r="D181" t="str">
        <f t="shared" si="23"/>
        <v>TOR</v>
      </c>
      <c r="E181" t="str" cm="1">
        <f t="array" ref="E181">INDEX($E$2:$E$4, MOD(ROW()-1,3)+1)</f>
        <v>Machine 1</v>
      </c>
      <c r="F181">
        <f t="shared" ca="1" si="24"/>
        <v>2</v>
      </c>
      <c r="G181">
        <f t="shared" ca="1" si="25"/>
        <v>0</v>
      </c>
      <c r="H181">
        <f ca="1">RANDBETWEEN(1,J181-2)</f>
        <v>2</v>
      </c>
      <c r="I181">
        <f t="shared" ca="1" si="26"/>
        <v>36</v>
      </c>
      <c r="J181">
        <f t="shared" ca="1" si="27"/>
        <v>10</v>
      </c>
    </row>
    <row r="182" spans="1:10" x14ac:dyDescent="0.25">
      <c r="A182" t="s">
        <v>189</v>
      </c>
      <c r="B182" t="s">
        <v>1</v>
      </c>
      <c r="C182" t="str">
        <f t="shared" si="22"/>
        <v>058080</v>
      </c>
      <c r="D182" t="str">
        <f t="shared" si="23"/>
        <v>TOR</v>
      </c>
      <c r="E182" t="str" cm="1">
        <f t="array" ref="E182">INDEX($E$2:$E$4, MOD(ROW()-1,3)+1)</f>
        <v>Machine 2</v>
      </c>
      <c r="F182">
        <f t="shared" ca="1" si="24"/>
        <v>3</v>
      </c>
      <c r="G182">
        <f t="shared" ca="1" si="25"/>
        <v>0</v>
      </c>
      <c r="H182">
        <f ca="1">RANDBETWEEN(1,J182-2)</f>
        <v>13</v>
      </c>
      <c r="I182">
        <f t="shared" ca="1" si="26"/>
        <v>40</v>
      </c>
      <c r="J182">
        <f t="shared" ca="1" si="27"/>
        <v>15</v>
      </c>
    </row>
    <row r="183" spans="1:10" x14ac:dyDescent="0.25">
      <c r="A183" t="s">
        <v>190</v>
      </c>
      <c r="B183" t="s">
        <v>1</v>
      </c>
      <c r="C183" t="str">
        <f t="shared" si="22"/>
        <v>058095</v>
      </c>
      <c r="D183" t="str">
        <f t="shared" si="23"/>
        <v>TOR</v>
      </c>
      <c r="E183" t="str" cm="1">
        <f t="array" ref="E183">INDEX($E$2:$E$4, MOD(ROW()-1,3)+1)</f>
        <v>Machine 3</v>
      </c>
      <c r="F183">
        <f t="shared" ca="1" si="24"/>
        <v>3</v>
      </c>
      <c r="G183">
        <f t="shared" ca="1" si="25"/>
        <v>0</v>
      </c>
      <c r="H183">
        <f ca="1">RANDBETWEEN(1,J183-2)</f>
        <v>2</v>
      </c>
      <c r="I183">
        <f t="shared" ca="1" si="26"/>
        <v>45</v>
      </c>
      <c r="J183">
        <f t="shared" ca="1" si="27"/>
        <v>6</v>
      </c>
    </row>
    <row r="184" spans="1:10" x14ac:dyDescent="0.25">
      <c r="A184" t="s">
        <v>191</v>
      </c>
      <c r="B184" t="s">
        <v>1</v>
      </c>
      <c r="C184" t="str">
        <f t="shared" si="22"/>
        <v>058098</v>
      </c>
      <c r="D184" t="str">
        <f t="shared" si="23"/>
        <v>TOR</v>
      </c>
      <c r="E184" t="str" cm="1">
        <f t="array" ref="E184">INDEX($E$2:$E$4, MOD(ROW()-1,3)+1)</f>
        <v>Machine 1</v>
      </c>
      <c r="F184">
        <f t="shared" ca="1" si="24"/>
        <v>3</v>
      </c>
      <c r="G184">
        <f t="shared" ca="1" si="25"/>
        <v>0</v>
      </c>
      <c r="H184">
        <f ca="1">RANDBETWEEN(1,J184-2)</f>
        <v>8</v>
      </c>
      <c r="I184">
        <f t="shared" ca="1" si="26"/>
        <v>30</v>
      </c>
      <c r="J184">
        <f t="shared" ca="1" si="27"/>
        <v>10</v>
      </c>
    </row>
    <row r="185" spans="1:10" x14ac:dyDescent="0.25">
      <c r="A185" t="s">
        <v>192</v>
      </c>
      <c r="B185" t="s">
        <v>1</v>
      </c>
      <c r="C185" t="str">
        <f t="shared" si="22"/>
        <v>058100</v>
      </c>
      <c r="D185" t="str">
        <f t="shared" si="23"/>
        <v>TOR</v>
      </c>
      <c r="E185" t="str" cm="1">
        <f t="array" ref="E185">INDEX($E$2:$E$4, MOD(ROW()-1,3)+1)</f>
        <v>Machine 2</v>
      </c>
      <c r="F185">
        <f t="shared" ca="1" si="24"/>
        <v>3</v>
      </c>
      <c r="G185">
        <f t="shared" ca="1" si="25"/>
        <v>0</v>
      </c>
      <c r="H185">
        <f ca="1">RANDBETWEEN(1,J185-2)</f>
        <v>5</v>
      </c>
      <c r="I185">
        <f t="shared" ca="1" si="26"/>
        <v>39</v>
      </c>
      <c r="J185">
        <f t="shared" ca="1" si="27"/>
        <v>10</v>
      </c>
    </row>
    <row r="186" spans="1:10" x14ac:dyDescent="0.25">
      <c r="A186" t="s">
        <v>193</v>
      </c>
      <c r="B186" t="s">
        <v>1</v>
      </c>
      <c r="C186" t="str">
        <f t="shared" si="22"/>
        <v>058102</v>
      </c>
      <c r="D186" t="str">
        <f t="shared" si="23"/>
        <v>TOR</v>
      </c>
      <c r="E186" t="str" cm="1">
        <f t="array" ref="E186">INDEX($E$2:$E$4, MOD(ROW()-1,3)+1)</f>
        <v>Machine 3</v>
      </c>
      <c r="F186">
        <f t="shared" ca="1" si="24"/>
        <v>3</v>
      </c>
      <c r="G186">
        <f t="shared" ca="1" si="25"/>
        <v>0</v>
      </c>
      <c r="H186">
        <f ca="1">RANDBETWEEN(1,J186-2)</f>
        <v>3</v>
      </c>
      <c r="I186">
        <f t="shared" ca="1" si="26"/>
        <v>28</v>
      </c>
      <c r="J186">
        <f t="shared" ca="1" si="27"/>
        <v>6</v>
      </c>
    </row>
    <row r="187" spans="1:10" x14ac:dyDescent="0.25">
      <c r="A187" t="s">
        <v>194</v>
      </c>
      <c r="B187" t="s">
        <v>1</v>
      </c>
      <c r="C187" t="str">
        <f t="shared" si="22"/>
        <v>058114</v>
      </c>
      <c r="D187" t="str">
        <f t="shared" si="23"/>
        <v>TOR</v>
      </c>
      <c r="E187" t="str" cm="1">
        <f t="array" ref="E187">INDEX($E$2:$E$4, MOD(ROW()-1,3)+1)</f>
        <v>Machine 1</v>
      </c>
      <c r="F187">
        <f t="shared" ca="1" si="24"/>
        <v>2</v>
      </c>
      <c r="G187">
        <f t="shared" ca="1" si="25"/>
        <v>0</v>
      </c>
      <c r="H187">
        <f ca="1">RANDBETWEEN(1,J187-2)</f>
        <v>4</v>
      </c>
      <c r="I187">
        <f t="shared" ca="1" si="26"/>
        <v>25</v>
      </c>
      <c r="J187">
        <f t="shared" ca="1" si="27"/>
        <v>6</v>
      </c>
    </row>
    <row r="188" spans="1:10" x14ac:dyDescent="0.25">
      <c r="A188" t="s">
        <v>195</v>
      </c>
      <c r="B188" t="s">
        <v>1</v>
      </c>
      <c r="C188" t="str">
        <f t="shared" si="22"/>
        <v>058132</v>
      </c>
      <c r="D188" t="str">
        <f t="shared" si="23"/>
        <v>TOR</v>
      </c>
      <c r="E188" t="str" cm="1">
        <f t="array" ref="E188">INDEX($E$2:$E$4, MOD(ROW()-1,3)+1)</f>
        <v>Machine 2</v>
      </c>
      <c r="F188">
        <f t="shared" ca="1" si="24"/>
        <v>2</v>
      </c>
      <c r="G188">
        <f t="shared" ca="1" si="25"/>
        <v>1</v>
      </c>
      <c r="H188">
        <f ca="1">RANDBETWEEN(1,J188-2)</f>
        <v>1</v>
      </c>
      <c r="I188">
        <f t="shared" ca="1" si="26"/>
        <v>40</v>
      </c>
      <c r="J188">
        <f t="shared" ca="1" si="27"/>
        <v>9</v>
      </c>
    </row>
    <row r="189" spans="1:10" x14ac:dyDescent="0.25">
      <c r="A189" t="s">
        <v>196</v>
      </c>
      <c r="B189" t="s">
        <v>1</v>
      </c>
      <c r="C189" t="str">
        <f t="shared" si="22"/>
        <v>058135</v>
      </c>
      <c r="D189" t="str">
        <f t="shared" si="23"/>
        <v>TOR</v>
      </c>
      <c r="E189" t="str" cm="1">
        <f t="array" ref="E189">INDEX($E$2:$E$4, MOD(ROW()-1,3)+1)</f>
        <v>Machine 3</v>
      </c>
      <c r="F189">
        <f t="shared" ca="1" si="24"/>
        <v>3</v>
      </c>
      <c r="G189">
        <f t="shared" ca="1" si="25"/>
        <v>1</v>
      </c>
      <c r="H189">
        <f ca="1">RANDBETWEEN(1,J189-2)</f>
        <v>4</v>
      </c>
      <c r="I189">
        <f t="shared" ca="1" si="26"/>
        <v>25</v>
      </c>
      <c r="J189">
        <f t="shared" ca="1" si="27"/>
        <v>7</v>
      </c>
    </row>
    <row r="190" spans="1:10" x14ac:dyDescent="0.25">
      <c r="A190" t="s">
        <v>197</v>
      </c>
      <c r="B190" t="s">
        <v>1</v>
      </c>
      <c r="C190" t="str">
        <f t="shared" si="22"/>
        <v>058150</v>
      </c>
      <c r="D190" t="str">
        <f t="shared" si="23"/>
        <v>TOR</v>
      </c>
      <c r="E190" t="str" cm="1">
        <f t="array" ref="E190">INDEX($E$2:$E$4, MOD(ROW()-1,3)+1)</f>
        <v>Machine 1</v>
      </c>
      <c r="F190">
        <f t="shared" ca="1" si="24"/>
        <v>2</v>
      </c>
      <c r="G190">
        <f t="shared" ca="1" si="25"/>
        <v>1</v>
      </c>
      <c r="H190">
        <f ca="1">RANDBETWEEN(1,J190-2)</f>
        <v>3</v>
      </c>
      <c r="I190">
        <f t="shared" ca="1" si="26"/>
        <v>31</v>
      </c>
      <c r="J190">
        <f t="shared" ca="1" si="27"/>
        <v>14</v>
      </c>
    </row>
    <row r="191" spans="1:10" x14ac:dyDescent="0.25">
      <c r="A191" t="s">
        <v>198</v>
      </c>
      <c r="B191" t="s">
        <v>1</v>
      </c>
      <c r="C191" t="str">
        <f t="shared" si="22"/>
        <v>058168</v>
      </c>
      <c r="D191" t="str">
        <f t="shared" si="23"/>
        <v>TOR</v>
      </c>
      <c r="E191" t="str" cm="1">
        <f t="array" ref="E191">INDEX($E$2:$E$4, MOD(ROW()-1,3)+1)</f>
        <v>Machine 2</v>
      </c>
      <c r="F191">
        <f t="shared" ca="1" si="24"/>
        <v>2</v>
      </c>
      <c r="G191">
        <f t="shared" ca="1" si="25"/>
        <v>0</v>
      </c>
      <c r="H191">
        <f ca="1">RANDBETWEEN(1,J191-2)</f>
        <v>4</v>
      </c>
      <c r="I191">
        <f t="shared" ca="1" si="26"/>
        <v>34</v>
      </c>
      <c r="J191">
        <f t="shared" ca="1" si="27"/>
        <v>10</v>
      </c>
    </row>
    <row r="192" spans="1:10" x14ac:dyDescent="0.25">
      <c r="A192" t="s">
        <v>199</v>
      </c>
      <c r="B192" t="s">
        <v>1</v>
      </c>
      <c r="C192" t="str">
        <f t="shared" si="22"/>
        <v>058175</v>
      </c>
      <c r="D192" t="str">
        <f t="shared" si="23"/>
        <v>TOR</v>
      </c>
      <c r="E192" t="str" cm="1">
        <f t="array" ref="E192">INDEX($E$2:$E$4, MOD(ROW()-1,3)+1)</f>
        <v>Machine 3</v>
      </c>
      <c r="F192">
        <f t="shared" ca="1" si="24"/>
        <v>2</v>
      </c>
      <c r="G192">
        <f t="shared" ca="1" si="25"/>
        <v>0</v>
      </c>
      <c r="H192">
        <f ca="1">RANDBETWEEN(1,J192-2)</f>
        <v>10</v>
      </c>
      <c r="I192">
        <f t="shared" ca="1" si="26"/>
        <v>32</v>
      </c>
      <c r="J192">
        <f t="shared" ca="1" si="27"/>
        <v>14</v>
      </c>
    </row>
    <row r="193" spans="1:10" x14ac:dyDescent="0.25">
      <c r="A193" t="s">
        <v>200</v>
      </c>
      <c r="B193" t="s">
        <v>1</v>
      </c>
      <c r="C193" t="str">
        <f t="shared" si="22"/>
        <v>058178</v>
      </c>
      <c r="D193" t="str">
        <f t="shared" si="23"/>
        <v>TOR</v>
      </c>
      <c r="E193" t="str" cm="1">
        <f t="array" ref="E193">INDEX($E$2:$E$4, MOD(ROW()-1,3)+1)</f>
        <v>Machine 1</v>
      </c>
      <c r="F193">
        <f t="shared" ca="1" si="24"/>
        <v>3</v>
      </c>
      <c r="G193">
        <f t="shared" ca="1" si="25"/>
        <v>0</v>
      </c>
      <c r="H193">
        <f ca="1">RANDBETWEEN(1,J193-2)</f>
        <v>3</v>
      </c>
      <c r="I193">
        <f t="shared" ca="1" si="26"/>
        <v>42</v>
      </c>
      <c r="J193">
        <f t="shared" ca="1" si="27"/>
        <v>9</v>
      </c>
    </row>
    <row r="194" spans="1:10" x14ac:dyDescent="0.25">
      <c r="A194" t="s">
        <v>201</v>
      </c>
      <c r="B194" t="s">
        <v>1</v>
      </c>
      <c r="C194" t="str">
        <f t="shared" si="22"/>
        <v>058188</v>
      </c>
      <c r="D194" t="str">
        <f t="shared" si="23"/>
        <v>TOR</v>
      </c>
      <c r="E194" t="str" cm="1">
        <f t="array" ref="E194">INDEX($E$2:$E$4, MOD(ROW()-1,3)+1)</f>
        <v>Machine 2</v>
      </c>
      <c r="F194">
        <f t="shared" ca="1" si="24"/>
        <v>2</v>
      </c>
      <c r="G194">
        <f t="shared" ca="1" si="25"/>
        <v>1</v>
      </c>
      <c r="H194">
        <f ca="1">RANDBETWEEN(1,J194-2)</f>
        <v>3</v>
      </c>
      <c r="I194">
        <f t="shared" ca="1" si="26"/>
        <v>48</v>
      </c>
      <c r="J194">
        <f t="shared" ca="1" si="27"/>
        <v>8</v>
      </c>
    </row>
    <row r="195" spans="1:10" x14ac:dyDescent="0.25">
      <c r="A195" t="s">
        <v>202</v>
      </c>
      <c r="B195" t="s">
        <v>1</v>
      </c>
      <c r="C195" t="str">
        <f t="shared" ref="C195:C258" si="28">RIGHT(A195,6)</f>
        <v>058191</v>
      </c>
      <c r="D195" t="str">
        <f t="shared" ref="D195:D258" si="29">RIGHT(B195,3)</f>
        <v>TOR</v>
      </c>
      <c r="E195" t="str" cm="1">
        <f t="array" ref="E195">INDEX($E$2:$E$4, MOD(ROW()-1,3)+1)</f>
        <v>Machine 3</v>
      </c>
      <c r="F195">
        <f t="shared" ref="F195:F258" ca="1" si="30">RANDBETWEEN(2,3)</f>
        <v>2</v>
      </c>
      <c r="G195">
        <f t="shared" ref="G195:G258" ca="1" si="31">RANDBETWEEN(0,1)</f>
        <v>0</v>
      </c>
      <c r="H195">
        <f ca="1">RANDBETWEEN(1,J195-2)</f>
        <v>6</v>
      </c>
      <c r="I195">
        <f t="shared" ref="I195:I258" ca="1" si="32">RANDBETWEEN(24,48)</f>
        <v>29</v>
      </c>
      <c r="J195">
        <f t="shared" ref="J195:J258" ca="1" si="33">RANDBETWEEN(5,15)</f>
        <v>11</v>
      </c>
    </row>
    <row r="196" spans="1:10" x14ac:dyDescent="0.25">
      <c r="A196" t="s">
        <v>203</v>
      </c>
      <c r="B196" t="s">
        <v>1</v>
      </c>
      <c r="C196" t="str">
        <f t="shared" si="28"/>
        <v>058195</v>
      </c>
      <c r="D196" t="str">
        <f t="shared" si="29"/>
        <v>TOR</v>
      </c>
      <c r="E196" t="str" cm="1">
        <f t="array" ref="E196">INDEX($E$2:$E$4, MOD(ROW()-1,3)+1)</f>
        <v>Machine 1</v>
      </c>
      <c r="F196">
        <f t="shared" ca="1" si="30"/>
        <v>2</v>
      </c>
      <c r="G196">
        <f t="shared" ca="1" si="31"/>
        <v>0</v>
      </c>
      <c r="H196">
        <f ca="1">RANDBETWEEN(1,J196-2)</f>
        <v>4</v>
      </c>
      <c r="I196">
        <f t="shared" ca="1" si="32"/>
        <v>43</v>
      </c>
      <c r="J196">
        <f t="shared" ca="1" si="33"/>
        <v>6</v>
      </c>
    </row>
    <row r="197" spans="1:10" x14ac:dyDescent="0.25">
      <c r="A197" t="s">
        <v>204</v>
      </c>
      <c r="B197" t="s">
        <v>1</v>
      </c>
      <c r="C197" t="str">
        <f t="shared" si="28"/>
        <v>058198</v>
      </c>
      <c r="D197" t="str">
        <f t="shared" si="29"/>
        <v>TOR</v>
      </c>
      <c r="E197" t="str" cm="1">
        <f t="array" ref="E197">INDEX($E$2:$E$4, MOD(ROW()-1,3)+1)</f>
        <v>Machine 2</v>
      </c>
      <c r="F197">
        <f t="shared" ca="1" si="30"/>
        <v>3</v>
      </c>
      <c r="G197">
        <f t="shared" ca="1" si="31"/>
        <v>0</v>
      </c>
      <c r="H197">
        <f ca="1">RANDBETWEEN(1,J197-2)</f>
        <v>1</v>
      </c>
      <c r="I197">
        <f t="shared" ca="1" si="32"/>
        <v>32</v>
      </c>
      <c r="J197">
        <f t="shared" ca="1" si="33"/>
        <v>6</v>
      </c>
    </row>
    <row r="198" spans="1:10" x14ac:dyDescent="0.25">
      <c r="A198" t="s">
        <v>205</v>
      </c>
      <c r="B198" t="s">
        <v>1</v>
      </c>
      <c r="C198" t="str">
        <f t="shared" si="28"/>
        <v>058213</v>
      </c>
      <c r="D198" t="str">
        <f t="shared" si="29"/>
        <v>TOR</v>
      </c>
      <c r="E198" t="str" cm="1">
        <f t="array" ref="E198">INDEX($E$2:$E$4, MOD(ROW()-1,3)+1)</f>
        <v>Machine 3</v>
      </c>
      <c r="F198">
        <f t="shared" ca="1" si="30"/>
        <v>3</v>
      </c>
      <c r="G198">
        <f t="shared" ca="1" si="31"/>
        <v>0</v>
      </c>
      <c r="H198">
        <f ca="1">RANDBETWEEN(1,J198-2)</f>
        <v>1</v>
      </c>
      <c r="I198">
        <f t="shared" ca="1" si="32"/>
        <v>35</v>
      </c>
      <c r="J198">
        <f t="shared" ca="1" si="33"/>
        <v>15</v>
      </c>
    </row>
    <row r="199" spans="1:10" x14ac:dyDescent="0.25">
      <c r="A199" t="s">
        <v>206</v>
      </c>
      <c r="B199" t="s">
        <v>1</v>
      </c>
      <c r="C199" t="str">
        <f t="shared" si="28"/>
        <v>058220</v>
      </c>
      <c r="D199" t="str">
        <f t="shared" si="29"/>
        <v>TOR</v>
      </c>
      <c r="E199" t="str" cm="1">
        <f t="array" ref="E199">INDEX($E$2:$E$4, MOD(ROW()-1,3)+1)</f>
        <v>Machine 1</v>
      </c>
      <c r="F199">
        <f t="shared" ca="1" si="30"/>
        <v>3</v>
      </c>
      <c r="G199">
        <f t="shared" ca="1" si="31"/>
        <v>1</v>
      </c>
      <c r="H199">
        <f ca="1">RANDBETWEEN(1,J199-2)</f>
        <v>7</v>
      </c>
      <c r="I199">
        <f t="shared" ca="1" si="32"/>
        <v>42</v>
      </c>
      <c r="J199">
        <f t="shared" ca="1" si="33"/>
        <v>15</v>
      </c>
    </row>
    <row r="200" spans="1:10" x14ac:dyDescent="0.25">
      <c r="A200" t="s">
        <v>207</v>
      </c>
      <c r="B200" t="s">
        <v>1</v>
      </c>
      <c r="C200" t="str">
        <f t="shared" si="28"/>
        <v>058226</v>
      </c>
      <c r="D200" t="str">
        <f t="shared" si="29"/>
        <v>TOR</v>
      </c>
      <c r="E200" t="str" cm="1">
        <f t="array" ref="E200">INDEX($E$2:$E$4, MOD(ROW()-1,3)+1)</f>
        <v>Machine 2</v>
      </c>
      <c r="F200">
        <f t="shared" ca="1" si="30"/>
        <v>2</v>
      </c>
      <c r="G200">
        <f t="shared" ca="1" si="31"/>
        <v>0</v>
      </c>
      <c r="H200">
        <f ca="1">RANDBETWEEN(1,J200-2)</f>
        <v>6</v>
      </c>
      <c r="I200">
        <f t="shared" ca="1" si="32"/>
        <v>42</v>
      </c>
      <c r="J200">
        <f t="shared" ca="1" si="33"/>
        <v>9</v>
      </c>
    </row>
    <row r="201" spans="1:10" x14ac:dyDescent="0.25">
      <c r="A201" t="s">
        <v>208</v>
      </c>
      <c r="B201" t="s">
        <v>1</v>
      </c>
      <c r="C201" t="str">
        <f t="shared" si="28"/>
        <v>058229</v>
      </c>
      <c r="D201" t="str">
        <f t="shared" si="29"/>
        <v>TOR</v>
      </c>
      <c r="E201" t="str" cm="1">
        <f t="array" ref="E201">INDEX($E$2:$E$4, MOD(ROW()-1,3)+1)</f>
        <v>Machine 3</v>
      </c>
      <c r="F201">
        <f t="shared" ca="1" si="30"/>
        <v>3</v>
      </c>
      <c r="G201">
        <f t="shared" ca="1" si="31"/>
        <v>0</v>
      </c>
      <c r="H201">
        <f ca="1">RANDBETWEEN(1,J201-2)</f>
        <v>2</v>
      </c>
      <c r="I201">
        <f t="shared" ca="1" si="32"/>
        <v>34</v>
      </c>
      <c r="J201">
        <f t="shared" ca="1" si="33"/>
        <v>11</v>
      </c>
    </row>
    <row r="202" spans="1:10" x14ac:dyDescent="0.25">
      <c r="A202" t="s">
        <v>209</v>
      </c>
      <c r="B202" t="s">
        <v>1</v>
      </c>
      <c r="C202" t="str">
        <f t="shared" si="28"/>
        <v>058232</v>
      </c>
      <c r="D202" t="str">
        <f t="shared" si="29"/>
        <v>TOR</v>
      </c>
      <c r="E202" t="str" cm="1">
        <f t="array" ref="E202">INDEX($E$2:$E$4, MOD(ROW()-1,3)+1)</f>
        <v>Machine 1</v>
      </c>
      <c r="F202">
        <f t="shared" ca="1" si="30"/>
        <v>2</v>
      </c>
      <c r="G202">
        <f t="shared" ca="1" si="31"/>
        <v>1</v>
      </c>
      <c r="H202">
        <f ca="1">RANDBETWEEN(1,J202-2)</f>
        <v>4</v>
      </c>
      <c r="I202">
        <f t="shared" ca="1" si="32"/>
        <v>35</v>
      </c>
      <c r="J202">
        <f t="shared" ca="1" si="33"/>
        <v>6</v>
      </c>
    </row>
    <row r="203" spans="1:10" x14ac:dyDescent="0.25">
      <c r="A203" t="s">
        <v>210</v>
      </c>
      <c r="B203" t="s">
        <v>1</v>
      </c>
      <c r="C203" t="str">
        <f t="shared" si="28"/>
        <v>058247</v>
      </c>
      <c r="D203" t="str">
        <f t="shared" si="29"/>
        <v>TOR</v>
      </c>
      <c r="E203" t="str" cm="1">
        <f t="array" ref="E203">INDEX($E$2:$E$4, MOD(ROW()-1,3)+1)</f>
        <v>Machine 2</v>
      </c>
      <c r="F203">
        <f t="shared" ca="1" si="30"/>
        <v>2</v>
      </c>
      <c r="G203">
        <f t="shared" ca="1" si="31"/>
        <v>0</v>
      </c>
      <c r="H203">
        <f ca="1">RANDBETWEEN(1,J203-2)</f>
        <v>1</v>
      </c>
      <c r="I203">
        <f t="shared" ca="1" si="32"/>
        <v>31</v>
      </c>
      <c r="J203">
        <f t="shared" ca="1" si="33"/>
        <v>6</v>
      </c>
    </row>
    <row r="204" spans="1:10" x14ac:dyDescent="0.25">
      <c r="A204" t="s">
        <v>211</v>
      </c>
      <c r="B204" t="s">
        <v>1</v>
      </c>
      <c r="C204" t="str">
        <f t="shared" si="28"/>
        <v>058253</v>
      </c>
      <c r="D204" t="str">
        <f t="shared" si="29"/>
        <v>TOR</v>
      </c>
      <c r="E204" t="str" cm="1">
        <f t="array" ref="E204">INDEX($E$2:$E$4, MOD(ROW()-1,3)+1)</f>
        <v>Machine 3</v>
      </c>
      <c r="F204">
        <f t="shared" ca="1" si="30"/>
        <v>2</v>
      </c>
      <c r="G204">
        <f t="shared" ca="1" si="31"/>
        <v>1</v>
      </c>
      <c r="H204">
        <f ca="1">RANDBETWEEN(1,J204-2)</f>
        <v>9</v>
      </c>
      <c r="I204">
        <f t="shared" ca="1" si="32"/>
        <v>28</v>
      </c>
      <c r="J204">
        <f t="shared" ca="1" si="33"/>
        <v>15</v>
      </c>
    </row>
    <row r="205" spans="1:10" x14ac:dyDescent="0.25">
      <c r="A205" t="s">
        <v>212</v>
      </c>
      <c r="B205" t="s">
        <v>1</v>
      </c>
      <c r="C205" t="str">
        <f t="shared" si="28"/>
        <v>058255</v>
      </c>
      <c r="D205" t="str">
        <f t="shared" si="29"/>
        <v>TOR</v>
      </c>
      <c r="E205" t="str" cm="1">
        <f t="array" ref="E205">INDEX($E$2:$E$4, MOD(ROW()-1,3)+1)</f>
        <v>Machine 1</v>
      </c>
      <c r="F205">
        <f t="shared" ca="1" si="30"/>
        <v>2</v>
      </c>
      <c r="G205">
        <f t="shared" ca="1" si="31"/>
        <v>0</v>
      </c>
      <c r="H205">
        <f ca="1">RANDBETWEEN(1,J205-2)</f>
        <v>2</v>
      </c>
      <c r="I205">
        <f t="shared" ca="1" si="32"/>
        <v>48</v>
      </c>
      <c r="J205">
        <f t="shared" ca="1" si="33"/>
        <v>8</v>
      </c>
    </row>
    <row r="206" spans="1:10" x14ac:dyDescent="0.25">
      <c r="A206" t="s">
        <v>213</v>
      </c>
      <c r="B206" t="s">
        <v>1</v>
      </c>
      <c r="C206" t="str">
        <f t="shared" si="28"/>
        <v>058262</v>
      </c>
      <c r="D206" t="str">
        <f t="shared" si="29"/>
        <v>TOR</v>
      </c>
      <c r="E206" t="str" cm="1">
        <f t="array" ref="E206">INDEX($E$2:$E$4, MOD(ROW()-1,3)+1)</f>
        <v>Machine 2</v>
      </c>
      <c r="F206">
        <f t="shared" ca="1" si="30"/>
        <v>2</v>
      </c>
      <c r="G206">
        <f t="shared" ca="1" si="31"/>
        <v>0</v>
      </c>
      <c r="H206">
        <f ca="1">RANDBETWEEN(1,J206-2)</f>
        <v>5</v>
      </c>
      <c r="I206">
        <f t="shared" ca="1" si="32"/>
        <v>29</v>
      </c>
      <c r="J206">
        <f t="shared" ca="1" si="33"/>
        <v>9</v>
      </c>
    </row>
    <row r="207" spans="1:10" x14ac:dyDescent="0.25">
      <c r="A207" t="s">
        <v>214</v>
      </c>
      <c r="B207" t="s">
        <v>1</v>
      </c>
      <c r="C207" t="str">
        <f t="shared" si="28"/>
        <v>058274</v>
      </c>
      <c r="D207" t="str">
        <f t="shared" si="29"/>
        <v>TOR</v>
      </c>
      <c r="E207" t="str" cm="1">
        <f t="array" ref="E207">INDEX($E$2:$E$4, MOD(ROW()-1,3)+1)</f>
        <v>Machine 3</v>
      </c>
      <c r="F207">
        <f t="shared" ca="1" si="30"/>
        <v>3</v>
      </c>
      <c r="G207">
        <f t="shared" ca="1" si="31"/>
        <v>0</v>
      </c>
      <c r="H207">
        <f ca="1">RANDBETWEEN(1,J207-2)</f>
        <v>3</v>
      </c>
      <c r="I207">
        <f t="shared" ca="1" si="32"/>
        <v>44</v>
      </c>
      <c r="J207">
        <f t="shared" ca="1" si="33"/>
        <v>8</v>
      </c>
    </row>
    <row r="208" spans="1:10" x14ac:dyDescent="0.25">
      <c r="A208" t="s">
        <v>215</v>
      </c>
      <c r="B208" t="s">
        <v>1</v>
      </c>
      <c r="C208" t="str">
        <f t="shared" si="28"/>
        <v>058278</v>
      </c>
      <c r="D208" t="str">
        <f t="shared" si="29"/>
        <v>TOR</v>
      </c>
      <c r="E208" t="str" cm="1">
        <f t="array" ref="E208">INDEX($E$2:$E$4, MOD(ROW()-1,3)+1)</f>
        <v>Machine 1</v>
      </c>
      <c r="F208">
        <f t="shared" ca="1" si="30"/>
        <v>2</v>
      </c>
      <c r="G208">
        <f t="shared" ca="1" si="31"/>
        <v>1</v>
      </c>
      <c r="H208">
        <f ca="1">RANDBETWEEN(1,J208-2)</f>
        <v>2</v>
      </c>
      <c r="I208">
        <f t="shared" ca="1" si="32"/>
        <v>38</v>
      </c>
      <c r="J208">
        <f t="shared" ca="1" si="33"/>
        <v>5</v>
      </c>
    </row>
    <row r="209" spans="1:10" x14ac:dyDescent="0.25">
      <c r="A209" t="s">
        <v>216</v>
      </c>
      <c r="B209" t="s">
        <v>1</v>
      </c>
      <c r="C209" t="str">
        <f t="shared" si="28"/>
        <v>058296</v>
      </c>
      <c r="D209" t="str">
        <f t="shared" si="29"/>
        <v>TOR</v>
      </c>
      <c r="E209" t="str" cm="1">
        <f t="array" ref="E209">INDEX($E$2:$E$4, MOD(ROW()-1,3)+1)</f>
        <v>Machine 2</v>
      </c>
      <c r="F209">
        <f t="shared" ca="1" si="30"/>
        <v>3</v>
      </c>
      <c r="G209">
        <f t="shared" ca="1" si="31"/>
        <v>0</v>
      </c>
      <c r="H209">
        <f ca="1">RANDBETWEEN(1,J209-2)</f>
        <v>6</v>
      </c>
      <c r="I209">
        <f t="shared" ca="1" si="32"/>
        <v>33</v>
      </c>
      <c r="J209">
        <f t="shared" ca="1" si="33"/>
        <v>13</v>
      </c>
    </row>
    <row r="210" spans="1:10" x14ac:dyDescent="0.25">
      <c r="A210" t="s">
        <v>217</v>
      </c>
      <c r="B210" t="s">
        <v>1</v>
      </c>
      <c r="C210" t="str">
        <f t="shared" si="28"/>
        <v>058298</v>
      </c>
      <c r="D210" t="str">
        <f t="shared" si="29"/>
        <v>TOR</v>
      </c>
      <c r="E210" t="str" cm="1">
        <f t="array" ref="E210">INDEX($E$2:$E$4, MOD(ROW()-1,3)+1)</f>
        <v>Machine 3</v>
      </c>
      <c r="F210">
        <f t="shared" ca="1" si="30"/>
        <v>2</v>
      </c>
      <c r="G210">
        <f t="shared" ca="1" si="31"/>
        <v>1</v>
      </c>
      <c r="H210">
        <f ca="1">RANDBETWEEN(1,J210-2)</f>
        <v>1</v>
      </c>
      <c r="I210">
        <f t="shared" ca="1" si="32"/>
        <v>31</v>
      </c>
      <c r="J210">
        <f t="shared" ca="1" si="33"/>
        <v>12</v>
      </c>
    </row>
    <row r="211" spans="1:10" x14ac:dyDescent="0.25">
      <c r="A211" t="s">
        <v>218</v>
      </c>
      <c r="B211" t="s">
        <v>1</v>
      </c>
      <c r="C211" t="str">
        <f t="shared" si="28"/>
        <v>058313</v>
      </c>
      <c r="D211" t="str">
        <f t="shared" si="29"/>
        <v>TOR</v>
      </c>
      <c r="E211" t="str" cm="1">
        <f t="array" ref="E211">INDEX($E$2:$E$4, MOD(ROW()-1,3)+1)</f>
        <v>Machine 1</v>
      </c>
      <c r="F211">
        <f t="shared" ca="1" si="30"/>
        <v>3</v>
      </c>
      <c r="G211">
        <f t="shared" ca="1" si="31"/>
        <v>0</v>
      </c>
      <c r="H211">
        <f ca="1">RANDBETWEEN(1,J211-2)</f>
        <v>7</v>
      </c>
      <c r="I211">
        <f t="shared" ca="1" si="32"/>
        <v>33</v>
      </c>
      <c r="J211">
        <f t="shared" ca="1" si="33"/>
        <v>11</v>
      </c>
    </row>
    <row r="212" spans="1:10" x14ac:dyDescent="0.25">
      <c r="A212" t="s">
        <v>219</v>
      </c>
      <c r="B212" t="s">
        <v>1</v>
      </c>
      <c r="C212" t="str">
        <f t="shared" si="28"/>
        <v>058320</v>
      </c>
      <c r="D212" t="str">
        <f t="shared" si="29"/>
        <v>TOR</v>
      </c>
      <c r="E212" t="str" cm="1">
        <f t="array" ref="E212">INDEX($E$2:$E$4, MOD(ROW()-1,3)+1)</f>
        <v>Machine 2</v>
      </c>
      <c r="F212">
        <f t="shared" ca="1" si="30"/>
        <v>2</v>
      </c>
      <c r="G212">
        <f t="shared" ca="1" si="31"/>
        <v>1</v>
      </c>
      <c r="H212">
        <f ca="1">RANDBETWEEN(1,J212-2)</f>
        <v>2</v>
      </c>
      <c r="I212">
        <f t="shared" ca="1" si="32"/>
        <v>34</v>
      </c>
      <c r="J212">
        <f t="shared" ca="1" si="33"/>
        <v>7</v>
      </c>
    </row>
    <row r="213" spans="1:10" x14ac:dyDescent="0.25">
      <c r="A213" t="s">
        <v>220</v>
      </c>
      <c r="B213" t="s">
        <v>1</v>
      </c>
      <c r="C213" t="str">
        <f t="shared" si="28"/>
        <v>058329</v>
      </c>
      <c r="D213" t="str">
        <f t="shared" si="29"/>
        <v>TOR</v>
      </c>
      <c r="E213" t="str" cm="1">
        <f t="array" ref="E213">INDEX($E$2:$E$4, MOD(ROW()-1,3)+1)</f>
        <v>Machine 3</v>
      </c>
      <c r="F213">
        <f t="shared" ca="1" si="30"/>
        <v>3</v>
      </c>
      <c r="G213">
        <f t="shared" ca="1" si="31"/>
        <v>0</v>
      </c>
      <c r="H213">
        <f ca="1">RANDBETWEEN(1,J213-2)</f>
        <v>9</v>
      </c>
      <c r="I213">
        <f t="shared" ca="1" si="32"/>
        <v>44</v>
      </c>
      <c r="J213">
        <f t="shared" ca="1" si="33"/>
        <v>13</v>
      </c>
    </row>
    <row r="214" spans="1:10" x14ac:dyDescent="0.25">
      <c r="A214" t="s">
        <v>221</v>
      </c>
      <c r="B214" t="s">
        <v>1</v>
      </c>
      <c r="C214" t="str">
        <f t="shared" si="28"/>
        <v>058331</v>
      </c>
      <c r="D214" t="str">
        <f t="shared" si="29"/>
        <v>TOR</v>
      </c>
      <c r="E214" t="str" cm="1">
        <f t="array" ref="E214">INDEX($E$2:$E$4, MOD(ROW()-1,3)+1)</f>
        <v>Machine 1</v>
      </c>
      <c r="F214">
        <f t="shared" ca="1" si="30"/>
        <v>3</v>
      </c>
      <c r="G214">
        <f t="shared" ca="1" si="31"/>
        <v>1</v>
      </c>
      <c r="H214">
        <f ca="1">RANDBETWEEN(1,J214-2)</f>
        <v>7</v>
      </c>
      <c r="I214">
        <f t="shared" ca="1" si="32"/>
        <v>26</v>
      </c>
      <c r="J214">
        <f t="shared" ca="1" si="33"/>
        <v>10</v>
      </c>
    </row>
    <row r="215" spans="1:10" x14ac:dyDescent="0.25">
      <c r="A215" t="s">
        <v>222</v>
      </c>
      <c r="B215" t="s">
        <v>1</v>
      </c>
      <c r="C215" t="str">
        <f t="shared" si="28"/>
        <v>058334</v>
      </c>
      <c r="D215" t="str">
        <f t="shared" si="29"/>
        <v>TOR</v>
      </c>
      <c r="E215" t="str" cm="1">
        <f t="array" ref="E215">INDEX($E$2:$E$4, MOD(ROW()-1,3)+1)</f>
        <v>Machine 2</v>
      </c>
      <c r="F215">
        <f t="shared" ca="1" si="30"/>
        <v>2</v>
      </c>
      <c r="G215">
        <f t="shared" ca="1" si="31"/>
        <v>1</v>
      </c>
      <c r="H215">
        <f ca="1">RANDBETWEEN(1,J215-2)</f>
        <v>10</v>
      </c>
      <c r="I215">
        <f t="shared" ca="1" si="32"/>
        <v>40</v>
      </c>
      <c r="J215">
        <f t="shared" ca="1" si="33"/>
        <v>13</v>
      </c>
    </row>
    <row r="216" spans="1:10" x14ac:dyDescent="0.25">
      <c r="A216" t="s">
        <v>223</v>
      </c>
      <c r="B216" t="s">
        <v>1</v>
      </c>
      <c r="C216" t="str">
        <f t="shared" si="28"/>
        <v>058336</v>
      </c>
      <c r="D216" t="str">
        <f t="shared" si="29"/>
        <v>TOR</v>
      </c>
      <c r="E216" t="str" cm="1">
        <f t="array" ref="E216">INDEX($E$2:$E$4, MOD(ROW()-1,3)+1)</f>
        <v>Machine 3</v>
      </c>
      <c r="F216">
        <f t="shared" ca="1" si="30"/>
        <v>3</v>
      </c>
      <c r="G216">
        <f t="shared" ca="1" si="31"/>
        <v>0</v>
      </c>
      <c r="H216">
        <f ca="1">RANDBETWEEN(1,J216-2)</f>
        <v>6</v>
      </c>
      <c r="I216">
        <f t="shared" ca="1" si="32"/>
        <v>44</v>
      </c>
      <c r="J216">
        <f t="shared" ca="1" si="33"/>
        <v>10</v>
      </c>
    </row>
    <row r="217" spans="1:10" x14ac:dyDescent="0.25">
      <c r="A217" t="s">
        <v>224</v>
      </c>
      <c r="B217" t="s">
        <v>1</v>
      </c>
      <c r="C217" t="str">
        <f t="shared" si="28"/>
        <v>058338</v>
      </c>
      <c r="D217" t="str">
        <f t="shared" si="29"/>
        <v>TOR</v>
      </c>
      <c r="E217" t="str" cm="1">
        <f t="array" ref="E217">INDEX($E$2:$E$4, MOD(ROW()-1,3)+1)</f>
        <v>Machine 1</v>
      </c>
      <c r="F217">
        <f t="shared" ca="1" si="30"/>
        <v>3</v>
      </c>
      <c r="G217">
        <f t="shared" ca="1" si="31"/>
        <v>1</v>
      </c>
      <c r="H217">
        <f ca="1">RANDBETWEEN(1,J217-2)</f>
        <v>7</v>
      </c>
      <c r="I217">
        <f t="shared" ca="1" si="32"/>
        <v>41</v>
      </c>
      <c r="J217">
        <f t="shared" ca="1" si="33"/>
        <v>13</v>
      </c>
    </row>
    <row r="218" spans="1:10" x14ac:dyDescent="0.25">
      <c r="A218" t="s">
        <v>225</v>
      </c>
      <c r="B218" t="s">
        <v>1</v>
      </c>
      <c r="C218" t="str">
        <f t="shared" si="28"/>
        <v>058368</v>
      </c>
      <c r="D218" t="str">
        <f t="shared" si="29"/>
        <v>TOR</v>
      </c>
      <c r="E218" t="str" cm="1">
        <f t="array" ref="E218">INDEX($E$2:$E$4, MOD(ROW()-1,3)+1)</f>
        <v>Machine 2</v>
      </c>
      <c r="F218">
        <f t="shared" ca="1" si="30"/>
        <v>2</v>
      </c>
      <c r="G218">
        <f t="shared" ca="1" si="31"/>
        <v>1</v>
      </c>
      <c r="H218">
        <f ca="1">RANDBETWEEN(1,J218-2)</f>
        <v>2</v>
      </c>
      <c r="I218">
        <f t="shared" ca="1" si="32"/>
        <v>45</v>
      </c>
      <c r="J218">
        <f t="shared" ca="1" si="33"/>
        <v>9</v>
      </c>
    </row>
    <row r="219" spans="1:10" x14ac:dyDescent="0.25">
      <c r="A219" t="s">
        <v>226</v>
      </c>
      <c r="B219" t="s">
        <v>1</v>
      </c>
      <c r="C219" t="str">
        <f t="shared" si="28"/>
        <v>058372</v>
      </c>
      <c r="D219" t="str">
        <f t="shared" si="29"/>
        <v>TOR</v>
      </c>
      <c r="E219" t="str" cm="1">
        <f t="array" ref="E219">INDEX($E$2:$E$4, MOD(ROW()-1,3)+1)</f>
        <v>Machine 3</v>
      </c>
      <c r="F219">
        <f t="shared" ca="1" si="30"/>
        <v>2</v>
      </c>
      <c r="G219">
        <f t="shared" ca="1" si="31"/>
        <v>0</v>
      </c>
      <c r="H219">
        <f ca="1">RANDBETWEEN(1,J219-2)</f>
        <v>3</v>
      </c>
      <c r="I219">
        <f t="shared" ca="1" si="32"/>
        <v>26</v>
      </c>
      <c r="J219">
        <f t="shared" ca="1" si="33"/>
        <v>6</v>
      </c>
    </row>
    <row r="220" spans="1:10" x14ac:dyDescent="0.25">
      <c r="A220" t="s">
        <v>227</v>
      </c>
      <c r="B220" t="s">
        <v>1</v>
      </c>
      <c r="C220" t="str">
        <f t="shared" si="28"/>
        <v>058374</v>
      </c>
      <c r="D220" t="str">
        <f t="shared" si="29"/>
        <v>TOR</v>
      </c>
      <c r="E220" t="str" cm="1">
        <f t="array" ref="E220">INDEX($E$2:$E$4, MOD(ROW()-1,3)+1)</f>
        <v>Machine 1</v>
      </c>
      <c r="F220">
        <f t="shared" ca="1" si="30"/>
        <v>3</v>
      </c>
      <c r="G220">
        <f t="shared" ca="1" si="31"/>
        <v>1</v>
      </c>
      <c r="H220">
        <f ca="1">RANDBETWEEN(1,J220-2)</f>
        <v>1</v>
      </c>
      <c r="I220">
        <f t="shared" ca="1" si="32"/>
        <v>24</v>
      </c>
      <c r="J220">
        <f t="shared" ca="1" si="33"/>
        <v>10</v>
      </c>
    </row>
    <row r="221" spans="1:10" x14ac:dyDescent="0.25">
      <c r="A221" t="s">
        <v>228</v>
      </c>
      <c r="B221" t="s">
        <v>1</v>
      </c>
      <c r="C221" t="str">
        <f t="shared" si="28"/>
        <v>058376</v>
      </c>
      <c r="D221" t="str">
        <f t="shared" si="29"/>
        <v>TOR</v>
      </c>
      <c r="E221" t="str" cm="1">
        <f t="array" ref="E221">INDEX($E$2:$E$4, MOD(ROW()-1,3)+1)</f>
        <v>Machine 2</v>
      </c>
      <c r="F221">
        <f t="shared" ca="1" si="30"/>
        <v>2</v>
      </c>
      <c r="G221">
        <f t="shared" ca="1" si="31"/>
        <v>1</v>
      </c>
      <c r="H221">
        <f ca="1">RANDBETWEEN(1,J221-2)</f>
        <v>1</v>
      </c>
      <c r="I221">
        <f t="shared" ca="1" si="32"/>
        <v>44</v>
      </c>
      <c r="J221">
        <f t="shared" ca="1" si="33"/>
        <v>7</v>
      </c>
    </row>
    <row r="222" spans="1:10" x14ac:dyDescent="0.25">
      <c r="A222" t="s">
        <v>229</v>
      </c>
      <c r="B222" t="s">
        <v>1</v>
      </c>
      <c r="C222" t="str">
        <f t="shared" si="28"/>
        <v>058379</v>
      </c>
      <c r="D222" t="str">
        <f t="shared" si="29"/>
        <v>TOR</v>
      </c>
      <c r="E222" t="str" cm="1">
        <f t="array" ref="E222">INDEX($E$2:$E$4, MOD(ROW()-1,3)+1)</f>
        <v>Machine 3</v>
      </c>
      <c r="F222">
        <f t="shared" ca="1" si="30"/>
        <v>2</v>
      </c>
      <c r="G222">
        <f t="shared" ca="1" si="31"/>
        <v>0</v>
      </c>
      <c r="H222">
        <f ca="1">RANDBETWEEN(1,J222-2)</f>
        <v>2</v>
      </c>
      <c r="I222">
        <f t="shared" ca="1" si="32"/>
        <v>47</v>
      </c>
      <c r="J222">
        <f t="shared" ca="1" si="33"/>
        <v>6</v>
      </c>
    </row>
    <row r="223" spans="1:10" x14ac:dyDescent="0.25">
      <c r="A223" t="s">
        <v>230</v>
      </c>
      <c r="B223" t="s">
        <v>1</v>
      </c>
      <c r="C223" t="str">
        <f t="shared" si="28"/>
        <v>058382</v>
      </c>
      <c r="D223" t="str">
        <f t="shared" si="29"/>
        <v>TOR</v>
      </c>
      <c r="E223" t="str" cm="1">
        <f t="array" ref="E223">INDEX($E$2:$E$4, MOD(ROW()-1,3)+1)</f>
        <v>Machine 1</v>
      </c>
      <c r="F223">
        <f t="shared" ca="1" si="30"/>
        <v>2</v>
      </c>
      <c r="G223">
        <f t="shared" ca="1" si="31"/>
        <v>0</v>
      </c>
      <c r="H223">
        <f ca="1">RANDBETWEEN(1,J223-2)</f>
        <v>2</v>
      </c>
      <c r="I223">
        <f t="shared" ca="1" si="32"/>
        <v>47</v>
      </c>
      <c r="J223">
        <f t="shared" ca="1" si="33"/>
        <v>13</v>
      </c>
    </row>
    <row r="224" spans="1:10" x14ac:dyDescent="0.25">
      <c r="A224" t="s">
        <v>231</v>
      </c>
      <c r="B224" t="s">
        <v>1</v>
      </c>
      <c r="C224" t="str">
        <f t="shared" si="28"/>
        <v>058384</v>
      </c>
      <c r="D224" t="str">
        <f t="shared" si="29"/>
        <v>TOR</v>
      </c>
      <c r="E224" t="str" cm="1">
        <f t="array" ref="E224">INDEX($E$2:$E$4, MOD(ROW()-1,3)+1)</f>
        <v>Machine 2</v>
      </c>
      <c r="F224">
        <f t="shared" ca="1" si="30"/>
        <v>3</v>
      </c>
      <c r="G224">
        <f t="shared" ca="1" si="31"/>
        <v>0</v>
      </c>
      <c r="H224">
        <f ca="1">RANDBETWEEN(1,J224-2)</f>
        <v>7</v>
      </c>
      <c r="I224">
        <f t="shared" ca="1" si="32"/>
        <v>46</v>
      </c>
      <c r="J224">
        <f t="shared" ca="1" si="33"/>
        <v>15</v>
      </c>
    </row>
    <row r="225" spans="1:10" x14ac:dyDescent="0.25">
      <c r="A225" t="s">
        <v>232</v>
      </c>
      <c r="B225" t="s">
        <v>1</v>
      </c>
      <c r="C225" t="str">
        <f t="shared" si="28"/>
        <v>058386</v>
      </c>
      <c r="D225" t="str">
        <f t="shared" si="29"/>
        <v>TOR</v>
      </c>
      <c r="E225" t="str" cm="1">
        <f t="array" ref="E225">INDEX($E$2:$E$4, MOD(ROW()-1,3)+1)</f>
        <v>Machine 3</v>
      </c>
      <c r="F225">
        <f t="shared" ca="1" si="30"/>
        <v>3</v>
      </c>
      <c r="G225">
        <f t="shared" ca="1" si="31"/>
        <v>1</v>
      </c>
      <c r="H225">
        <f ca="1">RANDBETWEEN(1,J225-2)</f>
        <v>1</v>
      </c>
      <c r="I225">
        <f t="shared" ca="1" si="32"/>
        <v>35</v>
      </c>
      <c r="J225">
        <f t="shared" ca="1" si="33"/>
        <v>6</v>
      </c>
    </row>
    <row r="226" spans="1:10" x14ac:dyDescent="0.25">
      <c r="A226" t="s">
        <v>233</v>
      </c>
      <c r="B226" t="s">
        <v>1</v>
      </c>
      <c r="C226" t="str">
        <f t="shared" si="28"/>
        <v>058388</v>
      </c>
      <c r="D226" t="str">
        <f t="shared" si="29"/>
        <v>TOR</v>
      </c>
      <c r="E226" t="str" cm="1">
        <f t="array" ref="E226">INDEX($E$2:$E$4, MOD(ROW()-1,3)+1)</f>
        <v>Machine 1</v>
      </c>
      <c r="F226">
        <f t="shared" ca="1" si="30"/>
        <v>3</v>
      </c>
      <c r="G226">
        <f t="shared" ca="1" si="31"/>
        <v>1</v>
      </c>
      <c r="H226">
        <f ca="1">RANDBETWEEN(1,J226-2)</f>
        <v>1</v>
      </c>
      <c r="I226">
        <f t="shared" ca="1" si="32"/>
        <v>48</v>
      </c>
      <c r="J226">
        <f t="shared" ca="1" si="33"/>
        <v>8</v>
      </c>
    </row>
    <row r="227" spans="1:10" x14ac:dyDescent="0.25">
      <c r="A227" t="s">
        <v>234</v>
      </c>
      <c r="B227" t="s">
        <v>1</v>
      </c>
      <c r="C227" t="str">
        <f t="shared" si="28"/>
        <v>058418</v>
      </c>
      <c r="D227" t="str">
        <f t="shared" si="29"/>
        <v>TOR</v>
      </c>
      <c r="E227" t="str" cm="1">
        <f t="array" ref="E227">INDEX($E$2:$E$4, MOD(ROW()-1,3)+1)</f>
        <v>Machine 2</v>
      </c>
      <c r="F227">
        <f t="shared" ca="1" si="30"/>
        <v>2</v>
      </c>
      <c r="G227">
        <f t="shared" ca="1" si="31"/>
        <v>0</v>
      </c>
      <c r="H227">
        <f ca="1">RANDBETWEEN(1,J227-2)</f>
        <v>5</v>
      </c>
      <c r="I227">
        <f t="shared" ca="1" si="32"/>
        <v>28</v>
      </c>
      <c r="J227">
        <f t="shared" ca="1" si="33"/>
        <v>14</v>
      </c>
    </row>
    <row r="228" spans="1:10" x14ac:dyDescent="0.25">
      <c r="A228" t="s">
        <v>235</v>
      </c>
      <c r="B228" t="s">
        <v>1</v>
      </c>
      <c r="C228" t="str">
        <f t="shared" si="28"/>
        <v>058420</v>
      </c>
      <c r="D228" t="str">
        <f t="shared" si="29"/>
        <v>TOR</v>
      </c>
      <c r="E228" t="str" cm="1">
        <f t="array" ref="E228">INDEX($E$2:$E$4, MOD(ROW()-1,3)+1)</f>
        <v>Machine 3</v>
      </c>
      <c r="F228">
        <f t="shared" ca="1" si="30"/>
        <v>3</v>
      </c>
      <c r="G228">
        <f t="shared" ca="1" si="31"/>
        <v>1</v>
      </c>
      <c r="H228">
        <f ca="1">RANDBETWEEN(1,J228-2)</f>
        <v>1</v>
      </c>
      <c r="I228">
        <f t="shared" ca="1" si="32"/>
        <v>35</v>
      </c>
      <c r="J228">
        <f t="shared" ca="1" si="33"/>
        <v>8</v>
      </c>
    </row>
    <row r="229" spans="1:10" x14ac:dyDescent="0.25">
      <c r="A229" t="s">
        <v>236</v>
      </c>
      <c r="B229" t="s">
        <v>1</v>
      </c>
      <c r="C229" t="str">
        <f t="shared" si="28"/>
        <v>058433</v>
      </c>
      <c r="D229" t="str">
        <f t="shared" si="29"/>
        <v>TOR</v>
      </c>
      <c r="E229" t="str" cm="1">
        <f t="array" ref="E229">INDEX($E$2:$E$4, MOD(ROW()-1,3)+1)</f>
        <v>Machine 1</v>
      </c>
      <c r="F229">
        <f t="shared" ca="1" si="30"/>
        <v>3</v>
      </c>
      <c r="G229">
        <f t="shared" ca="1" si="31"/>
        <v>1</v>
      </c>
      <c r="H229">
        <f ca="1">RANDBETWEEN(1,J229-2)</f>
        <v>6</v>
      </c>
      <c r="I229">
        <f t="shared" ca="1" si="32"/>
        <v>34</v>
      </c>
      <c r="J229">
        <f t="shared" ca="1" si="33"/>
        <v>8</v>
      </c>
    </row>
    <row r="230" spans="1:10" x14ac:dyDescent="0.25">
      <c r="A230" t="s">
        <v>237</v>
      </c>
      <c r="B230" t="s">
        <v>1</v>
      </c>
      <c r="C230" t="str">
        <f t="shared" si="28"/>
        <v>058435</v>
      </c>
      <c r="D230" t="str">
        <f t="shared" si="29"/>
        <v>TOR</v>
      </c>
      <c r="E230" t="str" cm="1">
        <f t="array" ref="E230">INDEX($E$2:$E$4, MOD(ROW()-1,3)+1)</f>
        <v>Machine 2</v>
      </c>
      <c r="F230">
        <f t="shared" ca="1" si="30"/>
        <v>3</v>
      </c>
      <c r="G230">
        <f t="shared" ca="1" si="31"/>
        <v>0</v>
      </c>
      <c r="H230">
        <f ca="1">RANDBETWEEN(1,J230-2)</f>
        <v>4</v>
      </c>
      <c r="I230">
        <f t="shared" ca="1" si="32"/>
        <v>36</v>
      </c>
      <c r="J230">
        <f t="shared" ca="1" si="33"/>
        <v>6</v>
      </c>
    </row>
    <row r="231" spans="1:10" x14ac:dyDescent="0.25">
      <c r="A231" t="s">
        <v>238</v>
      </c>
      <c r="B231" t="s">
        <v>1</v>
      </c>
      <c r="C231" t="str">
        <f t="shared" si="28"/>
        <v>058439</v>
      </c>
      <c r="D231" t="str">
        <f t="shared" si="29"/>
        <v>TOR</v>
      </c>
      <c r="E231" t="str" cm="1">
        <f t="array" ref="E231">INDEX($E$2:$E$4, MOD(ROW()-1,3)+1)</f>
        <v>Machine 3</v>
      </c>
      <c r="F231">
        <f t="shared" ca="1" si="30"/>
        <v>3</v>
      </c>
      <c r="G231">
        <f t="shared" ca="1" si="31"/>
        <v>1</v>
      </c>
      <c r="H231">
        <f ca="1">RANDBETWEEN(1,J231-2)</f>
        <v>4</v>
      </c>
      <c r="I231">
        <f t="shared" ca="1" si="32"/>
        <v>34</v>
      </c>
      <c r="J231">
        <f t="shared" ca="1" si="33"/>
        <v>9</v>
      </c>
    </row>
    <row r="232" spans="1:10" x14ac:dyDescent="0.25">
      <c r="A232" t="s">
        <v>239</v>
      </c>
      <c r="B232" t="s">
        <v>1</v>
      </c>
      <c r="C232" t="str">
        <f t="shared" si="28"/>
        <v>058666</v>
      </c>
      <c r="D232" t="str">
        <f t="shared" si="29"/>
        <v>TOR</v>
      </c>
      <c r="E232" t="str" cm="1">
        <f t="array" ref="E232">INDEX($E$2:$E$4, MOD(ROW()-1,3)+1)</f>
        <v>Machine 1</v>
      </c>
      <c r="F232">
        <f t="shared" ca="1" si="30"/>
        <v>2</v>
      </c>
      <c r="G232">
        <f t="shared" ca="1" si="31"/>
        <v>0</v>
      </c>
      <c r="H232">
        <f ca="1">RANDBETWEEN(1,J232-2)</f>
        <v>2</v>
      </c>
      <c r="I232">
        <f t="shared" ca="1" si="32"/>
        <v>31</v>
      </c>
      <c r="J232">
        <f t="shared" ca="1" si="33"/>
        <v>10</v>
      </c>
    </row>
    <row r="233" spans="1:10" x14ac:dyDescent="0.25">
      <c r="A233" t="s">
        <v>240</v>
      </c>
      <c r="B233" t="s">
        <v>1</v>
      </c>
      <c r="C233" t="str">
        <f t="shared" si="28"/>
        <v>058668</v>
      </c>
      <c r="D233" t="str">
        <f t="shared" si="29"/>
        <v>TOR</v>
      </c>
      <c r="E233" t="str" cm="1">
        <f t="array" ref="E233">INDEX($E$2:$E$4, MOD(ROW()-1,3)+1)</f>
        <v>Machine 2</v>
      </c>
      <c r="F233">
        <f t="shared" ca="1" si="30"/>
        <v>2</v>
      </c>
      <c r="G233">
        <f t="shared" ca="1" si="31"/>
        <v>1</v>
      </c>
      <c r="H233">
        <f ca="1">RANDBETWEEN(1,J233-2)</f>
        <v>4</v>
      </c>
      <c r="I233">
        <f t="shared" ca="1" si="32"/>
        <v>37</v>
      </c>
      <c r="J233">
        <f t="shared" ca="1" si="33"/>
        <v>6</v>
      </c>
    </row>
    <row r="234" spans="1:10" x14ac:dyDescent="0.25">
      <c r="A234" t="s">
        <v>241</v>
      </c>
      <c r="B234" t="s">
        <v>1</v>
      </c>
      <c r="C234" t="str">
        <f t="shared" si="28"/>
        <v>058672</v>
      </c>
      <c r="D234" t="str">
        <f t="shared" si="29"/>
        <v>TOR</v>
      </c>
      <c r="E234" t="str" cm="1">
        <f t="array" ref="E234">INDEX($E$2:$E$4, MOD(ROW()-1,3)+1)</f>
        <v>Machine 3</v>
      </c>
      <c r="F234">
        <f t="shared" ca="1" si="30"/>
        <v>3</v>
      </c>
      <c r="G234">
        <f t="shared" ca="1" si="31"/>
        <v>1</v>
      </c>
      <c r="H234">
        <f ca="1">RANDBETWEEN(1,J234-2)</f>
        <v>3</v>
      </c>
      <c r="I234">
        <f t="shared" ca="1" si="32"/>
        <v>36</v>
      </c>
      <c r="J234">
        <f t="shared" ca="1" si="33"/>
        <v>11</v>
      </c>
    </row>
    <row r="235" spans="1:10" x14ac:dyDescent="0.25">
      <c r="A235" t="s">
        <v>242</v>
      </c>
      <c r="B235" t="s">
        <v>1</v>
      </c>
      <c r="C235" t="str">
        <f t="shared" si="28"/>
        <v>058675</v>
      </c>
      <c r="D235" t="str">
        <f t="shared" si="29"/>
        <v>TOR</v>
      </c>
      <c r="E235" t="str" cm="1">
        <f t="array" ref="E235">INDEX($E$2:$E$4, MOD(ROW()-1,3)+1)</f>
        <v>Machine 1</v>
      </c>
      <c r="F235">
        <f t="shared" ca="1" si="30"/>
        <v>2</v>
      </c>
      <c r="G235">
        <f t="shared" ca="1" si="31"/>
        <v>1</v>
      </c>
      <c r="H235">
        <f ca="1">RANDBETWEEN(1,J235-2)</f>
        <v>8</v>
      </c>
      <c r="I235">
        <f t="shared" ca="1" si="32"/>
        <v>31</v>
      </c>
      <c r="J235">
        <f t="shared" ca="1" si="33"/>
        <v>13</v>
      </c>
    </row>
    <row r="236" spans="1:10" x14ac:dyDescent="0.25">
      <c r="A236" t="s">
        <v>243</v>
      </c>
      <c r="B236" t="s">
        <v>1</v>
      </c>
      <c r="C236" t="str">
        <f t="shared" si="28"/>
        <v>058678</v>
      </c>
      <c r="D236" t="str">
        <f t="shared" si="29"/>
        <v>TOR</v>
      </c>
      <c r="E236" t="str" cm="1">
        <f t="array" ref="E236">INDEX($E$2:$E$4, MOD(ROW()-1,3)+1)</f>
        <v>Machine 2</v>
      </c>
      <c r="F236">
        <f t="shared" ca="1" si="30"/>
        <v>3</v>
      </c>
      <c r="G236">
        <f t="shared" ca="1" si="31"/>
        <v>0</v>
      </c>
      <c r="H236">
        <f ca="1">RANDBETWEEN(1,J236-2)</f>
        <v>7</v>
      </c>
      <c r="I236">
        <f t="shared" ca="1" si="32"/>
        <v>41</v>
      </c>
      <c r="J236">
        <f t="shared" ca="1" si="33"/>
        <v>13</v>
      </c>
    </row>
    <row r="237" spans="1:10" x14ac:dyDescent="0.25">
      <c r="A237" t="s">
        <v>244</v>
      </c>
      <c r="B237" t="s">
        <v>1</v>
      </c>
      <c r="C237" t="str">
        <f t="shared" si="28"/>
        <v>058680</v>
      </c>
      <c r="D237" t="str">
        <f t="shared" si="29"/>
        <v>TOR</v>
      </c>
      <c r="E237" t="str" cm="1">
        <f t="array" ref="E237">INDEX($E$2:$E$4, MOD(ROW()-1,3)+1)</f>
        <v>Machine 3</v>
      </c>
      <c r="F237">
        <f t="shared" ca="1" si="30"/>
        <v>2</v>
      </c>
      <c r="G237">
        <f t="shared" ca="1" si="31"/>
        <v>0</v>
      </c>
      <c r="H237">
        <f ca="1">RANDBETWEEN(1,J237-2)</f>
        <v>2</v>
      </c>
      <c r="I237">
        <f t="shared" ca="1" si="32"/>
        <v>36</v>
      </c>
      <c r="J237">
        <f t="shared" ca="1" si="33"/>
        <v>5</v>
      </c>
    </row>
    <row r="238" spans="1:10" x14ac:dyDescent="0.25">
      <c r="A238" t="s">
        <v>245</v>
      </c>
      <c r="B238" t="s">
        <v>1</v>
      </c>
      <c r="C238" t="str">
        <f t="shared" si="28"/>
        <v>058683</v>
      </c>
      <c r="D238" t="str">
        <f t="shared" si="29"/>
        <v>TOR</v>
      </c>
      <c r="E238" t="str" cm="1">
        <f t="array" ref="E238">INDEX($E$2:$E$4, MOD(ROW()-1,3)+1)</f>
        <v>Machine 1</v>
      </c>
      <c r="F238">
        <f t="shared" ca="1" si="30"/>
        <v>3</v>
      </c>
      <c r="G238">
        <f t="shared" ca="1" si="31"/>
        <v>0</v>
      </c>
      <c r="H238">
        <f ca="1">RANDBETWEEN(1,J238-2)</f>
        <v>2</v>
      </c>
      <c r="I238">
        <f t="shared" ca="1" si="32"/>
        <v>36</v>
      </c>
      <c r="J238">
        <f t="shared" ca="1" si="33"/>
        <v>6</v>
      </c>
    </row>
    <row r="239" spans="1:10" x14ac:dyDescent="0.25">
      <c r="A239" t="s">
        <v>246</v>
      </c>
      <c r="B239" t="s">
        <v>1</v>
      </c>
      <c r="C239" t="str">
        <f t="shared" si="28"/>
        <v>058686</v>
      </c>
      <c r="D239" t="str">
        <f t="shared" si="29"/>
        <v>TOR</v>
      </c>
      <c r="E239" t="str" cm="1">
        <f t="array" ref="E239">INDEX($E$2:$E$4, MOD(ROW()-1,3)+1)</f>
        <v>Machine 2</v>
      </c>
      <c r="F239">
        <f t="shared" ca="1" si="30"/>
        <v>2</v>
      </c>
      <c r="G239">
        <f t="shared" ca="1" si="31"/>
        <v>0</v>
      </c>
      <c r="H239">
        <f ca="1">RANDBETWEEN(1,J239-2)</f>
        <v>5</v>
      </c>
      <c r="I239">
        <f t="shared" ca="1" si="32"/>
        <v>41</v>
      </c>
      <c r="J239">
        <f t="shared" ca="1" si="33"/>
        <v>8</v>
      </c>
    </row>
    <row r="240" spans="1:10" x14ac:dyDescent="0.25">
      <c r="A240" t="s">
        <v>247</v>
      </c>
      <c r="B240" t="s">
        <v>1</v>
      </c>
      <c r="C240" t="str">
        <f t="shared" si="28"/>
        <v>058688</v>
      </c>
      <c r="D240" t="str">
        <f t="shared" si="29"/>
        <v>TOR</v>
      </c>
      <c r="E240" t="str" cm="1">
        <f t="array" ref="E240">INDEX($E$2:$E$4, MOD(ROW()-1,3)+1)</f>
        <v>Machine 3</v>
      </c>
      <c r="F240">
        <f t="shared" ca="1" si="30"/>
        <v>3</v>
      </c>
      <c r="G240">
        <f t="shared" ca="1" si="31"/>
        <v>1</v>
      </c>
      <c r="H240">
        <f ca="1">RANDBETWEEN(1,J240-2)</f>
        <v>3</v>
      </c>
      <c r="I240">
        <f t="shared" ca="1" si="32"/>
        <v>29</v>
      </c>
      <c r="J240">
        <f t="shared" ca="1" si="33"/>
        <v>8</v>
      </c>
    </row>
    <row r="241" spans="1:10" x14ac:dyDescent="0.25">
      <c r="A241" t="s">
        <v>248</v>
      </c>
      <c r="B241" t="s">
        <v>1</v>
      </c>
      <c r="C241" t="str">
        <f t="shared" si="28"/>
        <v>058690</v>
      </c>
      <c r="D241" t="str">
        <f t="shared" si="29"/>
        <v>TOR</v>
      </c>
      <c r="E241" t="str" cm="1">
        <f t="array" ref="E241">INDEX($E$2:$E$4, MOD(ROW()-1,3)+1)</f>
        <v>Machine 1</v>
      </c>
      <c r="F241">
        <f t="shared" ca="1" si="30"/>
        <v>2</v>
      </c>
      <c r="G241">
        <f t="shared" ca="1" si="31"/>
        <v>1</v>
      </c>
      <c r="H241">
        <f ca="1">RANDBETWEEN(1,J241-2)</f>
        <v>1</v>
      </c>
      <c r="I241">
        <f t="shared" ca="1" si="32"/>
        <v>33</v>
      </c>
      <c r="J241">
        <f t="shared" ca="1" si="33"/>
        <v>12</v>
      </c>
    </row>
    <row r="242" spans="1:10" x14ac:dyDescent="0.25">
      <c r="A242" t="s">
        <v>249</v>
      </c>
      <c r="B242" t="s">
        <v>1</v>
      </c>
      <c r="C242" t="str">
        <f t="shared" si="28"/>
        <v>058693</v>
      </c>
      <c r="D242" t="str">
        <f t="shared" si="29"/>
        <v>TOR</v>
      </c>
      <c r="E242" t="str" cm="1">
        <f t="array" ref="E242">INDEX($E$2:$E$4, MOD(ROW()-1,3)+1)</f>
        <v>Machine 2</v>
      </c>
      <c r="F242">
        <f t="shared" ca="1" si="30"/>
        <v>2</v>
      </c>
      <c r="G242">
        <f t="shared" ca="1" si="31"/>
        <v>1</v>
      </c>
      <c r="H242">
        <f ca="1">RANDBETWEEN(1,J242-2)</f>
        <v>1</v>
      </c>
      <c r="I242">
        <f t="shared" ca="1" si="32"/>
        <v>41</v>
      </c>
      <c r="J242">
        <f t="shared" ca="1" si="33"/>
        <v>8</v>
      </c>
    </row>
    <row r="243" spans="1:10" x14ac:dyDescent="0.25">
      <c r="A243" t="s">
        <v>250</v>
      </c>
      <c r="B243" t="s">
        <v>1</v>
      </c>
      <c r="C243" t="str">
        <f t="shared" si="28"/>
        <v>058695</v>
      </c>
      <c r="D243" t="str">
        <f t="shared" si="29"/>
        <v>TOR</v>
      </c>
      <c r="E243" t="str" cm="1">
        <f t="array" ref="E243">INDEX($E$2:$E$4, MOD(ROW()-1,3)+1)</f>
        <v>Machine 3</v>
      </c>
      <c r="F243">
        <f t="shared" ca="1" si="30"/>
        <v>3</v>
      </c>
      <c r="G243">
        <f t="shared" ca="1" si="31"/>
        <v>0</v>
      </c>
      <c r="H243">
        <f ca="1">RANDBETWEEN(1,J243-2)</f>
        <v>9</v>
      </c>
      <c r="I243">
        <f t="shared" ca="1" si="32"/>
        <v>24</v>
      </c>
      <c r="J243">
        <f t="shared" ca="1" si="33"/>
        <v>13</v>
      </c>
    </row>
    <row r="244" spans="1:10" x14ac:dyDescent="0.25">
      <c r="A244" t="s">
        <v>251</v>
      </c>
      <c r="B244" t="s">
        <v>1</v>
      </c>
      <c r="C244" t="str">
        <f t="shared" si="28"/>
        <v>058697</v>
      </c>
      <c r="D244" t="str">
        <f t="shared" si="29"/>
        <v>TOR</v>
      </c>
      <c r="E244" t="str" cm="1">
        <f t="array" ref="E244">INDEX($E$2:$E$4, MOD(ROW()-1,3)+1)</f>
        <v>Machine 1</v>
      </c>
      <c r="F244">
        <f t="shared" ca="1" si="30"/>
        <v>3</v>
      </c>
      <c r="G244">
        <f t="shared" ca="1" si="31"/>
        <v>1</v>
      </c>
      <c r="H244">
        <f ca="1">RANDBETWEEN(1,J244-2)</f>
        <v>3</v>
      </c>
      <c r="I244">
        <f t="shared" ca="1" si="32"/>
        <v>44</v>
      </c>
      <c r="J244">
        <f t="shared" ca="1" si="33"/>
        <v>12</v>
      </c>
    </row>
    <row r="245" spans="1:10" x14ac:dyDescent="0.25">
      <c r="A245" t="s">
        <v>252</v>
      </c>
      <c r="B245" t="s">
        <v>1</v>
      </c>
      <c r="C245" t="str">
        <f t="shared" si="28"/>
        <v>058699</v>
      </c>
      <c r="D245" t="str">
        <f t="shared" si="29"/>
        <v>TOR</v>
      </c>
      <c r="E245" t="str" cm="1">
        <f t="array" ref="E245">INDEX($E$2:$E$4, MOD(ROW()-1,3)+1)</f>
        <v>Machine 2</v>
      </c>
      <c r="F245">
        <f t="shared" ca="1" si="30"/>
        <v>3</v>
      </c>
      <c r="G245">
        <f t="shared" ca="1" si="31"/>
        <v>1</v>
      </c>
      <c r="H245">
        <f ca="1">RANDBETWEEN(1,J245-2)</f>
        <v>1</v>
      </c>
      <c r="I245">
        <f t="shared" ca="1" si="32"/>
        <v>30</v>
      </c>
      <c r="J245">
        <f t="shared" ca="1" si="33"/>
        <v>7</v>
      </c>
    </row>
    <row r="246" spans="1:10" x14ac:dyDescent="0.25">
      <c r="A246" t="s">
        <v>253</v>
      </c>
      <c r="B246" t="s">
        <v>1</v>
      </c>
      <c r="C246" t="str">
        <f t="shared" si="28"/>
        <v>058702</v>
      </c>
      <c r="D246" t="str">
        <f t="shared" si="29"/>
        <v>TOR</v>
      </c>
      <c r="E246" t="str" cm="1">
        <f t="array" ref="E246">INDEX($E$2:$E$4, MOD(ROW()-1,3)+1)</f>
        <v>Machine 3</v>
      </c>
      <c r="F246">
        <f t="shared" ca="1" si="30"/>
        <v>2</v>
      </c>
      <c r="G246">
        <f t="shared" ca="1" si="31"/>
        <v>0</v>
      </c>
      <c r="H246">
        <f ca="1">RANDBETWEEN(1,J246-2)</f>
        <v>1</v>
      </c>
      <c r="I246">
        <f t="shared" ca="1" si="32"/>
        <v>47</v>
      </c>
      <c r="J246">
        <f t="shared" ca="1" si="33"/>
        <v>10</v>
      </c>
    </row>
    <row r="247" spans="1:10" x14ac:dyDescent="0.25">
      <c r="A247" t="s">
        <v>254</v>
      </c>
      <c r="B247" t="s">
        <v>1</v>
      </c>
      <c r="C247" t="str">
        <f t="shared" si="28"/>
        <v>058705</v>
      </c>
      <c r="D247" t="str">
        <f t="shared" si="29"/>
        <v>TOR</v>
      </c>
      <c r="E247" t="str" cm="1">
        <f t="array" ref="E247">INDEX($E$2:$E$4, MOD(ROW()-1,3)+1)</f>
        <v>Machine 1</v>
      </c>
      <c r="F247">
        <f t="shared" ca="1" si="30"/>
        <v>3</v>
      </c>
      <c r="G247">
        <f t="shared" ca="1" si="31"/>
        <v>0</v>
      </c>
      <c r="H247">
        <f ca="1">RANDBETWEEN(1,J247-2)</f>
        <v>7</v>
      </c>
      <c r="I247">
        <f t="shared" ca="1" si="32"/>
        <v>35</v>
      </c>
      <c r="J247">
        <f t="shared" ca="1" si="33"/>
        <v>15</v>
      </c>
    </row>
    <row r="248" spans="1:10" x14ac:dyDescent="0.25">
      <c r="A248" t="s">
        <v>255</v>
      </c>
      <c r="B248" t="s">
        <v>1</v>
      </c>
      <c r="C248" t="str">
        <f t="shared" si="28"/>
        <v>058708</v>
      </c>
      <c r="D248" t="str">
        <f t="shared" si="29"/>
        <v>TOR</v>
      </c>
      <c r="E248" t="str" cm="1">
        <f t="array" ref="E248">INDEX($E$2:$E$4, MOD(ROW()-1,3)+1)</f>
        <v>Machine 2</v>
      </c>
      <c r="F248">
        <f t="shared" ca="1" si="30"/>
        <v>3</v>
      </c>
      <c r="G248">
        <f t="shared" ca="1" si="31"/>
        <v>1</v>
      </c>
      <c r="H248">
        <f ca="1">RANDBETWEEN(1,J248-2)</f>
        <v>11</v>
      </c>
      <c r="I248">
        <f t="shared" ca="1" si="32"/>
        <v>45</v>
      </c>
      <c r="J248">
        <f t="shared" ca="1" si="33"/>
        <v>15</v>
      </c>
    </row>
    <row r="249" spans="1:10" x14ac:dyDescent="0.25">
      <c r="A249" t="s">
        <v>256</v>
      </c>
      <c r="B249" t="s">
        <v>1</v>
      </c>
      <c r="C249" t="str">
        <f t="shared" si="28"/>
        <v>058711</v>
      </c>
      <c r="D249" t="str">
        <f t="shared" si="29"/>
        <v>TOR</v>
      </c>
      <c r="E249" t="str" cm="1">
        <f t="array" ref="E249">INDEX($E$2:$E$4, MOD(ROW()-1,3)+1)</f>
        <v>Machine 3</v>
      </c>
      <c r="F249">
        <f t="shared" ca="1" si="30"/>
        <v>2</v>
      </c>
      <c r="G249">
        <f t="shared" ca="1" si="31"/>
        <v>0</v>
      </c>
      <c r="H249">
        <f ca="1">RANDBETWEEN(1,J249-2)</f>
        <v>6</v>
      </c>
      <c r="I249">
        <f t="shared" ca="1" si="32"/>
        <v>34</v>
      </c>
      <c r="J249">
        <f t="shared" ca="1" si="33"/>
        <v>11</v>
      </c>
    </row>
    <row r="250" spans="1:10" x14ac:dyDescent="0.25">
      <c r="A250" t="s">
        <v>257</v>
      </c>
      <c r="B250" t="s">
        <v>1</v>
      </c>
      <c r="C250" t="str">
        <f t="shared" si="28"/>
        <v>058714</v>
      </c>
      <c r="D250" t="str">
        <f t="shared" si="29"/>
        <v>TOR</v>
      </c>
      <c r="E250" t="str" cm="1">
        <f t="array" ref="E250">INDEX($E$2:$E$4, MOD(ROW()-1,3)+1)</f>
        <v>Machine 1</v>
      </c>
      <c r="F250">
        <f t="shared" ca="1" si="30"/>
        <v>3</v>
      </c>
      <c r="G250">
        <f t="shared" ca="1" si="31"/>
        <v>0</v>
      </c>
      <c r="H250">
        <f ca="1">RANDBETWEEN(1,J250-2)</f>
        <v>2</v>
      </c>
      <c r="I250">
        <f t="shared" ca="1" si="32"/>
        <v>28</v>
      </c>
      <c r="J250">
        <f t="shared" ca="1" si="33"/>
        <v>10</v>
      </c>
    </row>
    <row r="251" spans="1:10" x14ac:dyDescent="0.25">
      <c r="A251" t="s">
        <v>258</v>
      </c>
      <c r="B251" t="s">
        <v>1</v>
      </c>
      <c r="C251" t="str">
        <f t="shared" si="28"/>
        <v>058717</v>
      </c>
      <c r="D251" t="str">
        <f t="shared" si="29"/>
        <v>TOR</v>
      </c>
      <c r="E251" t="str" cm="1">
        <f t="array" ref="E251">INDEX($E$2:$E$4, MOD(ROW()-1,3)+1)</f>
        <v>Machine 2</v>
      </c>
      <c r="F251">
        <f t="shared" ca="1" si="30"/>
        <v>3</v>
      </c>
      <c r="G251">
        <f t="shared" ca="1" si="31"/>
        <v>1</v>
      </c>
      <c r="H251">
        <f ca="1">RANDBETWEEN(1,J251-2)</f>
        <v>3</v>
      </c>
      <c r="I251">
        <f t="shared" ca="1" si="32"/>
        <v>35</v>
      </c>
      <c r="J251">
        <f t="shared" ca="1" si="33"/>
        <v>12</v>
      </c>
    </row>
    <row r="252" spans="1:10" x14ac:dyDescent="0.25">
      <c r="A252" t="s">
        <v>259</v>
      </c>
      <c r="B252" t="s">
        <v>1</v>
      </c>
      <c r="C252" t="str">
        <f t="shared" si="28"/>
        <v>058720</v>
      </c>
      <c r="D252" t="str">
        <f t="shared" si="29"/>
        <v>TOR</v>
      </c>
      <c r="E252" t="str" cm="1">
        <f t="array" ref="E252">INDEX($E$2:$E$4, MOD(ROW()-1,3)+1)</f>
        <v>Machine 3</v>
      </c>
      <c r="F252">
        <f t="shared" ca="1" si="30"/>
        <v>2</v>
      </c>
      <c r="G252">
        <f t="shared" ca="1" si="31"/>
        <v>1</v>
      </c>
      <c r="H252">
        <f ca="1">RANDBETWEEN(1,J252-2)</f>
        <v>7</v>
      </c>
      <c r="I252">
        <f t="shared" ca="1" si="32"/>
        <v>42</v>
      </c>
      <c r="J252">
        <f t="shared" ca="1" si="33"/>
        <v>14</v>
      </c>
    </row>
    <row r="253" spans="1:10" x14ac:dyDescent="0.25">
      <c r="A253" t="s">
        <v>260</v>
      </c>
      <c r="B253" t="s">
        <v>1</v>
      </c>
      <c r="C253" t="str">
        <f t="shared" si="28"/>
        <v>058723</v>
      </c>
      <c r="D253" t="str">
        <f t="shared" si="29"/>
        <v>TOR</v>
      </c>
      <c r="E253" t="str" cm="1">
        <f t="array" ref="E253">INDEX($E$2:$E$4, MOD(ROW()-1,3)+1)</f>
        <v>Machine 1</v>
      </c>
      <c r="F253">
        <f t="shared" ca="1" si="30"/>
        <v>3</v>
      </c>
      <c r="G253">
        <f t="shared" ca="1" si="31"/>
        <v>1</v>
      </c>
      <c r="H253">
        <f ca="1">RANDBETWEEN(1,J253-2)</f>
        <v>6</v>
      </c>
      <c r="I253">
        <f t="shared" ca="1" si="32"/>
        <v>46</v>
      </c>
      <c r="J253">
        <f t="shared" ca="1" si="33"/>
        <v>15</v>
      </c>
    </row>
    <row r="254" spans="1:10" x14ac:dyDescent="0.25">
      <c r="A254" t="s">
        <v>261</v>
      </c>
      <c r="B254" t="s">
        <v>1</v>
      </c>
      <c r="C254" t="str">
        <f t="shared" si="28"/>
        <v>058725</v>
      </c>
      <c r="D254" t="str">
        <f t="shared" si="29"/>
        <v>TOR</v>
      </c>
      <c r="E254" t="str" cm="1">
        <f t="array" ref="E254">INDEX($E$2:$E$4, MOD(ROW()-1,3)+1)</f>
        <v>Machine 2</v>
      </c>
      <c r="F254">
        <f t="shared" ca="1" si="30"/>
        <v>3</v>
      </c>
      <c r="G254">
        <f t="shared" ca="1" si="31"/>
        <v>1</v>
      </c>
      <c r="H254">
        <f ca="1">RANDBETWEEN(1,J254-2)</f>
        <v>3</v>
      </c>
      <c r="I254">
        <f t="shared" ca="1" si="32"/>
        <v>28</v>
      </c>
      <c r="J254">
        <f t="shared" ca="1" si="33"/>
        <v>7</v>
      </c>
    </row>
    <row r="255" spans="1:10" x14ac:dyDescent="0.25">
      <c r="A255" t="s">
        <v>262</v>
      </c>
      <c r="B255" t="s">
        <v>1</v>
      </c>
      <c r="C255" t="str">
        <f t="shared" si="28"/>
        <v>058727</v>
      </c>
      <c r="D255" t="str">
        <f t="shared" si="29"/>
        <v>TOR</v>
      </c>
      <c r="E255" t="str" cm="1">
        <f t="array" ref="E255">INDEX($E$2:$E$4, MOD(ROW()-1,3)+1)</f>
        <v>Machine 3</v>
      </c>
      <c r="F255">
        <f t="shared" ca="1" si="30"/>
        <v>3</v>
      </c>
      <c r="G255">
        <f t="shared" ca="1" si="31"/>
        <v>1</v>
      </c>
      <c r="H255">
        <f ca="1">RANDBETWEEN(1,J255-2)</f>
        <v>1</v>
      </c>
      <c r="I255">
        <f t="shared" ca="1" si="32"/>
        <v>24</v>
      </c>
      <c r="J255">
        <f t="shared" ca="1" si="33"/>
        <v>8</v>
      </c>
    </row>
    <row r="256" spans="1:10" x14ac:dyDescent="0.25">
      <c r="A256" t="s">
        <v>263</v>
      </c>
      <c r="B256" t="s">
        <v>1</v>
      </c>
      <c r="C256" t="str">
        <f t="shared" si="28"/>
        <v>058729</v>
      </c>
      <c r="D256" t="str">
        <f t="shared" si="29"/>
        <v>TOR</v>
      </c>
      <c r="E256" t="str" cm="1">
        <f t="array" ref="E256">INDEX($E$2:$E$4, MOD(ROW()-1,3)+1)</f>
        <v>Machine 1</v>
      </c>
      <c r="F256">
        <f t="shared" ca="1" si="30"/>
        <v>2</v>
      </c>
      <c r="G256">
        <f t="shared" ca="1" si="31"/>
        <v>1</v>
      </c>
      <c r="H256">
        <f ca="1">RANDBETWEEN(1,J256-2)</f>
        <v>5</v>
      </c>
      <c r="I256">
        <f t="shared" ca="1" si="32"/>
        <v>40</v>
      </c>
      <c r="J256">
        <f t="shared" ca="1" si="33"/>
        <v>13</v>
      </c>
    </row>
    <row r="257" spans="1:10" x14ac:dyDescent="0.25">
      <c r="A257" t="s">
        <v>264</v>
      </c>
      <c r="B257" t="s">
        <v>1</v>
      </c>
      <c r="C257" t="str">
        <f t="shared" si="28"/>
        <v>058732</v>
      </c>
      <c r="D257" t="str">
        <f t="shared" si="29"/>
        <v>TOR</v>
      </c>
      <c r="E257" t="str" cm="1">
        <f t="array" ref="E257">INDEX($E$2:$E$4, MOD(ROW()-1,3)+1)</f>
        <v>Machine 2</v>
      </c>
      <c r="F257">
        <f t="shared" ca="1" si="30"/>
        <v>3</v>
      </c>
      <c r="G257">
        <f t="shared" ca="1" si="31"/>
        <v>0</v>
      </c>
      <c r="H257">
        <f ca="1">RANDBETWEEN(1,J257-2)</f>
        <v>2</v>
      </c>
      <c r="I257">
        <f t="shared" ca="1" si="32"/>
        <v>31</v>
      </c>
      <c r="J257">
        <f t="shared" ca="1" si="33"/>
        <v>5</v>
      </c>
    </row>
    <row r="258" spans="1:10" x14ac:dyDescent="0.25">
      <c r="A258" t="s">
        <v>265</v>
      </c>
      <c r="B258" t="s">
        <v>1</v>
      </c>
      <c r="C258" t="str">
        <f t="shared" si="28"/>
        <v>058743</v>
      </c>
      <c r="D258" t="str">
        <f t="shared" si="29"/>
        <v>TOR</v>
      </c>
      <c r="E258" t="str" cm="1">
        <f t="array" ref="E258">INDEX($E$2:$E$4, MOD(ROW()-1,3)+1)</f>
        <v>Machine 3</v>
      </c>
      <c r="F258">
        <f t="shared" ca="1" si="30"/>
        <v>2</v>
      </c>
      <c r="G258">
        <f t="shared" ca="1" si="31"/>
        <v>0</v>
      </c>
      <c r="H258">
        <f ca="1">RANDBETWEEN(1,J258-2)</f>
        <v>3</v>
      </c>
      <c r="I258">
        <f t="shared" ca="1" si="32"/>
        <v>32</v>
      </c>
      <c r="J258">
        <f t="shared" ca="1" si="33"/>
        <v>6</v>
      </c>
    </row>
    <row r="259" spans="1:10" x14ac:dyDescent="0.25">
      <c r="A259" t="s">
        <v>266</v>
      </c>
      <c r="B259" t="s">
        <v>1</v>
      </c>
      <c r="C259" t="str">
        <f t="shared" ref="C259:C322" si="34">RIGHT(A259,6)</f>
        <v>058745</v>
      </c>
      <c r="D259" t="str">
        <f t="shared" ref="D259:D322" si="35">RIGHT(B259,3)</f>
        <v>TOR</v>
      </c>
      <c r="E259" t="str" cm="1">
        <f t="array" ref="E259">INDEX($E$2:$E$4, MOD(ROW()-1,3)+1)</f>
        <v>Machine 1</v>
      </c>
      <c r="F259">
        <f t="shared" ref="F259:F322" ca="1" si="36">RANDBETWEEN(2,3)</f>
        <v>3</v>
      </c>
      <c r="G259">
        <f t="shared" ref="G259:G322" ca="1" si="37">RANDBETWEEN(0,1)</f>
        <v>0</v>
      </c>
      <c r="H259">
        <f ca="1">RANDBETWEEN(1,J259-2)</f>
        <v>1</v>
      </c>
      <c r="I259">
        <f t="shared" ref="I259:I322" ca="1" si="38">RANDBETWEEN(24,48)</f>
        <v>48</v>
      </c>
      <c r="J259">
        <f t="shared" ref="J259:J322" ca="1" si="39">RANDBETWEEN(5,15)</f>
        <v>12</v>
      </c>
    </row>
    <row r="260" spans="1:10" x14ac:dyDescent="0.25">
      <c r="A260" t="s">
        <v>267</v>
      </c>
      <c r="B260" t="s">
        <v>1</v>
      </c>
      <c r="C260" t="str">
        <f t="shared" si="34"/>
        <v>058752</v>
      </c>
      <c r="D260" t="str">
        <f t="shared" si="35"/>
        <v>TOR</v>
      </c>
      <c r="E260" t="str" cm="1">
        <f t="array" ref="E260">INDEX($E$2:$E$4, MOD(ROW()-1,3)+1)</f>
        <v>Machine 2</v>
      </c>
      <c r="F260">
        <f t="shared" ca="1" si="36"/>
        <v>3</v>
      </c>
      <c r="G260">
        <f t="shared" ca="1" si="37"/>
        <v>0</v>
      </c>
      <c r="H260">
        <f ca="1">RANDBETWEEN(1,J260-2)</f>
        <v>2</v>
      </c>
      <c r="I260">
        <f t="shared" ca="1" si="38"/>
        <v>48</v>
      </c>
      <c r="J260">
        <f t="shared" ca="1" si="39"/>
        <v>14</v>
      </c>
    </row>
    <row r="261" spans="1:10" x14ac:dyDescent="0.25">
      <c r="A261" t="s">
        <v>268</v>
      </c>
      <c r="B261" t="s">
        <v>1</v>
      </c>
      <c r="C261" t="str">
        <f t="shared" si="34"/>
        <v>058756</v>
      </c>
      <c r="D261" t="str">
        <f t="shared" si="35"/>
        <v>TOR</v>
      </c>
      <c r="E261" t="str" cm="1">
        <f t="array" ref="E261">INDEX($E$2:$E$4, MOD(ROW()-1,3)+1)</f>
        <v>Machine 3</v>
      </c>
      <c r="F261">
        <f t="shared" ca="1" si="36"/>
        <v>3</v>
      </c>
      <c r="G261">
        <f t="shared" ca="1" si="37"/>
        <v>1</v>
      </c>
      <c r="H261">
        <f ca="1">RANDBETWEEN(1,J261-2)</f>
        <v>4</v>
      </c>
      <c r="I261">
        <f t="shared" ca="1" si="38"/>
        <v>31</v>
      </c>
      <c r="J261">
        <f t="shared" ca="1" si="39"/>
        <v>6</v>
      </c>
    </row>
    <row r="262" spans="1:10" x14ac:dyDescent="0.25">
      <c r="A262" t="s">
        <v>269</v>
      </c>
      <c r="B262" t="s">
        <v>1</v>
      </c>
      <c r="C262" t="str">
        <f t="shared" si="34"/>
        <v>058771</v>
      </c>
      <c r="D262" t="str">
        <f t="shared" si="35"/>
        <v>TOR</v>
      </c>
      <c r="E262" t="str" cm="1">
        <f t="array" ref="E262">INDEX($E$2:$E$4, MOD(ROW()-1,3)+1)</f>
        <v>Machine 1</v>
      </c>
      <c r="F262">
        <f t="shared" ca="1" si="36"/>
        <v>3</v>
      </c>
      <c r="G262">
        <f t="shared" ca="1" si="37"/>
        <v>0</v>
      </c>
      <c r="H262">
        <f ca="1">RANDBETWEEN(1,J262-2)</f>
        <v>4</v>
      </c>
      <c r="I262">
        <f t="shared" ca="1" si="38"/>
        <v>41</v>
      </c>
      <c r="J262">
        <f t="shared" ca="1" si="39"/>
        <v>11</v>
      </c>
    </row>
    <row r="263" spans="1:10" x14ac:dyDescent="0.25">
      <c r="A263" t="s">
        <v>270</v>
      </c>
      <c r="B263" t="s">
        <v>1</v>
      </c>
      <c r="C263" t="str">
        <f t="shared" si="34"/>
        <v>058773</v>
      </c>
      <c r="D263" t="str">
        <f t="shared" si="35"/>
        <v>TOR</v>
      </c>
      <c r="E263" t="str" cm="1">
        <f t="array" ref="E263">INDEX($E$2:$E$4, MOD(ROW()-1,3)+1)</f>
        <v>Machine 2</v>
      </c>
      <c r="F263">
        <f t="shared" ca="1" si="36"/>
        <v>2</v>
      </c>
      <c r="G263">
        <f t="shared" ca="1" si="37"/>
        <v>1</v>
      </c>
      <c r="H263">
        <f ca="1">RANDBETWEEN(1,J263-2)</f>
        <v>4</v>
      </c>
      <c r="I263">
        <f t="shared" ca="1" si="38"/>
        <v>43</v>
      </c>
      <c r="J263">
        <f t="shared" ca="1" si="39"/>
        <v>15</v>
      </c>
    </row>
    <row r="264" spans="1:10" x14ac:dyDescent="0.25">
      <c r="A264" t="s">
        <v>271</v>
      </c>
      <c r="B264" t="s">
        <v>1</v>
      </c>
      <c r="C264" t="str">
        <f t="shared" si="34"/>
        <v>058775</v>
      </c>
      <c r="D264" t="str">
        <f t="shared" si="35"/>
        <v>TOR</v>
      </c>
      <c r="E264" t="str" cm="1">
        <f t="array" ref="E264">INDEX($E$2:$E$4, MOD(ROW()-1,3)+1)</f>
        <v>Machine 3</v>
      </c>
      <c r="F264">
        <f t="shared" ca="1" si="36"/>
        <v>2</v>
      </c>
      <c r="G264">
        <f t="shared" ca="1" si="37"/>
        <v>1</v>
      </c>
      <c r="H264">
        <f ca="1">RANDBETWEEN(1,J264-2)</f>
        <v>4</v>
      </c>
      <c r="I264">
        <f t="shared" ca="1" si="38"/>
        <v>43</v>
      </c>
      <c r="J264">
        <f t="shared" ca="1" si="39"/>
        <v>11</v>
      </c>
    </row>
    <row r="265" spans="1:10" x14ac:dyDescent="0.25">
      <c r="A265" t="s">
        <v>272</v>
      </c>
      <c r="B265" t="s">
        <v>1</v>
      </c>
      <c r="C265" t="str">
        <f t="shared" si="34"/>
        <v>058777</v>
      </c>
      <c r="D265" t="str">
        <f t="shared" si="35"/>
        <v>TOR</v>
      </c>
      <c r="E265" t="str" cm="1">
        <f t="array" ref="E265">INDEX($E$2:$E$4, MOD(ROW()-1,3)+1)</f>
        <v>Machine 1</v>
      </c>
      <c r="F265">
        <f t="shared" ca="1" si="36"/>
        <v>3</v>
      </c>
      <c r="G265">
        <f t="shared" ca="1" si="37"/>
        <v>1</v>
      </c>
      <c r="H265">
        <f ca="1">RANDBETWEEN(1,J265-2)</f>
        <v>2</v>
      </c>
      <c r="I265">
        <f t="shared" ca="1" si="38"/>
        <v>46</v>
      </c>
      <c r="J265">
        <f t="shared" ca="1" si="39"/>
        <v>9</v>
      </c>
    </row>
    <row r="266" spans="1:10" x14ac:dyDescent="0.25">
      <c r="A266" t="s">
        <v>273</v>
      </c>
      <c r="B266" t="s">
        <v>1</v>
      </c>
      <c r="C266" t="str">
        <f t="shared" si="34"/>
        <v>058779</v>
      </c>
      <c r="D266" t="str">
        <f t="shared" si="35"/>
        <v>TOR</v>
      </c>
      <c r="E266" t="str" cm="1">
        <f t="array" ref="E266">INDEX($E$2:$E$4, MOD(ROW()-1,3)+1)</f>
        <v>Machine 2</v>
      </c>
      <c r="F266">
        <f t="shared" ca="1" si="36"/>
        <v>2</v>
      </c>
      <c r="G266">
        <f t="shared" ca="1" si="37"/>
        <v>0</v>
      </c>
      <c r="H266">
        <f ca="1">RANDBETWEEN(1,J266-2)</f>
        <v>2</v>
      </c>
      <c r="I266">
        <f t="shared" ca="1" si="38"/>
        <v>26</v>
      </c>
      <c r="J266">
        <f t="shared" ca="1" si="39"/>
        <v>14</v>
      </c>
    </row>
    <row r="267" spans="1:10" x14ac:dyDescent="0.25">
      <c r="A267" t="s">
        <v>274</v>
      </c>
      <c r="B267" t="s">
        <v>1</v>
      </c>
      <c r="C267" t="str">
        <f t="shared" si="34"/>
        <v>058782</v>
      </c>
      <c r="D267" t="str">
        <f t="shared" si="35"/>
        <v>TOR</v>
      </c>
      <c r="E267" t="str" cm="1">
        <f t="array" ref="E267">INDEX($E$2:$E$4, MOD(ROW()-1,3)+1)</f>
        <v>Machine 3</v>
      </c>
      <c r="F267">
        <f t="shared" ca="1" si="36"/>
        <v>2</v>
      </c>
      <c r="G267">
        <f t="shared" ca="1" si="37"/>
        <v>0</v>
      </c>
      <c r="H267">
        <f ca="1">RANDBETWEEN(1,J267-2)</f>
        <v>4</v>
      </c>
      <c r="I267">
        <f t="shared" ca="1" si="38"/>
        <v>45</v>
      </c>
      <c r="J267">
        <f t="shared" ca="1" si="39"/>
        <v>12</v>
      </c>
    </row>
    <row r="268" spans="1:10" x14ac:dyDescent="0.25">
      <c r="A268" t="s">
        <v>275</v>
      </c>
      <c r="B268" t="s">
        <v>1</v>
      </c>
      <c r="C268" t="str">
        <f t="shared" si="34"/>
        <v>058793</v>
      </c>
      <c r="D268" t="str">
        <f t="shared" si="35"/>
        <v>TOR</v>
      </c>
      <c r="E268" t="str" cm="1">
        <f t="array" ref="E268">INDEX($E$2:$E$4, MOD(ROW()-1,3)+1)</f>
        <v>Machine 1</v>
      </c>
      <c r="F268">
        <f t="shared" ca="1" si="36"/>
        <v>2</v>
      </c>
      <c r="G268">
        <f t="shared" ca="1" si="37"/>
        <v>1</v>
      </c>
      <c r="H268">
        <f ca="1">RANDBETWEEN(1,J268-2)</f>
        <v>5</v>
      </c>
      <c r="I268">
        <f t="shared" ca="1" si="38"/>
        <v>38</v>
      </c>
      <c r="J268">
        <f t="shared" ca="1" si="39"/>
        <v>8</v>
      </c>
    </row>
    <row r="269" spans="1:10" x14ac:dyDescent="0.25">
      <c r="A269" t="s">
        <v>276</v>
      </c>
      <c r="B269" t="s">
        <v>1</v>
      </c>
      <c r="C269" t="str">
        <f t="shared" si="34"/>
        <v>058795</v>
      </c>
      <c r="D269" t="str">
        <f t="shared" si="35"/>
        <v>TOR</v>
      </c>
      <c r="E269" t="str" cm="1">
        <f t="array" ref="E269">INDEX($E$2:$E$4, MOD(ROW()-1,3)+1)</f>
        <v>Machine 2</v>
      </c>
      <c r="F269">
        <f t="shared" ca="1" si="36"/>
        <v>3</v>
      </c>
      <c r="G269">
        <f t="shared" ca="1" si="37"/>
        <v>0</v>
      </c>
      <c r="H269">
        <f ca="1">RANDBETWEEN(1,J269-2)</f>
        <v>6</v>
      </c>
      <c r="I269">
        <f t="shared" ca="1" si="38"/>
        <v>36</v>
      </c>
      <c r="J269">
        <f t="shared" ca="1" si="39"/>
        <v>12</v>
      </c>
    </row>
    <row r="270" spans="1:10" x14ac:dyDescent="0.25">
      <c r="A270" t="s">
        <v>277</v>
      </c>
      <c r="B270" t="s">
        <v>1</v>
      </c>
      <c r="C270" t="str">
        <f t="shared" si="34"/>
        <v>058798</v>
      </c>
      <c r="D270" t="str">
        <f t="shared" si="35"/>
        <v>TOR</v>
      </c>
      <c r="E270" t="str" cm="1">
        <f t="array" ref="E270">INDEX($E$2:$E$4, MOD(ROW()-1,3)+1)</f>
        <v>Machine 3</v>
      </c>
      <c r="F270">
        <f t="shared" ca="1" si="36"/>
        <v>3</v>
      </c>
      <c r="G270">
        <f t="shared" ca="1" si="37"/>
        <v>1</v>
      </c>
      <c r="H270">
        <f ca="1">RANDBETWEEN(1,J270-2)</f>
        <v>4</v>
      </c>
      <c r="I270">
        <f t="shared" ca="1" si="38"/>
        <v>38</v>
      </c>
      <c r="J270">
        <f t="shared" ca="1" si="39"/>
        <v>13</v>
      </c>
    </row>
    <row r="271" spans="1:10" x14ac:dyDescent="0.25">
      <c r="A271" t="s">
        <v>278</v>
      </c>
      <c r="B271" t="s">
        <v>1</v>
      </c>
      <c r="C271" t="str">
        <f t="shared" si="34"/>
        <v>058800</v>
      </c>
      <c r="D271" t="str">
        <f t="shared" si="35"/>
        <v>TOR</v>
      </c>
      <c r="E271" t="str" cm="1">
        <f t="array" ref="E271">INDEX($E$2:$E$4, MOD(ROW()-1,3)+1)</f>
        <v>Machine 1</v>
      </c>
      <c r="F271">
        <f t="shared" ca="1" si="36"/>
        <v>2</v>
      </c>
      <c r="G271">
        <f t="shared" ca="1" si="37"/>
        <v>1</v>
      </c>
      <c r="H271">
        <f ca="1">RANDBETWEEN(1,J271-2)</f>
        <v>6</v>
      </c>
      <c r="I271">
        <f t="shared" ca="1" si="38"/>
        <v>24</v>
      </c>
      <c r="J271">
        <f t="shared" ca="1" si="39"/>
        <v>15</v>
      </c>
    </row>
    <row r="272" spans="1:10" x14ac:dyDescent="0.25">
      <c r="A272" t="s">
        <v>279</v>
      </c>
      <c r="B272" t="s">
        <v>1</v>
      </c>
      <c r="C272" t="str">
        <f t="shared" si="34"/>
        <v>058809</v>
      </c>
      <c r="D272" t="str">
        <f t="shared" si="35"/>
        <v>TOR</v>
      </c>
      <c r="E272" t="str" cm="1">
        <f t="array" ref="E272">INDEX($E$2:$E$4, MOD(ROW()-1,3)+1)</f>
        <v>Machine 2</v>
      </c>
      <c r="F272">
        <f t="shared" ca="1" si="36"/>
        <v>2</v>
      </c>
      <c r="G272">
        <f t="shared" ca="1" si="37"/>
        <v>0</v>
      </c>
      <c r="H272">
        <f ca="1">RANDBETWEEN(1,J272-2)</f>
        <v>6</v>
      </c>
      <c r="I272">
        <f t="shared" ca="1" si="38"/>
        <v>46</v>
      </c>
      <c r="J272">
        <f t="shared" ca="1" si="39"/>
        <v>10</v>
      </c>
    </row>
    <row r="273" spans="1:10" x14ac:dyDescent="0.25">
      <c r="A273" t="s">
        <v>280</v>
      </c>
      <c r="B273" t="s">
        <v>1</v>
      </c>
      <c r="C273" t="str">
        <f t="shared" si="34"/>
        <v>058823</v>
      </c>
      <c r="D273" t="str">
        <f t="shared" si="35"/>
        <v>TOR</v>
      </c>
      <c r="E273" t="str" cm="1">
        <f t="array" ref="E273">INDEX($E$2:$E$4, MOD(ROW()-1,3)+1)</f>
        <v>Machine 3</v>
      </c>
      <c r="F273">
        <f t="shared" ca="1" si="36"/>
        <v>2</v>
      </c>
      <c r="G273">
        <f t="shared" ca="1" si="37"/>
        <v>0</v>
      </c>
      <c r="H273">
        <f ca="1">RANDBETWEEN(1,J273-2)</f>
        <v>1</v>
      </c>
      <c r="I273">
        <f t="shared" ca="1" si="38"/>
        <v>41</v>
      </c>
      <c r="J273">
        <f t="shared" ca="1" si="39"/>
        <v>7</v>
      </c>
    </row>
    <row r="274" spans="1:10" x14ac:dyDescent="0.25">
      <c r="A274" t="s">
        <v>281</v>
      </c>
      <c r="B274" t="s">
        <v>1</v>
      </c>
      <c r="C274" t="str">
        <f t="shared" si="34"/>
        <v>058829</v>
      </c>
      <c r="D274" t="str">
        <f t="shared" si="35"/>
        <v>TOR</v>
      </c>
      <c r="E274" t="str" cm="1">
        <f t="array" ref="E274">INDEX($E$2:$E$4, MOD(ROW()-1,3)+1)</f>
        <v>Machine 1</v>
      </c>
      <c r="F274">
        <f t="shared" ca="1" si="36"/>
        <v>2</v>
      </c>
      <c r="G274">
        <f t="shared" ca="1" si="37"/>
        <v>1</v>
      </c>
      <c r="H274">
        <f ca="1">RANDBETWEEN(1,J274-2)</f>
        <v>6</v>
      </c>
      <c r="I274">
        <f t="shared" ca="1" si="38"/>
        <v>43</v>
      </c>
      <c r="J274">
        <f t="shared" ca="1" si="39"/>
        <v>14</v>
      </c>
    </row>
    <row r="275" spans="1:10" x14ac:dyDescent="0.25">
      <c r="A275" t="s">
        <v>282</v>
      </c>
      <c r="B275" t="s">
        <v>1</v>
      </c>
      <c r="C275" t="str">
        <f t="shared" si="34"/>
        <v>058847</v>
      </c>
      <c r="D275" t="str">
        <f t="shared" si="35"/>
        <v>TOR</v>
      </c>
      <c r="E275" t="str" cm="1">
        <f t="array" ref="E275">INDEX($E$2:$E$4, MOD(ROW()-1,3)+1)</f>
        <v>Machine 2</v>
      </c>
      <c r="F275">
        <f t="shared" ca="1" si="36"/>
        <v>2</v>
      </c>
      <c r="G275">
        <f t="shared" ca="1" si="37"/>
        <v>0</v>
      </c>
      <c r="H275">
        <f ca="1">RANDBETWEEN(1,J275-2)</f>
        <v>5</v>
      </c>
      <c r="I275">
        <f t="shared" ca="1" si="38"/>
        <v>47</v>
      </c>
      <c r="J275">
        <f t="shared" ca="1" si="39"/>
        <v>13</v>
      </c>
    </row>
    <row r="276" spans="1:10" x14ac:dyDescent="0.25">
      <c r="A276" t="s">
        <v>283</v>
      </c>
      <c r="B276" t="s">
        <v>1</v>
      </c>
      <c r="C276" t="str">
        <f t="shared" si="34"/>
        <v>058849</v>
      </c>
      <c r="D276" t="str">
        <f t="shared" si="35"/>
        <v>TOR</v>
      </c>
      <c r="E276" t="str" cm="1">
        <f t="array" ref="E276">INDEX($E$2:$E$4, MOD(ROW()-1,3)+1)</f>
        <v>Machine 3</v>
      </c>
      <c r="F276">
        <f t="shared" ca="1" si="36"/>
        <v>3</v>
      </c>
      <c r="G276">
        <f t="shared" ca="1" si="37"/>
        <v>0</v>
      </c>
      <c r="H276">
        <f ca="1">RANDBETWEEN(1,J276-2)</f>
        <v>3</v>
      </c>
      <c r="I276">
        <f t="shared" ca="1" si="38"/>
        <v>40</v>
      </c>
      <c r="J276">
        <f t="shared" ca="1" si="39"/>
        <v>7</v>
      </c>
    </row>
    <row r="277" spans="1:10" x14ac:dyDescent="0.25">
      <c r="A277" t="s">
        <v>284</v>
      </c>
      <c r="B277" t="s">
        <v>1</v>
      </c>
      <c r="C277" t="str">
        <f t="shared" si="34"/>
        <v>058851</v>
      </c>
      <c r="D277" t="str">
        <f t="shared" si="35"/>
        <v>TOR</v>
      </c>
      <c r="E277" t="str" cm="1">
        <f t="array" ref="E277">INDEX($E$2:$E$4, MOD(ROW()-1,3)+1)</f>
        <v>Machine 1</v>
      </c>
      <c r="F277">
        <f t="shared" ca="1" si="36"/>
        <v>2</v>
      </c>
      <c r="G277">
        <f t="shared" ca="1" si="37"/>
        <v>1</v>
      </c>
      <c r="H277">
        <f ca="1">RANDBETWEEN(1,J277-2)</f>
        <v>3</v>
      </c>
      <c r="I277">
        <f t="shared" ca="1" si="38"/>
        <v>37</v>
      </c>
      <c r="J277">
        <f t="shared" ca="1" si="39"/>
        <v>15</v>
      </c>
    </row>
    <row r="278" spans="1:10" x14ac:dyDescent="0.25">
      <c r="A278" t="s">
        <v>285</v>
      </c>
      <c r="B278" t="s">
        <v>1</v>
      </c>
      <c r="C278" t="str">
        <f t="shared" si="34"/>
        <v>058853</v>
      </c>
      <c r="D278" t="str">
        <f t="shared" si="35"/>
        <v>TOR</v>
      </c>
      <c r="E278" t="str" cm="1">
        <f t="array" ref="E278">INDEX($E$2:$E$4, MOD(ROW()-1,3)+1)</f>
        <v>Machine 2</v>
      </c>
      <c r="F278">
        <f t="shared" ca="1" si="36"/>
        <v>2</v>
      </c>
      <c r="G278">
        <f t="shared" ca="1" si="37"/>
        <v>0</v>
      </c>
      <c r="H278">
        <f ca="1">RANDBETWEEN(1,J278-2)</f>
        <v>1</v>
      </c>
      <c r="I278">
        <f t="shared" ca="1" si="38"/>
        <v>28</v>
      </c>
      <c r="J278">
        <f t="shared" ca="1" si="39"/>
        <v>5</v>
      </c>
    </row>
    <row r="279" spans="1:10" x14ac:dyDescent="0.25">
      <c r="A279" t="s">
        <v>286</v>
      </c>
      <c r="B279" t="s">
        <v>1</v>
      </c>
      <c r="C279" t="str">
        <f t="shared" si="34"/>
        <v>058855</v>
      </c>
      <c r="D279" t="str">
        <f t="shared" si="35"/>
        <v>TOR</v>
      </c>
      <c r="E279" t="str" cm="1">
        <f t="array" ref="E279">INDEX($E$2:$E$4, MOD(ROW()-1,3)+1)</f>
        <v>Machine 3</v>
      </c>
      <c r="F279">
        <f t="shared" ca="1" si="36"/>
        <v>2</v>
      </c>
      <c r="G279">
        <f t="shared" ca="1" si="37"/>
        <v>0</v>
      </c>
      <c r="H279">
        <f ca="1">RANDBETWEEN(1,J279-2)</f>
        <v>6</v>
      </c>
      <c r="I279">
        <f t="shared" ca="1" si="38"/>
        <v>45</v>
      </c>
      <c r="J279">
        <f t="shared" ca="1" si="39"/>
        <v>8</v>
      </c>
    </row>
    <row r="280" spans="1:10" x14ac:dyDescent="0.25">
      <c r="A280" t="s">
        <v>287</v>
      </c>
      <c r="B280" t="s">
        <v>1</v>
      </c>
      <c r="C280" t="str">
        <f t="shared" si="34"/>
        <v>058859</v>
      </c>
      <c r="D280" t="str">
        <f t="shared" si="35"/>
        <v>TOR</v>
      </c>
      <c r="E280" t="str" cm="1">
        <f t="array" ref="E280">INDEX($E$2:$E$4, MOD(ROW()-1,3)+1)</f>
        <v>Machine 1</v>
      </c>
      <c r="F280">
        <f t="shared" ca="1" si="36"/>
        <v>3</v>
      </c>
      <c r="G280">
        <f t="shared" ca="1" si="37"/>
        <v>1</v>
      </c>
      <c r="H280">
        <f ca="1">RANDBETWEEN(1,J280-2)</f>
        <v>9</v>
      </c>
      <c r="I280">
        <f t="shared" ca="1" si="38"/>
        <v>41</v>
      </c>
      <c r="J280">
        <f t="shared" ca="1" si="39"/>
        <v>15</v>
      </c>
    </row>
    <row r="281" spans="1:10" x14ac:dyDescent="0.25">
      <c r="A281" t="s">
        <v>288</v>
      </c>
      <c r="B281" t="s">
        <v>1</v>
      </c>
      <c r="C281" t="str">
        <f t="shared" si="34"/>
        <v>058863</v>
      </c>
      <c r="D281" t="str">
        <f t="shared" si="35"/>
        <v>TOR</v>
      </c>
      <c r="E281" t="str" cm="1">
        <f t="array" ref="E281">INDEX($E$2:$E$4, MOD(ROW()-1,3)+1)</f>
        <v>Machine 2</v>
      </c>
      <c r="F281">
        <f t="shared" ca="1" si="36"/>
        <v>2</v>
      </c>
      <c r="G281">
        <f t="shared" ca="1" si="37"/>
        <v>1</v>
      </c>
      <c r="H281">
        <f ca="1">RANDBETWEEN(1,J281-2)</f>
        <v>6</v>
      </c>
      <c r="I281">
        <f t="shared" ca="1" si="38"/>
        <v>37</v>
      </c>
      <c r="J281">
        <f t="shared" ca="1" si="39"/>
        <v>10</v>
      </c>
    </row>
    <row r="282" spans="1:10" x14ac:dyDescent="0.25">
      <c r="A282" t="s">
        <v>289</v>
      </c>
      <c r="B282" t="s">
        <v>1</v>
      </c>
      <c r="C282" t="str">
        <f t="shared" si="34"/>
        <v>058867</v>
      </c>
      <c r="D282" t="str">
        <f t="shared" si="35"/>
        <v>TOR</v>
      </c>
      <c r="E282" t="str" cm="1">
        <f t="array" ref="E282">INDEX($E$2:$E$4, MOD(ROW()-1,3)+1)</f>
        <v>Machine 3</v>
      </c>
      <c r="F282">
        <f t="shared" ca="1" si="36"/>
        <v>2</v>
      </c>
      <c r="G282">
        <f t="shared" ca="1" si="37"/>
        <v>1</v>
      </c>
      <c r="H282">
        <f ca="1">RANDBETWEEN(1,J282-2)</f>
        <v>2</v>
      </c>
      <c r="I282">
        <f t="shared" ca="1" si="38"/>
        <v>39</v>
      </c>
      <c r="J282">
        <f t="shared" ca="1" si="39"/>
        <v>14</v>
      </c>
    </row>
    <row r="283" spans="1:10" x14ac:dyDescent="0.25">
      <c r="A283" t="s">
        <v>290</v>
      </c>
      <c r="B283" t="s">
        <v>1</v>
      </c>
      <c r="C283" t="str">
        <f t="shared" si="34"/>
        <v>058869</v>
      </c>
      <c r="D283" t="str">
        <f t="shared" si="35"/>
        <v>TOR</v>
      </c>
      <c r="E283" t="str" cm="1">
        <f t="array" ref="E283">INDEX($E$2:$E$4, MOD(ROW()-1,3)+1)</f>
        <v>Machine 1</v>
      </c>
      <c r="F283">
        <f t="shared" ca="1" si="36"/>
        <v>2</v>
      </c>
      <c r="G283">
        <f t="shared" ca="1" si="37"/>
        <v>1</v>
      </c>
      <c r="H283">
        <f ca="1">RANDBETWEEN(1,J283-2)</f>
        <v>2</v>
      </c>
      <c r="I283">
        <f t="shared" ca="1" si="38"/>
        <v>36</v>
      </c>
      <c r="J283">
        <f t="shared" ca="1" si="39"/>
        <v>9</v>
      </c>
    </row>
    <row r="284" spans="1:10" x14ac:dyDescent="0.25">
      <c r="A284" t="s">
        <v>291</v>
      </c>
      <c r="B284" t="s">
        <v>1</v>
      </c>
      <c r="C284" t="str">
        <f t="shared" si="34"/>
        <v>058871</v>
      </c>
      <c r="D284" t="str">
        <f t="shared" si="35"/>
        <v>TOR</v>
      </c>
      <c r="E284" t="str" cm="1">
        <f t="array" ref="E284">INDEX($E$2:$E$4, MOD(ROW()-1,3)+1)</f>
        <v>Machine 2</v>
      </c>
      <c r="F284">
        <f t="shared" ca="1" si="36"/>
        <v>3</v>
      </c>
      <c r="G284">
        <f t="shared" ca="1" si="37"/>
        <v>0</v>
      </c>
      <c r="H284">
        <f ca="1">RANDBETWEEN(1,J284-2)</f>
        <v>1</v>
      </c>
      <c r="I284">
        <f t="shared" ca="1" si="38"/>
        <v>35</v>
      </c>
      <c r="J284">
        <f t="shared" ca="1" si="39"/>
        <v>13</v>
      </c>
    </row>
    <row r="285" spans="1:10" x14ac:dyDescent="0.25">
      <c r="A285" t="s">
        <v>292</v>
      </c>
      <c r="B285" t="s">
        <v>1</v>
      </c>
      <c r="C285" t="str">
        <f t="shared" si="34"/>
        <v>058875</v>
      </c>
      <c r="D285" t="str">
        <f t="shared" si="35"/>
        <v>TOR</v>
      </c>
      <c r="E285" t="str" cm="1">
        <f t="array" ref="E285">INDEX($E$2:$E$4, MOD(ROW()-1,3)+1)</f>
        <v>Machine 3</v>
      </c>
      <c r="F285">
        <f t="shared" ca="1" si="36"/>
        <v>3</v>
      </c>
      <c r="G285">
        <f t="shared" ca="1" si="37"/>
        <v>0</v>
      </c>
      <c r="H285">
        <f ca="1">RANDBETWEEN(1,J285-2)</f>
        <v>4</v>
      </c>
      <c r="I285">
        <f t="shared" ca="1" si="38"/>
        <v>28</v>
      </c>
      <c r="J285">
        <f t="shared" ca="1" si="39"/>
        <v>9</v>
      </c>
    </row>
    <row r="286" spans="1:10" x14ac:dyDescent="0.25">
      <c r="A286" t="s">
        <v>293</v>
      </c>
      <c r="B286" t="s">
        <v>1</v>
      </c>
      <c r="C286" t="str">
        <f t="shared" si="34"/>
        <v>058877</v>
      </c>
      <c r="D286" t="str">
        <f t="shared" si="35"/>
        <v>TOR</v>
      </c>
      <c r="E286" t="str" cm="1">
        <f t="array" ref="E286">INDEX($E$2:$E$4, MOD(ROW()-1,3)+1)</f>
        <v>Machine 1</v>
      </c>
      <c r="F286">
        <f t="shared" ca="1" si="36"/>
        <v>2</v>
      </c>
      <c r="G286">
        <f t="shared" ca="1" si="37"/>
        <v>0</v>
      </c>
      <c r="H286">
        <f ca="1">RANDBETWEEN(1,J286-2)</f>
        <v>1</v>
      </c>
      <c r="I286">
        <f t="shared" ca="1" si="38"/>
        <v>48</v>
      </c>
      <c r="J286">
        <f t="shared" ca="1" si="39"/>
        <v>9</v>
      </c>
    </row>
    <row r="287" spans="1:10" x14ac:dyDescent="0.25">
      <c r="A287" t="s">
        <v>294</v>
      </c>
      <c r="B287" t="s">
        <v>1</v>
      </c>
      <c r="C287" t="str">
        <f t="shared" si="34"/>
        <v>058880</v>
      </c>
      <c r="D287" t="str">
        <f t="shared" si="35"/>
        <v>TOR</v>
      </c>
      <c r="E287" t="str" cm="1">
        <f t="array" ref="E287">INDEX($E$2:$E$4, MOD(ROW()-1,3)+1)</f>
        <v>Machine 2</v>
      </c>
      <c r="F287">
        <f t="shared" ca="1" si="36"/>
        <v>2</v>
      </c>
      <c r="G287">
        <f t="shared" ca="1" si="37"/>
        <v>0</v>
      </c>
      <c r="H287">
        <f ca="1">RANDBETWEEN(1,J287-2)</f>
        <v>1</v>
      </c>
      <c r="I287">
        <f t="shared" ca="1" si="38"/>
        <v>33</v>
      </c>
      <c r="J287">
        <f t="shared" ca="1" si="39"/>
        <v>6</v>
      </c>
    </row>
    <row r="288" spans="1:10" x14ac:dyDescent="0.25">
      <c r="A288" t="s">
        <v>295</v>
      </c>
      <c r="B288" t="s">
        <v>1</v>
      </c>
      <c r="C288" t="str">
        <f t="shared" si="34"/>
        <v>058882</v>
      </c>
      <c r="D288" t="str">
        <f t="shared" si="35"/>
        <v>TOR</v>
      </c>
      <c r="E288" t="str" cm="1">
        <f t="array" ref="E288">INDEX($E$2:$E$4, MOD(ROW()-1,3)+1)</f>
        <v>Machine 3</v>
      </c>
      <c r="F288">
        <f t="shared" ca="1" si="36"/>
        <v>3</v>
      </c>
      <c r="G288">
        <f t="shared" ca="1" si="37"/>
        <v>0</v>
      </c>
      <c r="H288">
        <f ca="1">RANDBETWEEN(1,J288-2)</f>
        <v>12</v>
      </c>
      <c r="I288">
        <f t="shared" ca="1" si="38"/>
        <v>47</v>
      </c>
      <c r="J288">
        <f t="shared" ca="1" si="39"/>
        <v>15</v>
      </c>
    </row>
    <row r="289" spans="1:10" x14ac:dyDescent="0.25">
      <c r="A289" t="s">
        <v>296</v>
      </c>
      <c r="B289" t="s">
        <v>1</v>
      </c>
      <c r="C289" t="str">
        <f t="shared" si="34"/>
        <v>058886</v>
      </c>
      <c r="D289" t="str">
        <f t="shared" si="35"/>
        <v>TOR</v>
      </c>
      <c r="E289" t="str" cm="1">
        <f t="array" ref="E289">INDEX($E$2:$E$4, MOD(ROW()-1,3)+1)</f>
        <v>Machine 1</v>
      </c>
      <c r="F289">
        <f t="shared" ca="1" si="36"/>
        <v>2</v>
      </c>
      <c r="G289">
        <f t="shared" ca="1" si="37"/>
        <v>1</v>
      </c>
      <c r="H289">
        <f ca="1">RANDBETWEEN(1,J289-2)</f>
        <v>9</v>
      </c>
      <c r="I289">
        <f t="shared" ca="1" si="38"/>
        <v>24</v>
      </c>
      <c r="J289">
        <f t="shared" ca="1" si="39"/>
        <v>11</v>
      </c>
    </row>
    <row r="290" spans="1:10" x14ac:dyDescent="0.25">
      <c r="A290" t="s">
        <v>297</v>
      </c>
      <c r="B290" t="s">
        <v>1</v>
      </c>
      <c r="C290" t="str">
        <f t="shared" si="34"/>
        <v>058888</v>
      </c>
      <c r="D290" t="str">
        <f t="shared" si="35"/>
        <v>TOR</v>
      </c>
      <c r="E290" t="str" cm="1">
        <f t="array" ref="E290">INDEX($E$2:$E$4, MOD(ROW()-1,3)+1)</f>
        <v>Machine 2</v>
      </c>
      <c r="F290">
        <f t="shared" ca="1" si="36"/>
        <v>3</v>
      </c>
      <c r="G290">
        <f t="shared" ca="1" si="37"/>
        <v>0</v>
      </c>
      <c r="H290">
        <f ca="1">RANDBETWEEN(1,J290-2)</f>
        <v>12</v>
      </c>
      <c r="I290">
        <f t="shared" ca="1" si="38"/>
        <v>44</v>
      </c>
      <c r="J290">
        <f t="shared" ca="1" si="39"/>
        <v>14</v>
      </c>
    </row>
    <row r="291" spans="1:10" x14ac:dyDescent="0.25">
      <c r="A291" t="s">
        <v>298</v>
      </c>
      <c r="B291" t="s">
        <v>1</v>
      </c>
      <c r="C291" t="str">
        <f t="shared" si="34"/>
        <v>058893</v>
      </c>
      <c r="D291" t="str">
        <f t="shared" si="35"/>
        <v>TOR</v>
      </c>
      <c r="E291" t="str" cm="1">
        <f t="array" ref="E291">INDEX($E$2:$E$4, MOD(ROW()-1,3)+1)</f>
        <v>Machine 3</v>
      </c>
      <c r="F291">
        <f t="shared" ca="1" si="36"/>
        <v>3</v>
      </c>
      <c r="G291">
        <f t="shared" ca="1" si="37"/>
        <v>1</v>
      </c>
      <c r="H291">
        <f ca="1">RANDBETWEEN(1,J291-2)</f>
        <v>4</v>
      </c>
      <c r="I291">
        <f t="shared" ca="1" si="38"/>
        <v>34</v>
      </c>
      <c r="J291">
        <f t="shared" ca="1" si="39"/>
        <v>8</v>
      </c>
    </row>
    <row r="292" spans="1:10" x14ac:dyDescent="0.25">
      <c r="A292" t="s">
        <v>299</v>
      </c>
      <c r="B292" t="s">
        <v>1</v>
      </c>
      <c r="C292" t="str">
        <f t="shared" si="34"/>
        <v>058896</v>
      </c>
      <c r="D292" t="str">
        <f t="shared" si="35"/>
        <v>TOR</v>
      </c>
      <c r="E292" t="str" cm="1">
        <f t="array" ref="E292">INDEX($E$2:$E$4, MOD(ROW()-1,3)+1)</f>
        <v>Machine 1</v>
      </c>
      <c r="F292">
        <f t="shared" ca="1" si="36"/>
        <v>3</v>
      </c>
      <c r="G292">
        <f t="shared" ca="1" si="37"/>
        <v>0</v>
      </c>
      <c r="H292">
        <f ca="1">RANDBETWEEN(1,J292-2)</f>
        <v>2</v>
      </c>
      <c r="I292">
        <f t="shared" ca="1" si="38"/>
        <v>27</v>
      </c>
      <c r="J292">
        <f t="shared" ca="1" si="39"/>
        <v>5</v>
      </c>
    </row>
    <row r="293" spans="1:10" x14ac:dyDescent="0.25">
      <c r="A293" t="s">
        <v>300</v>
      </c>
      <c r="B293" t="s">
        <v>1</v>
      </c>
      <c r="C293" t="str">
        <f t="shared" si="34"/>
        <v>058898</v>
      </c>
      <c r="D293" t="str">
        <f t="shared" si="35"/>
        <v>TOR</v>
      </c>
      <c r="E293" t="str" cm="1">
        <f t="array" ref="E293">INDEX($E$2:$E$4, MOD(ROW()-1,3)+1)</f>
        <v>Machine 2</v>
      </c>
      <c r="F293">
        <f t="shared" ca="1" si="36"/>
        <v>2</v>
      </c>
      <c r="G293">
        <f t="shared" ca="1" si="37"/>
        <v>0</v>
      </c>
      <c r="H293">
        <f ca="1">RANDBETWEEN(1,J293-2)</f>
        <v>6</v>
      </c>
      <c r="I293">
        <f t="shared" ca="1" si="38"/>
        <v>47</v>
      </c>
      <c r="J293">
        <f t="shared" ca="1" si="39"/>
        <v>13</v>
      </c>
    </row>
    <row r="294" spans="1:10" x14ac:dyDescent="0.25">
      <c r="A294" t="s">
        <v>301</v>
      </c>
      <c r="B294" t="s">
        <v>1</v>
      </c>
      <c r="C294" t="str">
        <f t="shared" si="34"/>
        <v>058904</v>
      </c>
      <c r="D294" t="str">
        <f t="shared" si="35"/>
        <v>TOR</v>
      </c>
      <c r="E294" t="str" cm="1">
        <f t="array" ref="E294">INDEX($E$2:$E$4, MOD(ROW()-1,3)+1)</f>
        <v>Machine 3</v>
      </c>
      <c r="F294">
        <f t="shared" ca="1" si="36"/>
        <v>2</v>
      </c>
      <c r="G294">
        <f t="shared" ca="1" si="37"/>
        <v>0</v>
      </c>
      <c r="H294">
        <f ca="1">RANDBETWEEN(1,J294-2)</f>
        <v>2</v>
      </c>
      <c r="I294">
        <f t="shared" ca="1" si="38"/>
        <v>48</v>
      </c>
      <c r="J294">
        <f t="shared" ca="1" si="39"/>
        <v>5</v>
      </c>
    </row>
    <row r="295" spans="1:10" x14ac:dyDescent="0.25">
      <c r="A295" t="s">
        <v>302</v>
      </c>
      <c r="B295" t="s">
        <v>1</v>
      </c>
      <c r="C295" t="str">
        <f t="shared" si="34"/>
        <v>058908</v>
      </c>
      <c r="D295" t="str">
        <f t="shared" si="35"/>
        <v>TOR</v>
      </c>
      <c r="E295" t="str" cm="1">
        <f t="array" ref="E295">INDEX($E$2:$E$4, MOD(ROW()-1,3)+1)</f>
        <v>Machine 1</v>
      </c>
      <c r="F295">
        <f t="shared" ca="1" si="36"/>
        <v>3</v>
      </c>
      <c r="G295">
        <f t="shared" ca="1" si="37"/>
        <v>1</v>
      </c>
      <c r="H295">
        <f ca="1">RANDBETWEEN(1,J295-2)</f>
        <v>2</v>
      </c>
      <c r="I295">
        <f t="shared" ca="1" si="38"/>
        <v>41</v>
      </c>
      <c r="J295">
        <f t="shared" ca="1" si="39"/>
        <v>13</v>
      </c>
    </row>
    <row r="296" spans="1:10" x14ac:dyDescent="0.25">
      <c r="A296" t="s">
        <v>303</v>
      </c>
      <c r="B296" t="s">
        <v>1</v>
      </c>
      <c r="C296" t="str">
        <f t="shared" si="34"/>
        <v>058910</v>
      </c>
      <c r="D296" t="str">
        <f t="shared" si="35"/>
        <v>TOR</v>
      </c>
      <c r="E296" t="str" cm="1">
        <f t="array" ref="E296">INDEX($E$2:$E$4, MOD(ROW()-1,3)+1)</f>
        <v>Machine 2</v>
      </c>
      <c r="F296">
        <f t="shared" ca="1" si="36"/>
        <v>3</v>
      </c>
      <c r="G296">
        <f t="shared" ca="1" si="37"/>
        <v>0</v>
      </c>
      <c r="H296">
        <f ca="1">RANDBETWEEN(1,J296-2)</f>
        <v>3</v>
      </c>
      <c r="I296">
        <f t="shared" ca="1" si="38"/>
        <v>42</v>
      </c>
      <c r="J296">
        <f t="shared" ca="1" si="39"/>
        <v>15</v>
      </c>
    </row>
    <row r="297" spans="1:10" x14ac:dyDescent="0.25">
      <c r="A297" t="s">
        <v>304</v>
      </c>
      <c r="B297" t="s">
        <v>1</v>
      </c>
      <c r="C297" t="str">
        <f t="shared" si="34"/>
        <v>058913</v>
      </c>
      <c r="D297" t="str">
        <f t="shared" si="35"/>
        <v>TOR</v>
      </c>
      <c r="E297" t="str" cm="1">
        <f t="array" ref="E297">INDEX($E$2:$E$4, MOD(ROW()-1,3)+1)</f>
        <v>Machine 3</v>
      </c>
      <c r="F297">
        <f t="shared" ca="1" si="36"/>
        <v>3</v>
      </c>
      <c r="G297">
        <f t="shared" ca="1" si="37"/>
        <v>0</v>
      </c>
      <c r="H297">
        <f ca="1">RANDBETWEEN(1,J297-2)</f>
        <v>1</v>
      </c>
      <c r="I297">
        <f t="shared" ca="1" si="38"/>
        <v>46</v>
      </c>
      <c r="J297">
        <f t="shared" ca="1" si="39"/>
        <v>6</v>
      </c>
    </row>
    <row r="298" spans="1:10" x14ac:dyDescent="0.25">
      <c r="A298" t="s">
        <v>305</v>
      </c>
      <c r="B298" t="s">
        <v>1</v>
      </c>
      <c r="C298" t="str">
        <f t="shared" si="34"/>
        <v>058915</v>
      </c>
      <c r="D298" t="str">
        <f t="shared" si="35"/>
        <v>TOR</v>
      </c>
      <c r="E298" t="str" cm="1">
        <f t="array" ref="E298">INDEX($E$2:$E$4, MOD(ROW()-1,3)+1)</f>
        <v>Machine 1</v>
      </c>
      <c r="F298">
        <f t="shared" ca="1" si="36"/>
        <v>3</v>
      </c>
      <c r="G298">
        <f t="shared" ca="1" si="37"/>
        <v>0</v>
      </c>
      <c r="H298">
        <f ca="1">RANDBETWEEN(1,J298-2)</f>
        <v>2</v>
      </c>
      <c r="I298">
        <f t="shared" ca="1" si="38"/>
        <v>25</v>
      </c>
      <c r="J298">
        <f t="shared" ca="1" si="39"/>
        <v>5</v>
      </c>
    </row>
    <row r="299" spans="1:10" x14ac:dyDescent="0.25">
      <c r="A299" t="s">
        <v>306</v>
      </c>
      <c r="B299" t="s">
        <v>1</v>
      </c>
      <c r="C299" t="str">
        <f t="shared" si="34"/>
        <v>058921</v>
      </c>
      <c r="D299" t="str">
        <f t="shared" si="35"/>
        <v>TOR</v>
      </c>
      <c r="E299" t="str" cm="1">
        <f t="array" ref="E299">INDEX($E$2:$E$4, MOD(ROW()-1,3)+1)</f>
        <v>Machine 2</v>
      </c>
      <c r="F299">
        <f t="shared" ca="1" si="36"/>
        <v>2</v>
      </c>
      <c r="G299">
        <f t="shared" ca="1" si="37"/>
        <v>1</v>
      </c>
      <c r="H299">
        <f ca="1">RANDBETWEEN(1,J299-2)</f>
        <v>4</v>
      </c>
      <c r="I299">
        <f t="shared" ca="1" si="38"/>
        <v>39</v>
      </c>
      <c r="J299">
        <f t="shared" ca="1" si="39"/>
        <v>11</v>
      </c>
    </row>
    <row r="300" spans="1:10" x14ac:dyDescent="0.25">
      <c r="A300" t="s">
        <v>307</v>
      </c>
      <c r="B300" t="s">
        <v>1</v>
      </c>
      <c r="C300" t="str">
        <f t="shared" si="34"/>
        <v>058931</v>
      </c>
      <c r="D300" t="str">
        <f t="shared" si="35"/>
        <v>TOR</v>
      </c>
      <c r="E300" t="str" cm="1">
        <f t="array" ref="E300">INDEX($E$2:$E$4, MOD(ROW()-1,3)+1)</f>
        <v>Machine 3</v>
      </c>
      <c r="F300">
        <f t="shared" ca="1" si="36"/>
        <v>2</v>
      </c>
      <c r="G300">
        <f t="shared" ca="1" si="37"/>
        <v>0</v>
      </c>
      <c r="H300">
        <f ca="1">RANDBETWEEN(1,J300-2)</f>
        <v>7</v>
      </c>
      <c r="I300">
        <f t="shared" ca="1" si="38"/>
        <v>45</v>
      </c>
      <c r="J300">
        <f t="shared" ca="1" si="39"/>
        <v>11</v>
      </c>
    </row>
    <row r="301" spans="1:10" x14ac:dyDescent="0.25">
      <c r="A301" t="s">
        <v>308</v>
      </c>
      <c r="B301" t="s">
        <v>1</v>
      </c>
      <c r="C301" t="str">
        <f t="shared" si="34"/>
        <v>058933</v>
      </c>
      <c r="D301" t="str">
        <f t="shared" si="35"/>
        <v>TOR</v>
      </c>
      <c r="E301" t="str" cm="1">
        <f t="array" ref="E301">INDEX($E$2:$E$4, MOD(ROW()-1,3)+1)</f>
        <v>Machine 1</v>
      </c>
      <c r="F301">
        <f t="shared" ca="1" si="36"/>
        <v>2</v>
      </c>
      <c r="G301">
        <f t="shared" ca="1" si="37"/>
        <v>1</v>
      </c>
      <c r="H301">
        <f ca="1">RANDBETWEEN(1,J301-2)</f>
        <v>4</v>
      </c>
      <c r="I301">
        <f t="shared" ca="1" si="38"/>
        <v>35</v>
      </c>
      <c r="J301">
        <f t="shared" ca="1" si="39"/>
        <v>15</v>
      </c>
    </row>
    <row r="302" spans="1:10" x14ac:dyDescent="0.25">
      <c r="A302" t="s">
        <v>309</v>
      </c>
      <c r="B302" t="s">
        <v>1</v>
      </c>
      <c r="C302" t="str">
        <f t="shared" si="34"/>
        <v>058935</v>
      </c>
      <c r="D302" t="str">
        <f t="shared" si="35"/>
        <v>TOR</v>
      </c>
      <c r="E302" t="str" cm="1">
        <f t="array" ref="E302">INDEX($E$2:$E$4, MOD(ROW()-1,3)+1)</f>
        <v>Machine 2</v>
      </c>
      <c r="F302">
        <f t="shared" ca="1" si="36"/>
        <v>3</v>
      </c>
      <c r="G302">
        <f t="shared" ca="1" si="37"/>
        <v>0</v>
      </c>
      <c r="H302">
        <f ca="1">RANDBETWEEN(1,J302-2)</f>
        <v>5</v>
      </c>
      <c r="I302">
        <f t="shared" ca="1" si="38"/>
        <v>37</v>
      </c>
      <c r="J302">
        <f t="shared" ca="1" si="39"/>
        <v>10</v>
      </c>
    </row>
    <row r="303" spans="1:10" x14ac:dyDescent="0.25">
      <c r="A303" t="s">
        <v>310</v>
      </c>
      <c r="B303" t="s">
        <v>1</v>
      </c>
      <c r="C303" t="str">
        <f t="shared" si="34"/>
        <v>058947</v>
      </c>
      <c r="D303" t="str">
        <f t="shared" si="35"/>
        <v>TOR</v>
      </c>
      <c r="E303" t="str" cm="1">
        <f t="array" ref="E303">INDEX($E$2:$E$4, MOD(ROW()-1,3)+1)</f>
        <v>Machine 3</v>
      </c>
      <c r="F303">
        <f t="shared" ca="1" si="36"/>
        <v>2</v>
      </c>
      <c r="G303">
        <f t="shared" ca="1" si="37"/>
        <v>1</v>
      </c>
      <c r="H303">
        <f ca="1">RANDBETWEEN(1,J303-2)</f>
        <v>6</v>
      </c>
      <c r="I303">
        <f t="shared" ca="1" si="38"/>
        <v>25</v>
      </c>
      <c r="J303">
        <f t="shared" ca="1" si="39"/>
        <v>15</v>
      </c>
    </row>
    <row r="304" spans="1:10" x14ac:dyDescent="0.25">
      <c r="A304" t="s">
        <v>311</v>
      </c>
      <c r="B304" t="s">
        <v>1</v>
      </c>
      <c r="C304" t="str">
        <f t="shared" si="34"/>
        <v>058949</v>
      </c>
      <c r="D304" t="str">
        <f t="shared" si="35"/>
        <v>TOR</v>
      </c>
      <c r="E304" t="str" cm="1">
        <f t="array" ref="E304">INDEX($E$2:$E$4, MOD(ROW()-1,3)+1)</f>
        <v>Machine 1</v>
      </c>
      <c r="F304">
        <f t="shared" ca="1" si="36"/>
        <v>2</v>
      </c>
      <c r="G304">
        <f t="shared" ca="1" si="37"/>
        <v>1</v>
      </c>
      <c r="H304">
        <f ca="1">RANDBETWEEN(1,J304-2)</f>
        <v>6</v>
      </c>
      <c r="I304">
        <f t="shared" ca="1" si="38"/>
        <v>37</v>
      </c>
      <c r="J304">
        <f t="shared" ca="1" si="39"/>
        <v>8</v>
      </c>
    </row>
    <row r="305" spans="1:10" x14ac:dyDescent="0.25">
      <c r="A305" t="s">
        <v>312</v>
      </c>
      <c r="B305" t="s">
        <v>1</v>
      </c>
      <c r="C305" t="str">
        <f t="shared" si="34"/>
        <v>058953</v>
      </c>
      <c r="D305" t="str">
        <f t="shared" si="35"/>
        <v>TOR</v>
      </c>
      <c r="E305" t="str" cm="1">
        <f t="array" ref="E305">INDEX($E$2:$E$4, MOD(ROW()-1,3)+1)</f>
        <v>Machine 2</v>
      </c>
      <c r="F305">
        <f t="shared" ca="1" si="36"/>
        <v>2</v>
      </c>
      <c r="G305">
        <f t="shared" ca="1" si="37"/>
        <v>0</v>
      </c>
      <c r="H305">
        <f ca="1">RANDBETWEEN(1,J305-2)</f>
        <v>6</v>
      </c>
      <c r="I305">
        <f t="shared" ca="1" si="38"/>
        <v>44</v>
      </c>
      <c r="J305">
        <f t="shared" ca="1" si="39"/>
        <v>11</v>
      </c>
    </row>
    <row r="306" spans="1:10" x14ac:dyDescent="0.25">
      <c r="A306" t="s">
        <v>313</v>
      </c>
      <c r="B306" t="s">
        <v>1</v>
      </c>
      <c r="C306" t="str">
        <f t="shared" si="34"/>
        <v>058957</v>
      </c>
      <c r="D306" t="str">
        <f t="shared" si="35"/>
        <v>TOR</v>
      </c>
      <c r="E306" t="str" cm="1">
        <f t="array" ref="E306">INDEX($E$2:$E$4, MOD(ROW()-1,3)+1)</f>
        <v>Machine 3</v>
      </c>
      <c r="F306">
        <f t="shared" ca="1" si="36"/>
        <v>2</v>
      </c>
      <c r="G306">
        <f t="shared" ca="1" si="37"/>
        <v>0</v>
      </c>
      <c r="H306">
        <f ca="1">RANDBETWEEN(1,J306-2)</f>
        <v>11</v>
      </c>
      <c r="I306">
        <f t="shared" ca="1" si="38"/>
        <v>39</v>
      </c>
      <c r="J306">
        <f t="shared" ca="1" si="39"/>
        <v>15</v>
      </c>
    </row>
    <row r="307" spans="1:10" x14ac:dyDescent="0.25">
      <c r="A307" t="s">
        <v>314</v>
      </c>
      <c r="B307" t="s">
        <v>1</v>
      </c>
      <c r="C307" t="str">
        <f t="shared" si="34"/>
        <v>058959</v>
      </c>
      <c r="D307" t="str">
        <f t="shared" si="35"/>
        <v>TOR</v>
      </c>
      <c r="E307" t="str" cm="1">
        <f t="array" ref="E307">INDEX($E$2:$E$4, MOD(ROW()-1,3)+1)</f>
        <v>Machine 1</v>
      </c>
      <c r="F307">
        <f t="shared" ca="1" si="36"/>
        <v>2</v>
      </c>
      <c r="G307">
        <f t="shared" ca="1" si="37"/>
        <v>0</v>
      </c>
      <c r="H307">
        <f ca="1">RANDBETWEEN(1,J307-2)</f>
        <v>7</v>
      </c>
      <c r="I307">
        <f t="shared" ca="1" si="38"/>
        <v>39</v>
      </c>
      <c r="J307">
        <f t="shared" ca="1" si="39"/>
        <v>10</v>
      </c>
    </row>
    <row r="308" spans="1:10" x14ac:dyDescent="0.25">
      <c r="A308" t="s">
        <v>315</v>
      </c>
      <c r="B308" t="s">
        <v>1</v>
      </c>
      <c r="C308" t="str">
        <f t="shared" si="34"/>
        <v>058973</v>
      </c>
      <c r="D308" t="str">
        <f t="shared" si="35"/>
        <v>TOR</v>
      </c>
      <c r="E308" t="str" cm="1">
        <f t="array" ref="E308">INDEX($E$2:$E$4, MOD(ROW()-1,3)+1)</f>
        <v>Machine 2</v>
      </c>
      <c r="F308">
        <f t="shared" ca="1" si="36"/>
        <v>3</v>
      </c>
      <c r="G308">
        <f t="shared" ca="1" si="37"/>
        <v>1</v>
      </c>
      <c r="H308">
        <f ca="1">RANDBETWEEN(1,J308-2)</f>
        <v>2</v>
      </c>
      <c r="I308">
        <f t="shared" ca="1" si="38"/>
        <v>40</v>
      </c>
      <c r="J308">
        <f t="shared" ca="1" si="39"/>
        <v>5</v>
      </c>
    </row>
    <row r="309" spans="1:10" x14ac:dyDescent="0.25">
      <c r="A309" t="s">
        <v>316</v>
      </c>
      <c r="B309" t="s">
        <v>1</v>
      </c>
      <c r="C309" t="str">
        <f t="shared" si="34"/>
        <v>058975</v>
      </c>
      <c r="D309" t="str">
        <f t="shared" si="35"/>
        <v>TOR</v>
      </c>
      <c r="E309" t="str" cm="1">
        <f t="array" ref="E309">INDEX($E$2:$E$4, MOD(ROW()-1,3)+1)</f>
        <v>Machine 3</v>
      </c>
      <c r="F309">
        <f t="shared" ca="1" si="36"/>
        <v>2</v>
      </c>
      <c r="G309">
        <f t="shared" ca="1" si="37"/>
        <v>0</v>
      </c>
      <c r="H309">
        <f ca="1">RANDBETWEEN(1,J309-2)</f>
        <v>6</v>
      </c>
      <c r="I309">
        <f t="shared" ca="1" si="38"/>
        <v>40</v>
      </c>
      <c r="J309">
        <f t="shared" ca="1" si="39"/>
        <v>12</v>
      </c>
    </row>
    <row r="310" spans="1:10" x14ac:dyDescent="0.25">
      <c r="A310" t="s">
        <v>317</v>
      </c>
      <c r="B310" t="s">
        <v>1</v>
      </c>
      <c r="C310" t="str">
        <f t="shared" si="34"/>
        <v>058977</v>
      </c>
      <c r="D310" t="str">
        <f t="shared" si="35"/>
        <v>TOR</v>
      </c>
      <c r="E310" t="str" cm="1">
        <f t="array" ref="E310">INDEX($E$2:$E$4, MOD(ROW()-1,3)+1)</f>
        <v>Machine 1</v>
      </c>
      <c r="F310">
        <f t="shared" ca="1" si="36"/>
        <v>3</v>
      </c>
      <c r="G310">
        <f t="shared" ca="1" si="37"/>
        <v>0</v>
      </c>
      <c r="H310">
        <f ca="1">RANDBETWEEN(1,J310-2)</f>
        <v>11</v>
      </c>
      <c r="I310">
        <f t="shared" ca="1" si="38"/>
        <v>44</v>
      </c>
      <c r="J310">
        <f t="shared" ca="1" si="39"/>
        <v>13</v>
      </c>
    </row>
    <row r="311" spans="1:10" x14ac:dyDescent="0.25">
      <c r="A311" t="s">
        <v>318</v>
      </c>
      <c r="B311" t="s">
        <v>1</v>
      </c>
      <c r="C311" t="str">
        <f t="shared" si="34"/>
        <v>058979</v>
      </c>
      <c r="D311" t="str">
        <f t="shared" si="35"/>
        <v>TOR</v>
      </c>
      <c r="E311" t="str" cm="1">
        <f t="array" ref="E311">INDEX($E$2:$E$4, MOD(ROW()-1,3)+1)</f>
        <v>Machine 2</v>
      </c>
      <c r="F311">
        <f t="shared" ca="1" si="36"/>
        <v>3</v>
      </c>
      <c r="G311">
        <f t="shared" ca="1" si="37"/>
        <v>0</v>
      </c>
      <c r="H311">
        <f ca="1">RANDBETWEEN(1,J311-2)</f>
        <v>12</v>
      </c>
      <c r="I311">
        <f t="shared" ca="1" si="38"/>
        <v>34</v>
      </c>
      <c r="J311">
        <f t="shared" ca="1" si="39"/>
        <v>14</v>
      </c>
    </row>
    <row r="312" spans="1:10" x14ac:dyDescent="0.25">
      <c r="A312" t="s">
        <v>319</v>
      </c>
      <c r="B312" t="s">
        <v>1</v>
      </c>
      <c r="C312" t="str">
        <f t="shared" si="34"/>
        <v>058983</v>
      </c>
      <c r="D312" t="str">
        <f t="shared" si="35"/>
        <v>TOR</v>
      </c>
      <c r="E312" t="str" cm="1">
        <f t="array" ref="E312">INDEX($E$2:$E$4, MOD(ROW()-1,3)+1)</f>
        <v>Machine 3</v>
      </c>
      <c r="F312">
        <f t="shared" ca="1" si="36"/>
        <v>2</v>
      </c>
      <c r="G312">
        <f t="shared" ca="1" si="37"/>
        <v>0</v>
      </c>
      <c r="H312">
        <f ca="1">RANDBETWEEN(1,J312-2)</f>
        <v>5</v>
      </c>
      <c r="I312">
        <f t="shared" ca="1" si="38"/>
        <v>47</v>
      </c>
      <c r="J312">
        <f t="shared" ca="1" si="39"/>
        <v>11</v>
      </c>
    </row>
    <row r="313" spans="1:10" x14ac:dyDescent="0.25">
      <c r="A313" t="s">
        <v>320</v>
      </c>
      <c r="B313" t="s">
        <v>1</v>
      </c>
      <c r="C313" t="str">
        <f t="shared" si="34"/>
        <v>058988</v>
      </c>
      <c r="D313" t="str">
        <f t="shared" si="35"/>
        <v>TOR</v>
      </c>
      <c r="E313" t="str" cm="1">
        <f t="array" ref="E313">INDEX($E$2:$E$4, MOD(ROW()-1,3)+1)</f>
        <v>Machine 1</v>
      </c>
      <c r="F313">
        <f t="shared" ca="1" si="36"/>
        <v>3</v>
      </c>
      <c r="G313">
        <f t="shared" ca="1" si="37"/>
        <v>0</v>
      </c>
      <c r="H313">
        <f ca="1">RANDBETWEEN(1,J313-2)</f>
        <v>5</v>
      </c>
      <c r="I313">
        <f t="shared" ca="1" si="38"/>
        <v>46</v>
      </c>
      <c r="J313">
        <f t="shared" ca="1" si="39"/>
        <v>12</v>
      </c>
    </row>
    <row r="314" spans="1:10" x14ac:dyDescent="0.25">
      <c r="A314" t="s">
        <v>321</v>
      </c>
      <c r="B314" t="s">
        <v>1</v>
      </c>
      <c r="C314" t="str">
        <f t="shared" si="34"/>
        <v>058992</v>
      </c>
      <c r="D314" t="str">
        <f t="shared" si="35"/>
        <v>TOR</v>
      </c>
      <c r="E314" t="str" cm="1">
        <f t="array" ref="E314">INDEX($E$2:$E$4, MOD(ROW()-1,3)+1)</f>
        <v>Machine 2</v>
      </c>
      <c r="F314">
        <f t="shared" ca="1" si="36"/>
        <v>3</v>
      </c>
      <c r="G314">
        <f t="shared" ca="1" si="37"/>
        <v>1</v>
      </c>
      <c r="H314">
        <f ca="1">RANDBETWEEN(1,J314-2)</f>
        <v>6</v>
      </c>
      <c r="I314">
        <f t="shared" ca="1" si="38"/>
        <v>33</v>
      </c>
      <c r="J314">
        <f t="shared" ca="1" si="39"/>
        <v>8</v>
      </c>
    </row>
    <row r="315" spans="1:10" x14ac:dyDescent="0.25">
      <c r="A315" t="s">
        <v>322</v>
      </c>
      <c r="B315" t="s">
        <v>1</v>
      </c>
      <c r="C315" t="str">
        <f t="shared" si="34"/>
        <v>059076</v>
      </c>
      <c r="D315" t="str">
        <f t="shared" si="35"/>
        <v>TOR</v>
      </c>
      <c r="E315" t="str" cm="1">
        <f t="array" ref="E315">INDEX($E$2:$E$4, MOD(ROW()-1,3)+1)</f>
        <v>Machine 3</v>
      </c>
      <c r="F315">
        <f t="shared" ca="1" si="36"/>
        <v>2</v>
      </c>
      <c r="G315">
        <f t="shared" ca="1" si="37"/>
        <v>0</v>
      </c>
      <c r="H315">
        <f ca="1">RANDBETWEEN(1,J315-2)</f>
        <v>10</v>
      </c>
      <c r="I315">
        <f t="shared" ca="1" si="38"/>
        <v>31</v>
      </c>
      <c r="J315">
        <f t="shared" ca="1" si="39"/>
        <v>14</v>
      </c>
    </row>
    <row r="316" spans="1:10" x14ac:dyDescent="0.25">
      <c r="A316" t="s">
        <v>323</v>
      </c>
      <c r="B316" t="s">
        <v>1</v>
      </c>
      <c r="C316" t="str">
        <f t="shared" si="34"/>
        <v>059096</v>
      </c>
      <c r="D316" t="str">
        <f t="shared" si="35"/>
        <v>TOR</v>
      </c>
      <c r="E316" t="str" cm="1">
        <f t="array" ref="E316">INDEX($E$2:$E$4, MOD(ROW()-1,3)+1)</f>
        <v>Machine 1</v>
      </c>
      <c r="F316">
        <f t="shared" ca="1" si="36"/>
        <v>3</v>
      </c>
      <c r="G316">
        <f t="shared" ca="1" si="37"/>
        <v>0</v>
      </c>
      <c r="H316">
        <f ca="1">RANDBETWEEN(1,J316-2)</f>
        <v>11</v>
      </c>
      <c r="I316">
        <f t="shared" ca="1" si="38"/>
        <v>37</v>
      </c>
      <c r="J316">
        <f t="shared" ca="1" si="39"/>
        <v>15</v>
      </c>
    </row>
    <row r="317" spans="1:10" x14ac:dyDescent="0.25">
      <c r="A317" t="s">
        <v>324</v>
      </c>
      <c r="B317" t="s">
        <v>1</v>
      </c>
      <c r="C317" t="str">
        <f t="shared" si="34"/>
        <v>059098</v>
      </c>
      <c r="D317" t="str">
        <f t="shared" si="35"/>
        <v>TOR</v>
      </c>
      <c r="E317" t="str" cm="1">
        <f t="array" ref="E317">INDEX($E$2:$E$4, MOD(ROW()-1,3)+1)</f>
        <v>Machine 2</v>
      </c>
      <c r="F317">
        <f t="shared" ca="1" si="36"/>
        <v>2</v>
      </c>
      <c r="G317">
        <f t="shared" ca="1" si="37"/>
        <v>0</v>
      </c>
      <c r="H317">
        <f ca="1">RANDBETWEEN(1,J317-2)</f>
        <v>3</v>
      </c>
      <c r="I317">
        <f t="shared" ca="1" si="38"/>
        <v>33</v>
      </c>
      <c r="J317">
        <f t="shared" ca="1" si="39"/>
        <v>10</v>
      </c>
    </row>
    <row r="318" spans="1:10" x14ac:dyDescent="0.25">
      <c r="A318" t="s">
        <v>325</v>
      </c>
      <c r="B318" t="s">
        <v>1</v>
      </c>
      <c r="C318" t="str">
        <f t="shared" si="34"/>
        <v>059109</v>
      </c>
      <c r="D318" t="str">
        <f t="shared" si="35"/>
        <v>TOR</v>
      </c>
      <c r="E318" t="str" cm="1">
        <f t="array" ref="E318">INDEX($E$2:$E$4, MOD(ROW()-1,3)+1)</f>
        <v>Machine 3</v>
      </c>
      <c r="F318">
        <f t="shared" ca="1" si="36"/>
        <v>2</v>
      </c>
      <c r="G318">
        <f t="shared" ca="1" si="37"/>
        <v>0</v>
      </c>
      <c r="H318">
        <f ca="1">RANDBETWEEN(1,J318-2)</f>
        <v>6</v>
      </c>
      <c r="I318">
        <f t="shared" ca="1" si="38"/>
        <v>27</v>
      </c>
      <c r="J318">
        <f t="shared" ca="1" si="39"/>
        <v>8</v>
      </c>
    </row>
    <row r="319" spans="1:10" x14ac:dyDescent="0.25">
      <c r="A319" t="s">
        <v>326</v>
      </c>
      <c r="B319" t="s">
        <v>1</v>
      </c>
      <c r="C319" t="str">
        <f t="shared" si="34"/>
        <v>059112</v>
      </c>
      <c r="D319" t="str">
        <f t="shared" si="35"/>
        <v>TOR</v>
      </c>
      <c r="E319" t="str" cm="1">
        <f t="array" ref="E319">INDEX($E$2:$E$4, MOD(ROW()-1,3)+1)</f>
        <v>Machine 1</v>
      </c>
      <c r="F319">
        <f t="shared" ca="1" si="36"/>
        <v>2</v>
      </c>
      <c r="G319">
        <f t="shared" ca="1" si="37"/>
        <v>0</v>
      </c>
      <c r="H319">
        <f ca="1">RANDBETWEEN(1,J319-2)</f>
        <v>3</v>
      </c>
      <c r="I319">
        <f t="shared" ca="1" si="38"/>
        <v>28</v>
      </c>
      <c r="J319">
        <f t="shared" ca="1" si="39"/>
        <v>9</v>
      </c>
    </row>
    <row r="320" spans="1:10" x14ac:dyDescent="0.25">
      <c r="A320" t="s">
        <v>327</v>
      </c>
      <c r="B320" t="s">
        <v>1</v>
      </c>
      <c r="C320" t="str">
        <f t="shared" si="34"/>
        <v>059114</v>
      </c>
      <c r="D320" t="str">
        <f t="shared" si="35"/>
        <v>TOR</v>
      </c>
      <c r="E320" t="str" cm="1">
        <f t="array" ref="E320">INDEX($E$2:$E$4, MOD(ROW()-1,3)+1)</f>
        <v>Machine 2</v>
      </c>
      <c r="F320">
        <f t="shared" ca="1" si="36"/>
        <v>2</v>
      </c>
      <c r="G320">
        <f t="shared" ca="1" si="37"/>
        <v>1</v>
      </c>
      <c r="H320">
        <f ca="1">RANDBETWEEN(1,J320-2)</f>
        <v>1</v>
      </c>
      <c r="I320">
        <f t="shared" ca="1" si="38"/>
        <v>46</v>
      </c>
      <c r="J320">
        <f t="shared" ca="1" si="39"/>
        <v>6</v>
      </c>
    </row>
    <row r="321" spans="1:10" x14ac:dyDescent="0.25">
      <c r="A321" t="s">
        <v>328</v>
      </c>
      <c r="B321" t="s">
        <v>1</v>
      </c>
      <c r="C321" t="str">
        <f t="shared" si="34"/>
        <v>059117</v>
      </c>
      <c r="D321" t="str">
        <f t="shared" si="35"/>
        <v>TOR</v>
      </c>
      <c r="E321" t="str" cm="1">
        <f t="array" ref="E321">INDEX($E$2:$E$4, MOD(ROW()-1,3)+1)</f>
        <v>Machine 3</v>
      </c>
      <c r="F321">
        <f t="shared" ca="1" si="36"/>
        <v>2</v>
      </c>
      <c r="G321">
        <f t="shared" ca="1" si="37"/>
        <v>0</v>
      </c>
      <c r="H321">
        <f ca="1">RANDBETWEEN(1,J321-2)</f>
        <v>2</v>
      </c>
      <c r="I321">
        <f t="shared" ca="1" si="38"/>
        <v>37</v>
      </c>
      <c r="J321">
        <f t="shared" ca="1" si="39"/>
        <v>7</v>
      </c>
    </row>
    <row r="322" spans="1:10" x14ac:dyDescent="0.25">
      <c r="A322" t="s">
        <v>329</v>
      </c>
      <c r="B322" t="s">
        <v>1</v>
      </c>
      <c r="C322" t="str">
        <f t="shared" si="34"/>
        <v>059119</v>
      </c>
      <c r="D322" t="str">
        <f t="shared" si="35"/>
        <v>TOR</v>
      </c>
      <c r="E322" t="str" cm="1">
        <f t="array" ref="E322">INDEX($E$2:$E$4, MOD(ROW()-1,3)+1)</f>
        <v>Machine 1</v>
      </c>
      <c r="F322">
        <f t="shared" ca="1" si="36"/>
        <v>2</v>
      </c>
      <c r="G322">
        <f t="shared" ca="1" si="37"/>
        <v>0</v>
      </c>
      <c r="H322">
        <f ca="1">RANDBETWEEN(1,J322-2)</f>
        <v>1</v>
      </c>
      <c r="I322">
        <f t="shared" ca="1" si="38"/>
        <v>39</v>
      </c>
      <c r="J322">
        <f t="shared" ca="1" si="39"/>
        <v>15</v>
      </c>
    </row>
    <row r="323" spans="1:10" x14ac:dyDescent="0.25">
      <c r="A323" t="s">
        <v>330</v>
      </c>
      <c r="B323" t="s">
        <v>1</v>
      </c>
      <c r="C323" t="str">
        <f t="shared" ref="C323:C386" si="40">RIGHT(A323,6)</f>
        <v>059123</v>
      </c>
      <c r="D323" t="str">
        <f t="shared" ref="D323:D386" si="41">RIGHT(B323,3)</f>
        <v>TOR</v>
      </c>
      <c r="E323" t="str" cm="1">
        <f t="array" ref="E323">INDEX($E$2:$E$4, MOD(ROW()-1,3)+1)</f>
        <v>Machine 2</v>
      </c>
      <c r="F323">
        <f t="shared" ref="F323:F386" ca="1" si="42">RANDBETWEEN(2,3)</f>
        <v>2</v>
      </c>
      <c r="G323">
        <f t="shared" ref="G323:G386" ca="1" si="43">RANDBETWEEN(0,1)</f>
        <v>0</v>
      </c>
      <c r="H323">
        <f ca="1">RANDBETWEEN(1,J323-2)</f>
        <v>2</v>
      </c>
      <c r="I323">
        <f t="shared" ref="I323:I386" ca="1" si="44">RANDBETWEEN(24,48)</f>
        <v>31</v>
      </c>
      <c r="J323">
        <f t="shared" ref="J323:J386" ca="1" si="45">RANDBETWEEN(5,15)</f>
        <v>6</v>
      </c>
    </row>
    <row r="324" spans="1:10" x14ac:dyDescent="0.25">
      <c r="A324" t="s">
        <v>331</v>
      </c>
      <c r="B324" t="s">
        <v>1</v>
      </c>
      <c r="C324" t="str">
        <f t="shared" si="40"/>
        <v>059126</v>
      </c>
      <c r="D324" t="str">
        <f t="shared" si="41"/>
        <v>TOR</v>
      </c>
      <c r="E324" t="str" cm="1">
        <f t="array" ref="E324">INDEX($E$2:$E$4, MOD(ROW()-1,3)+1)</f>
        <v>Machine 3</v>
      </c>
      <c r="F324">
        <f t="shared" ca="1" si="42"/>
        <v>3</v>
      </c>
      <c r="G324">
        <f t="shared" ca="1" si="43"/>
        <v>0</v>
      </c>
      <c r="H324">
        <f ca="1">RANDBETWEEN(1,J324-2)</f>
        <v>3</v>
      </c>
      <c r="I324">
        <f t="shared" ca="1" si="44"/>
        <v>24</v>
      </c>
      <c r="J324">
        <f t="shared" ca="1" si="45"/>
        <v>8</v>
      </c>
    </row>
    <row r="325" spans="1:10" x14ac:dyDescent="0.25">
      <c r="A325" t="s">
        <v>332</v>
      </c>
      <c r="B325" t="s">
        <v>1</v>
      </c>
      <c r="C325" t="str">
        <f t="shared" si="40"/>
        <v>059130</v>
      </c>
      <c r="D325" t="str">
        <f t="shared" si="41"/>
        <v>TOR</v>
      </c>
      <c r="E325" t="str" cm="1">
        <f t="array" ref="E325">INDEX($E$2:$E$4, MOD(ROW()-1,3)+1)</f>
        <v>Machine 1</v>
      </c>
      <c r="F325">
        <f t="shared" ca="1" si="42"/>
        <v>2</v>
      </c>
      <c r="G325">
        <f t="shared" ca="1" si="43"/>
        <v>0</v>
      </c>
      <c r="H325">
        <f ca="1">RANDBETWEEN(1,J325-2)</f>
        <v>4</v>
      </c>
      <c r="I325">
        <f t="shared" ca="1" si="44"/>
        <v>36</v>
      </c>
      <c r="J325">
        <f t="shared" ca="1" si="45"/>
        <v>8</v>
      </c>
    </row>
    <row r="326" spans="1:10" x14ac:dyDescent="0.25">
      <c r="A326" t="s">
        <v>333</v>
      </c>
      <c r="B326" t="s">
        <v>1</v>
      </c>
      <c r="C326" t="str">
        <f t="shared" si="40"/>
        <v>059132</v>
      </c>
      <c r="D326" t="str">
        <f t="shared" si="41"/>
        <v>TOR</v>
      </c>
      <c r="E326" t="str" cm="1">
        <f t="array" ref="E326">INDEX($E$2:$E$4, MOD(ROW()-1,3)+1)</f>
        <v>Machine 2</v>
      </c>
      <c r="F326">
        <f t="shared" ca="1" si="42"/>
        <v>3</v>
      </c>
      <c r="G326">
        <f t="shared" ca="1" si="43"/>
        <v>1</v>
      </c>
      <c r="H326">
        <f ca="1">RANDBETWEEN(1,J326-2)</f>
        <v>1</v>
      </c>
      <c r="I326">
        <f t="shared" ca="1" si="44"/>
        <v>28</v>
      </c>
      <c r="J326">
        <f t="shared" ca="1" si="45"/>
        <v>7</v>
      </c>
    </row>
    <row r="327" spans="1:10" x14ac:dyDescent="0.25">
      <c r="A327" t="s">
        <v>334</v>
      </c>
      <c r="B327" t="s">
        <v>1</v>
      </c>
      <c r="C327" t="str">
        <f t="shared" si="40"/>
        <v>059136</v>
      </c>
      <c r="D327" t="str">
        <f t="shared" si="41"/>
        <v>TOR</v>
      </c>
      <c r="E327" t="str" cm="1">
        <f t="array" ref="E327">INDEX($E$2:$E$4, MOD(ROW()-1,3)+1)</f>
        <v>Machine 3</v>
      </c>
      <c r="F327">
        <f t="shared" ca="1" si="42"/>
        <v>2</v>
      </c>
      <c r="G327">
        <f t="shared" ca="1" si="43"/>
        <v>1</v>
      </c>
      <c r="H327">
        <f ca="1">RANDBETWEEN(1,J327-2)</f>
        <v>13</v>
      </c>
      <c r="I327">
        <f t="shared" ca="1" si="44"/>
        <v>32</v>
      </c>
      <c r="J327">
        <f t="shared" ca="1" si="45"/>
        <v>15</v>
      </c>
    </row>
    <row r="328" spans="1:10" x14ac:dyDescent="0.25">
      <c r="A328" t="s">
        <v>335</v>
      </c>
      <c r="B328" t="s">
        <v>1</v>
      </c>
      <c r="C328" t="str">
        <f t="shared" si="40"/>
        <v>059140</v>
      </c>
      <c r="D328" t="str">
        <f t="shared" si="41"/>
        <v>TOR</v>
      </c>
      <c r="E328" t="str" cm="1">
        <f t="array" ref="E328">INDEX($E$2:$E$4, MOD(ROW()-1,3)+1)</f>
        <v>Machine 1</v>
      </c>
      <c r="F328">
        <f t="shared" ca="1" si="42"/>
        <v>2</v>
      </c>
      <c r="G328">
        <f t="shared" ca="1" si="43"/>
        <v>1</v>
      </c>
      <c r="H328">
        <f ca="1">RANDBETWEEN(1,J328-2)</f>
        <v>3</v>
      </c>
      <c r="I328">
        <f t="shared" ca="1" si="44"/>
        <v>32</v>
      </c>
      <c r="J328">
        <f t="shared" ca="1" si="45"/>
        <v>14</v>
      </c>
    </row>
    <row r="329" spans="1:10" x14ac:dyDescent="0.25">
      <c r="A329" t="s">
        <v>336</v>
      </c>
      <c r="B329" t="s">
        <v>1</v>
      </c>
      <c r="C329" t="str">
        <f t="shared" si="40"/>
        <v>059143</v>
      </c>
      <c r="D329" t="str">
        <f t="shared" si="41"/>
        <v>TOR</v>
      </c>
      <c r="E329" t="str" cm="1">
        <f t="array" ref="E329">INDEX($E$2:$E$4, MOD(ROW()-1,3)+1)</f>
        <v>Machine 2</v>
      </c>
      <c r="F329">
        <f t="shared" ca="1" si="42"/>
        <v>3</v>
      </c>
      <c r="G329">
        <f t="shared" ca="1" si="43"/>
        <v>0</v>
      </c>
      <c r="H329">
        <f ca="1">RANDBETWEEN(1,J329-2)</f>
        <v>3</v>
      </c>
      <c r="I329">
        <f t="shared" ca="1" si="44"/>
        <v>24</v>
      </c>
      <c r="J329">
        <f t="shared" ca="1" si="45"/>
        <v>7</v>
      </c>
    </row>
    <row r="330" spans="1:10" x14ac:dyDescent="0.25">
      <c r="A330" t="s">
        <v>337</v>
      </c>
      <c r="B330" t="s">
        <v>1</v>
      </c>
      <c r="C330" t="str">
        <f t="shared" si="40"/>
        <v>059158</v>
      </c>
      <c r="D330" t="str">
        <f t="shared" si="41"/>
        <v>TOR</v>
      </c>
      <c r="E330" t="str" cm="1">
        <f t="array" ref="E330">INDEX($E$2:$E$4, MOD(ROW()-1,3)+1)</f>
        <v>Machine 3</v>
      </c>
      <c r="F330">
        <f t="shared" ca="1" si="42"/>
        <v>3</v>
      </c>
      <c r="G330">
        <f t="shared" ca="1" si="43"/>
        <v>1</v>
      </c>
      <c r="H330">
        <f ca="1">RANDBETWEEN(1,J330-2)</f>
        <v>5</v>
      </c>
      <c r="I330">
        <f t="shared" ca="1" si="44"/>
        <v>44</v>
      </c>
      <c r="J330">
        <f t="shared" ca="1" si="45"/>
        <v>15</v>
      </c>
    </row>
    <row r="331" spans="1:10" x14ac:dyDescent="0.25">
      <c r="A331" t="s">
        <v>338</v>
      </c>
      <c r="B331" t="s">
        <v>1</v>
      </c>
      <c r="C331" t="str">
        <f t="shared" si="40"/>
        <v>059161</v>
      </c>
      <c r="D331" t="str">
        <f t="shared" si="41"/>
        <v>TOR</v>
      </c>
      <c r="E331" t="str" cm="1">
        <f t="array" ref="E331">INDEX($E$2:$E$4, MOD(ROW()-1,3)+1)</f>
        <v>Machine 1</v>
      </c>
      <c r="F331">
        <f t="shared" ca="1" si="42"/>
        <v>2</v>
      </c>
      <c r="G331">
        <f t="shared" ca="1" si="43"/>
        <v>0</v>
      </c>
      <c r="H331">
        <f ca="1">RANDBETWEEN(1,J331-2)</f>
        <v>5</v>
      </c>
      <c r="I331">
        <f t="shared" ca="1" si="44"/>
        <v>41</v>
      </c>
      <c r="J331">
        <f t="shared" ca="1" si="45"/>
        <v>11</v>
      </c>
    </row>
    <row r="332" spans="1:10" x14ac:dyDescent="0.25">
      <c r="A332" t="s">
        <v>339</v>
      </c>
      <c r="B332" t="s">
        <v>1</v>
      </c>
      <c r="C332" t="str">
        <f t="shared" si="40"/>
        <v>059188</v>
      </c>
      <c r="D332" t="str">
        <f t="shared" si="41"/>
        <v>TOR</v>
      </c>
      <c r="E332" t="str" cm="1">
        <f t="array" ref="E332">INDEX($E$2:$E$4, MOD(ROW()-1,3)+1)</f>
        <v>Machine 2</v>
      </c>
      <c r="F332">
        <f t="shared" ca="1" si="42"/>
        <v>3</v>
      </c>
      <c r="G332">
        <f t="shared" ca="1" si="43"/>
        <v>1</v>
      </c>
      <c r="H332">
        <f ca="1">RANDBETWEEN(1,J332-2)</f>
        <v>10</v>
      </c>
      <c r="I332">
        <f t="shared" ca="1" si="44"/>
        <v>33</v>
      </c>
      <c r="J332">
        <f t="shared" ca="1" si="45"/>
        <v>12</v>
      </c>
    </row>
    <row r="333" spans="1:10" x14ac:dyDescent="0.25">
      <c r="A333" t="s">
        <v>340</v>
      </c>
      <c r="B333" t="s">
        <v>1</v>
      </c>
      <c r="C333" t="str">
        <f t="shared" si="40"/>
        <v>059192</v>
      </c>
      <c r="D333" t="str">
        <f t="shared" si="41"/>
        <v>TOR</v>
      </c>
      <c r="E333" t="str" cm="1">
        <f t="array" ref="E333">INDEX($E$2:$E$4, MOD(ROW()-1,3)+1)</f>
        <v>Machine 3</v>
      </c>
      <c r="F333">
        <f t="shared" ca="1" si="42"/>
        <v>2</v>
      </c>
      <c r="G333">
        <f t="shared" ca="1" si="43"/>
        <v>1</v>
      </c>
      <c r="H333">
        <f ca="1">RANDBETWEEN(1,J333-2)</f>
        <v>5</v>
      </c>
      <c r="I333">
        <f t="shared" ca="1" si="44"/>
        <v>36</v>
      </c>
      <c r="J333">
        <f t="shared" ca="1" si="45"/>
        <v>7</v>
      </c>
    </row>
    <row r="334" spans="1:10" x14ac:dyDescent="0.25">
      <c r="A334" t="s">
        <v>341</v>
      </c>
      <c r="B334" t="s">
        <v>1</v>
      </c>
      <c r="C334" t="str">
        <f t="shared" si="40"/>
        <v>059194</v>
      </c>
      <c r="D334" t="str">
        <f t="shared" si="41"/>
        <v>TOR</v>
      </c>
      <c r="E334" t="str" cm="1">
        <f t="array" ref="E334">INDEX($E$2:$E$4, MOD(ROW()-1,3)+1)</f>
        <v>Machine 1</v>
      </c>
      <c r="F334">
        <f t="shared" ca="1" si="42"/>
        <v>2</v>
      </c>
      <c r="G334">
        <f t="shared" ca="1" si="43"/>
        <v>0</v>
      </c>
      <c r="H334">
        <f ca="1">RANDBETWEEN(1,J334-2)</f>
        <v>7</v>
      </c>
      <c r="I334">
        <f t="shared" ca="1" si="44"/>
        <v>44</v>
      </c>
      <c r="J334">
        <f t="shared" ca="1" si="45"/>
        <v>11</v>
      </c>
    </row>
    <row r="335" spans="1:10" x14ac:dyDescent="0.25">
      <c r="A335" t="s">
        <v>342</v>
      </c>
      <c r="B335" t="s">
        <v>1</v>
      </c>
      <c r="C335" t="str">
        <f t="shared" si="40"/>
        <v>059209</v>
      </c>
      <c r="D335" t="str">
        <f t="shared" si="41"/>
        <v>TOR</v>
      </c>
      <c r="E335" t="str" cm="1">
        <f t="array" ref="E335">INDEX($E$2:$E$4, MOD(ROW()-1,3)+1)</f>
        <v>Machine 2</v>
      </c>
      <c r="F335">
        <f t="shared" ca="1" si="42"/>
        <v>2</v>
      </c>
      <c r="G335">
        <f t="shared" ca="1" si="43"/>
        <v>0</v>
      </c>
      <c r="H335">
        <f ca="1">RANDBETWEEN(1,J335-2)</f>
        <v>5</v>
      </c>
      <c r="I335">
        <f t="shared" ca="1" si="44"/>
        <v>32</v>
      </c>
      <c r="J335">
        <f t="shared" ca="1" si="45"/>
        <v>13</v>
      </c>
    </row>
    <row r="336" spans="1:10" x14ac:dyDescent="0.25">
      <c r="A336" t="s">
        <v>343</v>
      </c>
      <c r="B336" t="s">
        <v>1</v>
      </c>
      <c r="C336" t="str">
        <f t="shared" si="40"/>
        <v>059211</v>
      </c>
      <c r="D336" t="str">
        <f t="shared" si="41"/>
        <v>TOR</v>
      </c>
      <c r="E336" t="str" cm="1">
        <f t="array" ref="E336">INDEX($E$2:$E$4, MOD(ROW()-1,3)+1)</f>
        <v>Machine 3</v>
      </c>
      <c r="F336">
        <f t="shared" ca="1" si="42"/>
        <v>3</v>
      </c>
      <c r="G336">
        <f t="shared" ca="1" si="43"/>
        <v>1</v>
      </c>
      <c r="H336">
        <f ca="1">RANDBETWEEN(1,J336-2)</f>
        <v>4</v>
      </c>
      <c r="I336">
        <f t="shared" ca="1" si="44"/>
        <v>40</v>
      </c>
      <c r="J336">
        <f t="shared" ca="1" si="45"/>
        <v>8</v>
      </c>
    </row>
    <row r="337" spans="1:10" x14ac:dyDescent="0.25">
      <c r="A337" t="s">
        <v>344</v>
      </c>
      <c r="B337" t="s">
        <v>1</v>
      </c>
      <c r="C337" t="str">
        <f t="shared" si="40"/>
        <v>059217</v>
      </c>
      <c r="D337" t="str">
        <f t="shared" si="41"/>
        <v>TOR</v>
      </c>
      <c r="E337" t="str" cm="1">
        <f t="array" ref="E337">INDEX($E$2:$E$4, MOD(ROW()-1,3)+1)</f>
        <v>Machine 1</v>
      </c>
      <c r="F337">
        <f t="shared" ca="1" si="42"/>
        <v>2</v>
      </c>
      <c r="G337">
        <f t="shared" ca="1" si="43"/>
        <v>0</v>
      </c>
      <c r="H337">
        <f ca="1">RANDBETWEEN(1,J337-2)</f>
        <v>3</v>
      </c>
      <c r="I337">
        <f t="shared" ca="1" si="44"/>
        <v>31</v>
      </c>
      <c r="J337">
        <f t="shared" ca="1" si="45"/>
        <v>5</v>
      </c>
    </row>
    <row r="338" spans="1:10" x14ac:dyDescent="0.25">
      <c r="A338" t="s">
        <v>345</v>
      </c>
      <c r="B338" t="s">
        <v>1</v>
      </c>
      <c r="C338" t="str">
        <f t="shared" si="40"/>
        <v>059236</v>
      </c>
      <c r="D338" t="str">
        <f t="shared" si="41"/>
        <v>TOR</v>
      </c>
      <c r="E338" t="str" cm="1">
        <f t="array" ref="E338">INDEX($E$2:$E$4, MOD(ROW()-1,3)+1)</f>
        <v>Machine 2</v>
      </c>
      <c r="F338">
        <f t="shared" ca="1" si="42"/>
        <v>2</v>
      </c>
      <c r="G338">
        <f t="shared" ca="1" si="43"/>
        <v>0</v>
      </c>
      <c r="H338">
        <f ca="1">RANDBETWEEN(1,J338-2)</f>
        <v>1</v>
      </c>
      <c r="I338">
        <f t="shared" ca="1" si="44"/>
        <v>37</v>
      </c>
      <c r="J338">
        <f t="shared" ca="1" si="45"/>
        <v>7</v>
      </c>
    </row>
    <row r="339" spans="1:10" x14ac:dyDescent="0.25">
      <c r="A339" t="s">
        <v>346</v>
      </c>
      <c r="B339" t="s">
        <v>1</v>
      </c>
      <c r="C339" t="str">
        <f t="shared" si="40"/>
        <v>059238</v>
      </c>
      <c r="D339" t="str">
        <f t="shared" si="41"/>
        <v>TOR</v>
      </c>
      <c r="E339" t="str" cm="1">
        <f t="array" ref="E339">INDEX($E$2:$E$4, MOD(ROW()-1,3)+1)</f>
        <v>Machine 3</v>
      </c>
      <c r="F339">
        <f t="shared" ca="1" si="42"/>
        <v>2</v>
      </c>
      <c r="G339">
        <f t="shared" ca="1" si="43"/>
        <v>1</v>
      </c>
      <c r="H339">
        <f ca="1">RANDBETWEEN(1,J339-2)</f>
        <v>1</v>
      </c>
      <c r="I339">
        <f t="shared" ca="1" si="44"/>
        <v>28</v>
      </c>
      <c r="J339">
        <f t="shared" ca="1" si="45"/>
        <v>12</v>
      </c>
    </row>
    <row r="340" spans="1:10" x14ac:dyDescent="0.25">
      <c r="A340" t="s">
        <v>347</v>
      </c>
      <c r="B340" t="s">
        <v>1</v>
      </c>
      <c r="C340" t="str">
        <f t="shared" si="40"/>
        <v>059240</v>
      </c>
      <c r="D340" t="str">
        <f t="shared" si="41"/>
        <v>TOR</v>
      </c>
      <c r="E340" t="str" cm="1">
        <f t="array" ref="E340">INDEX($E$2:$E$4, MOD(ROW()-1,3)+1)</f>
        <v>Machine 1</v>
      </c>
      <c r="F340">
        <f t="shared" ca="1" si="42"/>
        <v>3</v>
      </c>
      <c r="G340">
        <f t="shared" ca="1" si="43"/>
        <v>1</v>
      </c>
      <c r="H340">
        <f ca="1">RANDBETWEEN(1,J340-2)</f>
        <v>1</v>
      </c>
      <c r="I340">
        <f t="shared" ca="1" si="44"/>
        <v>37</v>
      </c>
      <c r="J340">
        <f t="shared" ca="1" si="45"/>
        <v>5</v>
      </c>
    </row>
    <row r="341" spans="1:10" x14ac:dyDescent="0.25">
      <c r="A341" t="s">
        <v>348</v>
      </c>
      <c r="B341" t="s">
        <v>1</v>
      </c>
      <c r="C341" t="str">
        <f t="shared" si="40"/>
        <v>059322</v>
      </c>
      <c r="D341" t="str">
        <f t="shared" si="41"/>
        <v>TOR</v>
      </c>
      <c r="E341" t="str" cm="1">
        <f t="array" ref="E341">INDEX($E$2:$E$4, MOD(ROW()-1,3)+1)</f>
        <v>Machine 2</v>
      </c>
      <c r="F341">
        <f t="shared" ca="1" si="42"/>
        <v>3</v>
      </c>
      <c r="G341">
        <f t="shared" ca="1" si="43"/>
        <v>1</v>
      </c>
      <c r="H341">
        <f ca="1">RANDBETWEEN(1,J341-2)</f>
        <v>1</v>
      </c>
      <c r="I341">
        <f t="shared" ca="1" si="44"/>
        <v>34</v>
      </c>
      <c r="J341">
        <f t="shared" ca="1" si="45"/>
        <v>5</v>
      </c>
    </row>
    <row r="342" spans="1:10" x14ac:dyDescent="0.25">
      <c r="A342" t="s">
        <v>349</v>
      </c>
      <c r="B342" t="s">
        <v>1</v>
      </c>
      <c r="C342" t="str">
        <f t="shared" si="40"/>
        <v>059332</v>
      </c>
      <c r="D342" t="str">
        <f t="shared" si="41"/>
        <v>TOR</v>
      </c>
      <c r="E342" t="str" cm="1">
        <f t="array" ref="E342">INDEX($E$2:$E$4, MOD(ROW()-1,3)+1)</f>
        <v>Machine 3</v>
      </c>
      <c r="F342">
        <f t="shared" ca="1" si="42"/>
        <v>3</v>
      </c>
      <c r="G342">
        <f t="shared" ca="1" si="43"/>
        <v>1</v>
      </c>
      <c r="H342">
        <f ca="1">RANDBETWEEN(1,J342-2)</f>
        <v>5</v>
      </c>
      <c r="I342">
        <f t="shared" ca="1" si="44"/>
        <v>45</v>
      </c>
      <c r="J342">
        <f t="shared" ca="1" si="45"/>
        <v>8</v>
      </c>
    </row>
    <row r="343" spans="1:10" x14ac:dyDescent="0.25">
      <c r="A343" t="s">
        <v>350</v>
      </c>
      <c r="B343" t="s">
        <v>1</v>
      </c>
      <c r="C343" t="str">
        <f t="shared" si="40"/>
        <v>059352</v>
      </c>
      <c r="D343" t="str">
        <f t="shared" si="41"/>
        <v>TOR</v>
      </c>
      <c r="E343" t="str" cm="1">
        <f t="array" ref="E343">INDEX($E$2:$E$4, MOD(ROW()-1,3)+1)</f>
        <v>Machine 1</v>
      </c>
      <c r="F343">
        <f t="shared" ca="1" si="42"/>
        <v>3</v>
      </c>
      <c r="G343">
        <f t="shared" ca="1" si="43"/>
        <v>0</v>
      </c>
      <c r="H343">
        <f ca="1">RANDBETWEEN(1,J343-2)</f>
        <v>4</v>
      </c>
      <c r="I343">
        <f t="shared" ca="1" si="44"/>
        <v>38</v>
      </c>
      <c r="J343">
        <f t="shared" ca="1" si="45"/>
        <v>14</v>
      </c>
    </row>
    <row r="344" spans="1:10" x14ac:dyDescent="0.25">
      <c r="A344" t="s">
        <v>351</v>
      </c>
      <c r="B344" t="s">
        <v>1</v>
      </c>
      <c r="C344" t="str">
        <f t="shared" si="40"/>
        <v>059391</v>
      </c>
      <c r="D344" t="str">
        <f t="shared" si="41"/>
        <v>TOR</v>
      </c>
      <c r="E344" t="str" cm="1">
        <f t="array" ref="E344">INDEX($E$2:$E$4, MOD(ROW()-1,3)+1)</f>
        <v>Machine 2</v>
      </c>
      <c r="F344">
        <f t="shared" ca="1" si="42"/>
        <v>2</v>
      </c>
      <c r="G344">
        <f t="shared" ca="1" si="43"/>
        <v>1</v>
      </c>
      <c r="H344">
        <f ca="1">RANDBETWEEN(1,J344-2)</f>
        <v>5</v>
      </c>
      <c r="I344">
        <f t="shared" ca="1" si="44"/>
        <v>45</v>
      </c>
      <c r="J344">
        <f t="shared" ca="1" si="45"/>
        <v>9</v>
      </c>
    </row>
    <row r="345" spans="1:10" x14ac:dyDescent="0.25">
      <c r="A345" t="s">
        <v>352</v>
      </c>
      <c r="B345" t="s">
        <v>1</v>
      </c>
      <c r="C345" t="str">
        <f t="shared" si="40"/>
        <v>059398</v>
      </c>
      <c r="D345" t="str">
        <f t="shared" si="41"/>
        <v>TOR</v>
      </c>
      <c r="E345" t="str" cm="1">
        <f t="array" ref="E345">INDEX($E$2:$E$4, MOD(ROW()-1,3)+1)</f>
        <v>Machine 3</v>
      </c>
      <c r="F345">
        <f t="shared" ca="1" si="42"/>
        <v>2</v>
      </c>
      <c r="G345">
        <f t="shared" ca="1" si="43"/>
        <v>0</v>
      </c>
      <c r="H345">
        <f ca="1">RANDBETWEEN(1,J345-2)</f>
        <v>3</v>
      </c>
      <c r="I345">
        <f t="shared" ca="1" si="44"/>
        <v>37</v>
      </c>
      <c r="J345">
        <f t="shared" ca="1" si="45"/>
        <v>7</v>
      </c>
    </row>
    <row r="346" spans="1:10" x14ac:dyDescent="0.25">
      <c r="A346" t="s">
        <v>353</v>
      </c>
      <c r="B346" t="s">
        <v>1</v>
      </c>
      <c r="C346" t="str">
        <f t="shared" si="40"/>
        <v>059402</v>
      </c>
      <c r="D346" t="str">
        <f t="shared" si="41"/>
        <v>TOR</v>
      </c>
      <c r="E346" t="str" cm="1">
        <f t="array" ref="E346">INDEX($E$2:$E$4, MOD(ROW()-1,3)+1)</f>
        <v>Machine 1</v>
      </c>
      <c r="F346">
        <f t="shared" ca="1" si="42"/>
        <v>2</v>
      </c>
      <c r="G346">
        <f t="shared" ca="1" si="43"/>
        <v>0</v>
      </c>
      <c r="H346">
        <f ca="1">RANDBETWEEN(1,J346-2)</f>
        <v>3</v>
      </c>
      <c r="I346">
        <f t="shared" ca="1" si="44"/>
        <v>24</v>
      </c>
      <c r="J346">
        <f t="shared" ca="1" si="45"/>
        <v>8</v>
      </c>
    </row>
    <row r="347" spans="1:10" x14ac:dyDescent="0.25">
      <c r="A347" t="s">
        <v>354</v>
      </c>
      <c r="B347" t="s">
        <v>1</v>
      </c>
      <c r="C347" t="str">
        <f t="shared" si="40"/>
        <v>059410</v>
      </c>
      <c r="D347" t="str">
        <f t="shared" si="41"/>
        <v>TOR</v>
      </c>
      <c r="E347" t="str" cm="1">
        <f t="array" ref="E347">INDEX($E$2:$E$4, MOD(ROW()-1,3)+1)</f>
        <v>Machine 2</v>
      </c>
      <c r="F347">
        <f t="shared" ca="1" si="42"/>
        <v>2</v>
      </c>
      <c r="G347">
        <f t="shared" ca="1" si="43"/>
        <v>0</v>
      </c>
      <c r="H347">
        <f ca="1">RANDBETWEEN(1,J347-2)</f>
        <v>1</v>
      </c>
      <c r="I347">
        <f t="shared" ca="1" si="44"/>
        <v>31</v>
      </c>
      <c r="J347">
        <f t="shared" ca="1" si="45"/>
        <v>6</v>
      </c>
    </row>
    <row r="348" spans="1:10" x14ac:dyDescent="0.25">
      <c r="A348" t="s">
        <v>355</v>
      </c>
      <c r="B348" t="s">
        <v>1</v>
      </c>
      <c r="C348" t="str">
        <f t="shared" si="40"/>
        <v>059434</v>
      </c>
      <c r="D348" t="str">
        <f t="shared" si="41"/>
        <v>TOR</v>
      </c>
      <c r="E348" t="str" cm="1">
        <f t="array" ref="E348">INDEX($E$2:$E$4, MOD(ROW()-1,3)+1)</f>
        <v>Machine 3</v>
      </c>
      <c r="F348">
        <f t="shared" ca="1" si="42"/>
        <v>2</v>
      </c>
      <c r="G348">
        <f t="shared" ca="1" si="43"/>
        <v>1</v>
      </c>
      <c r="H348">
        <f ca="1">RANDBETWEEN(1,J348-2)</f>
        <v>2</v>
      </c>
      <c r="I348">
        <f t="shared" ca="1" si="44"/>
        <v>39</v>
      </c>
      <c r="J348">
        <f t="shared" ca="1" si="45"/>
        <v>14</v>
      </c>
    </row>
    <row r="349" spans="1:10" x14ac:dyDescent="0.25">
      <c r="A349" t="s">
        <v>356</v>
      </c>
      <c r="B349" t="s">
        <v>1</v>
      </c>
      <c r="C349" t="str">
        <f t="shared" si="40"/>
        <v>059442</v>
      </c>
      <c r="D349" t="str">
        <f t="shared" si="41"/>
        <v>TOR</v>
      </c>
      <c r="E349" t="str" cm="1">
        <f t="array" ref="E349">INDEX($E$2:$E$4, MOD(ROW()-1,3)+1)</f>
        <v>Machine 1</v>
      </c>
      <c r="F349">
        <f t="shared" ca="1" si="42"/>
        <v>2</v>
      </c>
      <c r="G349">
        <f t="shared" ca="1" si="43"/>
        <v>1</v>
      </c>
      <c r="H349">
        <f ca="1">RANDBETWEEN(1,J349-2)</f>
        <v>2</v>
      </c>
      <c r="I349">
        <f t="shared" ca="1" si="44"/>
        <v>29</v>
      </c>
      <c r="J349">
        <f t="shared" ca="1" si="45"/>
        <v>6</v>
      </c>
    </row>
    <row r="350" spans="1:10" x14ac:dyDescent="0.25">
      <c r="A350" t="s">
        <v>357</v>
      </c>
      <c r="B350" t="s">
        <v>1</v>
      </c>
      <c r="C350" t="str">
        <f t="shared" si="40"/>
        <v>059451</v>
      </c>
      <c r="D350" t="str">
        <f t="shared" si="41"/>
        <v>TOR</v>
      </c>
      <c r="E350" t="str" cm="1">
        <f t="array" ref="E350">INDEX($E$2:$E$4, MOD(ROW()-1,3)+1)</f>
        <v>Machine 2</v>
      </c>
      <c r="F350">
        <f t="shared" ca="1" si="42"/>
        <v>3</v>
      </c>
      <c r="G350">
        <f t="shared" ca="1" si="43"/>
        <v>0</v>
      </c>
      <c r="H350">
        <f ca="1">RANDBETWEEN(1,J350-2)</f>
        <v>1</v>
      </c>
      <c r="I350">
        <f t="shared" ca="1" si="44"/>
        <v>24</v>
      </c>
      <c r="J350">
        <f t="shared" ca="1" si="45"/>
        <v>6</v>
      </c>
    </row>
    <row r="351" spans="1:10" x14ac:dyDescent="0.25">
      <c r="A351" t="s">
        <v>358</v>
      </c>
      <c r="B351" t="s">
        <v>1</v>
      </c>
      <c r="C351" t="str">
        <f t="shared" si="40"/>
        <v>059456</v>
      </c>
      <c r="D351" t="str">
        <f t="shared" si="41"/>
        <v>TOR</v>
      </c>
      <c r="E351" t="str" cm="1">
        <f t="array" ref="E351">INDEX($E$2:$E$4, MOD(ROW()-1,3)+1)</f>
        <v>Machine 3</v>
      </c>
      <c r="F351">
        <f t="shared" ca="1" si="42"/>
        <v>3</v>
      </c>
      <c r="G351">
        <f t="shared" ca="1" si="43"/>
        <v>0</v>
      </c>
      <c r="H351">
        <f ca="1">RANDBETWEEN(1,J351-2)</f>
        <v>5</v>
      </c>
      <c r="I351">
        <f t="shared" ca="1" si="44"/>
        <v>37</v>
      </c>
      <c r="J351">
        <f t="shared" ca="1" si="45"/>
        <v>7</v>
      </c>
    </row>
    <row r="352" spans="1:10" x14ac:dyDescent="0.25">
      <c r="A352" t="s">
        <v>359</v>
      </c>
      <c r="B352" t="s">
        <v>1</v>
      </c>
      <c r="C352" t="str">
        <f t="shared" si="40"/>
        <v>059469</v>
      </c>
      <c r="D352" t="str">
        <f t="shared" si="41"/>
        <v>TOR</v>
      </c>
      <c r="E352" t="str" cm="1">
        <f t="array" ref="E352">INDEX($E$2:$E$4, MOD(ROW()-1,3)+1)</f>
        <v>Machine 1</v>
      </c>
      <c r="F352">
        <f t="shared" ca="1" si="42"/>
        <v>2</v>
      </c>
      <c r="G352">
        <f t="shared" ca="1" si="43"/>
        <v>0</v>
      </c>
      <c r="H352">
        <f ca="1">RANDBETWEEN(1,J352-2)</f>
        <v>4</v>
      </c>
      <c r="I352">
        <f t="shared" ca="1" si="44"/>
        <v>43</v>
      </c>
      <c r="J352">
        <f t="shared" ca="1" si="45"/>
        <v>6</v>
      </c>
    </row>
    <row r="353" spans="1:10" x14ac:dyDescent="0.25">
      <c r="A353" t="s">
        <v>360</v>
      </c>
      <c r="B353" t="s">
        <v>1</v>
      </c>
      <c r="C353" t="str">
        <f t="shared" si="40"/>
        <v>059471</v>
      </c>
      <c r="D353" t="str">
        <f t="shared" si="41"/>
        <v>TOR</v>
      </c>
      <c r="E353" t="str" cm="1">
        <f t="array" ref="E353">INDEX($E$2:$E$4, MOD(ROW()-1,3)+1)</f>
        <v>Machine 2</v>
      </c>
      <c r="F353">
        <f t="shared" ca="1" si="42"/>
        <v>3</v>
      </c>
      <c r="G353">
        <f t="shared" ca="1" si="43"/>
        <v>1</v>
      </c>
      <c r="H353">
        <f ca="1">RANDBETWEEN(1,J353-2)</f>
        <v>1</v>
      </c>
      <c r="I353">
        <f t="shared" ca="1" si="44"/>
        <v>48</v>
      </c>
      <c r="J353">
        <f t="shared" ca="1" si="45"/>
        <v>6</v>
      </c>
    </row>
    <row r="354" spans="1:10" x14ac:dyDescent="0.25">
      <c r="A354" t="s">
        <v>361</v>
      </c>
      <c r="B354" t="s">
        <v>1</v>
      </c>
      <c r="C354" t="str">
        <f t="shared" si="40"/>
        <v>059473</v>
      </c>
      <c r="D354" t="str">
        <f t="shared" si="41"/>
        <v>TOR</v>
      </c>
      <c r="E354" t="str" cm="1">
        <f t="array" ref="E354">INDEX($E$2:$E$4, MOD(ROW()-1,3)+1)</f>
        <v>Machine 3</v>
      </c>
      <c r="F354">
        <f t="shared" ca="1" si="42"/>
        <v>3</v>
      </c>
      <c r="G354">
        <f t="shared" ca="1" si="43"/>
        <v>0</v>
      </c>
      <c r="H354">
        <f ca="1">RANDBETWEEN(1,J354-2)</f>
        <v>1</v>
      </c>
      <c r="I354">
        <f t="shared" ca="1" si="44"/>
        <v>46</v>
      </c>
      <c r="J354">
        <f t="shared" ca="1" si="45"/>
        <v>12</v>
      </c>
    </row>
    <row r="355" spans="1:10" x14ac:dyDescent="0.25">
      <c r="A355" t="s">
        <v>362</v>
      </c>
      <c r="B355" t="s">
        <v>1</v>
      </c>
      <c r="C355" t="str">
        <f t="shared" si="40"/>
        <v>059489</v>
      </c>
      <c r="D355" t="str">
        <f t="shared" si="41"/>
        <v>TOR</v>
      </c>
      <c r="E355" t="str" cm="1">
        <f t="array" ref="E355">INDEX($E$2:$E$4, MOD(ROW()-1,3)+1)</f>
        <v>Machine 1</v>
      </c>
      <c r="F355">
        <f t="shared" ca="1" si="42"/>
        <v>3</v>
      </c>
      <c r="G355">
        <f t="shared" ca="1" si="43"/>
        <v>0</v>
      </c>
      <c r="H355">
        <f ca="1">RANDBETWEEN(1,J355-2)</f>
        <v>4</v>
      </c>
      <c r="I355">
        <f t="shared" ca="1" si="44"/>
        <v>24</v>
      </c>
      <c r="J355">
        <f t="shared" ca="1" si="45"/>
        <v>14</v>
      </c>
    </row>
    <row r="356" spans="1:10" x14ac:dyDescent="0.25">
      <c r="A356" t="s">
        <v>363</v>
      </c>
      <c r="B356" t="s">
        <v>1</v>
      </c>
      <c r="C356" t="str">
        <f t="shared" si="40"/>
        <v>059498</v>
      </c>
      <c r="D356" t="str">
        <f t="shared" si="41"/>
        <v>TOR</v>
      </c>
      <c r="E356" t="str" cm="1">
        <f t="array" ref="E356">INDEX($E$2:$E$4, MOD(ROW()-1,3)+1)</f>
        <v>Machine 2</v>
      </c>
      <c r="F356">
        <f t="shared" ca="1" si="42"/>
        <v>2</v>
      </c>
      <c r="G356">
        <f t="shared" ca="1" si="43"/>
        <v>1</v>
      </c>
      <c r="H356">
        <f ca="1">RANDBETWEEN(1,J356-2)</f>
        <v>1</v>
      </c>
      <c r="I356">
        <f t="shared" ca="1" si="44"/>
        <v>27</v>
      </c>
      <c r="J356">
        <f t="shared" ca="1" si="45"/>
        <v>12</v>
      </c>
    </row>
    <row r="357" spans="1:10" x14ac:dyDescent="0.25">
      <c r="A357" t="s">
        <v>364</v>
      </c>
      <c r="B357" t="s">
        <v>1</v>
      </c>
      <c r="C357" t="str">
        <f t="shared" si="40"/>
        <v>059500</v>
      </c>
      <c r="D357" t="str">
        <f t="shared" si="41"/>
        <v>TOR</v>
      </c>
      <c r="E357" t="str" cm="1">
        <f t="array" ref="E357">INDEX($E$2:$E$4, MOD(ROW()-1,3)+1)</f>
        <v>Machine 3</v>
      </c>
      <c r="F357">
        <f t="shared" ca="1" si="42"/>
        <v>3</v>
      </c>
      <c r="G357">
        <f t="shared" ca="1" si="43"/>
        <v>1</v>
      </c>
      <c r="H357">
        <f ca="1">RANDBETWEEN(1,J357-2)</f>
        <v>8</v>
      </c>
      <c r="I357">
        <f t="shared" ca="1" si="44"/>
        <v>33</v>
      </c>
      <c r="J357">
        <f t="shared" ca="1" si="45"/>
        <v>15</v>
      </c>
    </row>
    <row r="358" spans="1:10" x14ac:dyDescent="0.25">
      <c r="A358" t="s">
        <v>365</v>
      </c>
      <c r="B358" t="s">
        <v>1</v>
      </c>
      <c r="C358" t="str">
        <f t="shared" si="40"/>
        <v>059502</v>
      </c>
      <c r="D358" t="str">
        <f t="shared" si="41"/>
        <v>TOR</v>
      </c>
      <c r="E358" t="str" cm="1">
        <f t="array" ref="E358">INDEX($E$2:$E$4, MOD(ROW()-1,3)+1)</f>
        <v>Machine 1</v>
      </c>
      <c r="F358">
        <f t="shared" ca="1" si="42"/>
        <v>2</v>
      </c>
      <c r="G358">
        <f t="shared" ca="1" si="43"/>
        <v>1</v>
      </c>
      <c r="H358">
        <f ca="1">RANDBETWEEN(1,J358-2)</f>
        <v>6</v>
      </c>
      <c r="I358">
        <f t="shared" ca="1" si="44"/>
        <v>42</v>
      </c>
      <c r="J358">
        <f t="shared" ca="1" si="45"/>
        <v>12</v>
      </c>
    </row>
    <row r="359" spans="1:10" x14ac:dyDescent="0.25">
      <c r="A359" t="s">
        <v>366</v>
      </c>
      <c r="B359" t="s">
        <v>1</v>
      </c>
      <c r="C359" t="str">
        <f t="shared" si="40"/>
        <v>059520</v>
      </c>
      <c r="D359" t="str">
        <f t="shared" si="41"/>
        <v>TOR</v>
      </c>
      <c r="E359" t="str" cm="1">
        <f t="array" ref="E359">INDEX($E$2:$E$4, MOD(ROW()-1,3)+1)</f>
        <v>Machine 2</v>
      </c>
      <c r="F359">
        <f t="shared" ca="1" si="42"/>
        <v>2</v>
      </c>
      <c r="G359">
        <f t="shared" ca="1" si="43"/>
        <v>0</v>
      </c>
      <c r="H359">
        <f ca="1">RANDBETWEEN(1,J359-2)</f>
        <v>11</v>
      </c>
      <c r="I359">
        <f t="shared" ca="1" si="44"/>
        <v>26</v>
      </c>
      <c r="J359">
        <f t="shared" ca="1" si="45"/>
        <v>13</v>
      </c>
    </row>
    <row r="360" spans="1:10" x14ac:dyDescent="0.25">
      <c r="A360" t="s">
        <v>367</v>
      </c>
      <c r="B360" t="s">
        <v>1</v>
      </c>
      <c r="C360" t="str">
        <f t="shared" si="40"/>
        <v>059534</v>
      </c>
      <c r="D360" t="str">
        <f t="shared" si="41"/>
        <v>TOR</v>
      </c>
      <c r="E360" t="str" cm="1">
        <f t="array" ref="E360">INDEX($E$2:$E$4, MOD(ROW()-1,3)+1)</f>
        <v>Machine 3</v>
      </c>
      <c r="F360">
        <f t="shared" ca="1" si="42"/>
        <v>3</v>
      </c>
      <c r="G360">
        <f t="shared" ca="1" si="43"/>
        <v>0</v>
      </c>
      <c r="H360">
        <f ca="1">RANDBETWEEN(1,J360-2)</f>
        <v>3</v>
      </c>
      <c r="I360">
        <f t="shared" ca="1" si="44"/>
        <v>47</v>
      </c>
      <c r="J360">
        <f t="shared" ca="1" si="45"/>
        <v>8</v>
      </c>
    </row>
    <row r="361" spans="1:10" x14ac:dyDescent="0.25">
      <c r="A361" t="s">
        <v>368</v>
      </c>
      <c r="B361" t="s">
        <v>1</v>
      </c>
      <c r="C361" t="str">
        <f t="shared" si="40"/>
        <v>059536</v>
      </c>
      <c r="D361" t="str">
        <f t="shared" si="41"/>
        <v>TOR</v>
      </c>
      <c r="E361" t="str" cm="1">
        <f t="array" ref="E361">INDEX($E$2:$E$4, MOD(ROW()-1,3)+1)</f>
        <v>Machine 1</v>
      </c>
      <c r="F361">
        <f t="shared" ca="1" si="42"/>
        <v>2</v>
      </c>
      <c r="G361">
        <f t="shared" ca="1" si="43"/>
        <v>1</v>
      </c>
      <c r="H361">
        <f ca="1">RANDBETWEEN(1,J361-2)</f>
        <v>5</v>
      </c>
      <c r="I361">
        <f t="shared" ca="1" si="44"/>
        <v>24</v>
      </c>
      <c r="J361">
        <f t="shared" ca="1" si="45"/>
        <v>14</v>
      </c>
    </row>
    <row r="362" spans="1:10" x14ac:dyDescent="0.25">
      <c r="A362" t="s">
        <v>369</v>
      </c>
      <c r="B362" t="s">
        <v>1</v>
      </c>
      <c r="C362" t="str">
        <f t="shared" si="40"/>
        <v>059538</v>
      </c>
      <c r="D362" t="str">
        <f t="shared" si="41"/>
        <v>TOR</v>
      </c>
      <c r="E362" t="str" cm="1">
        <f t="array" ref="E362">INDEX($E$2:$E$4, MOD(ROW()-1,3)+1)</f>
        <v>Machine 2</v>
      </c>
      <c r="F362">
        <f t="shared" ca="1" si="42"/>
        <v>2</v>
      </c>
      <c r="G362">
        <f t="shared" ca="1" si="43"/>
        <v>1</v>
      </c>
      <c r="H362">
        <f ca="1">RANDBETWEEN(1,J362-2)</f>
        <v>2</v>
      </c>
      <c r="I362">
        <f t="shared" ca="1" si="44"/>
        <v>38</v>
      </c>
      <c r="J362">
        <f t="shared" ca="1" si="45"/>
        <v>15</v>
      </c>
    </row>
    <row r="363" spans="1:10" x14ac:dyDescent="0.25">
      <c r="A363" t="s">
        <v>370</v>
      </c>
      <c r="B363" t="s">
        <v>1</v>
      </c>
      <c r="C363" t="str">
        <f t="shared" si="40"/>
        <v>059540</v>
      </c>
      <c r="D363" t="str">
        <f t="shared" si="41"/>
        <v>TOR</v>
      </c>
      <c r="E363" t="str" cm="1">
        <f t="array" ref="E363">INDEX($E$2:$E$4, MOD(ROW()-1,3)+1)</f>
        <v>Machine 3</v>
      </c>
      <c r="F363">
        <f t="shared" ca="1" si="42"/>
        <v>2</v>
      </c>
      <c r="G363">
        <f t="shared" ca="1" si="43"/>
        <v>1</v>
      </c>
      <c r="H363">
        <f ca="1">RANDBETWEEN(1,J363-2)</f>
        <v>5</v>
      </c>
      <c r="I363">
        <f t="shared" ca="1" si="44"/>
        <v>25</v>
      </c>
      <c r="J363">
        <f t="shared" ca="1" si="45"/>
        <v>9</v>
      </c>
    </row>
    <row r="364" spans="1:10" x14ac:dyDescent="0.25">
      <c r="A364" t="s">
        <v>371</v>
      </c>
      <c r="B364" t="s">
        <v>1</v>
      </c>
      <c r="C364" t="str">
        <f t="shared" si="40"/>
        <v>059557</v>
      </c>
      <c r="D364" t="str">
        <f t="shared" si="41"/>
        <v>TOR</v>
      </c>
      <c r="E364" t="str" cm="1">
        <f t="array" ref="E364">INDEX($E$2:$E$4, MOD(ROW()-1,3)+1)</f>
        <v>Machine 1</v>
      </c>
      <c r="F364">
        <f t="shared" ca="1" si="42"/>
        <v>2</v>
      </c>
      <c r="G364">
        <f t="shared" ca="1" si="43"/>
        <v>0</v>
      </c>
      <c r="H364">
        <f ca="1">RANDBETWEEN(1,J364-2)</f>
        <v>8</v>
      </c>
      <c r="I364">
        <f t="shared" ca="1" si="44"/>
        <v>41</v>
      </c>
      <c r="J364">
        <f t="shared" ca="1" si="45"/>
        <v>11</v>
      </c>
    </row>
    <row r="365" spans="1:10" x14ac:dyDescent="0.25">
      <c r="A365" t="s">
        <v>372</v>
      </c>
      <c r="B365" t="s">
        <v>1</v>
      </c>
      <c r="C365" t="str">
        <f t="shared" si="40"/>
        <v>059559</v>
      </c>
      <c r="D365" t="str">
        <f t="shared" si="41"/>
        <v>TOR</v>
      </c>
      <c r="E365" t="str" cm="1">
        <f t="array" ref="E365">INDEX($E$2:$E$4, MOD(ROW()-1,3)+1)</f>
        <v>Machine 2</v>
      </c>
      <c r="F365">
        <f t="shared" ca="1" si="42"/>
        <v>3</v>
      </c>
      <c r="G365">
        <f t="shared" ca="1" si="43"/>
        <v>0</v>
      </c>
      <c r="H365">
        <f ca="1">RANDBETWEEN(1,J365-2)</f>
        <v>3</v>
      </c>
      <c r="I365">
        <f t="shared" ca="1" si="44"/>
        <v>36</v>
      </c>
      <c r="J365">
        <f t="shared" ca="1" si="45"/>
        <v>8</v>
      </c>
    </row>
    <row r="366" spans="1:10" x14ac:dyDescent="0.25">
      <c r="A366" t="s">
        <v>373</v>
      </c>
      <c r="B366" t="s">
        <v>1</v>
      </c>
      <c r="C366" t="str">
        <f t="shared" si="40"/>
        <v>059561</v>
      </c>
      <c r="D366" t="str">
        <f t="shared" si="41"/>
        <v>TOR</v>
      </c>
      <c r="E366" t="str" cm="1">
        <f t="array" ref="E366">INDEX($E$2:$E$4, MOD(ROW()-1,3)+1)</f>
        <v>Machine 3</v>
      </c>
      <c r="F366">
        <f t="shared" ca="1" si="42"/>
        <v>3</v>
      </c>
      <c r="G366">
        <f t="shared" ca="1" si="43"/>
        <v>0</v>
      </c>
      <c r="H366">
        <f ca="1">RANDBETWEEN(1,J366-2)</f>
        <v>1</v>
      </c>
      <c r="I366">
        <f t="shared" ca="1" si="44"/>
        <v>45</v>
      </c>
      <c r="J366">
        <f t="shared" ca="1" si="45"/>
        <v>7</v>
      </c>
    </row>
    <row r="367" spans="1:10" x14ac:dyDescent="0.25">
      <c r="A367" t="s">
        <v>374</v>
      </c>
      <c r="B367" t="s">
        <v>1</v>
      </c>
      <c r="C367" t="str">
        <f t="shared" si="40"/>
        <v>059563</v>
      </c>
      <c r="D367" t="str">
        <f t="shared" si="41"/>
        <v>TOR</v>
      </c>
      <c r="E367" t="str" cm="1">
        <f t="array" ref="E367">INDEX($E$2:$E$4, MOD(ROW()-1,3)+1)</f>
        <v>Machine 1</v>
      </c>
      <c r="F367">
        <f t="shared" ca="1" si="42"/>
        <v>3</v>
      </c>
      <c r="G367">
        <f t="shared" ca="1" si="43"/>
        <v>1</v>
      </c>
      <c r="H367">
        <f ca="1">RANDBETWEEN(1,J367-2)</f>
        <v>8</v>
      </c>
      <c r="I367">
        <f t="shared" ca="1" si="44"/>
        <v>45</v>
      </c>
      <c r="J367">
        <f t="shared" ca="1" si="45"/>
        <v>11</v>
      </c>
    </row>
    <row r="368" spans="1:10" x14ac:dyDescent="0.25">
      <c r="A368" t="s">
        <v>375</v>
      </c>
      <c r="B368" t="s">
        <v>1</v>
      </c>
      <c r="C368" t="str">
        <f t="shared" si="40"/>
        <v>059574</v>
      </c>
      <c r="D368" t="str">
        <f t="shared" si="41"/>
        <v>TOR</v>
      </c>
      <c r="E368" t="str" cm="1">
        <f t="array" ref="E368">INDEX($E$2:$E$4, MOD(ROW()-1,3)+1)</f>
        <v>Machine 2</v>
      </c>
      <c r="F368">
        <f t="shared" ca="1" si="42"/>
        <v>2</v>
      </c>
      <c r="G368">
        <f t="shared" ca="1" si="43"/>
        <v>0</v>
      </c>
      <c r="H368">
        <f ca="1">RANDBETWEEN(1,J368-2)</f>
        <v>5</v>
      </c>
      <c r="I368">
        <f t="shared" ca="1" si="44"/>
        <v>34</v>
      </c>
      <c r="J368">
        <f t="shared" ca="1" si="45"/>
        <v>10</v>
      </c>
    </row>
    <row r="369" spans="1:10" x14ac:dyDescent="0.25">
      <c r="A369" t="s">
        <v>376</v>
      </c>
      <c r="B369" t="s">
        <v>1</v>
      </c>
      <c r="C369" t="str">
        <f t="shared" si="40"/>
        <v>059581</v>
      </c>
      <c r="D369" t="str">
        <f t="shared" si="41"/>
        <v>TOR</v>
      </c>
      <c r="E369" t="str" cm="1">
        <f t="array" ref="E369">INDEX($E$2:$E$4, MOD(ROW()-1,3)+1)</f>
        <v>Machine 3</v>
      </c>
      <c r="F369">
        <f t="shared" ca="1" si="42"/>
        <v>3</v>
      </c>
      <c r="G369">
        <f t="shared" ca="1" si="43"/>
        <v>0</v>
      </c>
      <c r="H369">
        <f ca="1">RANDBETWEEN(1,J369-2)</f>
        <v>2</v>
      </c>
      <c r="I369">
        <f t="shared" ca="1" si="44"/>
        <v>34</v>
      </c>
      <c r="J369">
        <f t="shared" ca="1" si="45"/>
        <v>6</v>
      </c>
    </row>
    <row r="370" spans="1:10" x14ac:dyDescent="0.25">
      <c r="A370" t="s">
        <v>377</v>
      </c>
      <c r="B370" t="s">
        <v>1</v>
      </c>
      <c r="C370" t="str">
        <f t="shared" si="40"/>
        <v>059591</v>
      </c>
      <c r="D370" t="str">
        <f t="shared" si="41"/>
        <v>TOR</v>
      </c>
      <c r="E370" t="str" cm="1">
        <f t="array" ref="E370">INDEX($E$2:$E$4, MOD(ROW()-1,3)+1)</f>
        <v>Machine 1</v>
      </c>
      <c r="F370">
        <f t="shared" ca="1" si="42"/>
        <v>3</v>
      </c>
      <c r="G370">
        <f t="shared" ca="1" si="43"/>
        <v>0</v>
      </c>
      <c r="H370">
        <f ca="1">RANDBETWEEN(1,J370-2)</f>
        <v>7</v>
      </c>
      <c r="I370">
        <f t="shared" ca="1" si="44"/>
        <v>43</v>
      </c>
      <c r="J370">
        <f t="shared" ca="1" si="45"/>
        <v>11</v>
      </c>
    </row>
    <row r="371" spans="1:10" x14ac:dyDescent="0.25">
      <c r="A371" t="s">
        <v>378</v>
      </c>
      <c r="B371" t="s">
        <v>1</v>
      </c>
      <c r="C371" t="str">
        <f t="shared" si="40"/>
        <v>059596</v>
      </c>
      <c r="D371" t="str">
        <f t="shared" si="41"/>
        <v>TOR</v>
      </c>
      <c r="E371" t="str" cm="1">
        <f t="array" ref="E371">INDEX($E$2:$E$4, MOD(ROW()-1,3)+1)</f>
        <v>Machine 2</v>
      </c>
      <c r="F371">
        <f t="shared" ca="1" si="42"/>
        <v>3</v>
      </c>
      <c r="G371">
        <f t="shared" ca="1" si="43"/>
        <v>1</v>
      </c>
      <c r="H371">
        <f ca="1">RANDBETWEEN(1,J371-2)</f>
        <v>6</v>
      </c>
      <c r="I371">
        <f t="shared" ca="1" si="44"/>
        <v>31</v>
      </c>
      <c r="J371">
        <f t="shared" ca="1" si="45"/>
        <v>11</v>
      </c>
    </row>
    <row r="372" spans="1:10" x14ac:dyDescent="0.25">
      <c r="A372" t="s">
        <v>379</v>
      </c>
      <c r="B372" t="s">
        <v>1</v>
      </c>
      <c r="C372" t="str">
        <f t="shared" si="40"/>
        <v>059598</v>
      </c>
      <c r="D372" t="str">
        <f t="shared" si="41"/>
        <v>TOR</v>
      </c>
      <c r="E372" t="str" cm="1">
        <f t="array" ref="E372">INDEX($E$2:$E$4, MOD(ROW()-1,3)+1)</f>
        <v>Machine 3</v>
      </c>
      <c r="F372">
        <f t="shared" ca="1" si="42"/>
        <v>3</v>
      </c>
      <c r="G372">
        <f t="shared" ca="1" si="43"/>
        <v>1</v>
      </c>
      <c r="H372">
        <f ca="1">RANDBETWEEN(1,J372-2)</f>
        <v>3</v>
      </c>
      <c r="I372">
        <f t="shared" ca="1" si="44"/>
        <v>39</v>
      </c>
      <c r="J372">
        <f t="shared" ca="1" si="45"/>
        <v>5</v>
      </c>
    </row>
    <row r="373" spans="1:10" x14ac:dyDescent="0.25">
      <c r="A373" t="s">
        <v>380</v>
      </c>
      <c r="B373" t="s">
        <v>1</v>
      </c>
      <c r="C373" t="str">
        <f t="shared" si="40"/>
        <v>059604</v>
      </c>
      <c r="D373" t="str">
        <f t="shared" si="41"/>
        <v>TOR</v>
      </c>
      <c r="E373" t="str" cm="1">
        <f t="array" ref="E373">INDEX($E$2:$E$4, MOD(ROW()-1,3)+1)</f>
        <v>Machine 1</v>
      </c>
      <c r="F373">
        <f t="shared" ca="1" si="42"/>
        <v>2</v>
      </c>
      <c r="G373">
        <f t="shared" ca="1" si="43"/>
        <v>0</v>
      </c>
      <c r="H373">
        <f ca="1">RANDBETWEEN(1,J373-2)</f>
        <v>2</v>
      </c>
      <c r="I373">
        <f t="shared" ca="1" si="44"/>
        <v>34</v>
      </c>
      <c r="J373">
        <f t="shared" ca="1" si="45"/>
        <v>10</v>
      </c>
    </row>
    <row r="374" spans="1:10" x14ac:dyDescent="0.25">
      <c r="A374" t="s">
        <v>381</v>
      </c>
      <c r="B374" t="s">
        <v>1</v>
      </c>
      <c r="C374" t="str">
        <f t="shared" si="40"/>
        <v>059606</v>
      </c>
      <c r="D374" t="str">
        <f t="shared" si="41"/>
        <v>TOR</v>
      </c>
      <c r="E374" t="str" cm="1">
        <f t="array" ref="E374">INDEX($E$2:$E$4, MOD(ROW()-1,3)+1)</f>
        <v>Machine 2</v>
      </c>
      <c r="F374">
        <f t="shared" ca="1" si="42"/>
        <v>2</v>
      </c>
      <c r="G374">
        <f t="shared" ca="1" si="43"/>
        <v>1</v>
      </c>
      <c r="H374">
        <f ca="1">RANDBETWEEN(1,J374-2)</f>
        <v>2</v>
      </c>
      <c r="I374">
        <f t="shared" ca="1" si="44"/>
        <v>48</v>
      </c>
      <c r="J374">
        <f t="shared" ca="1" si="45"/>
        <v>13</v>
      </c>
    </row>
    <row r="375" spans="1:10" x14ac:dyDescent="0.25">
      <c r="A375" t="s">
        <v>382</v>
      </c>
      <c r="B375" t="s">
        <v>1</v>
      </c>
      <c r="C375" t="str">
        <f t="shared" si="40"/>
        <v>059608</v>
      </c>
      <c r="D375" t="str">
        <f t="shared" si="41"/>
        <v>TOR</v>
      </c>
      <c r="E375" t="str" cm="1">
        <f t="array" ref="E375">INDEX($E$2:$E$4, MOD(ROW()-1,3)+1)</f>
        <v>Machine 3</v>
      </c>
      <c r="F375">
        <f t="shared" ca="1" si="42"/>
        <v>2</v>
      </c>
      <c r="G375">
        <f t="shared" ca="1" si="43"/>
        <v>1</v>
      </c>
      <c r="H375">
        <f ca="1">RANDBETWEEN(1,J375-2)</f>
        <v>8</v>
      </c>
      <c r="I375">
        <f t="shared" ca="1" si="44"/>
        <v>28</v>
      </c>
      <c r="J375">
        <f t="shared" ca="1" si="45"/>
        <v>15</v>
      </c>
    </row>
    <row r="376" spans="1:10" x14ac:dyDescent="0.25">
      <c r="A376" t="s">
        <v>383</v>
      </c>
      <c r="B376" t="s">
        <v>1</v>
      </c>
      <c r="C376" t="str">
        <f t="shared" si="40"/>
        <v>059610</v>
      </c>
      <c r="D376" t="str">
        <f t="shared" si="41"/>
        <v>TOR</v>
      </c>
      <c r="E376" t="str" cm="1">
        <f t="array" ref="E376">INDEX($E$2:$E$4, MOD(ROW()-1,3)+1)</f>
        <v>Machine 1</v>
      </c>
      <c r="F376">
        <f t="shared" ca="1" si="42"/>
        <v>2</v>
      </c>
      <c r="G376">
        <f t="shared" ca="1" si="43"/>
        <v>0</v>
      </c>
      <c r="H376">
        <f ca="1">RANDBETWEEN(1,J376-2)</f>
        <v>7</v>
      </c>
      <c r="I376">
        <f t="shared" ca="1" si="44"/>
        <v>25</v>
      </c>
      <c r="J376">
        <f t="shared" ca="1" si="45"/>
        <v>9</v>
      </c>
    </row>
    <row r="377" spans="1:10" x14ac:dyDescent="0.25">
      <c r="A377" t="s">
        <v>384</v>
      </c>
      <c r="B377" t="s">
        <v>1</v>
      </c>
      <c r="C377" t="str">
        <f t="shared" si="40"/>
        <v>059612</v>
      </c>
      <c r="D377" t="str">
        <f t="shared" si="41"/>
        <v>TOR</v>
      </c>
      <c r="E377" t="str" cm="1">
        <f t="array" ref="E377">INDEX($E$2:$E$4, MOD(ROW()-1,3)+1)</f>
        <v>Machine 2</v>
      </c>
      <c r="F377">
        <f t="shared" ca="1" si="42"/>
        <v>3</v>
      </c>
      <c r="G377">
        <f t="shared" ca="1" si="43"/>
        <v>1</v>
      </c>
      <c r="H377">
        <f ca="1">RANDBETWEEN(1,J377-2)</f>
        <v>5</v>
      </c>
      <c r="I377">
        <f t="shared" ca="1" si="44"/>
        <v>31</v>
      </c>
      <c r="J377">
        <f t="shared" ca="1" si="45"/>
        <v>10</v>
      </c>
    </row>
    <row r="378" spans="1:10" x14ac:dyDescent="0.25">
      <c r="A378" t="s">
        <v>385</v>
      </c>
      <c r="B378" t="s">
        <v>1</v>
      </c>
      <c r="C378" t="str">
        <f t="shared" si="40"/>
        <v>059614</v>
      </c>
      <c r="D378" t="str">
        <f t="shared" si="41"/>
        <v>TOR</v>
      </c>
      <c r="E378" t="str" cm="1">
        <f t="array" ref="E378">INDEX($E$2:$E$4, MOD(ROW()-1,3)+1)</f>
        <v>Machine 3</v>
      </c>
      <c r="F378">
        <f t="shared" ca="1" si="42"/>
        <v>2</v>
      </c>
      <c r="G378">
        <f t="shared" ca="1" si="43"/>
        <v>1</v>
      </c>
      <c r="H378">
        <f ca="1">RANDBETWEEN(1,J378-2)</f>
        <v>8</v>
      </c>
      <c r="I378">
        <f t="shared" ca="1" si="44"/>
        <v>25</v>
      </c>
      <c r="J378">
        <f t="shared" ca="1" si="45"/>
        <v>10</v>
      </c>
    </row>
    <row r="379" spans="1:10" x14ac:dyDescent="0.25">
      <c r="A379" t="s">
        <v>386</v>
      </c>
      <c r="B379" t="s">
        <v>1</v>
      </c>
      <c r="C379" t="str">
        <f t="shared" si="40"/>
        <v>059649</v>
      </c>
      <c r="D379" t="str">
        <f t="shared" si="41"/>
        <v>TOR</v>
      </c>
      <c r="E379" t="str" cm="1">
        <f t="array" ref="E379">INDEX($E$2:$E$4, MOD(ROW()-1,3)+1)</f>
        <v>Machine 1</v>
      </c>
      <c r="F379">
        <f t="shared" ca="1" si="42"/>
        <v>2</v>
      </c>
      <c r="G379">
        <f t="shared" ca="1" si="43"/>
        <v>1</v>
      </c>
      <c r="H379">
        <f ca="1">RANDBETWEEN(1,J379-2)</f>
        <v>4</v>
      </c>
      <c r="I379">
        <f t="shared" ca="1" si="44"/>
        <v>30</v>
      </c>
      <c r="J379">
        <f t="shared" ca="1" si="45"/>
        <v>13</v>
      </c>
    </row>
    <row r="380" spans="1:10" x14ac:dyDescent="0.25">
      <c r="A380" t="s">
        <v>387</v>
      </c>
      <c r="B380" t="s">
        <v>1</v>
      </c>
      <c r="C380" t="str">
        <f t="shared" si="40"/>
        <v>059651</v>
      </c>
      <c r="D380" t="str">
        <f t="shared" si="41"/>
        <v>TOR</v>
      </c>
      <c r="E380" t="str" cm="1">
        <f t="array" ref="E380">INDEX($E$2:$E$4, MOD(ROW()-1,3)+1)</f>
        <v>Machine 2</v>
      </c>
      <c r="F380">
        <f t="shared" ca="1" si="42"/>
        <v>2</v>
      </c>
      <c r="G380">
        <f t="shared" ca="1" si="43"/>
        <v>0</v>
      </c>
      <c r="H380">
        <f ca="1">RANDBETWEEN(1,J380-2)</f>
        <v>2</v>
      </c>
      <c r="I380">
        <f t="shared" ca="1" si="44"/>
        <v>27</v>
      </c>
      <c r="J380">
        <f t="shared" ca="1" si="45"/>
        <v>14</v>
      </c>
    </row>
    <row r="381" spans="1:10" x14ac:dyDescent="0.25">
      <c r="A381" t="s">
        <v>388</v>
      </c>
      <c r="B381" t="s">
        <v>1</v>
      </c>
      <c r="C381" t="str">
        <f t="shared" si="40"/>
        <v>059653</v>
      </c>
      <c r="D381" t="str">
        <f t="shared" si="41"/>
        <v>TOR</v>
      </c>
      <c r="E381" t="str" cm="1">
        <f t="array" ref="E381">INDEX($E$2:$E$4, MOD(ROW()-1,3)+1)</f>
        <v>Machine 3</v>
      </c>
      <c r="F381">
        <f t="shared" ca="1" si="42"/>
        <v>2</v>
      </c>
      <c r="G381">
        <f t="shared" ca="1" si="43"/>
        <v>0</v>
      </c>
      <c r="H381">
        <f ca="1">RANDBETWEEN(1,J381-2)</f>
        <v>7</v>
      </c>
      <c r="I381">
        <f t="shared" ca="1" si="44"/>
        <v>45</v>
      </c>
      <c r="J381">
        <f t="shared" ca="1" si="45"/>
        <v>15</v>
      </c>
    </row>
    <row r="382" spans="1:10" x14ac:dyDescent="0.25">
      <c r="A382" t="s">
        <v>389</v>
      </c>
      <c r="B382" t="s">
        <v>1</v>
      </c>
      <c r="C382" t="str">
        <f t="shared" si="40"/>
        <v>059655</v>
      </c>
      <c r="D382" t="str">
        <f t="shared" si="41"/>
        <v>TOR</v>
      </c>
      <c r="E382" t="str" cm="1">
        <f t="array" ref="E382">INDEX($E$2:$E$4, MOD(ROW()-1,3)+1)</f>
        <v>Machine 1</v>
      </c>
      <c r="F382">
        <f t="shared" ca="1" si="42"/>
        <v>3</v>
      </c>
      <c r="G382">
        <f t="shared" ca="1" si="43"/>
        <v>1</v>
      </c>
      <c r="H382">
        <f ca="1">RANDBETWEEN(1,J382-2)</f>
        <v>1</v>
      </c>
      <c r="I382">
        <f t="shared" ca="1" si="44"/>
        <v>27</v>
      </c>
      <c r="J382">
        <f t="shared" ca="1" si="45"/>
        <v>15</v>
      </c>
    </row>
    <row r="383" spans="1:10" x14ac:dyDescent="0.25">
      <c r="A383" t="s">
        <v>390</v>
      </c>
      <c r="B383" t="s">
        <v>1</v>
      </c>
      <c r="C383" t="str">
        <f t="shared" si="40"/>
        <v>059670</v>
      </c>
      <c r="D383" t="str">
        <f t="shared" si="41"/>
        <v>TOR</v>
      </c>
      <c r="E383" t="str" cm="1">
        <f t="array" ref="E383">INDEX($E$2:$E$4, MOD(ROW()-1,3)+1)</f>
        <v>Machine 2</v>
      </c>
      <c r="F383">
        <f t="shared" ca="1" si="42"/>
        <v>3</v>
      </c>
      <c r="G383">
        <f t="shared" ca="1" si="43"/>
        <v>0</v>
      </c>
      <c r="H383">
        <f ca="1">RANDBETWEEN(1,J383-2)</f>
        <v>7</v>
      </c>
      <c r="I383">
        <f t="shared" ca="1" si="44"/>
        <v>32</v>
      </c>
      <c r="J383">
        <f t="shared" ca="1" si="45"/>
        <v>14</v>
      </c>
    </row>
    <row r="384" spans="1:10" x14ac:dyDescent="0.25">
      <c r="A384" t="s">
        <v>391</v>
      </c>
      <c r="B384" t="s">
        <v>1</v>
      </c>
      <c r="C384" t="str">
        <f t="shared" si="40"/>
        <v>059672</v>
      </c>
      <c r="D384" t="str">
        <f t="shared" si="41"/>
        <v>TOR</v>
      </c>
      <c r="E384" t="str" cm="1">
        <f t="array" ref="E384">INDEX($E$2:$E$4, MOD(ROW()-1,3)+1)</f>
        <v>Machine 3</v>
      </c>
      <c r="F384">
        <f t="shared" ca="1" si="42"/>
        <v>3</v>
      </c>
      <c r="G384">
        <f t="shared" ca="1" si="43"/>
        <v>1</v>
      </c>
      <c r="H384">
        <f ca="1">RANDBETWEEN(1,J384-2)</f>
        <v>1</v>
      </c>
      <c r="I384">
        <f t="shared" ca="1" si="44"/>
        <v>41</v>
      </c>
      <c r="J384">
        <f t="shared" ca="1" si="45"/>
        <v>5</v>
      </c>
    </row>
    <row r="385" spans="1:10" x14ac:dyDescent="0.25">
      <c r="A385" t="s">
        <v>392</v>
      </c>
      <c r="B385" t="s">
        <v>1</v>
      </c>
      <c r="C385" t="str">
        <f t="shared" si="40"/>
        <v>059676</v>
      </c>
      <c r="D385" t="str">
        <f t="shared" si="41"/>
        <v>TOR</v>
      </c>
      <c r="E385" t="str" cm="1">
        <f t="array" ref="E385">INDEX($E$2:$E$4, MOD(ROW()-1,3)+1)</f>
        <v>Machine 1</v>
      </c>
      <c r="F385">
        <f t="shared" ca="1" si="42"/>
        <v>3</v>
      </c>
      <c r="G385">
        <f t="shared" ca="1" si="43"/>
        <v>0</v>
      </c>
      <c r="H385">
        <f ca="1">RANDBETWEEN(1,J385-2)</f>
        <v>3</v>
      </c>
      <c r="I385">
        <f t="shared" ca="1" si="44"/>
        <v>46</v>
      </c>
      <c r="J385">
        <f t="shared" ca="1" si="45"/>
        <v>7</v>
      </c>
    </row>
    <row r="386" spans="1:10" x14ac:dyDescent="0.25">
      <c r="A386" t="s">
        <v>393</v>
      </c>
      <c r="B386" t="s">
        <v>1</v>
      </c>
      <c r="C386" t="str">
        <f t="shared" si="40"/>
        <v>059678</v>
      </c>
      <c r="D386" t="str">
        <f t="shared" si="41"/>
        <v>TOR</v>
      </c>
      <c r="E386" t="str" cm="1">
        <f t="array" ref="E386">INDEX($E$2:$E$4, MOD(ROW()-1,3)+1)</f>
        <v>Machine 2</v>
      </c>
      <c r="F386">
        <f t="shared" ca="1" si="42"/>
        <v>2</v>
      </c>
      <c r="G386">
        <f t="shared" ca="1" si="43"/>
        <v>0</v>
      </c>
      <c r="H386">
        <f ca="1">RANDBETWEEN(1,J386-2)</f>
        <v>13</v>
      </c>
      <c r="I386">
        <f t="shared" ca="1" si="44"/>
        <v>47</v>
      </c>
      <c r="J386">
        <f t="shared" ca="1" si="45"/>
        <v>15</v>
      </c>
    </row>
    <row r="387" spans="1:10" x14ac:dyDescent="0.25">
      <c r="A387" t="s">
        <v>394</v>
      </c>
      <c r="B387" t="s">
        <v>1</v>
      </c>
      <c r="C387" t="str">
        <f t="shared" ref="C387:C450" si="46">RIGHT(A387,6)</f>
        <v>059692</v>
      </c>
      <c r="D387" t="str">
        <f t="shared" ref="D387:D450" si="47">RIGHT(B387,3)</f>
        <v>TOR</v>
      </c>
      <c r="E387" t="str" cm="1">
        <f t="array" ref="E387">INDEX($E$2:$E$4, MOD(ROW()-1,3)+1)</f>
        <v>Machine 3</v>
      </c>
      <c r="F387">
        <f t="shared" ref="F387:F450" ca="1" si="48">RANDBETWEEN(2,3)</f>
        <v>3</v>
      </c>
      <c r="G387">
        <f t="shared" ref="G387:G450" ca="1" si="49">RANDBETWEEN(0,1)</f>
        <v>1</v>
      </c>
      <c r="H387">
        <f ca="1">RANDBETWEEN(1,J387-2)</f>
        <v>2</v>
      </c>
      <c r="I387">
        <f t="shared" ref="I387:I450" ca="1" si="50">RANDBETWEEN(24,48)</f>
        <v>25</v>
      </c>
      <c r="J387">
        <f t="shared" ref="J387:J450" ca="1" si="51">RANDBETWEEN(5,15)</f>
        <v>12</v>
      </c>
    </row>
    <row r="388" spans="1:10" x14ac:dyDescent="0.25">
      <c r="A388" t="s">
        <v>395</v>
      </c>
      <c r="B388" t="s">
        <v>1</v>
      </c>
      <c r="C388" t="str">
        <f t="shared" si="46"/>
        <v>059705</v>
      </c>
      <c r="D388" t="str">
        <f t="shared" si="47"/>
        <v>TOR</v>
      </c>
      <c r="E388" t="str" cm="1">
        <f t="array" ref="E388">INDEX($E$2:$E$4, MOD(ROW()-1,3)+1)</f>
        <v>Machine 1</v>
      </c>
      <c r="F388">
        <f t="shared" ca="1" si="48"/>
        <v>3</v>
      </c>
      <c r="G388">
        <f t="shared" ca="1" si="49"/>
        <v>0</v>
      </c>
      <c r="H388">
        <f ca="1">RANDBETWEEN(1,J388-2)</f>
        <v>2</v>
      </c>
      <c r="I388">
        <f t="shared" ca="1" si="50"/>
        <v>33</v>
      </c>
      <c r="J388">
        <f t="shared" ca="1" si="51"/>
        <v>10</v>
      </c>
    </row>
    <row r="389" spans="1:10" x14ac:dyDescent="0.25">
      <c r="A389" t="s">
        <v>396</v>
      </c>
      <c r="B389" t="s">
        <v>1</v>
      </c>
      <c r="C389" t="str">
        <f t="shared" si="46"/>
        <v>059752</v>
      </c>
      <c r="D389" t="str">
        <f t="shared" si="47"/>
        <v>TOR</v>
      </c>
      <c r="E389" t="str" cm="1">
        <f t="array" ref="E389">INDEX($E$2:$E$4, MOD(ROW()-1,3)+1)</f>
        <v>Machine 2</v>
      </c>
      <c r="F389">
        <f t="shared" ca="1" si="48"/>
        <v>3</v>
      </c>
      <c r="G389">
        <f t="shared" ca="1" si="49"/>
        <v>0</v>
      </c>
      <c r="H389">
        <f ca="1">RANDBETWEEN(1,J389-2)</f>
        <v>5</v>
      </c>
      <c r="I389">
        <f t="shared" ca="1" si="50"/>
        <v>24</v>
      </c>
      <c r="J389">
        <f t="shared" ca="1" si="51"/>
        <v>9</v>
      </c>
    </row>
    <row r="390" spans="1:10" x14ac:dyDescent="0.25">
      <c r="A390" t="s">
        <v>397</v>
      </c>
      <c r="B390" t="s">
        <v>1</v>
      </c>
      <c r="C390" t="str">
        <f t="shared" si="46"/>
        <v>059754</v>
      </c>
      <c r="D390" t="str">
        <f t="shared" si="47"/>
        <v>TOR</v>
      </c>
      <c r="E390" t="str" cm="1">
        <f t="array" ref="E390">INDEX($E$2:$E$4, MOD(ROW()-1,3)+1)</f>
        <v>Machine 3</v>
      </c>
      <c r="F390">
        <f t="shared" ca="1" si="48"/>
        <v>2</v>
      </c>
      <c r="G390">
        <f t="shared" ca="1" si="49"/>
        <v>1</v>
      </c>
      <c r="H390">
        <f ca="1">RANDBETWEEN(1,J390-2)</f>
        <v>9</v>
      </c>
      <c r="I390">
        <f t="shared" ca="1" si="50"/>
        <v>24</v>
      </c>
      <c r="J390">
        <f t="shared" ca="1" si="51"/>
        <v>13</v>
      </c>
    </row>
    <row r="391" spans="1:10" x14ac:dyDescent="0.25">
      <c r="A391" t="s">
        <v>398</v>
      </c>
      <c r="B391" t="s">
        <v>1</v>
      </c>
      <c r="C391" t="str">
        <f t="shared" si="46"/>
        <v>059756</v>
      </c>
      <c r="D391" t="str">
        <f t="shared" si="47"/>
        <v>TOR</v>
      </c>
      <c r="E391" t="str" cm="1">
        <f t="array" ref="E391">INDEX($E$2:$E$4, MOD(ROW()-1,3)+1)</f>
        <v>Machine 1</v>
      </c>
      <c r="F391">
        <f t="shared" ca="1" si="48"/>
        <v>3</v>
      </c>
      <c r="G391">
        <f t="shared" ca="1" si="49"/>
        <v>0</v>
      </c>
      <c r="H391">
        <f ca="1">RANDBETWEEN(1,J391-2)</f>
        <v>1</v>
      </c>
      <c r="I391">
        <f t="shared" ca="1" si="50"/>
        <v>47</v>
      </c>
      <c r="J391">
        <f t="shared" ca="1" si="51"/>
        <v>5</v>
      </c>
    </row>
    <row r="392" spans="1:10" x14ac:dyDescent="0.25">
      <c r="A392" t="s">
        <v>399</v>
      </c>
      <c r="B392" t="s">
        <v>1</v>
      </c>
      <c r="C392" t="str">
        <f t="shared" si="46"/>
        <v>059759</v>
      </c>
      <c r="D392" t="str">
        <f t="shared" si="47"/>
        <v>TOR</v>
      </c>
      <c r="E392" t="str" cm="1">
        <f t="array" ref="E392">INDEX($E$2:$E$4, MOD(ROW()-1,3)+1)</f>
        <v>Machine 2</v>
      </c>
      <c r="F392">
        <f t="shared" ca="1" si="48"/>
        <v>3</v>
      </c>
      <c r="G392">
        <f t="shared" ca="1" si="49"/>
        <v>0</v>
      </c>
      <c r="H392">
        <f ca="1">RANDBETWEEN(1,J392-2)</f>
        <v>6</v>
      </c>
      <c r="I392">
        <f t="shared" ca="1" si="50"/>
        <v>25</v>
      </c>
      <c r="J392">
        <f t="shared" ca="1" si="51"/>
        <v>8</v>
      </c>
    </row>
    <row r="393" spans="1:10" x14ac:dyDescent="0.25">
      <c r="A393" t="s">
        <v>400</v>
      </c>
      <c r="B393" t="s">
        <v>1</v>
      </c>
      <c r="C393" t="str">
        <f t="shared" si="46"/>
        <v>059762</v>
      </c>
      <c r="D393" t="str">
        <f t="shared" si="47"/>
        <v>TOR</v>
      </c>
      <c r="E393" t="str" cm="1">
        <f t="array" ref="E393">INDEX($E$2:$E$4, MOD(ROW()-1,3)+1)</f>
        <v>Machine 3</v>
      </c>
      <c r="F393">
        <f t="shared" ca="1" si="48"/>
        <v>2</v>
      </c>
      <c r="G393">
        <f t="shared" ca="1" si="49"/>
        <v>0</v>
      </c>
      <c r="H393">
        <f ca="1">RANDBETWEEN(1,J393-2)</f>
        <v>3</v>
      </c>
      <c r="I393">
        <f t="shared" ca="1" si="50"/>
        <v>32</v>
      </c>
      <c r="J393">
        <f t="shared" ca="1" si="51"/>
        <v>5</v>
      </c>
    </row>
    <row r="394" spans="1:10" x14ac:dyDescent="0.25">
      <c r="A394" t="s">
        <v>401</v>
      </c>
      <c r="B394" t="s">
        <v>1</v>
      </c>
      <c r="C394" t="str">
        <f t="shared" si="46"/>
        <v>059765</v>
      </c>
      <c r="D394" t="str">
        <f t="shared" si="47"/>
        <v>TOR</v>
      </c>
      <c r="E394" t="str" cm="1">
        <f t="array" ref="E394">INDEX($E$2:$E$4, MOD(ROW()-1,3)+1)</f>
        <v>Machine 1</v>
      </c>
      <c r="F394">
        <f t="shared" ca="1" si="48"/>
        <v>2</v>
      </c>
      <c r="G394">
        <f t="shared" ca="1" si="49"/>
        <v>0</v>
      </c>
      <c r="H394">
        <f ca="1">RANDBETWEEN(1,J394-2)</f>
        <v>2</v>
      </c>
      <c r="I394">
        <f t="shared" ca="1" si="50"/>
        <v>46</v>
      </c>
      <c r="J394">
        <f t="shared" ca="1" si="51"/>
        <v>12</v>
      </c>
    </row>
    <row r="395" spans="1:10" x14ac:dyDescent="0.25">
      <c r="A395" t="s">
        <v>402</v>
      </c>
      <c r="B395" t="s">
        <v>1</v>
      </c>
      <c r="C395" t="str">
        <f t="shared" si="46"/>
        <v>059772</v>
      </c>
      <c r="D395" t="str">
        <f t="shared" si="47"/>
        <v>TOR</v>
      </c>
      <c r="E395" t="str" cm="1">
        <f t="array" ref="E395">INDEX($E$2:$E$4, MOD(ROW()-1,3)+1)</f>
        <v>Machine 2</v>
      </c>
      <c r="F395">
        <f t="shared" ca="1" si="48"/>
        <v>2</v>
      </c>
      <c r="G395">
        <f t="shared" ca="1" si="49"/>
        <v>1</v>
      </c>
      <c r="H395">
        <f ca="1">RANDBETWEEN(1,J395-2)</f>
        <v>9</v>
      </c>
      <c r="I395">
        <f t="shared" ca="1" si="50"/>
        <v>32</v>
      </c>
      <c r="J395">
        <f t="shared" ca="1" si="51"/>
        <v>14</v>
      </c>
    </row>
    <row r="396" spans="1:10" x14ac:dyDescent="0.25">
      <c r="A396" t="s">
        <v>403</v>
      </c>
      <c r="B396" t="s">
        <v>1</v>
      </c>
      <c r="C396" t="str">
        <f t="shared" si="46"/>
        <v>059774</v>
      </c>
      <c r="D396" t="str">
        <f t="shared" si="47"/>
        <v>TOR</v>
      </c>
      <c r="E396" t="str" cm="1">
        <f t="array" ref="E396">INDEX($E$2:$E$4, MOD(ROW()-1,3)+1)</f>
        <v>Machine 3</v>
      </c>
      <c r="F396">
        <f t="shared" ca="1" si="48"/>
        <v>3</v>
      </c>
      <c r="G396">
        <f t="shared" ca="1" si="49"/>
        <v>1</v>
      </c>
      <c r="H396">
        <f ca="1">RANDBETWEEN(1,J396-2)</f>
        <v>6</v>
      </c>
      <c r="I396">
        <f t="shared" ca="1" si="50"/>
        <v>43</v>
      </c>
      <c r="J396">
        <f t="shared" ca="1" si="51"/>
        <v>8</v>
      </c>
    </row>
    <row r="397" spans="1:10" x14ac:dyDescent="0.25">
      <c r="A397" t="s">
        <v>404</v>
      </c>
      <c r="B397" t="s">
        <v>1</v>
      </c>
      <c r="C397" t="str">
        <f t="shared" si="46"/>
        <v>059776</v>
      </c>
      <c r="D397" t="str">
        <f t="shared" si="47"/>
        <v>TOR</v>
      </c>
      <c r="E397" t="str" cm="1">
        <f t="array" ref="E397">INDEX($E$2:$E$4, MOD(ROW()-1,3)+1)</f>
        <v>Machine 1</v>
      </c>
      <c r="F397">
        <f t="shared" ca="1" si="48"/>
        <v>2</v>
      </c>
      <c r="G397">
        <f t="shared" ca="1" si="49"/>
        <v>1</v>
      </c>
      <c r="H397">
        <f ca="1">RANDBETWEEN(1,J397-2)</f>
        <v>7</v>
      </c>
      <c r="I397">
        <f t="shared" ca="1" si="50"/>
        <v>33</v>
      </c>
      <c r="J397">
        <f t="shared" ca="1" si="51"/>
        <v>11</v>
      </c>
    </row>
    <row r="398" spans="1:10" x14ac:dyDescent="0.25">
      <c r="A398" t="s">
        <v>405</v>
      </c>
      <c r="B398" t="s">
        <v>1</v>
      </c>
      <c r="C398" t="str">
        <f t="shared" si="46"/>
        <v>059780</v>
      </c>
      <c r="D398" t="str">
        <f t="shared" si="47"/>
        <v>TOR</v>
      </c>
      <c r="E398" t="str" cm="1">
        <f t="array" ref="E398">INDEX($E$2:$E$4, MOD(ROW()-1,3)+1)</f>
        <v>Machine 2</v>
      </c>
      <c r="F398">
        <f t="shared" ca="1" si="48"/>
        <v>3</v>
      </c>
      <c r="G398">
        <f t="shared" ca="1" si="49"/>
        <v>0</v>
      </c>
      <c r="H398">
        <f ca="1">RANDBETWEEN(1,J398-2)</f>
        <v>3</v>
      </c>
      <c r="I398">
        <f t="shared" ca="1" si="50"/>
        <v>30</v>
      </c>
      <c r="J398">
        <f t="shared" ca="1" si="51"/>
        <v>12</v>
      </c>
    </row>
    <row r="399" spans="1:10" x14ac:dyDescent="0.25">
      <c r="A399" t="s">
        <v>406</v>
      </c>
      <c r="B399" t="s">
        <v>1</v>
      </c>
      <c r="C399" t="str">
        <f t="shared" si="46"/>
        <v>059784</v>
      </c>
      <c r="D399" t="str">
        <f t="shared" si="47"/>
        <v>TOR</v>
      </c>
      <c r="E399" t="str" cm="1">
        <f t="array" ref="E399">INDEX($E$2:$E$4, MOD(ROW()-1,3)+1)</f>
        <v>Machine 3</v>
      </c>
      <c r="F399">
        <f t="shared" ca="1" si="48"/>
        <v>3</v>
      </c>
      <c r="G399">
        <f t="shared" ca="1" si="49"/>
        <v>1</v>
      </c>
      <c r="H399">
        <f ca="1">RANDBETWEEN(1,J399-2)</f>
        <v>1</v>
      </c>
      <c r="I399">
        <f t="shared" ca="1" si="50"/>
        <v>36</v>
      </c>
      <c r="J399">
        <f t="shared" ca="1" si="51"/>
        <v>6</v>
      </c>
    </row>
    <row r="400" spans="1:10" x14ac:dyDescent="0.25">
      <c r="A400" t="s">
        <v>407</v>
      </c>
      <c r="B400" t="s">
        <v>1</v>
      </c>
      <c r="C400" t="str">
        <f t="shared" si="46"/>
        <v>059786</v>
      </c>
      <c r="D400" t="str">
        <f t="shared" si="47"/>
        <v>TOR</v>
      </c>
      <c r="E400" t="str" cm="1">
        <f t="array" ref="E400">INDEX($E$2:$E$4, MOD(ROW()-1,3)+1)</f>
        <v>Machine 1</v>
      </c>
      <c r="F400">
        <f t="shared" ca="1" si="48"/>
        <v>2</v>
      </c>
      <c r="G400">
        <f t="shared" ca="1" si="49"/>
        <v>1</v>
      </c>
      <c r="H400">
        <f ca="1">RANDBETWEEN(1,J400-2)</f>
        <v>7</v>
      </c>
      <c r="I400">
        <f t="shared" ca="1" si="50"/>
        <v>31</v>
      </c>
      <c r="J400">
        <f t="shared" ca="1" si="51"/>
        <v>15</v>
      </c>
    </row>
    <row r="401" spans="1:10" x14ac:dyDescent="0.25">
      <c r="A401" t="s">
        <v>408</v>
      </c>
      <c r="B401" t="s">
        <v>1</v>
      </c>
      <c r="C401" t="str">
        <f t="shared" si="46"/>
        <v>059803</v>
      </c>
      <c r="D401" t="str">
        <f t="shared" si="47"/>
        <v>TOR</v>
      </c>
      <c r="E401" t="str" cm="1">
        <f t="array" ref="E401">INDEX($E$2:$E$4, MOD(ROW()-1,3)+1)</f>
        <v>Machine 2</v>
      </c>
      <c r="F401">
        <f t="shared" ca="1" si="48"/>
        <v>2</v>
      </c>
      <c r="G401">
        <f t="shared" ca="1" si="49"/>
        <v>1</v>
      </c>
      <c r="H401">
        <f ca="1">RANDBETWEEN(1,J401-2)</f>
        <v>2</v>
      </c>
      <c r="I401">
        <f t="shared" ca="1" si="50"/>
        <v>30</v>
      </c>
      <c r="J401">
        <f t="shared" ca="1" si="51"/>
        <v>7</v>
      </c>
    </row>
    <row r="402" spans="1:10" x14ac:dyDescent="0.25">
      <c r="A402" t="s">
        <v>409</v>
      </c>
      <c r="B402" t="s">
        <v>1</v>
      </c>
      <c r="C402" t="str">
        <f t="shared" si="46"/>
        <v>059805</v>
      </c>
      <c r="D402" t="str">
        <f t="shared" si="47"/>
        <v>TOR</v>
      </c>
      <c r="E402" t="str" cm="1">
        <f t="array" ref="E402">INDEX($E$2:$E$4, MOD(ROW()-1,3)+1)</f>
        <v>Machine 3</v>
      </c>
      <c r="F402">
        <f t="shared" ca="1" si="48"/>
        <v>2</v>
      </c>
      <c r="G402">
        <f t="shared" ca="1" si="49"/>
        <v>0</v>
      </c>
      <c r="H402">
        <f ca="1">RANDBETWEEN(1,J402-2)</f>
        <v>6</v>
      </c>
      <c r="I402">
        <f t="shared" ca="1" si="50"/>
        <v>26</v>
      </c>
      <c r="J402">
        <f t="shared" ca="1" si="51"/>
        <v>9</v>
      </c>
    </row>
    <row r="403" spans="1:10" x14ac:dyDescent="0.25">
      <c r="A403" t="s">
        <v>410</v>
      </c>
      <c r="B403" t="s">
        <v>1</v>
      </c>
      <c r="C403" t="str">
        <f t="shared" si="46"/>
        <v>059809</v>
      </c>
      <c r="D403" t="str">
        <f t="shared" si="47"/>
        <v>TOR</v>
      </c>
      <c r="E403" t="str" cm="1">
        <f t="array" ref="E403">INDEX($E$2:$E$4, MOD(ROW()-1,3)+1)</f>
        <v>Machine 1</v>
      </c>
      <c r="F403">
        <f t="shared" ca="1" si="48"/>
        <v>2</v>
      </c>
      <c r="G403">
        <f t="shared" ca="1" si="49"/>
        <v>0</v>
      </c>
      <c r="H403">
        <f ca="1">RANDBETWEEN(1,J403-2)</f>
        <v>10</v>
      </c>
      <c r="I403">
        <f t="shared" ca="1" si="50"/>
        <v>24</v>
      </c>
      <c r="J403">
        <f t="shared" ca="1" si="51"/>
        <v>13</v>
      </c>
    </row>
    <row r="404" spans="1:10" x14ac:dyDescent="0.25">
      <c r="A404" t="s">
        <v>411</v>
      </c>
      <c r="B404" t="s">
        <v>1</v>
      </c>
      <c r="C404" t="str">
        <f t="shared" si="46"/>
        <v>059811</v>
      </c>
      <c r="D404" t="str">
        <f t="shared" si="47"/>
        <v>TOR</v>
      </c>
      <c r="E404" t="str" cm="1">
        <f t="array" ref="E404">INDEX($E$2:$E$4, MOD(ROW()-1,3)+1)</f>
        <v>Machine 2</v>
      </c>
      <c r="F404">
        <f t="shared" ca="1" si="48"/>
        <v>3</v>
      </c>
      <c r="G404">
        <f t="shared" ca="1" si="49"/>
        <v>1</v>
      </c>
      <c r="H404">
        <f ca="1">RANDBETWEEN(1,J404-2)</f>
        <v>1</v>
      </c>
      <c r="I404">
        <f t="shared" ca="1" si="50"/>
        <v>29</v>
      </c>
      <c r="J404">
        <f t="shared" ca="1" si="51"/>
        <v>10</v>
      </c>
    </row>
    <row r="405" spans="1:10" x14ac:dyDescent="0.25">
      <c r="A405" t="s">
        <v>412</v>
      </c>
      <c r="B405" t="s">
        <v>1</v>
      </c>
      <c r="C405" t="str">
        <f t="shared" si="46"/>
        <v>059813</v>
      </c>
      <c r="D405" t="str">
        <f t="shared" si="47"/>
        <v>TOR</v>
      </c>
      <c r="E405" t="str" cm="1">
        <f t="array" ref="E405">INDEX($E$2:$E$4, MOD(ROW()-1,3)+1)</f>
        <v>Machine 3</v>
      </c>
      <c r="F405">
        <f t="shared" ca="1" si="48"/>
        <v>2</v>
      </c>
      <c r="G405">
        <f t="shared" ca="1" si="49"/>
        <v>0</v>
      </c>
      <c r="H405">
        <f ca="1">RANDBETWEEN(1,J405-2)</f>
        <v>2</v>
      </c>
      <c r="I405">
        <f t="shared" ca="1" si="50"/>
        <v>44</v>
      </c>
      <c r="J405">
        <f t="shared" ca="1" si="51"/>
        <v>8</v>
      </c>
    </row>
    <row r="406" spans="1:10" x14ac:dyDescent="0.25">
      <c r="A406" t="s">
        <v>413</v>
      </c>
      <c r="B406" t="s">
        <v>1</v>
      </c>
      <c r="C406" t="str">
        <f t="shared" si="46"/>
        <v>059816</v>
      </c>
      <c r="D406" t="str">
        <f t="shared" si="47"/>
        <v>TOR</v>
      </c>
      <c r="E406" t="str" cm="1">
        <f t="array" ref="E406">INDEX($E$2:$E$4, MOD(ROW()-1,3)+1)</f>
        <v>Machine 1</v>
      </c>
      <c r="F406">
        <f t="shared" ca="1" si="48"/>
        <v>3</v>
      </c>
      <c r="G406">
        <f t="shared" ca="1" si="49"/>
        <v>1</v>
      </c>
      <c r="H406">
        <f ca="1">RANDBETWEEN(1,J406-2)</f>
        <v>2</v>
      </c>
      <c r="I406">
        <f t="shared" ca="1" si="50"/>
        <v>38</v>
      </c>
      <c r="J406">
        <f t="shared" ca="1" si="51"/>
        <v>7</v>
      </c>
    </row>
    <row r="407" spans="1:10" x14ac:dyDescent="0.25">
      <c r="A407" t="s">
        <v>414</v>
      </c>
      <c r="B407" t="s">
        <v>1</v>
      </c>
      <c r="C407" t="str">
        <f t="shared" si="46"/>
        <v>059829</v>
      </c>
      <c r="D407" t="str">
        <f t="shared" si="47"/>
        <v>TOR</v>
      </c>
      <c r="E407" t="str" cm="1">
        <f t="array" ref="E407">INDEX($E$2:$E$4, MOD(ROW()-1,3)+1)</f>
        <v>Machine 2</v>
      </c>
      <c r="F407">
        <f t="shared" ca="1" si="48"/>
        <v>2</v>
      </c>
      <c r="G407">
        <f t="shared" ca="1" si="49"/>
        <v>0</v>
      </c>
      <c r="H407">
        <f ca="1">RANDBETWEEN(1,J407-2)</f>
        <v>7</v>
      </c>
      <c r="I407">
        <f t="shared" ca="1" si="50"/>
        <v>34</v>
      </c>
      <c r="J407">
        <f t="shared" ca="1" si="51"/>
        <v>12</v>
      </c>
    </row>
    <row r="408" spans="1:10" x14ac:dyDescent="0.25">
      <c r="A408" t="s">
        <v>415</v>
      </c>
      <c r="B408" t="s">
        <v>1</v>
      </c>
      <c r="C408" t="str">
        <f t="shared" si="46"/>
        <v>059831</v>
      </c>
      <c r="D408" t="str">
        <f t="shared" si="47"/>
        <v>TOR</v>
      </c>
      <c r="E408" t="str" cm="1">
        <f t="array" ref="E408">INDEX($E$2:$E$4, MOD(ROW()-1,3)+1)</f>
        <v>Machine 3</v>
      </c>
      <c r="F408">
        <f t="shared" ca="1" si="48"/>
        <v>2</v>
      </c>
      <c r="G408">
        <f t="shared" ca="1" si="49"/>
        <v>0</v>
      </c>
      <c r="H408">
        <f ca="1">RANDBETWEEN(1,J408-2)</f>
        <v>10</v>
      </c>
      <c r="I408">
        <f t="shared" ca="1" si="50"/>
        <v>27</v>
      </c>
      <c r="J408">
        <f t="shared" ca="1" si="51"/>
        <v>13</v>
      </c>
    </row>
    <row r="409" spans="1:10" x14ac:dyDescent="0.25">
      <c r="A409" t="s">
        <v>416</v>
      </c>
      <c r="B409" t="s">
        <v>1</v>
      </c>
      <c r="C409" t="str">
        <f t="shared" si="46"/>
        <v>059842</v>
      </c>
      <c r="D409" t="str">
        <f t="shared" si="47"/>
        <v>TOR</v>
      </c>
      <c r="E409" t="str" cm="1">
        <f t="array" ref="E409">INDEX($E$2:$E$4, MOD(ROW()-1,3)+1)</f>
        <v>Machine 1</v>
      </c>
      <c r="F409">
        <f t="shared" ca="1" si="48"/>
        <v>3</v>
      </c>
      <c r="G409">
        <f t="shared" ca="1" si="49"/>
        <v>0</v>
      </c>
      <c r="H409">
        <f ca="1">RANDBETWEEN(1,J409-2)</f>
        <v>4</v>
      </c>
      <c r="I409">
        <f t="shared" ca="1" si="50"/>
        <v>33</v>
      </c>
      <c r="J409">
        <f t="shared" ca="1" si="51"/>
        <v>14</v>
      </c>
    </row>
    <row r="410" spans="1:10" x14ac:dyDescent="0.25">
      <c r="A410" t="s">
        <v>417</v>
      </c>
      <c r="B410" t="s">
        <v>1</v>
      </c>
      <c r="C410" t="str">
        <f t="shared" si="46"/>
        <v>059846</v>
      </c>
      <c r="D410" t="str">
        <f t="shared" si="47"/>
        <v>TOR</v>
      </c>
      <c r="E410" t="str" cm="1">
        <f t="array" ref="E410">INDEX($E$2:$E$4, MOD(ROW()-1,3)+1)</f>
        <v>Machine 2</v>
      </c>
      <c r="F410">
        <f t="shared" ca="1" si="48"/>
        <v>3</v>
      </c>
      <c r="G410">
        <f t="shared" ca="1" si="49"/>
        <v>0</v>
      </c>
      <c r="H410">
        <f ca="1">RANDBETWEEN(1,J410-2)</f>
        <v>3</v>
      </c>
      <c r="I410">
        <f t="shared" ca="1" si="50"/>
        <v>34</v>
      </c>
      <c r="J410">
        <f t="shared" ca="1" si="51"/>
        <v>7</v>
      </c>
    </row>
    <row r="411" spans="1:10" x14ac:dyDescent="0.25">
      <c r="A411" t="s">
        <v>418</v>
      </c>
      <c r="B411" t="s">
        <v>1</v>
      </c>
      <c r="C411" t="str">
        <f t="shared" si="46"/>
        <v>059850</v>
      </c>
      <c r="D411" t="str">
        <f t="shared" si="47"/>
        <v>TOR</v>
      </c>
      <c r="E411" t="str" cm="1">
        <f t="array" ref="E411">INDEX($E$2:$E$4, MOD(ROW()-1,3)+1)</f>
        <v>Machine 3</v>
      </c>
      <c r="F411">
        <f t="shared" ca="1" si="48"/>
        <v>2</v>
      </c>
      <c r="G411">
        <f t="shared" ca="1" si="49"/>
        <v>1</v>
      </c>
      <c r="H411">
        <f ca="1">RANDBETWEEN(1,J411-2)</f>
        <v>5</v>
      </c>
      <c r="I411">
        <f t="shared" ca="1" si="50"/>
        <v>44</v>
      </c>
      <c r="J411">
        <f t="shared" ca="1" si="51"/>
        <v>11</v>
      </c>
    </row>
    <row r="412" spans="1:10" x14ac:dyDescent="0.25">
      <c r="A412" t="s">
        <v>419</v>
      </c>
      <c r="B412" t="s">
        <v>1</v>
      </c>
      <c r="C412" t="str">
        <f t="shared" si="46"/>
        <v>059852</v>
      </c>
      <c r="D412" t="str">
        <f t="shared" si="47"/>
        <v>TOR</v>
      </c>
      <c r="E412" t="str" cm="1">
        <f t="array" ref="E412">INDEX($E$2:$E$4, MOD(ROW()-1,3)+1)</f>
        <v>Machine 1</v>
      </c>
      <c r="F412">
        <f t="shared" ca="1" si="48"/>
        <v>3</v>
      </c>
      <c r="G412">
        <f t="shared" ca="1" si="49"/>
        <v>1</v>
      </c>
      <c r="H412">
        <f ca="1">RANDBETWEEN(1,J412-2)</f>
        <v>6</v>
      </c>
      <c r="I412">
        <f t="shared" ca="1" si="50"/>
        <v>41</v>
      </c>
      <c r="J412">
        <f t="shared" ca="1" si="51"/>
        <v>10</v>
      </c>
    </row>
    <row r="413" spans="1:10" x14ac:dyDescent="0.25">
      <c r="A413" t="s">
        <v>420</v>
      </c>
      <c r="B413" t="s">
        <v>1</v>
      </c>
      <c r="C413" t="str">
        <f t="shared" si="46"/>
        <v>059858</v>
      </c>
      <c r="D413" t="str">
        <f t="shared" si="47"/>
        <v>TOR</v>
      </c>
      <c r="E413" t="str" cm="1">
        <f t="array" ref="E413">INDEX($E$2:$E$4, MOD(ROW()-1,3)+1)</f>
        <v>Machine 2</v>
      </c>
      <c r="F413">
        <f t="shared" ca="1" si="48"/>
        <v>3</v>
      </c>
      <c r="G413">
        <f t="shared" ca="1" si="49"/>
        <v>0</v>
      </c>
      <c r="H413">
        <f ca="1">RANDBETWEEN(1,J413-2)</f>
        <v>10</v>
      </c>
      <c r="I413">
        <f t="shared" ca="1" si="50"/>
        <v>42</v>
      </c>
      <c r="J413">
        <f t="shared" ca="1" si="51"/>
        <v>15</v>
      </c>
    </row>
    <row r="414" spans="1:10" x14ac:dyDescent="0.25">
      <c r="A414" t="s">
        <v>421</v>
      </c>
      <c r="B414" t="s">
        <v>1</v>
      </c>
      <c r="C414" t="str">
        <f t="shared" si="46"/>
        <v>059862</v>
      </c>
      <c r="D414" t="str">
        <f t="shared" si="47"/>
        <v>TOR</v>
      </c>
      <c r="E414" t="str" cm="1">
        <f t="array" ref="E414">INDEX($E$2:$E$4, MOD(ROW()-1,3)+1)</f>
        <v>Machine 3</v>
      </c>
      <c r="F414">
        <f t="shared" ca="1" si="48"/>
        <v>3</v>
      </c>
      <c r="G414">
        <f t="shared" ca="1" si="49"/>
        <v>0</v>
      </c>
      <c r="H414">
        <f ca="1">RANDBETWEEN(1,J414-2)</f>
        <v>2</v>
      </c>
      <c r="I414">
        <f t="shared" ca="1" si="50"/>
        <v>38</v>
      </c>
      <c r="J414">
        <f t="shared" ca="1" si="51"/>
        <v>9</v>
      </c>
    </row>
    <row r="415" spans="1:10" x14ac:dyDescent="0.25">
      <c r="A415" t="s">
        <v>422</v>
      </c>
      <c r="B415" t="s">
        <v>1</v>
      </c>
      <c r="C415" t="str">
        <f t="shared" si="46"/>
        <v>059864</v>
      </c>
      <c r="D415" t="str">
        <f t="shared" si="47"/>
        <v>TOR</v>
      </c>
      <c r="E415" t="str" cm="1">
        <f t="array" ref="E415">INDEX($E$2:$E$4, MOD(ROW()-1,3)+1)</f>
        <v>Machine 1</v>
      </c>
      <c r="F415">
        <f t="shared" ca="1" si="48"/>
        <v>3</v>
      </c>
      <c r="G415">
        <f t="shared" ca="1" si="49"/>
        <v>0</v>
      </c>
      <c r="H415">
        <f ca="1">RANDBETWEEN(1,J415-2)</f>
        <v>1</v>
      </c>
      <c r="I415">
        <f t="shared" ca="1" si="50"/>
        <v>40</v>
      </c>
      <c r="J415">
        <f t="shared" ca="1" si="51"/>
        <v>15</v>
      </c>
    </row>
    <row r="416" spans="1:10" x14ac:dyDescent="0.25">
      <c r="A416" t="s">
        <v>423</v>
      </c>
      <c r="B416" t="s">
        <v>1</v>
      </c>
      <c r="C416" t="str">
        <f t="shared" si="46"/>
        <v>059866</v>
      </c>
      <c r="D416" t="str">
        <f t="shared" si="47"/>
        <v>TOR</v>
      </c>
      <c r="E416" t="str" cm="1">
        <f t="array" ref="E416">INDEX($E$2:$E$4, MOD(ROW()-1,3)+1)</f>
        <v>Machine 2</v>
      </c>
      <c r="F416">
        <f t="shared" ca="1" si="48"/>
        <v>2</v>
      </c>
      <c r="G416">
        <f t="shared" ca="1" si="49"/>
        <v>0</v>
      </c>
      <c r="H416">
        <f ca="1">RANDBETWEEN(1,J416-2)</f>
        <v>1</v>
      </c>
      <c r="I416">
        <f t="shared" ca="1" si="50"/>
        <v>38</v>
      </c>
      <c r="J416">
        <f t="shared" ca="1" si="51"/>
        <v>5</v>
      </c>
    </row>
    <row r="417" spans="1:10" x14ac:dyDescent="0.25">
      <c r="A417" t="s">
        <v>424</v>
      </c>
      <c r="B417" t="s">
        <v>1</v>
      </c>
      <c r="C417" t="str">
        <f t="shared" si="46"/>
        <v>059868</v>
      </c>
      <c r="D417" t="str">
        <f t="shared" si="47"/>
        <v>TOR</v>
      </c>
      <c r="E417" t="str" cm="1">
        <f t="array" ref="E417">INDEX($E$2:$E$4, MOD(ROW()-1,3)+1)</f>
        <v>Machine 3</v>
      </c>
      <c r="F417">
        <f t="shared" ca="1" si="48"/>
        <v>2</v>
      </c>
      <c r="G417">
        <f t="shared" ca="1" si="49"/>
        <v>1</v>
      </c>
      <c r="H417">
        <f ca="1">RANDBETWEEN(1,J417-2)</f>
        <v>2</v>
      </c>
      <c r="I417">
        <f t="shared" ca="1" si="50"/>
        <v>28</v>
      </c>
      <c r="J417">
        <f t="shared" ca="1" si="51"/>
        <v>8</v>
      </c>
    </row>
    <row r="418" spans="1:10" x14ac:dyDescent="0.25">
      <c r="A418" t="s">
        <v>425</v>
      </c>
      <c r="B418" t="s">
        <v>1</v>
      </c>
      <c r="C418" t="str">
        <f t="shared" si="46"/>
        <v>059870</v>
      </c>
      <c r="D418" t="str">
        <f t="shared" si="47"/>
        <v>TOR</v>
      </c>
      <c r="E418" t="str" cm="1">
        <f t="array" ref="E418">INDEX($E$2:$E$4, MOD(ROW()-1,3)+1)</f>
        <v>Machine 1</v>
      </c>
      <c r="F418">
        <f t="shared" ca="1" si="48"/>
        <v>3</v>
      </c>
      <c r="G418">
        <f t="shared" ca="1" si="49"/>
        <v>1</v>
      </c>
      <c r="H418">
        <f ca="1">RANDBETWEEN(1,J418-2)</f>
        <v>3</v>
      </c>
      <c r="I418">
        <f t="shared" ca="1" si="50"/>
        <v>35</v>
      </c>
      <c r="J418">
        <f t="shared" ca="1" si="51"/>
        <v>9</v>
      </c>
    </row>
    <row r="419" spans="1:10" x14ac:dyDescent="0.25">
      <c r="A419" t="s">
        <v>426</v>
      </c>
      <c r="B419" t="s">
        <v>1</v>
      </c>
      <c r="C419" t="str">
        <f t="shared" si="46"/>
        <v>059872</v>
      </c>
      <c r="D419" t="str">
        <f t="shared" si="47"/>
        <v>TOR</v>
      </c>
      <c r="E419" t="str" cm="1">
        <f t="array" ref="E419">INDEX($E$2:$E$4, MOD(ROW()-1,3)+1)</f>
        <v>Machine 2</v>
      </c>
      <c r="F419">
        <f t="shared" ca="1" si="48"/>
        <v>3</v>
      </c>
      <c r="G419">
        <f t="shared" ca="1" si="49"/>
        <v>1</v>
      </c>
      <c r="H419">
        <f ca="1">RANDBETWEEN(1,J419-2)</f>
        <v>3</v>
      </c>
      <c r="I419">
        <f t="shared" ca="1" si="50"/>
        <v>47</v>
      </c>
      <c r="J419">
        <f t="shared" ca="1" si="51"/>
        <v>8</v>
      </c>
    </row>
    <row r="420" spans="1:10" x14ac:dyDescent="0.25">
      <c r="A420" t="s">
        <v>427</v>
      </c>
      <c r="B420" t="s">
        <v>1</v>
      </c>
      <c r="C420" t="str">
        <f t="shared" si="46"/>
        <v>059874</v>
      </c>
      <c r="D420" t="str">
        <f t="shared" si="47"/>
        <v>TOR</v>
      </c>
      <c r="E420" t="str" cm="1">
        <f t="array" ref="E420">INDEX($E$2:$E$4, MOD(ROW()-1,3)+1)</f>
        <v>Machine 3</v>
      </c>
      <c r="F420">
        <f t="shared" ca="1" si="48"/>
        <v>2</v>
      </c>
      <c r="G420">
        <f t="shared" ca="1" si="49"/>
        <v>1</v>
      </c>
      <c r="H420">
        <f ca="1">RANDBETWEEN(1,J420-2)</f>
        <v>3</v>
      </c>
      <c r="I420">
        <f t="shared" ca="1" si="50"/>
        <v>42</v>
      </c>
      <c r="J420">
        <f t="shared" ca="1" si="51"/>
        <v>6</v>
      </c>
    </row>
    <row r="421" spans="1:10" x14ac:dyDescent="0.25">
      <c r="A421" t="s">
        <v>428</v>
      </c>
      <c r="B421" t="s">
        <v>1</v>
      </c>
      <c r="C421" t="str">
        <f t="shared" si="46"/>
        <v>059876</v>
      </c>
      <c r="D421" t="str">
        <f t="shared" si="47"/>
        <v>TOR</v>
      </c>
      <c r="E421" t="str" cm="1">
        <f t="array" ref="E421">INDEX($E$2:$E$4, MOD(ROW()-1,3)+1)</f>
        <v>Machine 1</v>
      </c>
      <c r="F421">
        <f t="shared" ca="1" si="48"/>
        <v>2</v>
      </c>
      <c r="G421">
        <f t="shared" ca="1" si="49"/>
        <v>0</v>
      </c>
      <c r="H421">
        <f ca="1">RANDBETWEEN(1,J421-2)</f>
        <v>3</v>
      </c>
      <c r="I421">
        <f t="shared" ca="1" si="50"/>
        <v>27</v>
      </c>
      <c r="J421">
        <f t="shared" ca="1" si="51"/>
        <v>5</v>
      </c>
    </row>
    <row r="422" spans="1:10" x14ac:dyDescent="0.25">
      <c r="A422" t="s">
        <v>429</v>
      </c>
      <c r="B422" t="s">
        <v>1</v>
      </c>
      <c r="C422" t="str">
        <f t="shared" si="46"/>
        <v>059878</v>
      </c>
      <c r="D422" t="str">
        <f t="shared" si="47"/>
        <v>TOR</v>
      </c>
      <c r="E422" t="str" cm="1">
        <f t="array" ref="E422">INDEX($E$2:$E$4, MOD(ROW()-1,3)+1)</f>
        <v>Machine 2</v>
      </c>
      <c r="F422">
        <f t="shared" ca="1" si="48"/>
        <v>2</v>
      </c>
      <c r="G422">
        <f t="shared" ca="1" si="49"/>
        <v>0</v>
      </c>
      <c r="H422">
        <f ca="1">RANDBETWEEN(1,J422-2)</f>
        <v>3</v>
      </c>
      <c r="I422">
        <f t="shared" ca="1" si="50"/>
        <v>29</v>
      </c>
      <c r="J422">
        <f t="shared" ca="1" si="51"/>
        <v>5</v>
      </c>
    </row>
    <row r="423" spans="1:10" x14ac:dyDescent="0.25">
      <c r="A423" t="s">
        <v>430</v>
      </c>
      <c r="B423" t="s">
        <v>1</v>
      </c>
      <c r="C423" t="str">
        <f t="shared" si="46"/>
        <v>059880</v>
      </c>
      <c r="D423" t="str">
        <f t="shared" si="47"/>
        <v>TOR</v>
      </c>
      <c r="E423" t="str" cm="1">
        <f t="array" ref="E423">INDEX($E$2:$E$4, MOD(ROW()-1,3)+1)</f>
        <v>Machine 3</v>
      </c>
      <c r="F423">
        <f t="shared" ca="1" si="48"/>
        <v>3</v>
      </c>
      <c r="G423">
        <f t="shared" ca="1" si="49"/>
        <v>0</v>
      </c>
      <c r="H423">
        <f ca="1">RANDBETWEEN(1,J423-2)</f>
        <v>1</v>
      </c>
      <c r="I423">
        <f t="shared" ca="1" si="50"/>
        <v>31</v>
      </c>
      <c r="J423">
        <f t="shared" ca="1" si="51"/>
        <v>12</v>
      </c>
    </row>
    <row r="424" spans="1:10" x14ac:dyDescent="0.25">
      <c r="A424" t="s">
        <v>431</v>
      </c>
      <c r="B424" t="s">
        <v>1</v>
      </c>
      <c r="C424" t="str">
        <f t="shared" si="46"/>
        <v>059882</v>
      </c>
      <c r="D424" t="str">
        <f t="shared" si="47"/>
        <v>TOR</v>
      </c>
      <c r="E424" t="str" cm="1">
        <f t="array" ref="E424">INDEX($E$2:$E$4, MOD(ROW()-1,3)+1)</f>
        <v>Machine 1</v>
      </c>
      <c r="F424">
        <f t="shared" ca="1" si="48"/>
        <v>3</v>
      </c>
      <c r="G424">
        <f t="shared" ca="1" si="49"/>
        <v>1</v>
      </c>
      <c r="H424">
        <f ca="1">RANDBETWEEN(1,J424-2)</f>
        <v>9</v>
      </c>
      <c r="I424">
        <f t="shared" ca="1" si="50"/>
        <v>40</v>
      </c>
      <c r="J424">
        <f t="shared" ca="1" si="51"/>
        <v>12</v>
      </c>
    </row>
    <row r="425" spans="1:10" x14ac:dyDescent="0.25">
      <c r="A425" t="s">
        <v>432</v>
      </c>
      <c r="B425" t="s">
        <v>1</v>
      </c>
      <c r="C425" t="str">
        <f t="shared" si="46"/>
        <v>059884</v>
      </c>
      <c r="D425" t="str">
        <f t="shared" si="47"/>
        <v>TOR</v>
      </c>
      <c r="E425" t="str" cm="1">
        <f t="array" ref="E425">INDEX($E$2:$E$4, MOD(ROW()-1,3)+1)</f>
        <v>Machine 2</v>
      </c>
      <c r="F425">
        <f t="shared" ca="1" si="48"/>
        <v>2</v>
      </c>
      <c r="G425">
        <f t="shared" ca="1" si="49"/>
        <v>0</v>
      </c>
      <c r="H425">
        <f ca="1">RANDBETWEEN(1,J425-2)</f>
        <v>2</v>
      </c>
      <c r="I425">
        <f t="shared" ca="1" si="50"/>
        <v>36</v>
      </c>
      <c r="J425">
        <f t="shared" ca="1" si="51"/>
        <v>6</v>
      </c>
    </row>
    <row r="426" spans="1:10" x14ac:dyDescent="0.25">
      <c r="A426" t="s">
        <v>433</v>
      </c>
      <c r="B426" t="s">
        <v>1</v>
      </c>
      <c r="C426" t="str">
        <f t="shared" si="46"/>
        <v>059886</v>
      </c>
      <c r="D426" t="str">
        <f t="shared" si="47"/>
        <v>TOR</v>
      </c>
      <c r="E426" t="str" cm="1">
        <f t="array" ref="E426">INDEX($E$2:$E$4, MOD(ROW()-1,3)+1)</f>
        <v>Machine 3</v>
      </c>
      <c r="F426">
        <f t="shared" ca="1" si="48"/>
        <v>3</v>
      </c>
      <c r="G426">
        <f t="shared" ca="1" si="49"/>
        <v>0</v>
      </c>
      <c r="H426">
        <f ca="1">RANDBETWEEN(1,J426-2)</f>
        <v>4</v>
      </c>
      <c r="I426">
        <f t="shared" ca="1" si="50"/>
        <v>39</v>
      </c>
      <c r="J426">
        <f t="shared" ca="1" si="51"/>
        <v>11</v>
      </c>
    </row>
    <row r="427" spans="1:10" x14ac:dyDescent="0.25">
      <c r="A427" t="s">
        <v>434</v>
      </c>
      <c r="B427" t="s">
        <v>1</v>
      </c>
      <c r="C427" t="str">
        <f t="shared" si="46"/>
        <v>059888</v>
      </c>
      <c r="D427" t="str">
        <f t="shared" si="47"/>
        <v>TOR</v>
      </c>
      <c r="E427" t="str" cm="1">
        <f t="array" ref="E427">INDEX($E$2:$E$4, MOD(ROW()-1,3)+1)</f>
        <v>Machine 1</v>
      </c>
      <c r="F427">
        <f t="shared" ca="1" si="48"/>
        <v>2</v>
      </c>
      <c r="G427">
        <f t="shared" ca="1" si="49"/>
        <v>0</v>
      </c>
      <c r="H427">
        <f ca="1">RANDBETWEEN(1,J427-2)</f>
        <v>7</v>
      </c>
      <c r="I427">
        <f t="shared" ca="1" si="50"/>
        <v>26</v>
      </c>
      <c r="J427">
        <f t="shared" ca="1" si="51"/>
        <v>11</v>
      </c>
    </row>
    <row r="428" spans="1:10" x14ac:dyDescent="0.25">
      <c r="A428" t="s">
        <v>435</v>
      </c>
      <c r="B428" t="s">
        <v>1</v>
      </c>
      <c r="C428" t="str">
        <f t="shared" si="46"/>
        <v>059890</v>
      </c>
      <c r="D428" t="str">
        <f t="shared" si="47"/>
        <v>TOR</v>
      </c>
      <c r="E428" t="str" cm="1">
        <f t="array" ref="E428">INDEX($E$2:$E$4, MOD(ROW()-1,3)+1)</f>
        <v>Machine 2</v>
      </c>
      <c r="F428">
        <f t="shared" ca="1" si="48"/>
        <v>2</v>
      </c>
      <c r="G428">
        <f t="shared" ca="1" si="49"/>
        <v>0</v>
      </c>
      <c r="H428">
        <f ca="1">RANDBETWEEN(1,J428-2)</f>
        <v>7</v>
      </c>
      <c r="I428">
        <f t="shared" ca="1" si="50"/>
        <v>44</v>
      </c>
      <c r="J428">
        <f t="shared" ca="1" si="51"/>
        <v>13</v>
      </c>
    </row>
    <row r="429" spans="1:10" x14ac:dyDescent="0.25">
      <c r="A429" t="s">
        <v>436</v>
      </c>
      <c r="B429" t="s">
        <v>1</v>
      </c>
      <c r="C429" t="str">
        <f t="shared" si="46"/>
        <v>059892</v>
      </c>
      <c r="D429" t="str">
        <f t="shared" si="47"/>
        <v>TOR</v>
      </c>
      <c r="E429" t="str" cm="1">
        <f t="array" ref="E429">INDEX($E$2:$E$4, MOD(ROW()-1,3)+1)</f>
        <v>Machine 3</v>
      </c>
      <c r="F429">
        <f t="shared" ca="1" si="48"/>
        <v>3</v>
      </c>
      <c r="G429">
        <f t="shared" ca="1" si="49"/>
        <v>0</v>
      </c>
      <c r="H429">
        <f ca="1">RANDBETWEEN(1,J429-2)</f>
        <v>1</v>
      </c>
      <c r="I429">
        <f t="shared" ca="1" si="50"/>
        <v>32</v>
      </c>
      <c r="J429">
        <f t="shared" ca="1" si="51"/>
        <v>13</v>
      </c>
    </row>
    <row r="430" spans="1:10" x14ac:dyDescent="0.25">
      <c r="A430" t="s">
        <v>437</v>
      </c>
      <c r="B430" t="s">
        <v>1</v>
      </c>
      <c r="C430" t="str">
        <f t="shared" si="46"/>
        <v>059894</v>
      </c>
      <c r="D430" t="str">
        <f t="shared" si="47"/>
        <v>TOR</v>
      </c>
      <c r="E430" t="str" cm="1">
        <f t="array" ref="E430">INDEX($E$2:$E$4, MOD(ROW()-1,3)+1)</f>
        <v>Machine 1</v>
      </c>
      <c r="F430">
        <f t="shared" ca="1" si="48"/>
        <v>3</v>
      </c>
      <c r="G430">
        <f t="shared" ca="1" si="49"/>
        <v>1</v>
      </c>
      <c r="H430">
        <f ca="1">RANDBETWEEN(1,J430-2)</f>
        <v>6</v>
      </c>
      <c r="I430">
        <f t="shared" ca="1" si="50"/>
        <v>44</v>
      </c>
      <c r="J430">
        <f t="shared" ca="1" si="51"/>
        <v>13</v>
      </c>
    </row>
    <row r="431" spans="1:10" x14ac:dyDescent="0.25">
      <c r="A431" t="s">
        <v>438</v>
      </c>
      <c r="B431" t="s">
        <v>1</v>
      </c>
      <c r="C431" t="str">
        <f t="shared" si="46"/>
        <v>059896</v>
      </c>
      <c r="D431" t="str">
        <f t="shared" si="47"/>
        <v>TOR</v>
      </c>
      <c r="E431" t="str" cm="1">
        <f t="array" ref="E431">INDEX($E$2:$E$4, MOD(ROW()-1,3)+1)</f>
        <v>Machine 2</v>
      </c>
      <c r="F431">
        <f t="shared" ca="1" si="48"/>
        <v>3</v>
      </c>
      <c r="G431">
        <f t="shared" ca="1" si="49"/>
        <v>0</v>
      </c>
      <c r="H431">
        <f ca="1">RANDBETWEEN(1,J431-2)</f>
        <v>2</v>
      </c>
      <c r="I431">
        <f t="shared" ca="1" si="50"/>
        <v>39</v>
      </c>
      <c r="J431">
        <f t="shared" ca="1" si="51"/>
        <v>11</v>
      </c>
    </row>
    <row r="432" spans="1:10" x14ac:dyDescent="0.25">
      <c r="A432" t="s">
        <v>439</v>
      </c>
      <c r="B432" t="s">
        <v>1</v>
      </c>
      <c r="C432" t="str">
        <f t="shared" si="46"/>
        <v>059898</v>
      </c>
      <c r="D432" t="str">
        <f t="shared" si="47"/>
        <v>TOR</v>
      </c>
      <c r="E432" t="str" cm="1">
        <f t="array" ref="E432">INDEX($E$2:$E$4, MOD(ROW()-1,3)+1)</f>
        <v>Machine 3</v>
      </c>
      <c r="F432">
        <f t="shared" ca="1" si="48"/>
        <v>2</v>
      </c>
      <c r="G432">
        <f t="shared" ca="1" si="49"/>
        <v>1</v>
      </c>
      <c r="H432">
        <f ca="1">RANDBETWEEN(1,J432-2)</f>
        <v>2</v>
      </c>
      <c r="I432">
        <f t="shared" ca="1" si="50"/>
        <v>29</v>
      </c>
      <c r="J432">
        <f t="shared" ca="1" si="51"/>
        <v>11</v>
      </c>
    </row>
    <row r="433" spans="1:10" x14ac:dyDescent="0.25">
      <c r="A433" t="s">
        <v>440</v>
      </c>
      <c r="B433" t="s">
        <v>1</v>
      </c>
      <c r="C433" t="str">
        <f t="shared" si="46"/>
        <v>059900</v>
      </c>
      <c r="D433" t="str">
        <f t="shared" si="47"/>
        <v>TOR</v>
      </c>
      <c r="E433" t="str" cm="1">
        <f t="array" ref="E433">INDEX($E$2:$E$4, MOD(ROW()-1,3)+1)</f>
        <v>Machine 1</v>
      </c>
      <c r="F433">
        <f t="shared" ca="1" si="48"/>
        <v>3</v>
      </c>
      <c r="G433">
        <f t="shared" ca="1" si="49"/>
        <v>1</v>
      </c>
      <c r="H433">
        <f ca="1">RANDBETWEEN(1,J433-2)</f>
        <v>4</v>
      </c>
      <c r="I433">
        <f t="shared" ca="1" si="50"/>
        <v>44</v>
      </c>
      <c r="J433">
        <f t="shared" ca="1" si="51"/>
        <v>14</v>
      </c>
    </row>
    <row r="434" spans="1:10" x14ac:dyDescent="0.25">
      <c r="A434" t="s">
        <v>441</v>
      </c>
      <c r="B434" t="s">
        <v>1</v>
      </c>
      <c r="C434" t="str">
        <f t="shared" si="46"/>
        <v>059902</v>
      </c>
      <c r="D434" t="str">
        <f t="shared" si="47"/>
        <v>TOR</v>
      </c>
      <c r="E434" t="str" cm="1">
        <f t="array" ref="E434">INDEX($E$2:$E$4, MOD(ROW()-1,3)+1)</f>
        <v>Machine 2</v>
      </c>
      <c r="F434">
        <f t="shared" ca="1" si="48"/>
        <v>2</v>
      </c>
      <c r="G434">
        <f t="shared" ca="1" si="49"/>
        <v>0</v>
      </c>
      <c r="H434">
        <f ca="1">RANDBETWEEN(1,J434-2)</f>
        <v>3</v>
      </c>
      <c r="I434">
        <f t="shared" ca="1" si="50"/>
        <v>24</v>
      </c>
      <c r="J434">
        <f t="shared" ca="1" si="51"/>
        <v>15</v>
      </c>
    </row>
    <row r="435" spans="1:10" x14ac:dyDescent="0.25">
      <c r="A435" t="s">
        <v>442</v>
      </c>
      <c r="B435" t="s">
        <v>1</v>
      </c>
      <c r="C435" t="str">
        <f t="shared" si="46"/>
        <v>059904</v>
      </c>
      <c r="D435" t="str">
        <f t="shared" si="47"/>
        <v>TOR</v>
      </c>
      <c r="E435" t="str" cm="1">
        <f t="array" ref="E435">INDEX($E$2:$E$4, MOD(ROW()-1,3)+1)</f>
        <v>Machine 3</v>
      </c>
      <c r="F435">
        <f t="shared" ca="1" si="48"/>
        <v>2</v>
      </c>
      <c r="G435">
        <f t="shared" ca="1" si="49"/>
        <v>1</v>
      </c>
      <c r="H435">
        <f ca="1">RANDBETWEEN(1,J435-2)</f>
        <v>6</v>
      </c>
      <c r="I435">
        <f t="shared" ca="1" si="50"/>
        <v>32</v>
      </c>
      <c r="J435">
        <f t="shared" ca="1" si="51"/>
        <v>10</v>
      </c>
    </row>
    <row r="436" spans="1:10" x14ac:dyDescent="0.25">
      <c r="A436" t="s">
        <v>443</v>
      </c>
      <c r="B436" t="s">
        <v>1</v>
      </c>
      <c r="C436" t="str">
        <f t="shared" si="46"/>
        <v>059906</v>
      </c>
      <c r="D436" t="str">
        <f t="shared" si="47"/>
        <v>TOR</v>
      </c>
      <c r="E436" t="str" cm="1">
        <f t="array" ref="E436">INDEX($E$2:$E$4, MOD(ROW()-1,3)+1)</f>
        <v>Machine 1</v>
      </c>
      <c r="F436">
        <f t="shared" ca="1" si="48"/>
        <v>3</v>
      </c>
      <c r="G436">
        <f t="shared" ca="1" si="49"/>
        <v>0</v>
      </c>
      <c r="H436">
        <f ca="1">RANDBETWEEN(1,J436-2)</f>
        <v>5</v>
      </c>
      <c r="I436">
        <f t="shared" ca="1" si="50"/>
        <v>41</v>
      </c>
      <c r="J436">
        <f t="shared" ca="1" si="51"/>
        <v>15</v>
      </c>
    </row>
    <row r="437" spans="1:10" x14ac:dyDescent="0.25">
      <c r="A437" t="s">
        <v>444</v>
      </c>
      <c r="B437" t="s">
        <v>1</v>
      </c>
      <c r="C437" t="str">
        <f t="shared" si="46"/>
        <v>059908</v>
      </c>
      <c r="D437" t="str">
        <f t="shared" si="47"/>
        <v>TOR</v>
      </c>
      <c r="E437" t="str" cm="1">
        <f t="array" ref="E437">INDEX($E$2:$E$4, MOD(ROW()-1,3)+1)</f>
        <v>Machine 2</v>
      </c>
      <c r="F437">
        <f t="shared" ca="1" si="48"/>
        <v>3</v>
      </c>
      <c r="G437">
        <f t="shared" ca="1" si="49"/>
        <v>1</v>
      </c>
      <c r="H437">
        <f ca="1">RANDBETWEEN(1,J437-2)</f>
        <v>1</v>
      </c>
      <c r="I437">
        <f t="shared" ca="1" si="50"/>
        <v>35</v>
      </c>
      <c r="J437">
        <f t="shared" ca="1" si="51"/>
        <v>11</v>
      </c>
    </row>
    <row r="438" spans="1:10" x14ac:dyDescent="0.25">
      <c r="A438" t="s">
        <v>445</v>
      </c>
      <c r="B438" t="s">
        <v>1</v>
      </c>
      <c r="C438" t="str">
        <f t="shared" si="46"/>
        <v>059910</v>
      </c>
      <c r="D438" t="str">
        <f t="shared" si="47"/>
        <v>TOR</v>
      </c>
      <c r="E438" t="str" cm="1">
        <f t="array" ref="E438">INDEX($E$2:$E$4, MOD(ROW()-1,3)+1)</f>
        <v>Machine 3</v>
      </c>
      <c r="F438">
        <f t="shared" ca="1" si="48"/>
        <v>3</v>
      </c>
      <c r="G438">
        <f t="shared" ca="1" si="49"/>
        <v>0</v>
      </c>
      <c r="H438">
        <f ca="1">RANDBETWEEN(1,J438-2)</f>
        <v>7</v>
      </c>
      <c r="I438">
        <f t="shared" ca="1" si="50"/>
        <v>35</v>
      </c>
      <c r="J438">
        <f t="shared" ca="1" si="51"/>
        <v>11</v>
      </c>
    </row>
    <row r="439" spans="1:10" x14ac:dyDescent="0.25">
      <c r="A439" t="s">
        <v>446</v>
      </c>
      <c r="B439" t="s">
        <v>1</v>
      </c>
      <c r="C439" t="str">
        <f t="shared" si="46"/>
        <v>059912</v>
      </c>
      <c r="D439" t="str">
        <f t="shared" si="47"/>
        <v>TOR</v>
      </c>
      <c r="E439" t="str" cm="1">
        <f t="array" ref="E439">INDEX($E$2:$E$4, MOD(ROW()-1,3)+1)</f>
        <v>Machine 1</v>
      </c>
      <c r="F439">
        <f t="shared" ca="1" si="48"/>
        <v>2</v>
      </c>
      <c r="G439">
        <f t="shared" ca="1" si="49"/>
        <v>1</v>
      </c>
      <c r="H439">
        <f ca="1">RANDBETWEEN(1,J439-2)</f>
        <v>2</v>
      </c>
      <c r="I439">
        <f t="shared" ca="1" si="50"/>
        <v>47</v>
      </c>
      <c r="J439">
        <f t="shared" ca="1" si="51"/>
        <v>5</v>
      </c>
    </row>
    <row r="440" spans="1:10" x14ac:dyDescent="0.25">
      <c r="A440" t="s">
        <v>447</v>
      </c>
      <c r="B440" t="s">
        <v>1</v>
      </c>
      <c r="C440" t="str">
        <f t="shared" si="46"/>
        <v>059914</v>
      </c>
      <c r="D440" t="str">
        <f t="shared" si="47"/>
        <v>TOR</v>
      </c>
      <c r="E440" t="str" cm="1">
        <f t="array" ref="E440">INDEX($E$2:$E$4, MOD(ROW()-1,3)+1)</f>
        <v>Machine 2</v>
      </c>
      <c r="F440">
        <f t="shared" ca="1" si="48"/>
        <v>2</v>
      </c>
      <c r="G440">
        <f t="shared" ca="1" si="49"/>
        <v>0</v>
      </c>
      <c r="H440">
        <f ca="1">RANDBETWEEN(1,J440-2)</f>
        <v>4</v>
      </c>
      <c r="I440">
        <f t="shared" ca="1" si="50"/>
        <v>30</v>
      </c>
      <c r="J440">
        <f t="shared" ca="1" si="51"/>
        <v>8</v>
      </c>
    </row>
    <row r="441" spans="1:10" x14ac:dyDescent="0.25">
      <c r="A441" t="s">
        <v>448</v>
      </c>
      <c r="B441" t="s">
        <v>1</v>
      </c>
      <c r="C441" t="str">
        <f t="shared" si="46"/>
        <v>059916</v>
      </c>
      <c r="D441" t="str">
        <f t="shared" si="47"/>
        <v>TOR</v>
      </c>
      <c r="E441" t="str" cm="1">
        <f t="array" ref="E441">INDEX($E$2:$E$4, MOD(ROW()-1,3)+1)</f>
        <v>Machine 3</v>
      </c>
      <c r="F441">
        <f t="shared" ca="1" si="48"/>
        <v>2</v>
      </c>
      <c r="G441">
        <f t="shared" ca="1" si="49"/>
        <v>0</v>
      </c>
      <c r="H441">
        <f ca="1">RANDBETWEEN(1,J441-2)</f>
        <v>8</v>
      </c>
      <c r="I441">
        <f t="shared" ca="1" si="50"/>
        <v>33</v>
      </c>
      <c r="J441">
        <f t="shared" ca="1" si="51"/>
        <v>14</v>
      </c>
    </row>
    <row r="442" spans="1:10" x14ac:dyDescent="0.25">
      <c r="A442" t="s">
        <v>449</v>
      </c>
      <c r="B442" t="s">
        <v>1</v>
      </c>
      <c r="C442" t="str">
        <f t="shared" si="46"/>
        <v>059918</v>
      </c>
      <c r="D442" t="str">
        <f t="shared" si="47"/>
        <v>TOR</v>
      </c>
      <c r="E442" t="str" cm="1">
        <f t="array" ref="E442">INDEX($E$2:$E$4, MOD(ROW()-1,3)+1)</f>
        <v>Machine 1</v>
      </c>
      <c r="F442">
        <f t="shared" ca="1" si="48"/>
        <v>3</v>
      </c>
      <c r="G442">
        <f t="shared" ca="1" si="49"/>
        <v>0</v>
      </c>
      <c r="H442">
        <f ca="1">RANDBETWEEN(1,J442-2)</f>
        <v>5</v>
      </c>
      <c r="I442">
        <f t="shared" ca="1" si="50"/>
        <v>36</v>
      </c>
      <c r="J442">
        <f t="shared" ca="1" si="51"/>
        <v>9</v>
      </c>
    </row>
    <row r="443" spans="1:10" x14ac:dyDescent="0.25">
      <c r="A443" t="s">
        <v>450</v>
      </c>
      <c r="B443" t="s">
        <v>1</v>
      </c>
      <c r="C443" t="str">
        <f t="shared" si="46"/>
        <v>059920</v>
      </c>
      <c r="D443" t="str">
        <f t="shared" si="47"/>
        <v>TOR</v>
      </c>
      <c r="E443" t="str" cm="1">
        <f t="array" ref="E443">INDEX($E$2:$E$4, MOD(ROW()-1,3)+1)</f>
        <v>Machine 2</v>
      </c>
      <c r="F443">
        <f t="shared" ca="1" si="48"/>
        <v>2</v>
      </c>
      <c r="G443">
        <f t="shared" ca="1" si="49"/>
        <v>0</v>
      </c>
      <c r="H443">
        <f ca="1">RANDBETWEEN(1,J443-2)</f>
        <v>6</v>
      </c>
      <c r="I443">
        <f t="shared" ca="1" si="50"/>
        <v>40</v>
      </c>
      <c r="J443">
        <f t="shared" ca="1" si="51"/>
        <v>14</v>
      </c>
    </row>
    <row r="444" spans="1:10" x14ac:dyDescent="0.25">
      <c r="A444" t="s">
        <v>451</v>
      </c>
      <c r="B444" t="s">
        <v>1</v>
      </c>
      <c r="C444" t="str">
        <f t="shared" si="46"/>
        <v>059922</v>
      </c>
      <c r="D444" t="str">
        <f t="shared" si="47"/>
        <v>TOR</v>
      </c>
      <c r="E444" t="str" cm="1">
        <f t="array" ref="E444">INDEX($E$2:$E$4, MOD(ROW()-1,3)+1)</f>
        <v>Machine 3</v>
      </c>
      <c r="F444">
        <f t="shared" ca="1" si="48"/>
        <v>3</v>
      </c>
      <c r="G444">
        <f t="shared" ca="1" si="49"/>
        <v>1</v>
      </c>
      <c r="H444">
        <f ca="1">RANDBETWEEN(1,J444-2)</f>
        <v>8</v>
      </c>
      <c r="I444">
        <f t="shared" ca="1" si="50"/>
        <v>47</v>
      </c>
      <c r="J444">
        <f t="shared" ca="1" si="51"/>
        <v>14</v>
      </c>
    </row>
    <row r="445" spans="1:10" x14ac:dyDescent="0.25">
      <c r="A445" t="s">
        <v>452</v>
      </c>
      <c r="B445" t="s">
        <v>1</v>
      </c>
      <c r="C445" t="str">
        <f t="shared" si="46"/>
        <v>059924</v>
      </c>
      <c r="D445" t="str">
        <f t="shared" si="47"/>
        <v>TOR</v>
      </c>
      <c r="E445" t="str" cm="1">
        <f t="array" ref="E445">INDEX($E$2:$E$4, MOD(ROW()-1,3)+1)</f>
        <v>Machine 1</v>
      </c>
      <c r="F445">
        <f t="shared" ca="1" si="48"/>
        <v>2</v>
      </c>
      <c r="G445">
        <f t="shared" ca="1" si="49"/>
        <v>0</v>
      </c>
      <c r="H445">
        <f ca="1">RANDBETWEEN(1,J445-2)</f>
        <v>4</v>
      </c>
      <c r="I445">
        <f t="shared" ca="1" si="50"/>
        <v>46</v>
      </c>
      <c r="J445">
        <f t="shared" ca="1" si="51"/>
        <v>11</v>
      </c>
    </row>
    <row r="446" spans="1:10" x14ac:dyDescent="0.25">
      <c r="A446" t="s">
        <v>453</v>
      </c>
      <c r="B446" t="s">
        <v>1</v>
      </c>
      <c r="C446" t="str">
        <f t="shared" si="46"/>
        <v>059926</v>
      </c>
      <c r="D446" t="str">
        <f t="shared" si="47"/>
        <v>TOR</v>
      </c>
      <c r="E446" t="str" cm="1">
        <f t="array" ref="E446">INDEX($E$2:$E$4, MOD(ROW()-1,3)+1)</f>
        <v>Machine 2</v>
      </c>
      <c r="F446">
        <f t="shared" ca="1" si="48"/>
        <v>2</v>
      </c>
      <c r="G446">
        <f t="shared" ca="1" si="49"/>
        <v>0</v>
      </c>
      <c r="H446">
        <f ca="1">RANDBETWEEN(1,J446-2)</f>
        <v>1</v>
      </c>
      <c r="I446">
        <f t="shared" ca="1" si="50"/>
        <v>35</v>
      </c>
      <c r="J446">
        <f t="shared" ca="1" si="51"/>
        <v>11</v>
      </c>
    </row>
    <row r="447" spans="1:10" x14ac:dyDescent="0.25">
      <c r="A447" t="s">
        <v>454</v>
      </c>
      <c r="B447" t="s">
        <v>1</v>
      </c>
      <c r="C447" t="str">
        <f t="shared" si="46"/>
        <v>059928</v>
      </c>
      <c r="D447" t="str">
        <f t="shared" si="47"/>
        <v>TOR</v>
      </c>
      <c r="E447" t="str" cm="1">
        <f t="array" ref="E447">INDEX($E$2:$E$4, MOD(ROW()-1,3)+1)</f>
        <v>Machine 3</v>
      </c>
      <c r="F447">
        <f t="shared" ca="1" si="48"/>
        <v>2</v>
      </c>
      <c r="G447">
        <f t="shared" ca="1" si="49"/>
        <v>1</v>
      </c>
      <c r="H447">
        <f ca="1">RANDBETWEEN(1,J447-2)</f>
        <v>3</v>
      </c>
      <c r="I447">
        <f t="shared" ca="1" si="50"/>
        <v>31</v>
      </c>
      <c r="J447">
        <f t="shared" ca="1" si="51"/>
        <v>9</v>
      </c>
    </row>
    <row r="448" spans="1:10" x14ac:dyDescent="0.25">
      <c r="A448" t="s">
        <v>455</v>
      </c>
      <c r="B448" t="s">
        <v>1</v>
      </c>
      <c r="C448" t="str">
        <f t="shared" si="46"/>
        <v>059930</v>
      </c>
      <c r="D448" t="str">
        <f t="shared" si="47"/>
        <v>TOR</v>
      </c>
      <c r="E448" t="str" cm="1">
        <f t="array" ref="E448">INDEX($E$2:$E$4, MOD(ROW()-1,3)+1)</f>
        <v>Machine 1</v>
      </c>
      <c r="F448">
        <f t="shared" ca="1" si="48"/>
        <v>2</v>
      </c>
      <c r="G448">
        <f t="shared" ca="1" si="49"/>
        <v>1</v>
      </c>
      <c r="H448">
        <f ca="1">RANDBETWEEN(1,J448-2)</f>
        <v>11</v>
      </c>
      <c r="I448">
        <f t="shared" ca="1" si="50"/>
        <v>43</v>
      </c>
      <c r="J448">
        <f t="shared" ca="1" si="51"/>
        <v>15</v>
      </c>
    </row>
    <row r="449" spans="1:10" x14ac:dyDescent="0.25">
      <c r="A449" t="s">
        <v>456</v>
      </c>
      <c r="B449" t="s">
        <v>1</v>
      </c>
      <c r="C449" t="str">
        <f t="shared" si="46"/>
        <v>059934</v>
      </c>
      <c r="D449" t="str">
        <f t="shared" si="47"/>
        <v>TOR</v>
      </c>
      <c r="E449" t="str" cm="1">
        <f t="array" ref="E449">INDEX($E$2:$E$4, MOD(ROW()-1,3)+1)</f>
        <v>Machine 2</v>
      </c>
      <c r="F449">
        <f t="shared" ca="1" si="48"/>
        <v>3</v>
      </c>
      <c r="G449">
        <f t="shared" ca="1" si="49"/>
        <v>1</v>
      </c>
      <c r="H449">
        <f ca="1">RANDBETWEEN(1,J449-2)</f>
        <v>6</v>
      </c>
      <c r="I449">
        <f t="shared" ca="1" si="50"/>
        <v>30</v>
      </c>
      <c r="J449">
        <f t="shared" ca="1" si="51"/>
        <v>14</v>
      </c>
    </row>
    <row r="450" spans="1:10" x14ac:dyDescent="0.25">
      <c r="A450" t="s">
        <v>457</v>
      </c>
      <c r="B450" t="s">
        <v>1</v>
      </c>
      <c r="C450" t="str">
        <f t="shared" si="46"/>
        <v>059936</v>
      </c>
      <c r="D450" t="str">
        <f t="shared" si="47"/>
        <v>TOR</v>
      </c>
      <c r="E450" t="str" cm="1">
        <f t="array" ref="E450">INDEX($E$2:$E$4, MOD(ROW()-1,3)+1)</f>
        <v>Machine 3</v>
      </c>
      <c r="F450">
        <f t="shared" ca="1" si="48"/>
        <v>2</v>
      </c>
      <c r="G450">
        <f t="shared" ca="1" si="49"/>
        <v>0</v>
      </c>
      <c r="H450">
        <f ca="1">RANDBETWEEN(1,J450-2)</f>
        <v>7</v>
      </c>
      <c r="I450">
        <f t="shared" ca="1" si="50"/>
        <v>37</v>
      </c>
      <c r="J450">
        <f t="shared" ca="1" si="51"/>
        <v>14</v>
      </c>
    </row>
    <row r="451" spans="1:10" x14ac:dyDescent="0.25">
      <c r="A451" t="s">
        <v>458</v>
      </c>
      <c r="B451" t="s">
        <v>1</v>
      </c>
      <c r="C451" t="str">
        <f t="shared" ref="C451:C514" si="52">RIGHT(A451,6)</f>
        <v>059938</v>
      </c>
      <c r="D451" t="str">
        <f t="shared" ref="D451:D514" si="53">RIGHT(B451,3)</f>
        <v>TOR</v>
      </c>
      <c r="E451" t="str" cm="1">
        <f t="array" ref="E451">INDEX($E$2:$E$4, MOD(ROW()-1,3)+1)</f>
        <v>Machine 1</v>
      </c>
      <c r="F451">
        <f t="shared" ref="F451:F514" ca="1" si="54">RANDBETWEEN(2,3)</f>
        <v>2</v>
      </c>
      <c r="G451">
        <f t="shared" ref="G451:G514" ca="1" si="55">RANDBETWEEN(0,1)</f>
        <v>0</v>
      </c>
      <c r="H451">
        <f ca="1">RANDBETWEEN(1,J451-2)</f>
        <v>6</v>
      </c>
      <c r="I451">
        <f t="shared" ref="I451:I514" ca="1" si="56">RANDBETWEEN(24,48)</f>
        <v>28</v>
      </c>
      <c r="J451">
        <f t="shared" ref="J451:J514" ca="1" si="57">RANDBETWEEN(5,15)</f>
        <v>9</v>
      </c>
    </row>
    <row r="452" spans="1:10" x14ac:dyDescent="0.25">
      <c r="A452" t="s">
        <v>459</v>
      </c>
      <c r="B452" t="s">
        <v>1</v>
      </c>
      <c r="C452" t="str">
        <f t="shared" si="52"/>
        <v>059940</v>
      </c>
      <c r="D452" t="str">
        <f t="shared" si="53"/>
        <v>TOR</v>
      </c>
      <c r="E452" t="str" cm="1">
        <f t="array" ref="E452">INDEX($E$2:$E$4, MOD(ROW()-1,3)+1)</f>
        <v>Machine 2</v>
      </c>
      <c r="F452">
        <f t="shared" ca="1" si="54"/>
        <v>2</v>
      </c>
      <c r="G452">
        <f t="shared" ca="1" si="55"/>
        <v>0</v>
      </c>
      <c r="H452">
        <f ca="1">RANDBETWEEN(1,J452-2)</f>
        <v>1</v>
      </c>
      <c r="I452">
        <f t="shared" ca="1" si="56"/>
        <v>47</v>
      </c>
      <c r="J452">
        <f t="shared" ca="1" si="57"/>
        <v>9</v>
      </c>
    </row>
    <row r="453" spans="1:10" x14ac:dyDescent="0.25">
      <c r="A453" t="s">
        <v>460</v>
      </c>
      <c r="B453" t="s">
        <v>1</v>
      </c>
      <c r="C453" t="str">
        <f t="shared" si="52"/>
        <v>059944</v>
      </c>
      <c r="D453" t="str">
        <f t="shared" si="53"/>
        <v>TOR</v>
      </c>
      <c r="E453" t="str" cm="1">
        <f t="array" ref="E453">INDEX($E$2:$E$4, MOD(ROW()-1,3)+1)</f>
        <v>Machine 3</v>
      </c>
      <c r="F453">
        <f t="shared" ca="1" si="54"/>
        <v>2</v>
      </c>
      <c r="G453">
        <f t="shared" ca="1" si="55"/>
        <v>0</v>
      </c>
      <c r="H453">
        <f ca="1">RANDBETWEEN(1,J453-2)</f>
        <v>1</v>
      </c>
      <c r="I453">
        <f t="shared" ca="1" si="56"/>
        <v>45</v>
      </c>
      <c r="J453">
        <f t="shared" ca="1" si="57"/>
        <v>5</v>
      </c>
    </row>
    <row r="454" spans="1:10" x14ac:dyDescent="0.25">
      <c r="A454" t="s">
        <v>461</v>
      </c>
      <c r="B454" t="s">
        <v>1</v>
      </c>
      <c r="C454" t="str">
        <f t="shared" si="52"/>
        <v>059948</v>
      </c>
      <c r="D454" t="str">
        <f t="shared" si="53"/>
        <v>TOR</v>
      </c>
      <c r="E454" t="str" cm="1">
        <f t="array" ref="E454">INDEX($E$2:$E$4, MOD(ROW()-1,3)+1)</f>
        <v>Machine 1</v>
      </c>
      <c r="F454">
        <f t="shared" ca="1" si="54"/>
        <v>3</v>
      </c>
      <c r="G454">
        <f t="shared" ca="1" si="55"/>
        <v>1</v>
      </c>
      <c r="H454">
        <f ca="1">RANDBETWEEN(1,J454-2)</f>
        <v>1</v>
      </c>
      <c r="I454">
        <f t="shared" ca="1" si="56"/>
        <v>44</v>
      </c>
      <c r="J454">
        <f t="shared" ca="1" si="57"/>
        <v>12</v>
      </c>
    </row>
    <row r="455" spans="1:10" x14ac:dyDescent="0.25">
      <c r="A455" t="s">
        <v>462</v>
      </c>
      <c r="B455" t="s">
        <v>1</v>
      </c>
      <c r="C455" t="str">
        <f t="shared" si="52"/>
        <v>059950</v>
      </c>
      <c r="D455" t="str">
        <f t="shared" si="53"/>
        <v>TOR</v>
      </c>
      <c r="E455" t="str" cm="1">
        <f t="array" ref="E455">INDEX($E$2:$E$4, MOD(ROW()-1,3)+1)</f>
        <v>Machine 2</v>
      </c>
      <c r="F455">
        <f t="shared" ca="1" si="54"/>
        <v>2</v>
      </c>
      <c r="G455">
        <f t="shared" ca="1" si="55"/>
        <v>1</v>
      </c>
      <c r="H455">
        <f ca="1">RANDBETWEEN(1,J455-2)</f>
        <v>2</v>
      </c>
      <c r="I455">
        <f t="shared" ca="1" si="56"/>
        <v>35</v>
      </c>
      <c r="J455">
        <f t="shared" ca="1" si="57"/>
        <v>5</v>
      </c>
    </row>
    <row r="456" spans="1:10" x14ac:dyDescent="0.25">
      <c r="A456" t="s">
        <v>463</v>
      </c>
      <c r="B456" t="s">
        <v>1</v>
      </c>
      <c r="C456" t="str">
        <f t="shared" si="52"/>
        <v>059952</v>
      </c>
      <c r="D456" t="str">
        <f t="shared" si="53"/>
        <v>TOR</v>
      </c>
      <c r="E456" t="str" cm="1">
        <f t="array" ref="E456">INDEX($E$2:$E$4, MOD(ROW()-1,3)+1)</f>
        <v>Machine 3</v>
      </c>
      <c r="F456">
        <f t="shared" ca="1" si="54"/>
        <v>3</v>
      </c>
      <c r="G456">
        <f t="shared" ca="1" si="55"/>
        <v>1</v>
      </c>
      <c r="H456">
        <f ca="1">RANDBETWEEN(1,J456-2)</f>
        <v>9</v>
      </c>
      <c r="I456">
        <f t="shared" ca="1" si="56"/>
        <v>43</v>
      </c>
      <c r="J456">
        <f t="shared" ca="1" si="57"/>
        <v>15</v>
      </c>
    </row>
    <row r="457" spans="1:10" x14ac:dyDescent="0.25">
      <c r="A457" t="s">
        <v>464</v>
      </c>
      <c r="B457" t="s">
        <v>1</v>
      </c>
      <c r="C457" t="str">
        <f t="shared" si="52"/>
        <v>059954</v>
      </c>
      <c r="D457" t="str">
        <f t="shared" si="53"/>
        <v>TOR</v>
      </c>
      <c r="E457" t="str" cm="1">
        <f t="array" ref="E457">INDEX($E$2:$E$4, MOD(ROW()-1,3)+1)</f>
        <v>Machine 1</v>
      </c>
      <c r="F457">
        <f t="shared" ca="1" si="54"/>
        <v>3</v>
      </c>
      <c r="G457">
        <f t="shared" ca="1" si="55"/>
        <v>0</v>
      </c>
      <c r="H457">
        <f ca="1">RANDBETWEEN(1,J457-2)</f>
        <v>4</v>
      </c>
      <c r="I457">
        <f t="shared" ca="1" si="56"/>
        <v>48</v>
      </c>
      <c r="J457">
        <f t="shared" ca="1" si="57"/>
        <v>6</v>
      </c>
    </row>
    <row r="458" spans="1:10" x14ac:dyDescent="0.25">
      <c r="A458" t="s">
        <v>465</v>
      </c>
      <c r="B458" t="s">
        <v>1</v>
      </c>
      <c r="C458" t="str">
        <f t="shared" si="52"/>
        <v>059956</v>
      </c>
      <c r="D458" t="str">
        <f t="shared" si="53"/>
        <v>TOR</v>
      </c>
      <c r="E458" t="str" cm="1">
        <f t="array" ref="E458">INDEX($E$2:$E$4, MOD(ROW()-1,3)+1)</f>
        <v>Machine 2</v>
      </c>
      <c r="F458">
        <f t="shared" ca="1" si="54"/>
        <v>2</v>
      </c>
      <c r="G458">
        <f t="shared" ca="1" si="55"/>
        <v>1</v>
      </c>
      <c r="H458">
        <f ca="1">RANDBETWEEN(1,J458-2)</f>
        <v>6</v>
      </c>
      <c r="I458">
        <f t="shared" ca="1" si="56"/>
        <v>25</v>
      </c>
      <c r="J458">
        <f t="shared" ca="1" si="57"/>
        <v>15</v>
      </c>
    </row>
    <row r="459" spans="1:10" x14ac:dyDescent="0.25">
      <c r="A459" t="s">
        <v>466</v>
      </c>
      <c r="B459" t="s">
        <v>1</v>
      </c>
      <c r="C459" t="str">
        <f t="shared" si="52"/>
        <v>059958</v>
      </c>
      <c r="D459" t="str">
        <f t="shared" si="53"/>
        <v>TOR</v>
      </c>
      <c r="E459" t="str" cm="1">
        <f t="array" ref="E459">INDEX($E$2:$E$4, MOD(ROW()-1,3)+1)</f>
        <v>Machine 3</v>
      </c>
      <c r="F459">
        <f t="shared" ca="1" si="54"/>
        <v>2</v>
      </c>
      <c r="G459">
        <f t="shared" ca="1" si="55"/>
        <v>1</v>
      </c>
      <c r="H459">
        <f ca="1">RANDBETWEEN(1,J459-2)</f>
        <v>2</v>
      </c>
      <c r="I459">
        <f t="shared" ca="1" si="56"/>
        <v>46</v>
      </c>
      <c r="J459">
        <f t="shared" ca="1" si="57"/>
        <v>7</v>
      </c>
    </row>
    <row r="460" spans="1:10" x14ac:dyDescent="0.25">
      <c r="A460" t="s">
        <v>467</v>
      </c>
      <c r="B460" t="s">
        <v>1</v>
      </c>
      <c r="C460" t="str">
        <f t="shared" si="52"/>
        <v>059960</v>
      </c>
      <c r="D460" t="str">
        <f t="shared" si="53"/>
        <v>TOR</v>
      </c>
      <c r="E460" t="str" cm="1">
        <f t="array" ref="E460">INDEX($E$2:$E$4, MOD(ROW()-1,3)+1)</f>
        <v>Machine 1</v>
      </c>
      <c r="F460">
        <f t="shared" ca="1" si="54"/>
        <v>3</v>
      </c>
      <c r="G460">
        <f t="shared" ca="1" si="55"/>
        <v>1</v>
      </c>
      <c r="H460">
        <f ca="1">RANDBETWEEN(1,J460-2)</f>
        <v>4</v>
      </c>
      <c r="I460">
        <f t="shared" ca="1" si="56"/>
        <v>47</v>
      </c>
      <c r="J460">
        <f t="shared" ca="1" si="57"/>
        <v>6</v>
      </c>
    </row>
    <row r="461" spans="1:10" x14ac:dyDescent="0.25">
      <c r="A461" t="s">
        <v>468</v>
      </c>
      <c r="B461" t="s">
        <v>1</v>
      </c>
      <c r="C461" t="str">
        <f t="shared" si="52"/>
        <v>059962</v>
      </c>
      <c r="D461" t="str">
        <f t="shared" si="53"/>
        <v>TOR</v>
      </c>
      <c r="E461" t="str" cm="1">
        <f t="array" ref="E461">INDEX($E$2:$E$4, MOD(ROW()-1,3)+1)</f>
        <v>Machine 2</v>
      </c>
      <c r="F461">
        <f t="shared" ca="1" si="54"/>
        <v>3</v>
      </c>
      <c r="G461">
        <f t="shared" ca="1" si="55"/>
        <v>0</v>
      </c>
      <c r="H461">
        <f ca="1">RANDBETWEEN(1,J461-2)</f>
        <v>2</v>
      </c>
      <c r="I461">
        <f t="shared" ca="1" si="56"/>
        <v>46</v>
      </c>
      <c r="J461">
        <f t="shared" ca="1" si="57"/>
        <v>14</v>
      </c>
    </row>
    <row r="462" spans="1:10" x14ac:dyDescent="0.25">
      <c r="A462" t="s">
        <v>469</v>
      </c>
      <c r="B462" t="s">
        <v>1</v>
      </c>
      <c r="C462" t="str">
        <f t="shared" si="52"/>
        <v>059964</v>
      </c>
      <c r="D462" t="str">
        <f t="shared" si="53"/>
        <v>TOR</v>
      </c>
      <c r="E462" t="str" cm="1">
        <f t="array" ref="E462">INDEX($E$2:$E$4, MOD(ROW()-1,3)+1)</f>
        <v>Machine 3</v>
      </c>
      <c r="F462">
        <f t="shared" ca="1" si="54"/>
        <v>2</v>
      </c>
      <c r="G462">
        <f t="shared" ca="1" si="55"/>
        <v>0</v>
      </c>
      <c r="H462">
        <f ca="1">RANDBETWEEN(1,J462-2)</f>
        <v>8</v>
      </c>
      <c r="I462">
        <f t="shared" ca="1" si="56"/>
        <v>41</v>
      </c>
      <c r="J462">
        <f t="shared" ca="1" si="57"/>
        <v>13</v>
      </c>
    </row>
    <row r="463" spans="1:10" x14ac:dyDescent="0.25">
      <c r="A463" t="s">
        <v>470</v>
      </c>
      <c r="B463" t="s">
        <v>1</v>
      </c>
      <c r="C463" t="str">
        <f t="shared" si="52"/>
        <v>059966</v>
      </c>
      <c r="D463" t="str">
        <f t="shared" si="53"/>
        <v>TOR</v>
      </c>
      <c r="E463" t="str" cm="1">
        <f t="array" ref="E463">INDEX($E$2:$E$4, MOD(ROW()-1,3)+1)</f>
        <v>Machine 1</v>
      </c>
      <c r="F463">
        <f t="shared" ca="1" si="54"/>
        <v>3</v>
      </c>
      <c r="G463">
        <f t="shared" ca="1" si="55"/>
        <v>0</v>
      </c>
      <c r="H463">
        <f ca="1">RANDBETWEEN(1,J463-2)</f>
        <v>8</v>
      </c>
      <c r="I463">
        <f t="shared" ca="1" si="56"/>
        <v>26</v>
      </c>
      <c r="J463">
        <f t="shared" ca="1" si="57"/>
        <v>12</v>
      </c>
    </row>
    <row r="464" spans="1:10" x14ac:dyDescent="0.25">
      <c r="A464" t="s">
        <v>471</v>
      </c>
      <c r="B464" t="s">
        <v>1</v>
      </c>
      <c r="C464" t="str">
        <f t="shared" si="52"/>
        <v>059968</v>
      </c>
      <c r="D464" t="str">
        <f t="shared" si="53"/>
        <v>TOR</v>
      </c>
      <c r="E464" t="str" cm="1">
        <f t="array" ref="E464">INDEX($E$2:$E$4, MOD(ROW()-1,3)+1)</f>
        <v>Machine 2</v>
      </c>
      <c r="F464">
        <f t="shared" ca="1" si="54"/>
        <v>3</v>
      </c>
      <c r="G464">
        <f t="shared" ca="1" si="55"/>
        <v>0</v>
      </c>
      <c r="H464">
        <f ca="1">RANDBETWEEN(1,J464-2)</f>
        <v>5</v>
      </c>
      <c r="I464">
        <f t="shared" ca="1" si="56"/>
        <v>41</v>
      </c>
      <c r="J464">
        <f t="shared" ca="1" si="57"/>
        <v>15</v>
      </c>
    </row>
    <row r="465" spans="1:10" x14ac:dyDescent="0.25">
      <c r="A465" t="s">
        <v>472</v>
      </c>
      <c r="B465" t="s">
        <v>1</v>
      </c>
      <c r="C465" t="str">
        <f t="shared" si="52"/>
        <v>059970</v>
      </c>
      <c r="D465" t="str">
        <f t="shared" si="53"/>
        <v>TOR</v>
      </c>
      <c r="E465" t="str" cm="1">
        <f t="array" ref="E465">INDEX($E$2:$E$4, MOD(ROW()-1,3)+1)</f>
        <v>Machine 3</v>
      </c>
      <c r="F465">
        <f t="shared" ca="1" si="54"/>
        <v>3</v>
      </c>
      <c r="G465">
        <f t="shared" ca="1" si="55"/>
        <v>1</v>
      </c>
      <c r="H465">
        <f ca="1">RANDBETWEEN(1,J465-2)</f>
        <v>4</v>
      </c>
      <c r="I465">
        <f t="shared" ca="1" si="56"/>
        <v>44</v>
      </c>
      <c r="J465">
        <f t="shared" ca="1" si="57"/>
        <v>10</v>
      </c>
    </row>
    <row r="466" spans="1:10" x14ac:dyDescent="0.25">
      <c r="A466" t="s">
        <v>473</v>
      </c>
      <c r="B466" t="s">
        <v>1</v>
      </c>
      <c r="C466" t="str">
        <f t="shared" si="52"/>
        <v>059972</v>
      </c>
      <c r="D466" t="str">
        <f t="shared" si="53"/>
        <v>TOR</v>
      </c>
      <c r="E466" t="str" cm="1">
        <f t="array" ref="E466">INDEX($E$2:$E$4, MOD(ROW()-1,3)+1)</f>
        <v>Machine 1</v>
      </c>
      <c r="F466">
        <f t="shared" ca="1" si="54"/>
        <v>3</v>
      </c>
      <c r="G466">
        <f t="shared" ca="1" si="55"/>
        <v>0</v>
      </c>
      <c r="H466">
        <f ca="1">RANDBETWEEN(1,J466-2)</f>
        <v>1</v>
      </c>
      <c r="I466">
        <f t="shared" ca="1" si="56"/>
        <v>43</v>
      </c>
      <c r="J466">
        <f t="shared" ca="1" si="57"/>
        <v>5</v>
      </c>
    </row>
    <row r="467" spans="1:10" x14ac:dyDescent="0.25">
      <c r="A467" t="s">
        <v>474</v>
      </c>
      <c r="B467" t="s">
        <v>1</v>
      </c>
      <c r="C467" t="str">
        <f t="shared" si="52"/>
        <v>059974</v>
      </c>
      <c r="D467" t="str">
        <f t="shared" si="53"/>
        <v>TOR</v>
      </c>
      <c r="E467" t="str" cm="1">
        <f t="array" ref="E467">INDEX($E$2:$E$4, MOD(ROW()-1,3)+1)</f>
        <v>Machine 2</v>
      </c>
      <c r="F467">
        <f t="shared" ca="1" si="54"/>
        <v>3</v>
      </c>
      <c r="G467">
        <f t="shared" ca="1" si="55"/>
        <v>1</v>
      </c>
      <c r="H467">
        <f ca="1">RANDBETWEEN(1,J467-2)</f>
        <v>6</v>
      </c>
      <c r="I467">
        <f t="shared" ca="1" si="56"/>
        <v>31</v>
      </c>
      <c r="J467">
        <f t="shared" ca="1" si="57"/>
        <v>8</v>
      </c>
    </row>
    <row r="468" spans="1:10" x14ac:dyDescent="0.25">
      <c r="A468" t="s">
        <v>475</v>
      </c>
      <c r="B468" t="s">
        <v>1</v>
      </c>
      <c r="C468" t="str">
        <f t="shared" si="52"/>
        <v>059976</v>
      </c>
      <c r="D468" t="str">
        <f t="shared" si="53"/>
        <v>TOR</v>
      </c>
      <c r="E468" t="str" cm="1">
        <f t="array" ref="E468">INDEX($E$2:$E$4, MOD(ROW()-1,3)+1)</f>
        <v>Machine 3</v>
      </c>
      <c r="F468">
        <f t="shared" ca="1" si="54"/>
        <v>3</v>
      </c>
      <c r="G468">
        <f t="shared" ca="1" si="55"/>
        <v>0</v>
      </c>
      <c r="H468">
        <f ca="1">RANDBETWEEN(1,J468-2)</f>
        <v>3</v>
      </c>
      <c r="I468">
        <f t="shared" ca="1" si="56"/>
        <v>25</v>
      </c>
      <c r="J468">
        <f t="shared" ca="1" si="57"/>
        <v>9</v>
      </c>
    </row>
    <row r="469" spans="1:10" x14ac:dyDescent="0.25">
      <c r="A469" t="s">
        <v>476</v>
      </c>
      <c r="B469" t="s">
        <v>1</v>
      </c>
      <c r="C469" t="str">
        <f t="shared" si="52"/>
        <v>059978</v>
      </c>
      <c r="D469" t="str">
        <f t="shared" si="53"/>
        <v>TOR</v>
      </c>
      <c r="E469" t="str" cm="1">
        <f t="array" ref="E469">INDEX($E$2:$E$4, MOD(ROW()-1,3)+1)</f>
        <v>Machine 1</v>
      </c>
      <c r="F469">
        <f t="shared" ca="1" si="54"/>
        <v>2</v>
      </c>
      <c r="G469">
        <f t="shared" ca="1" si="55"/>
        <v>1</v>
      </c>
      <c r="H469">
        <f ca="1">RANDBETWEEN(1,J469-2)</f>
        <v>4</v>
      </c>
      <c r="I469">
        <f t="shared" ca="1" si="56"/>
        <v>25</v>
      </c>
      <c r="J469">
        <f t="shared" ca="1" si="57"/>
        <v>12</v>
      </c>
    </row>
    <row r="470" spans="1:10" x14ac:dyDescent="0.25">
      <c r="A470" t="s">
        <v>477</v>
      </c>
      <c r="B470" t="s">
        <v>1</v>
      </c>
      <c r="C470" t="str">
        <f t="shared" si="52"/>
        <v>059980</v>
      </c>
      <c r="D470" t="str">
        <f t="shared" si="53"/>
        <v>TOR</v>
      </c>
      <c r="E470" t="str" cm="1">
        <f t="array" ref="E470">INDEX($E$2:$E$4, MOD(ROW()-1,3)+1)</f>
        <v>Machine 2</v>
      </c>
      <c r="F470">
        <f t="shared" ca="1" si="54"/>
        <v>3</v>
      </c>
      <c r="G470">
        <f t="shared" ca="1" si="55"/>
        <v>0</v>
      </c>
      <c r="H470">
        <f ca="1">RANDBETWEEN(1,J470-2)</f>
        <v>5</v>
      </c>
      <c r="I470">
        <f t="shared" ca="1" si="56"/>
        <v>38</v>
      </c>
      <c r="J470">
        <f t="shared" ca="1" si="57"/>
        <v>8</v>
      </c>
    </row>
    <row r="471" spans="1:10" x14ac:dyDescent="0.25">
      <c r="A471" t="s">
        <v>478</v>
      </c>
      <c r="B471" t="s">
        <v>1</v>
      </c>
      <c r="C471" t="str">
        <f t="shared" si="52"/>
        <v>059982</v>
      </c>
      <c r="D471" t="str">
        <f t="shared" si="53"/>
        <v>TOR</v>
      </c>
      <c r="E471" t="str" cm="1">
        <f t="array" ref="E471">INDEX($E$2:$E$4, MOD(ROW()-1,3)+1)</f>
        <v>Machine 3</v>
      </c>
      <c r="F471">
        <f t="shared" ca="1" si="54"/>
        <v>2</v>
      </c>
      <c r="G471">
        <f t="shared" ca="1" si="55"/>
        <v>0</v>
      </c>
      <c r="H471">
        <f ca="1">RANDBETWEEN(1,J471-2)</f>
        <v>3</v>
      </c>
      <c r="I471">
        <f t="shared" ca="1" si="56"/>
        <v>32</v>
      </c>
      <c r="J471">
        <f t="shared" ca="1" si="57"/>
        <v>14</v>
      </c>
    </row>
    <row r="472" spans="1:10" x14ac:dyDescent="0.25">
      <c r="A472" t="s">
        <v>479</v>
      </c>
      <c r="B472" t="s">
        <v>1</v>
      </c>
      <c r="C472" t="str">
        <f t="shared" si="52"/>
        <v>059984</v>
      </c>
      <c r="D472" t="str">
        <f t="shared" si="53"/>
        <v>TOR</v>
      </c>
      <c r="E472" t="str" cm="1">
        <f t="array" ref="E472">INDEX($E$2:$E$4, MOD(ROW()-1,3)+1)</f>
        <v>Machine 1</v>
      </c>
      <c r="F472">
        <f t="shared" ca="1" si="54"/>
        <v>3</v>
      </c>
      <c r="G472">
        <f t="shared" ca="1" si="55"/>
        <v>1</v>
      </c>
      <c r="H472">
        <f ca="1">RANDBETWEEN(1,J472-2)</f>
        <v>7</v>
      </c>
      <c r="I472">
        <f t="shared" ca="1" si="56"/>
        <v>37</v>
      </c>
      <c r="J472">
        <f t="shared" ca="1" si="57"/>
        <v>11</v>
      </c>
    </row>
    <row r="473" spans="1:10" x14ac:dyDescent="0.25">
      <c r="A473" t="s">
        <v>480</v>
      </c>
      <c r="B473" t="s">
        <v>1</v>
      </c>
      <c r="C473" t="str">
        <f t="shared" si="52"/>
        <v>059988</v>
      </c>
      <c r="D473" t="str">
        <f t="shared" si="53"/>
        <v>TOR</v>
      </c>
      <c r="E473" t="str" cm="1">
        <f t="array" ref="E473">INDEX($E$2:$E$4, MOD(ROW()-1,3)+1)</f>
        <v>Machine 2</v>
      </c>
      <c r="F473">
        <f t="shared" ca="1" si="54"/>
        <v>3</v>
      </c>
      <c r="G473">
        <f t="shared" ca="1" si="55"/>
        <v>0</v>
      </c>
      <c r="H473">
        <f ca="1">RANDBETWEEN(1,J473-2)</f>
        <v>7</v>
      </c>
      <c r="I473">
        <f t="shared" ca="1" si="56"/>
        <v>27</v>
      </c>
      <c r="J473">
        <f t="shared" ca="1" si="57"/>
        <v>9</v>
      </c>
    </row>
    <row r="474" spans="1:10" x14ac:dyDescent="0.25">
      <c r="A474" t="s">
        <v>481</v>
      </c>
      <c r="B474" t="s">
        <v>1</v>
      </c>
      <c r="C474" t="str">
        <f t="shared" si="52"/>
        <v>059990</v>
      </c>
      <c r="D474" t="str">
        <f t="shared" si="53"/>
        <v>TOR</v>
      </c>
      <c r="E474" t="str" cm="1">
        <f t="array" ref="E474">INDEX($E$2:$E$4, MOD(ROW()-1,3)+1)</f>
        <v>Machine 3</v>
      </c>
      <c r="F474">
        <f t="shared" ca="1" si="54"/>
        <v>3</v>
      </c>
      <c r="G474">
        <f t="shared" ca="1" si="55"/>
        <v>0</v>
      </c>
      <c r="H474">
        <f ca="1">RANDBETWEEN(1,J474-2)</f>
        <v>1</v>
      </c>
      <c r="I474">
        <f t="shared" ca="1" si="56"/>
        <v>47</v>
      </c>
      <c r="J474">
        <f t="shared" ca="1" si="57"/>
        <v>11</v>
      </c>
    </row>
    <row r="475" spans="1:10" x14ac:dyDescent="0.25">
      <c r="A475" t="s">
        <v>482</v>
      </c>
      <c r="B475" t="s">
        <v>1</v>
      </c>
      <c r="C475" t="str">
        <f t="shared" si="52"/>
        <v>059994</v>
      </c>
      <c r="D475" t="str">
        <f t="shared" si="53"/>
        <v>TOR</v>
      </c>
      <c r="E475" t="str" cm="1">
        <f t="array" ref="E475">INDEX($E$2:$E$4, MOD(ROW()-1,3)+1)</f>
        <v>Machine 1</v>
      </c>
      <c r="F475">
        <f t="shared" ca="1" si="54"/>
        <v>3</v>
      </c>
      <c r="G475">
        <f t="shared" ca="1" si="55"/>
        <v>0</v>
      </c>
      <c r="H475">
        <f ca="1">RANDBETWEEN(1,J475-2)</f>
        <v>4</v>
      </c>
      <c r="I475">
        <f t="shared" ca="1" si="56"/>
        <v>42</v>
      </c>
      <c r="J475">
        <f t="shared" ca="1" si="57"/>
        <v>6</v>
      </c>
    </row>
    <row r="476" spans="1:10" x14ac:dyDescent="0.25">
      <c r="A476" t="s">
        <v>483</v>
      </c>
      <c r="B476" t="s">
        <v>1</v>
      </c>
      <c r="C476" t="str">
        <f t="shared" si="52"/>
        <v>059996</v>
      </c>
      <c r="D476" t="str">
        <f t="shared" si="53"/>
        <v>TOR</v>
      </c>
      <c r="E476" t="str" cm="1">
        <f t="array" ref="E476">INDEX($E$2:$E$4, MOD(ROW()-1,3)+1)</f>
        <v>Machine 2</v>
      </c>
      <c r="F476">
        <f t="shared" ca="1" si="54"/>
        <v>2</v>
      </c>
      <c r="G476">
        <f t="shared" ca="1" si="55"/>
        <v>0</v>
      </c>
      <c r="H476">
        <f ca="1">RANDBETWEEN(1,J476-2)</f>
        <v>3</v>
      </c>
      <c r="I476">
        <f t="shared" ca="1" si="56"/>
        <v>44</v>
      </c>
      <c r="J476">
        <f t="shared" ca="1" si="57"/>
        <v>5</v>
      </c>
    </row>
    <row r="477" spans="1:10" x14ac:dyDescent="0.25">
      <c r="A477" t="s">
        <v>484</v>
      </c>
      <c r="B477" t="s">
        <v>1</v>
      </c>
      <c r="C477" t="str">
        <f t="shared" si="52"/>
        <v>059998</v>
      </c>
      <c r="D477" t="str">
        <f t="shared" si="53"/>
        <v>TOR</v>
      </c>
      <c r="E477" t="str" cm="1">
        <f t="array" ref="E477">INDEX($E$2:$E$4, MOD(ROW()-1,3)+1)</f>
        <v>Machine 3</v>
      </c>
      <c r="F477">
        <f t="shared" ca="1" si="54"/>
        <v>2</v>
      </c>
      <c r="G477">
        <f t="shared" ca="1" si="55"/>
        <v>0</v>
      </c>
      <c r="H477">
        <f ca="1">RANDBETWEEN(1,J477-2)</f>
        <v>8</v>
      </c>
      <c r="I477">
        <f t="shared" ca="1" si="56"/>
        <v>26</v>
      </c>
      <c r="J477">
        <f t="shared" ca="1" si="57"/>
        <v>10</v>
      </c>
    </row>
    <row r="478" spans="1:10" x14ac:dyDescent="0.25">
      <c r="A478" t="s">
        <v>485</v>
      </c>
      <c r="B478" t="s">
        <v>1</v>
      </c>
      <c r="C478" t="str">
        <f t="shared" si="52"/>
        <v>060000</v>
      </c>
      <c r="D478" t="str">
        <f t="shared" si="53"/>
        <v>TOR</v>
      </c>
      <c r="E478" t="str" cm="1">
        <f t="array" ref="E478">INDEX($E$2:$E$4, MOD(ROW()-1,3)+1)</f>
        <v>Machine 1</v>
      </c>
      <c r="F478">
        <f t="shared" ca="1" si="54"/>
        <v>2</v>
      </c>
      <c r="G478">
        <f t="shared" ca="1" si="55"/>
        <v>0</v>
      </c>
      <c r="H478">
        <f ca="1">RANDBETWEEN(1,J478-2)</f>
        <v>7</v>
      </c>
      <c r="I478">
        <f t="shared" ca="1" si="56"/>
        <v>33</v>
      </c>
      <c r="J478">
        <f t="shared" ca="1" si="57"/>
        <v>12</v>
      </c>
    </row>
    <row r="479" spans="1:10" x14ac:dyDescent="0.25">
      <c r="A479" t="s">
        <v>486</v>
      </c>
      <c r="B479" t="s">
        <v>1</v>
      </c>
      <c r="C479" t="str">
        <f t="shared" si="52"/>
        <v>060002</v>
      </c>
      <c r="D479" t="str">
        <f t="shared" si="53"/>
        <v>TOR</v>
      </c>
      <c r="E479" t="str" cm="1">
        <f t="array" ref="E479">INDEX($E$2:$E$4, MOD(ROW()-1,3)+1)</f>
        <v>Machine 2</v>
      </c>
      <c r="F479">
        <f t="shared" ca="1" si="54"/>
        <v>3</v>
      </c>
      <c r="G479">
        <f t="shared" ca="1" si="55"/>
        <v>0</v>
      </c>
      <c r="H479">
        <f ca="1">RANDBETWEEN(1,J479-2)</f>
        <v>2</v>
      </c>
      <c r="I479">
        <f t="shared" ca="1" si="56"/>
        <v>35</v>
      </c>
      <c r="J479">
        <f t="shared" ca="1" si="57"/>
        <v>6</v>
      </c>
    </row>
    <row r="480" spans="1:10" x14ac:dyDescent="0.25">
      <c r="A480" t="s">
        <v>487</v>
      </c>
      <c r="B480" t="s">
        <v>1</v>
      </c>
      <c r="C480" t="str">
        <f t="shared" si="52"/>
        <v>060005</v>
      </c>
      <c r="D480" t="str">
        <f t="shared" si="53"/>
        <v>TOR</v>
      </c>
      <c r="E480" t="str" cm="1">
        <f t="array" ref="E480">INDEX($E$2:$E$4, MOD(ROW()-1,3)+1)</f>
        <v>Machine 3</v>
      </c>
      <c r="F480">
        <f t="shared" ca="1" si="54"/>
        <v>3</v>
      </c>
      <c r="G480">
        <f t="shared" ca="1" si="55"/>
        <v>0</v>
      </c>
      <c r="H480">
        <f ca="1">RANDBETWEEN(1,J480-2)</f>
        <v>7</v>
      </c>
      <c r="I480">
        <f t="shared" ca="1" si="56"/>
        <v>25</v>
      </c>
      <c r="J480">
        <f t="shared" ca="1" si="57"/>
        <v>15</v>
      </c>
    </row>
    <row r="481" spans="1:10" x14ac:dyDescent="0.25">
      <c r="A481" t="s">
        <v>488</v>
      </c>
      <c r="B481" t="s">
        <v>1</v>
      </c>
      <c r="C481" t="str">
        <f t="shared" si="52"/>
        <v>060007</v>
      </c>
      <c r="D481" t="str">
        <f t="shared" si="53"/>
        <v>TOR</v>
      </c>
      <c r="E481" t="str" cm="1">
        <f t="array" ref="E481">INDEX($E$2:$E$4, MOD(ROW()-1,3)+1)</f>
        <v>Machine 1</v>
      </c>
      <c r="F481">
        <f t="shared" ca="1" si="54"/>
        <v>2</v>
      </c>
      <c r="G481">
        <f t="shared" ca="1" si="55"/>
        <v>1</v>
      </c>
      <c r="H481">
        <f ca="1">RANDBETWEEN(1,J481-2)</f>
        <v>5</v>
      </c>
      <c r="I481">
        <f t="shared" ca="1" si="56"/>
        <v>46</v>
      </c>
      <c r="J481">
        <f t="shared" ca="1" si="57"/>
        <v>7</v>
      </c>
    </row>
    <row r="482" spans="1:10" x14ac:dyDescent="0.25">
      <c r="A482" t="s">
        <v>489</v>
      </c>
      <c r="B482" t="s">
        <v>1</v>
      </c>
      <c r="C482" t="str">
        <f t="shared" si="52"/>
        <v>060009</v>
      </c>
      <c r="D482" t="str">
        <f t="shared" si="53"/>
        <v>TOR</v>
      </c>
      <c r="E482" t="str" cm="1">
        <f t="array" ref="E482">INDEX($E$2:$E$4, MOD(ROW()-1,3)+1)</f>
        <v>Machine 2</v>
      </c>
      <c r="F482">
        <f t="shared" ca="1" si="54"/>
        <v>3</v>
      </c>
      <c r="G482">
        <f t="shared" ca="1" si="55"/>
        <v>0</v>
      </c>
      <c r="H482">
        <f ca="1">RANDBETWEEN(1,J482-2)</f>
        <v>6</v>
      </c>
      <c r="I482">
        <f t="shared" ca="1" si="56"/>
        <v>40</v>
      </c>
      <c r="J482">
        <f t="shared" ca="1" si="57"/>
        <v>14</v>
      </c>
    </row>
    <row r="483" spans="1:10" x14ac:dyDescent="0.25">
      <c r="A483" t="s">
        <v>490</v>
      </c>
      <c r="B483" t="s">
        <v>1</v>
      </c>
      <c r="C483" t="str">
        <f t="shared" si="52"/>
        <v>060011</v>
      </c>
      <c r="D483" t="str">
        <f t="shared" si="53"/>
        <v>TOR</v>
      </c>
      <c r="E483" t="str" cm="1">
        <f t="array" ref="E483">INDEX($E$2:$E$4, MOD(ROW()-1,3)+1)</f>
        <v>Machine 3</v>
      </c>
      <c r="F483">
        <f t="shared" ca="1" si="54"/>
        <v>2</v>
      </c>
      <c r="G483">
        <f t="shared" ca="1" si="55"/>
        <v>0</v>
      </c>
      <c r="H483">
        <f ca="1">RANDBETWEEN(1,J483-2)</f>
        <v>2</v>
      </c>
      <c r="I483">
        <f t="shared" ca="1" si="56"/>
        <v>43</v>
      </c>
      <c r="J483">
        <f t="shared" ca="1" si="57"/>
        <v>7</v>
      </c>
    </row>
    <row r="484" spans="1:10" x14ac:dyDescent="0.25">
      <c r="A484" t="s">
        <v>491</v>
      </c>
      <c r="B484" t="s">
        <v>1</v>
      </c>
      <c r="C484" t="str">
        <f t="shared" si="52"/>
        <v>060014</v>
      </c>
      <c r="D484" t="str">
        <f t="shared" si="53"/>
        <v>TOR</v>
      </c>
      <c r="E484" t="str" cm="1">
        <f t="array" ref="E484">INDEX($E$2:$E$4, MOD(ROW()-1,3)+1)</f>
        <v>Machine 1</v>
      </c>
      <c r="F484">
        <f t="shared" ca="1" si="54"/>
        <v>2</v>
      </c>
      <c r="G484">
        <f t="shared" ca="1" si="55"/>
        <v>1</v>
      </c>
      <c r="H484">
        <f ca="1">RANDBETWEEN(1,J484-2)</f>
        <v>1</v>
      </c>
      <c r="I484">
        <f t="shared" ca="1" si="56"/>
        <v>46</v>
      </c>
      <c r="J484">
        <f t="shared" ca="1" si="57"/>
        <v>8</v>
      </c>
    </row>
    <row r="485" spans="1:10" x14ac:dyDescent="0.25">
      <c r="A485" t="s">
        <v>492</v>
      </c>
      <c r="B485" t="s">
        <v>1</v>
      </c>
      <c r="C485" t="str">
        <f t="shared" si="52"/>
        <v>060017</v>
      </c>
      <c r="D485" t="str">
        <f t="shared" si="53"/>
        <v>TOR</v>
      </c>
      <c r="E485" t="str" cm="1">
        <f t="array" ref="E485">INDEX($E$2:$E$4, MOD(ROW()-1,3)+1)</f>
        <v>Machine 2</v>
      </c>
      <c r="F485">
        <f t="shared" ca="1" si="54"/>
        <v>3</v>
      </c>
      <c r="G485">
        <f t="shared" ca="1" si="55"/>
        <v>0</v>
      </c>
      <c r="H485">
        <f ca="1">RANDBETWEEN(1,J485-2)</f>
        <v>12</v>
      </c>
      <c r="I485">
        <f t="shared" ca="1" si="56"/>
        <v>47</v>
      </c>
      <c r="J485">
        <f t="shared" ca="1" si="57"/>
        <v>15</v>
      </c>
    </row>
    <row r="486" spans="1:10" x14ac:dyDescent="0.25">
      <c r="A486" t="s">
        <v>493</v>
      </c>
      <c r="B486" t="s">
        <v>1</v>
      </c>
      <c r="C486" t="str">
        <f t="shared" si="52"/>
        <v>060019</v>
      </c>
      <c r="D486" t="str">
        <f t="shared" si="53"/>
        <v>TOR</v>
      </c>
      <c r="E486" t="str" cm="1">
        <f t="array" ref="E486">INDEX($E$2:$E$4, MOD(ROW()-1,3)+1)</f>
        <v>Machine 3</v>
      </c>
      <c r="F486">
        <f t="shared" ca="1" si="54"/>
        <v>3</v>
      </c>
      <c r="G486">
        <f t="shared" ca="1" si="55"/>
        <v>0</v>
      </c>
      <c r="H486">
        <f ca="1">RANDBETWEEN(1,J486-2)</f>
        <v>2</v>
      </c>
      <c r="I486">
        <f t="shared" ca="1" si="56"/>
        <v>36</v>
      </c>
      <c r="J486">
        <f t="shared" ca="1" si="57"/>
        <v>7</v>
      </c>
    </row>
    <row r="487" spans="1:10" x14ac:dyDescent="0.25">
      <c r="A487" t="s">
        <v>494</v>
      </c>
      <c r="B487" t="s">
        <v>1</v>
      </c>
      <c r="C487" t="str">
        <f t="shared" si="52"/>
        <v>060021</v>
      </c>
      <c r="D487" t="str">
        <f t="shared" si="53"/>
        <v>TOR</v>
      </c>
      <c r="E487" t="str" cm="1">
        <f t="array" ref="E487">INDEX($E$2:$E$4, MOD(ROW()-1,3)+1)</f>
        <v>Machine 1</v>
      </c>
      <c r="F487">
        <f t="shared" ca="1" si="54"/>
        <v>3</v>
      </c>
      <c r="G487">
        <f t="shared" ca="1" si="55"/>
        <v>0</v>
      </c>
      <c r="H487">
        <f ca="1">RANDBETWEEN(1,J487-2)</f>
        <v>2</v>
      </c>
      <c r="I487">
        <f t="shared" ca="1" si="56"/>
        <v>43</v>
      </c>
      <c r="J487">
        <f t="shared" ca="1" si="57"/>
        <v>14</v>
      </c>
    </row>
    <row r="488" spans="1:10" x14ac:dyDescent="0.25">
      <c r="A488" t="s">
        <v>495</v>
      </c>
      <c r="B488" t="s">
        <v>1</v>
      </c>
      <c r="C488" t="str">
        <f t="shared" si="52"/>
        <v>060023</v>
      </c>
      <c r="D488" t="str">
        <f t="shared" si="53"/>
        <v>TOR</v>
      </c>
      <c r="E488" t="str" cm="1">
        <f t="array" ref="E488">INDEX($E$2:$E$4, MOD(ROW()-1,3)+1)</f>
        <v>Machine 2</v>
      </c>
      <c r="F488">
        <f t="shared" ca="1" si="54"/>
        <v>3</v>
      </c>
      <c r="G488">
        <f t="shared" ca="1" si="55"/>
        <v>1</v>
      </c>
      <c r="H488">
        <f ca="1">RANDBETWEEN(1,J488-2)</f>
        <v>3</v>
      </c>
      <c r="I488">
        <f t="shared" ca="1" si="56"/>
        <v>47</v>
      </c>
      <c r="J488">
        <f t="shared" ca="1" si="57"/>
        <v>5</v>
      </c>
    </row>
    <row r="489" spans="1:10" x14ac:dyDescent="0.25">
      <c r="A489" t="s">
        <v>496</v>
      </c>
      <c r="B489" t="s">
        <v>1</v>
      </c>
      <c r="C489" t="str">
        <f t="shared" si="52"/>
        <v>060025</v>
      </c>
      <c r="D489" t="str">
        <f t="shared" si="53"/>
        <v>TOR</v>
      </c>
      <c r="E489" t="str" cm="1">
        <f t="array" ref="E489">INDEX($E$2:$E$4, MOD(ROW()-1,3)+1)</f>
        <v>Machine 3</v>
      </c>
      <c r="F489">
        <f t="shared" ca="1" si="54"/>
        <v>2</v>
      </c>
      <c r="G489">
        <f t="shared" ca="1" si="55"/>
        <v>1</v>
      </c>
      <c r="H489">
        <f ca="1">RANDBETWEEN(1,J489-2)</f>
        <v>1</v>
      </c>
      <c r="I489">
        <f t="shared" ca="1" si="56"/>
        <v>34</v>
      </c>
      <c r="J489">
        <f t="shared" ca="1" si="57"/>
        <v>12</v>
      </c>
    </row>
    <row r="490" spans="1:10" x14ac:dyDescent="0.25">
      <c r="A490" t="s">
        <v>497</v>
      </c>
      <c r="B490" t="s">
        <v>1</v>
      </c>
      <c r="C490" t="str">
        <f t="shared" si="52"/>
        <v>060027</v>
      </c>
      <c r="D490" t="str">
        <f t="shared" si="53"/>
        <v>TOR</v>
      </c>
      <c r="E490" t="str" cm="1">
        <f t="array" ref="E490">INDEX($E$2:$E$4, MOD(ROW()-1,3)+1)</f>
        <v>Machine 1</v>
      </c>
      <c r="F490">
        <f t="shared" ca="1" si="54"/>
        <v>3</v>
      </c>
      <c r="G490">
        <f t="shared" ca="1" si="55"/>
        <v>1</v>
      </c>
      <c r="H490">
        <f ca="1">RANDBETWEEN(1,J490-2)</f>
        <v>1</v>
      </c>
      <c r="I490">
        <f t="shared" ca="1" si="56"/>
        <v>32</v>
      </c>
      <c r="J490">
        <f t="shared" ca="1" si="57"/>
        <v>7</v>
      </c>
    </row>
    <row r="491" spans="1:10" x14ac:dyDescent="0.25">
      <c r="A491" t="s">
        <v>498</v>
      </c>
      <c r="B491" t="s">
        <v>1</v>
      </c>
      <c r="C491" t="str">
        <f t="shared" si="52"/>
        <v>060029</v>
      </c>
      <c r="D491" t="str">
        <f t="shared" si="53"/>
        <v>TOR</v>
      </c>
      <c r="E491" t="str" cm="1">
        <f t="array" ref="E491">INDEX($E$2:$E$4, MOD(ROW()-1,3)+1)</f>
        <v>Machine 2</v>
      </c>
      <c r="F491">
        <f t="shared" ca="1" si="54"/>
        <v>2</v>
      </c>
      <c r="G491">
        <f t="shared" ca="1" si="55"/>
        <v>1</v>
      </c>
      <c r="H491">
        <f ca="1">RANDBETWEEN(1,J491-2)</f>
        <v>6</v>
      </c>
      <c r="I491">
        <f t="shared" ca="1" si="56"/>
        <v>46</v>
      </c>
      <c r="J491">
        <f t="shared" ca="1" si="57"/>
        <v>11</v>
      </c>
    </row>
    <row r="492" spans="1:10" x14ac:dyDescent="0.25">
      <c r="A492" t="s">
        <v>499</v>
      </c>
      <c r="B492" t="s">
        <v>1</v>
      </c>
      <c r="C492" t="str">
        <f t="shared" si="52"/>
        <v>060031</v>
      </c>
      <c r="D492" t="str">
        <f t="shared" si="53"/>
        <v>TOR</v>
      </c>
      <c r="E492" t="str" cm="1">
        <f t="array" ref="E492">INDEX($E$2:$E$4, MOD(ROW()-1,3)+1)</f>
        <v>Machine 3</v>
      </c>
      <c r="F492">
        <f t="shared" ca="1" si="54"/>
        <v>3</v>
      </c>
      <c r="G492">
        <f t="shared" ca="1" si="55"/>
        <v>0</v>
      </c>
      <c r="H492">
        <f ca="1">RANDBETWEEN(1,J492-2)</f>
        <v>6</v>
      </c>
      <c r="I492">
        <f t="shared" ca="1" si="56"/>
        <v>36</v>
      </c>
      <c r="J492">
        <f t="shared" ca="1" si="57"/>
        <v>12</v>
      </c>
    </row>
    <row r="493" spans="1:10" x14ac:dyDescent="0.25">
      <c r="A493" t="s">
        <v>500</v>
      </c>
      <c r="B493" t="s">
        <v>1</v>
      </c>
      <c r="C493" t="str">
        <f t="shared" si="52"/>
        <v>060033</v>
      </c>
      <c r="D493" t="str">
        <f t="shared" si="53"/>
        <v>TOR</v>
      </c>
      <c r="E493" t="str" cm="1">
        <f t="array" ref="E493">INDEX($E$2:$E$4, MOD(ROW()-1,3)+1)</f>
        <v>Machine 1</v>
      </c>
      <c r="F493">
        <f t="shared" ca="1" si="54"/>
        <v>2</v>
      </c>
      <c r="G493">
        <f t="shared" ca="1" si="55"/>
        <v>0</v>
      </c>
      <c r="H493">
        <f ca="1">RANDBETWEEN(1,J493-2)</f>
        <v>1</v>
      </c>
      <c r="I493">
        <f t="shared" ca="1" si="56"/>
        <v>39</v>
      </c>
      <c r="J493">
        <f t="shared" ca="1" si="57"/>
        <v>13</v>
      </c>
    </row>
    <row r="494" spans="1:10" x14ac:dyDescent="0.25">
      <c r="A494" t="s">
        <v>501</v>
      </c>
      <c r="B494" t="s">
        <v>1</v>
      </c>
      <c r="C494" t="str">
        <f t="shared" si="52"/>
        <v>060035</v>
      </c>
      <c r="D494" t="str">
        <f t="shared" si="53"/>
        <v>TOR</v>
      </c>
      <c r="E494" t="str" cm="1">
        <f t="array" ref="E494">INDEX($E$2:$E$4, MOD(ROW()-1,3)+1)</f>
        <v>Machine 2</v>
      </c>
      <c r="F494">
        <f t="shared" ca="1" si="54"/>
        <v>2</v>
      </c>
      <c r="G494">
        <f t="shared" ca="1" si="55"/>
        <v>1</v>
      </c>
      <c r="H494">
        <f ca="1">RANDBETWEEN(1,J494-2)</f>
        <v>11</v>
      </c>
      <c r="I494">
        <f t="shared" ca="1" si="56"/>
        <v>30</v>
      </c>
      <c r="J494">
        <f t="shared" ca="1" si="57"/>
        <v>13</v>
      </c>
    </row>
    <row r="495" spans="1:10" x14ac:dyDescent="0.25">
      <c r="A495" t="s">
        <v>502</v>
      </c>
      <c r="B495" t="s">
        <v>1</v>
      </c>
      <c r="C495" t="str">
        <f t="shared" si="52"/>
        <v>060037</v>
      </c>
      <c r="D495" t="str">
        <f t="shared" si="53"/>
        <v>TOR</v>
      </c>
      <c r="E495" t="str" cm="1">
        <f t="array" ref="E495">INDEX($E$2:$E$4, MOD(ROW()-1,3)+1)</f>
        <v>Machine 3</v>
      </c>
      <c r="F495">
        <f t="shared" ca="1" si="54"/>
        <v>3</v>
      </c>
      <c r="G495">
        <f t="shared" ca="1" si="55"/>
        <v>1</v>
      </c>
      <c r="H495">
        <f ca="1">RANDBETWEEN(1,J495-2)</f>
        <v>6</v>
      </c>
      <c r="I495">
        <f t="shared" ca="1" si="56"/>
        <v>27</v>
      </c>
      <c r="J495">
        <f t="shared" ca="1" si="57"/>
        <v>8</v>
      </c>
    </row>
    <row r="496" spans="1:10" x14ac:dyDescent="0.25">
      <c r="A496" t="s">
        <v>503</v>
      </c>
      <c r="B496" t="s">
        <v>1</v>
      </c>
      <c r="C496" t="str">
        <f t="shared" si="52"/>
        <v>060040</v>
      </c>
      <c r="D496" t="str">
        <f t="shared" si="53"/>
        <v>TOR</v>
      </c>
      <c r="E496" t="str" cm="1">
        <f t="array" ref="E496">INDEX($E$2:$E$4, MOD(ROW()-1,3)+1)</f>
        <v>Machine 1</v>
      </c>
      <c r="F496">
        <f t="shared" ca="1" si="54"/>
        <v>2</v>
      </c>
      <c r="G496">
        <f t="shared" ca="1" si="55"/>
        <v>1</v>
      </c>
      <c r="H496">
        <f ca="1">RANDBETWEEN(1,J496-2)</f>
        <v>3</v>
      </c>
      <c r="I496">
        <f t="shared" ca="1" si="56"/>
        <v>30</v>
      </c>
      <c r="J496">
        <f t="shared" ca="1" si="57"/>
        <v>6</v>
      </c>
    </row>
    <row r="497" spans="1:10" x14ac:dyDescent="0.25">
      <c r="A497" t="s">
        <v>504</v>
      </c>
      <c r="B497" t="s">
        <v>1</v>
      </c>
      <c r="C497" t="str">
        <f t="shared" si="52"/>
        <v>060042</v>
      </c>
      <c r="D497" t="str">
        <f t="shared" si="53"/>
        <v>TOR</v>
      </c>
      <c r="E497" t="str" cm="1">
        <f t="array" ref="E497">INDEX($E$2:$E$4, MOD(ROW()-1,3)+1)</f>
        <v>Machine 2</v>
      </c>
      <c r="F497">
        <f t="shared" ca="1" si="54"/>
        <v>2</v>
      </c>
      <c r="G497">
        <f t="shared" ca="1" si="55"/>
        <v>1</v>
      </c>
      <c r="H497">
        <f ca="1">RANDBETWEEN(1,J497-2)</f>
        <v>5</v>
      </c>
      <c r="I497">
        <f t="shared" ca="1" si="56"/>
        <v>31</v>
      </c>
      <c r="J497">
        <f t="shared" ca="1" si="57"/>
        <v>10</v>
      </c>
    </row>
    <row r="498" spans="1:10" x14ac:dyDescent="0.25">
      <c r="A498" t="s">
        <v>505</v>
      </c>
      <c r="B498" t="s">
        <v>1</v>
      </c>
      <c r="C498" t="str">
        <f t="shared" si="52"/>
        <v>060044</v>
      </c>
      <c r="D498" t="str">
        <f t="shared" si="53"/>
        <v>TOR</v>
      </c>
      <c r="E498" t="str" cm="1">
        <f t="array" ref="E498">INDEX($E$2:$E$4, MOD(ROW()-1,3)+1)</f>
        <v>Machine 3</v>
      </c>
      <c r="F498">
        <f t="shared" ca="1" si="54"/>
        <v>3</v>
      </c>
      <c r="G498">
        <f t="shared" ca="1" si="55"/>
        <v>1</v>
      </c>
      <c r="H498">
        <f ca="1">RANDBETWEEN(1,J498-2)</f>
        <v>3</v>
      </c>
      <c r="I498">
        <f t="shared" ca="1" si="56"/>
        <v>34</v>
      </c>
      <c r="J498">
        <f t="shared" ca="1" si="57"/>
        <v>7</v>
      </c>
    </row>
    <row r="499" spans="1:10" x14ac:dyDescent="0.25">
      <c r="A499" t="s">
        <v>506</v>
      </c>
      <c r="B499" t="s">
        <v>1</v>
      </c>
      <c r="C499" t="str">
        <f t="shared" si="52"/>
        <v>060046</v>
      </c>
      <c r="D499" t="str">
        <f t="shared" si="53"/>
        <v>TOR</v>
      </c>
      <c r="E499" t="str" cm="1">
        <f t="array" ref="E499">INDEX($E$2:$E$4, MOD(ROW()-1,3)+1)</f>
        <v>Machine 1</v>
      </c>
      <c r="F499">
        <f t="shared" ca="1" si="54"/>
        <v>2</v>
      </c>
      <c r="G499">
        <f t="shared" ca="1" si="55"/>
        <v>0</v>
      </c>
      <c r="H499">
        <f ca="1">RANDBETWEEN(1,J499-2)</f>
        <v>4</v>
      </c>
      <c r="I499">
        <f t="shared" ca="1" si="56"/>
        <v>48</v>
      </c>
      <c r="J499">
        <f t="shared" ca="1" si="57"/>
        <v>6</v>
      </c>
    </row>
    <row r="500" spans="1:10" x14ac:dyDescent="0.25">
      <c r="A500" t="s">
        <v>507</v>
      </c>
      <c r="B500" t="s">
        <v>1</v>
      </c>
      <c r="C500" t="str">
        <f t="shared" si="52"/>
        <v>060048</v>
      </c>
      <c r="D500" t="str">
        <f t="shared" si="53"/>
        <v>TOR</v>
      </c>
      <c r="E500" t="str" cm="1">
        <f t="array" ref="E500">INDEX($E$2:$E$4, MOD(ROW()-1,3)+1)</f>
        <v>Machine 2</v>
      </c>
      <c r="F500">
        <f t="shared" ca="1" si="54"/>
        <v>2</v>
      </c>
      <c r="G500">
        <f t="shared" ca="1" si="55"/>
        <v>1</v>
      </c>
      <c r="H500">
        <f ca="1">RANDBETWEEN(1,J500-2)</f>
        <v>3</v>
      </c>
      <c r="I500">
        <f t="shared" ca="1" si="56"/>
        <v>28</v>
      </c>
      <c r="J500">
        <f t="shared" ca="1" si="57"/>
        <v>9</v>
      </c>
    </row>
    <row r="501" spans="1:10" x14ac:dyDescent="0.25">
      <c r="A501" t="s">
        <v>508</v>
      </c>
      <c r="B501" t="s">
        <v>1</v>
      </c>
      <c r="C501" t="str">
        <f t="shared" si="52"/>
        <v>060050</v>
      </c>
      <c r="D501" t="str">
        <f t="shared" si="53"/>
        <v>TOR</v>
      </c>
      <c r="E501" t="str" cm="1">
        <f t="array" ref="E501">INDEX($E$2:$E$4, MOD(ROW()-1,3)+1)</f>
        <v>Machine 3</v>
      </c>
      <c r="F501">
        <f t="shared" ca="1" si="54"/>
        <v>3</v>
      </c>
      <c r="G501">
        <f t="shared" ca="1" si="55"/>
        <v>0</v>
      </c>
      <c r="H501">
        <f ca="1">RANDBETWEEN(1,J501-2)</f>
        <v>4</v>
      </c>
      <c r="I501">
        <f t="shared" ca="1" si="56"/>
        <v>45</v>
      </c>
      <c r="J501">
        <f t="shared" ca="1" si="57"/>
        <v>13</v>
      </c>
    </row>
    <row r="502" spans="1:10" x14ac:dyDescent="0.25">
      <c r="A502" t="s">
        <v>509</v>
      </c>
      <c r="B502" t="s">
        <v>1</v>
      </c>
      <c r="C502" t="str">
        <f t="shared" si="52"/>
        <v>060052</v>
      </c>
      <c r="D502" t="str">
        <f t="shared" si="53"/>
        <v>TOR</v>
      </c>
      <c r="E502" t="str" cm="1">
        <f t="array" ref="E502">INDEX($E$2:$E$4, MOD(ROW()-1,3)+1)</f>
        <v>Machine 1</v>
      </c>
      <c r="F502">
        <f t="shared" ca="1" si="54"/>
        <v>3</v>
      </c>
      <c r="G502">
        <f t="shared" ca="1" si="55"/>
        <v>0</v>
      </c>
      <c r="H502">
        <f ca="1">RANDBETWEEN(1,J502-2)</f>
        <v>12</v>
      </c>
      <c r="I502">
        <f t="shared" ca="1" si="56"/>
        <v>26</v>
      </c>
      <c r="J502">
        <f t="shared" ca="1" si="57"/>
        <v>14</v>
      </c>
    </row>
    <row r="503" spans="1:10" x14ac:dyDescent="0.25">
      <c r="A503" t="s">
        <v>510</v>
      </c>
      <c r="B503" t="s">
        <v>1</v>
      </c>
      <c r="C503" t="str">
        <f t="shared" si="52"/>
        <v>060054</v>
      </c>
      <c r="D503" t="str">
        <f t="shared" si="53"/>
        <v>TOR</v>
      </c>
      <c r="E503" t="str" cm="1">
        <f t="array" ref="E503">INDEX($E$2:$E$4, MOD(ROW()-1,3)+1)</f>
        <v>Machine 2</v>
      </c>
      <c r="F503">
        <f t="shared" ca="1" si="54"/>
        <v>2</v>
      </c>
      <c r="G503">
        <f t="shared" ca="1" si="55"/>
        <v>1</v>
      </c>
      <c r="H503">
        <f ca="1">RANDBETWEEN(1,J503-2)</f>
        <v>5</v>
      </c>
      <c r="I503">
        <f t="shared" ca="1" si="56"/>
        <v>38</v>
      </c>
      <c r="J503">
        <f t="shared" ca="1" si="57"/>
        <v>12</v>
      </c>
    </row>
    <row r="504" spans="1:10" x14ac:dyDescent="0.25">
      <c r="A504" t="s">
        <v>511</v>
      </c>
      <c r="B504" t="s">
        <v>1</v>
      </c>
      <c r="C504" t="str">
        <f t="shared" si="52"/>
        <v>060056</v>
      </c>
      <c r="D504" t="str">
        <f t="shared" si="53"/>
        <v>TOR</v>
      </c>
      <c r="E504" t="str" cm="1">
        <f t="array" ref="E504">INDEX($E$2:$E$4, MOD(ROW()-1,3)+1)</f>
        <v>Machine 3</v>
      </c>
      <c r="F504">
        <f t="shared" ca="1" si="54"/>
        <v>2</v>
      </c>
      <c r="G504">
        <f t="shared" ca="1" si="55"/>
        <v>1</v>
      </c>
      <c r="H504">
        <f ca="1">RANDBETWEEN(1,J504-2)</f>
        <v>1</v>
      </c>
      <c r="I504">
        <f t="shared" ca="1" si="56"/>
        <v>48</v>
      </c>
      <c r="J504">
        <f t="shared" ca="1" si="57"/>
        <v>9</v>
      </c>
    </row>
    <row r="505" spans="1:10" x14ac:dyDescent="0.25">
      <c r="A505" t="s">
        <v>512</v>
      </c>
      <c r="B505" t="s">
        <v>1</v>
      </c>
      <c r="C505" t="str">
        <f t="shared" si="52"/>
        <v>060058</v>
      </c>
      <c r="D505" t="str">
        <f t="shared" si="53"/>
        <v>TOR</v>
      </c>
      <c r="E505" t="str" cm="1">
        <f t="array" ref="E505">INDEX($E$2:$E$4, MOD(ROW()-1,3)+1)</f>
        <v>Machine 1</v>
      </c>
      <c r="F505">
        <f t="shared" ca="1" si="54"/>
        <v>3</v>
      </c>
      <c r="G505">
        <f t="shared" ca="1" si="55"/>
        <v>1</v>
      </c>
      <c r="H505">
        <f ca="1">RANDBETWEEN(1,J505-2)</f>
        <v>5</v>
      </c>
      <c r="I505">
        <f t="shared" ca="1" si="56"/>
        <v>42</v>
      </c>
      <c r="J505">
        <f t="shared" ca="1" si="57"/>
        <v>13</v>
      </c>
    </row>
    <row r="506" spans="1:10" x14ac:dyDescent="0.25">
      <c r="A506" t="s">
        <v>513</v>
      </c>
      <c r="B506" t="s">
        <v>1</v>
      </c>
      <c r="C506" t="str">
        <f t="shared" si="52"/>
        <v>060060</v>
      </c>
      <c r="D506" t="str">
        <f t="shared" si="53"/>
        <v>TOR</v>
      </c>
      <c r="E506" t="str" cm="1">
        <f t="array" ref="E506">INDEX($E$2:$E$4, MOD(ROW()-1,3)+1)</f>
        <v>Machine 2</v>
      </c>
      <c r="F506">
        <f t="shared" ca="1" si="54"/>
        <v>2</v>
      </c>
      <c r="G506">
        <f t="shared" ca="1" si="55"/>
        <v>0</v>
      </c>
      <c r="H506">
        <f ca="1">RANDBETWEEN(1,J506-2)</f>
        <v>11</v>
      </c>
      <c r="I506">
        <f t="shared" ca="1" si="56"/>
        <v>47</v>
      </c>
      <c r="J506">
        <f t="shared" ca="1" si="57"/>
        <v>13</v>
      </c>
    </row>
    <row r="507" spans="1:10" x14ac:dyDescent="0.25">
      <c r="A507" t="s">
        <v>514</v>
      </c>
      <c r="B507" t="s">
        <v>1</v>
      </c>
      <c r="C507" t="str">
        <f t="shared" si="52"/>
        <v>060064</v>
      </c>
      <c r="D507" t="str">
        <f t="shared" si="53"/>
        <v>TOR</v>
      </c>
      <c r="E507" t="str" cm="1">
        <f t="array" ref="E507">INDEX($E$2:$E$4, MOD(ROW()-1,3)+1)</f>
        <v>Machine 3</v>
      </c>
      <c r="F507">
        <f t="shared" ca="1" si="54"/>
        <v>3</v>
      </c>
      <c r="G507">
        <f t="shared" ca="1" si="55"/>
        <v>1</v>
      </c>
      <c r="H507">
        <f ca="1">RANDBETWEEN(1,J507-2)</f>
        <v>9</v>
      </c>
      <c r="I507">
        <f t="shared" ca="1" si="56"/>
        <v>29</v>
      </c>
      <c r="J507">
        <f t="shared" ca="1" si="57"/>
        <v>15</v>
      </c>
    </row>
    <row r="508" spans="1:10" x14ac:dyDescent="0.25">
      <c r="A508" t="s">
        <v>515</v>
      </c>
      <c r="B508" t="s">
        <v>1</v>
      </c>
      <c r="C508" t="str">
        <f t="shared" si="52"/>
        <v>060066</v>
      </c>
      <c r="D508" t="str">
        <f t="shared" si="53"/>
        <v>TOR</v>
      </c>
      <c r="E508" t="str" cm="1">
        <f t="array" ref="E508">INDEX($E$2:$E$4, MOD(ROW()-1,3)+1)</f>
        <v>Machine 1</v>
      </c>
      <c r="F508">
        <f t="shared" ca="1" si="54"/>
        <v>2</v>
      </c>
      <c r="G508">
        <f t="shared" ca="1" si="55"/>
        <v>1</v>
      </c>
      <c r="H508">
        <f ca="1">RANDBETWEEN(1,J508-2)</f>
        <v>3</v>
      </c>
      <c r="I508">
        <f t="shared" ca="1" si="56"/>
        <v>38</v>
      </c>
      <c r="J508">
        <f t="shared" ca="1" si="57"/>
        <v>5</v>
      </c>
    </row>
    <row r="509" spans="1:10" x14ac:dyDescent="0.25">
      <c r="A509" t="s">
        <v>516</v>
      </c>
      <c r="B509" t="s">
        <v>1</v>
      </c>
      <c r="C509" t="str">
        <f t="shared" si="52"/>
        <v>060069</v>
      </c>
      <c r="D509" t="str">
        <f t="shared" si="53"/>
        <v>TOR</v>
      </c>
      <c r="E509" t="str" cm="1">
        <f t="array" ref="E509">INDEX($E$2:$E$4, MOD(ROW()-1,3)+1)</f>
        <v>Machine 2</v>
      </c>
      <c r="F509">
        <f t="shared" ca="1" si="54"/>
        <v>2</v>
      </c>
      <c r="G509">
        <f t="shared" ca="1" si="55"/>
        <v>0</v>
      </c>
      <c r="H509">
        <f ca="1">RANDBETWEEN(1,J509-2)</f>
        <v>3</v>
      </c>
      <c r="I509">
        <f t="shared" ca="1" si="56"/>
        <v>45</v>
      </c>
      <c r="J509">
        <f t="shared" ca="1" si="57"/>
        <v>10</v>
      </c>
    </row>
    <row r="510" spans="1:10" x14ac:dyDescent="0.25">
      <c r="A510" t="s">
        <v>517</v>
      </c>
      <c r="B510" t="s">
        <v>1</v>
      </c>
      <c r="C510" t="str">
        <f t="shared" si="52"/>
        <v>060071</v>
      </c>
      <c r="D510" t="str">
        <f t="shared" si="53"/>
        <v>TOR</v>
      </c>
      <c r="E510" t="str" cm="1">
        <f t="array" ref="E510">INDEX($E$2:$E$4, MOD(ROW()-1,3)+1)</f>
        <v>Machine 3</v>
      </c>
      <c r="F510">
        <f t="shared" ca="1" si="54"/>
        <v>2</v>
      </c>
      <c r="G510">
        <f t="shared" ca="1" si="55"/>
        <v>1</v>
      </c>
      <c r="H510">
        <f ca="1">RANDBETWEEN(1,J510-2)</f>
        <v>7</v>
      </c>
      <c r="I510">
        <f t="shared" ca="1" si="56"/>
        <v>38</v>
      </c>
      <c r="J510">
        <f t="shared" ca="1" si="57"/>
        <v>10</v>
      </c>
    </row>
    <row r="511" spans="1:10" x14ac:dyDescent="0.25">
      <c r="A511" t="s">
        <v>518</v>
      </c>
      <c r="B511" t="s">
        <v>1</v>
      </c>
      <c r="C511" t="str">
        <f t="shared" si="52"/>
        <v>060073</v>
      </c>
      <c r="D511" t="str">
        <f t="shared" si="53"/>
        <v>TOR</v>
      </c>
      <c r="E511" t="str" cm="1">
        <f t="array" ref="E511">INDEX($E$2:$E$4, MOD(ROW()-1,3)+1)</f>
        <v>Machine 1</v>
      </c>
      <c r="F511">
        <f t="shared" ca="1" si="54"/>
        <v>2</v>
      </c>
      <c r="G511">
        <f t="shared" ca="1" si="55"/>
        <v>0</v>
      </c>
      <c r="H511">
        <f ca="1">RANDBETWEEN(1,J511-2)</f>
        <v>2</v>
      </c>
      <c r="I511">
        <f t="shared" ca="1" si="56"/>
        <v>43</v>
      </c>
      <c r="J511">
        <f t="shared" ca="1" si="57"/>
        <v>9</v>
      </c>
    </row>
    <row r="512" spans="1:10" x14ac:dyDescent="0.25">
      <c r="A512" t="s">
        <v>519</v>
      </c>
      <c r="B512" t="s">
        <v>1</v>
      </c>
      <c r="C512" t="str">
        <f t="shared" si="52"/>
        <v>060075</v>
      </c>
      <c r="D512" t="str">
        <f t="shared" si="53"/>
        <v>TOR</v>
      </c>
      <c r="E512" t="str" cm="1">
        <f t="array" ref="E512">INDEX($E$2:$E$4, MOD(ROW()-1,3)+1)</f>
        <v>Machine 2</v>
      </c>
      <c r="F512">
        <f t="shared" ca="1" si="54"/>
        <v>3</v>
      </c>
      <c r="G512">
        <f t="shared" ca="1" si="55"/>
        <v>0</v>
      </c>
      <c r="H512">
        <f ca="1">RANDBETWEEN(1,J512-2)</f>
        <v>8</v>
      </c>
      <c r="I512">
        <f t="shared" ca="1" si="56"/>
        <v>36</v>
      </c>
      <c r="J512">
        <f t="shared" ca="1" si="57"/>
        <v>15</v>
      </c>
    </row>
    <row r="513" spans="1:10" x14ac:dyDescent="0.25">
      <c r="A513" t="s">
        <v>520</v>
      </c>
      <c r="B513" t="s">
        <v>1</v>
      </c>
      <c r="C513" t="str">
        <f t="shared" si="52"/>
        <v>060077</v>
      </c>
      <c r="D513" t="str">
        <f t="shared" si="53"/>
        <v>TOR</v>
      </c>
      <c r="E513" t="str" cm="1">
        <f t="array" ref="E513">INDEX($E$2:$E$4, MOD(ROW()-1,3)+1)</f>
        <v>Machine 3</v>
      </c>
      <c r="F513">
        <f t="shared" ca="1" si="54"/>
        <v>2</v>
      </c>
      <c r="G513">
        <f t="shared" ca="1" si="55"/>
        <v>1</v>
      </c>
      <c r="H513">
        <f ca="1">RANDBETWEEN(1,J513-2)</f>
        <v>3</v>
      </c>
      <c r="I513">
        <f t="shared" ca="1" si="56"/>
        <v>33</v>
      </c>
      <c r="J513">
        <f t="shared" ca="1" si="57"/>
        <v>11</v>
      </c>
    </row>
    <row r="514" spans="1:10" x14ac:dyDescent="0.25">
      <c r="A514" t="s">
        <v>521</v>
      </c>
      <c r="B514" t="s">
        <v>1</v>
      </c>
      <c r="C514" t="str">
        <f t="shared" si="52"/>
        <v>060079</v>
      </c>
      <c r="D514" t="str">
        <f t="shared" si="53"/>
        <v>TOR</v>
      </c>
      <c r="E514" t="str" cm="1">
        <f t="array" ref="E514">INDEX($E$2:$E$4, MOD(ROW()-1,3)+1)</f>
        <v>Machine 1</v>
      </c>
      <c r="F514">
        <f t="shared" ca="1" si="54"/>
        <v>3</v>
      </c>
      <c r="G514">
        <f t="shared" ca="1" si="55"/>
        <v>1</v>
      </c>
      <c r="H514">
        <f ca="1">RANDBETWEEN(1,J514-2)</f>
        <v>1</v>
      </c>
      <c r="I514">
        <f t="shared" ca="1" si="56"/>
        <v>38</v>
      </c>
      <c r="J514">
        <f t="shared" ca="1" si="57"/>
        <v>5</v>
      </c>
    </row>
    <row r="515" spans="1:10" x14ac:dyDescent="0.25">
      <c r="A515" t="s">
        <v>522</v>
      </c>
      <c r="B515" t="s">
        <v>1</v>
      </c>
      <c r="C515" t="str">
        <f t="shared" ref="C515:C578" si="58">RIGHT(A515,6)</f>
        <v>060081</v>
      </c>
      <c r="D515" t="str">
        <f t="shared" ref="D515:D578" si="59">RIGHT(B515,3)</f>
        <v>TOR</v>
      </c>
      <c r="E515" t="str" cm="1">
        <f t="array" ref="E515">INDEX($E$2:$E$4, MOD(ROW()-1,3)+1)</f>
        <v>Machine 2</v>
      </c>
      <c r="F515">
        <f t="shared" ref="F515:F578" ca="1" si="60">RANDBETWEEN(2,3)</f>
        <v>3</v>
      </c>
      <c r="G515">
        <f t="shared" ref="G515:G578" ca="1" si="61">RANDBETWEEN(0,1)</f>
        <v>1</v>
      </c>
      <c r="H515">
        <f ca="1">RANDBETWEEN(1,J515-2)</f>
        <v>1</v>
      </c>
      <c r="I515">
        <f t="shared" ref="I515:I578" ca="1" si="62">RANDBETWEEN(24,48)</f>
        <v>43</v>
      </c>
      <c r="J515">
        <f t="shared" ref="J515:J578" ca="1" si="63">RANDBETWEEN(5,15)</f>
        <v>6</v>
      </c>
    </row>
    <row r="516" spans="1:10" x14ac:dyDescent="0.25">
      <c r="A516" t="s">
        <v>523</v>
      </c>
      <c r="B516" t="s">
        <v>1</v>
      </c>
      <c r="C516" t="str">
        <f t="shared" si="58"/>
        <v>060083</v>
      </c>
      <c r="D516" t="str">
        <f t="shared" si="59"/>
        <v>TOR</v>
      </c>
      <c r="E516" t="str" cm="1">
        <f t="array" ref="E516">INDEX($E$2:$E$4, MOD(ROW()-1,3)+1)</f>
        <v>Machine 3</v>
      </c>
      <c r="F516">
        <f t="shared" ca="1" si="60"/>
        <v>2</v>
      </c>
      <c r="G516">
        <f t="shared" ca="1" si="61"/>
        <v>1</v>
      </c>
      <c r="H516">
        <f ca="1">RANDBETWEEN(1,J516-2)</f>
        <v>3</v>
      </c>
      <c r="I516">
        <f t="shared" ca="1" si="62"/>
        <v>27</v>
      </c>
      <c r="J516">
        <f t="shared" ca="1" si="63"/>
        <v>5</v>
      </c>
    </row>
    <row r="517" spans="1:10" x14ac:dyDescent="0.25">
      <c r="A517" t="s">
        <v>524</v>
      </c>
      <c r="B517" t="s">
        <v>1</v>
      </c>
      <c r="C517" t="str">
        <f t="shared" si="58"/>
        <v>060085</v>
      </c>
      <c r="D517" t="str">
        <f t="shared" si="59"/>
        <v>TOR</v>
      </c>
      <c r="E517" t="str" cm="1">
        <f t="array" ref="E517">INDEX($E$2:$E$4, MOD(ROW()-1,3)+1)</f>
        <v>Machine 1</v>
      </c>
      <c r="F517">
        <f t="shared" ca="1" si="60"/>
        <v>2</v>
      </c>
      <c r="G517">
        <f t="shared" ca="1" si="61"/>
        <v>1</v>
      </c>
      <c r="H517">
        <f ca="1">RANDBETWEEN(1,J517-2)</f>
        <v>2</v>
      </c>
      <c r="I517">
        <f t="shared" ca="1" si="62"/>
        <v>29</v>
      </c>
      <c r="J517">
        <f t="shared" ca="1" si="63"/>
        <v>12</v>
      </c>
    </row>
    <row r="518" spans="1:10" x14ac:dyDescent="0.25">
      <c r="A518" t="s">
        <v>525</v>
      </c>
      <c r="B518" t="s">
        <v>1</v>
      </c>
      <c r="C518" t="str">
        <f t="shared" si="58"/>
        <v>060088</v>
      </c>
      <c r="D518" t="str">
        <f t="shared" si="59"/>
        <v>TOR</v>
      </c>
      <c r="E518" t="str" cm="1">
        <f t="array" ref="E518">INDEX($E$2:$E$4, MOD(ROW()-1,3)+1)</f>
        <v>Machine 2</v>
      </c>
      <c r="F518">
        <f t="shared" ca="1" si="60"/>
        <v>3</v>
      </c>
      <c r="G518">
        <f t="shared" ca="1" si="61"/>
        <v>1</v>
      </c>
      <c r="H518">
        <f ca="1">RANDBETWEEN(1,J518-2)</f>
        <v>7</v>
      </c>
      <c r="I518">
        <f t="shared" ca="1" si="62"/>
        <v>42</v>
      </c>
      <c r="J518">
        <f t="shared" ca="1" si="63"/>
        <v>11</v>
      </c>
    </row>
    <row r="519" spans="1:10" x14ac:dyDescent="0.25">
      <c r="A519" t="s">
        <v>526</v>
      </c>
      <c r="B519" t="s">
        <v>1</v>
      </c>
      <c r="C519" t="str">
        <f t="shared" si="58"/>
        <v>060092</v>
      </c>
      <c r="D519" t="str">
        <f t="shared" si="59"/>
        <v>TOR</v>
      </c>
      <c r="E519" t="str" cm="1">
        <f t="array" ref="E519">INDEX($E$2:$E$4, MOD(ROW()-1,3)+1)</f>
        <v>Machine 3</v>
      </c>
      <c r="F519">
        <f t="shared" ca="1" si="60"/>
        <v>2</v>
      </c>
      <c r="G519">
        <f t="shared" ca="1" si="61"/>
        <v>0</v>
      </c>
      <c r="H519">
        <f ca="1">RANDBETWEEN(1,J519-2)</f>
        <v>7</v>
      </c>
      <c r="I519">
        <f t="shared" ca="1" si="62"/>
        <v>35</v>
      </c>
      <c r="J519">
        <f t="shared" ca="1" si="63"/>
        <v>9</v>
      </c>
    </row>
    <row r="520" spans="1:10" x14ac:dyDescent="0.25">
      <c r="A520" t="s">
        <v>527</v>
      </c>
      <c r="B520" t="s">
        <v>1</v>
      </c>
      <c r="C520" t="str">
        <f t="shared" si="58"/>
        <v>060094</v>
      </c>
      <c r="D520" t="str">
        <f t="shared" si="59"/>
        <v>TOR</v>
      </c>
      <c r="E520" t="str" cm="1">
        <f t="array" ref="E520">INDEX($E$2:$E$4, MOD(ROW()-1,3)+1)</f>
        <v>Machine 1</v>
      </c>
      <c r="F520">
        <f t="shared" ca="1" si="60"/>
        <v>3</v>
      </c>
      <c r="G520">
        <f t="shared" ca="1" si="61"/>
        <v>1</v>
      </c>
      <c r="H520">
        <f ca="1">RANDBETWEEN(1,J520-2)</f>
        <v>3</v>
      </c>
      <c r="I520">
        <f t="shared" ca="1" si="62"/>
        <v>48</v>
      </c>
      <c r="J520">
        <f t="shared" ca="1" si="63"/>
        <v>11</v>
      </c>
    </row>
    <row r="521" spans="1:10" x14ac:dyDescent="0.25">
      <c r="A521" t="s">
        <v>528</v>
      </c>
      <c r="B521" t="s">
        <v>1</v>
      </c>
      <c r="C521" t="str">
        <f t="shared" si="58"/>
        <v>060096</v>
      </c>
      <c r="D521" t="str">
        <f t="shared" si="59"/>
        <v>TOR</v>
      </c>
      <c r="E521" t="str" cm="1">
        <f t="array" ref="E521">INDEX($E$2:$E$4, MOD(ROW()-1,3)+1)</f>
        <v>Machine 2</v>
      </c>
      <c r="F521">
        <f t="shared" ca="1" si="60"/>
        <v>2</v>
      </c>
      <c r="G521">
        <f t="shared" ca="1" si="61"/>
        <v>1</v>
      </c>
      <c r="H521">
        <f ca="1">RANDBETWEEN(1,J521-2)</f>
        <v>6</v>
      </c>
      <c r="I521">
        <f t="shared" ca="1" si="62"/>
        <v>47</v>
      </c>
      <c r="J521">
        <f t="shared" ca="1" si="63"/>
        <v>8</v>
      </c>
    </row>
    <row r="522" spans="1:10" x14ac:dyDescent="0.25">
      <c r="A522" t="s">
        <v>529</v>
      </c>
      <c r="B522" t="s">
        <v>1</v>
      </c>
      <c r="C522" t="str">
        <f t="shared" si="58"/>
        <v>060098</v>
      </c>
      <c r="D522" t="str">
        <f t="shared" si="59"/>
        <v>TOR</v>
      </c>
      <c r="E522" t="str" cm="1">
        <f t="array" ref="E522">INDEX($E$2:$E$4, MOD(ROW()-1,3)+1)</f>
        <v>Machine 3</v>
      </c>
      <c r="F522">
        <f t="shared" ca="1" si="60"/>
        <v>3</v>
      </c>
      <c r="G522">
        <f t="shared" ca="1" si="61"/>
        <v>0</v>
      </c>
      <c r="H522">
        <f ca="1">RANDBETWEEN(1,J522-2)</f>
        <v>6</v>
      </c>
      <c r="I522">
        <f t="shared" ca="1" si="62"/>
        <v>40</v>
      </c>
      <c r="J522">
        <f t="shared" ca="1" si="63"/>
        <v>13</v>
      </c>
    </row>
    <row r="523" spans="1:10" x14ac:dyDescent="0.25">
      <c r="A523" t="s">
        <v>530</v>
      </c>
      <c r="B523" t="s">
        <v>1</v>
      </c>
      <c r="C523" t="str">
        <f t="shared" si="58"/>
        <v>060103</v>
      </c>
      <c r="D523" t="str">
        <f t="shared" si="59"/>
        <v>TOR</v>
      </c>
      <c r="E523" t="str" cm="1">
        <f t="array" ref="E523">INDEX($E$2:$E$4, MOD(ROW()-1,3)+1)</f>
        <v>Machine 1</v>
      </c>
      <c r="F523">
        <f t="shared" ca="1" si="60"/>
        <v>3</v>
      </c>
      <c r="G523">
        <f t="shared" ca="1" si="61"/>
        <v>1</v>
      </c>
      <c r="H523">
        <f ca="1">RANDBETWEEN(1,J523-2)</f>
        <v>5</v>
      </c>
      <c r="I523">
        <f t="shared" ca="1" si="62"/>
        <v>28</v>
      </c>
      <c r="J523">
        <f t="shared" ca="1" si="63"/>
        <v>15</v>
      </c>
    </row>
    <row r="524" spans="1:10" x14ac:dyDescent="0.25">
      <c r="A524" t="s">
        <v>531</v>
      </c>
      <c r="B524" t="s">
        <v>1</v>
      </c>
      <c r="C524" t="str">
        <f t="shared" si="58"/>
        <v>060105</v>
      </c>
      <c r="D524" t="str">
        <f t="shared" si="59"/>
        <v>TOR</v>
      </c>
      <c r="E524" t="str" cm="1">
        <f t="array" ref="E524">INDEX($E$2:$E$4, MOD(ROW()-1,3)+1)</f>
        <v>Machine 2</v>
      </c>
      <c r="F524">
        <f t="shared" ca="1" si="60"/>
        <v>2</v>
      </c>
      <c r="G524">
        <f t="shared" ca="1" si="61"/>
        <v>0</v>
      </c>
      <c r="H524">
        <f ca="1">RANDBETWEEN(1,J524-2)</f>
        <v>9</v>
      </c>
      <c r="I524">
        <f t="shared" ca="1" si="62"/>
        <v>37</v>
      </c>
      <c r="J524">
        <f t="shared" ca="1" si="63"/>
        <v>12</v>
      </c>
    </row>
    <row r="525" spans="1:10" x14ac:dyDescent="0.25">
      <c r="A525" t="s">
        <v>532</v>
      </c>
      <c r="B525" t="s">
        <v>1</v>
      </c>
      <c r="C525" t="str">
        <f t="shared" si="58"/>
        <v>060107</v>
      </c>
      <c r="D525" t="str">
        <f t="shared" si="59"/>
        <v>TOR</v>
      </c>
      <c r="E525" t="str" cm="1">
        <f t="array" ref="E525">INDEX($E$2:$E$4, MOD(ROW()-1,3)+1)</f>
        <v>Machine 3</v>
      </c>
      <c r="F525">
        <f t="shared" ca="1" si="60"/>
        <v>3</v>
      </c>
      <c r="G525">
        <f t="shared" ca="1" si="61"/>
        <v>0</v>
      </c>
      <c r="H525">
        <f ca="1">RANDBETWEEN(1,J525-2)</f>
        <v>1</v>
      </c>
      <c r="I525">
        <f t="shared" ca="1" si="62"/>
        <v>25</v>
      </c>
      <c r="J525">
        <f t="shared" ca="1" si="63"/>
        <v>6</v>
      </c>
    </row>
    <row r="526" spans="1:10" x14ac:dyDescent="0.25">
      <c r="A526" t="s">
        <v>533</v>
      </c>
      <c r="B526" t="s">
        <v>1</v>
      </c>
      <c r="C526" t="str">
        <f t="shared" si="58"/>
        <v>060109</v>
      </c>
      <c r="D526" t="str">
        <f t="shared" si="59"/>
        <v>TOR</v>
      </c>
      <c r="E526" t="str" cm="1">
        <f t="array" ref="E526">INDEX($E$2:$E$4, MOD(ROW()-1,3)+1)</f>
        <v>Machine 1</v>
      </c>
      <c r="F526">
        <f t="shared" ca="1" si="60"/>
        <v>3</v>
      </c>
      <c r="G526">
        <f t="shared" ca="1" si="61"/>
        <v>0</v>
      </c>
      <c r="H526">
        <f ca="1">RANDBETWEEN(1,J526-2)</f>
        <v>3</v>
      </c>
      <c r="I526">
        <f t="shared" ca="1" si="62"/>
        <v>29</v>
      </c>
      <c r="J526">
        <f t="shared" ca="1" si="63"/>
        <v>7</v>
      </c>
    </row>
    <row r="527" spans="1:10" x14ac:dyDescent="0.25">
      <c r="A527" t="s">
        <v>534</v>
      </c>
      <c r="B527" t="s">
        <v>1</v>
      </c>
      <c r="C527" t="str">
        <f t="shared" si="58"/>
        <v>060111</v>
      </c>
      <c r="D527" t="str">
        <f t="shared" si="59"/>
        <v>TOR</v>
      </c>
      <c r="E527" t="str" cm="1">
        <f t="array" ref="E527">INDEX($E$2:$E$4, MOD(ROW()-1,3)+1)</f>
        <v>Machine 2</v>
      </c>
      <c r="F527">
        <f t="shared" ca="1" si="60"/>
        <v>3</v>
      </c>
      <c r="G527">
        <f t="shared" ca="1" si="61"/>
        <v>1</v>
      </c>
      <c r="H527">
        <f ca="1">RANDBETWEEN(1,J527-2)</f>
        <v>5</v>
      </c>
      <c r="I527">
        <f t="shared" ca="1" si="62"/>
        <v>30</v>
      </c>
      <c r="J527">
        <f t="shared" ca="1" si="63"/>
        <v>14</v>
      </c>
    </row>
    <row r="528" spans="1:10" x14ac:dyDescent="0.25">
      <c r="A528" t="s">
        <v>535</v>
      </c>
      <c r="B528" t="s">
        <v>1</v>
      </c>
      <c r="C528" t="str">
        <f t="shared" si="58"/>
        <v>060113</v>
      </c>
      <c r="D528" t="str">
        <f t="shared" si="59"/>
        <v>TOR</v>
      </c>
      <c r="E528" t="str" cm="1">
        <f t="array" ref="E528">INDEX($E$2:$E$4, MOD(ROW()-1,3)+1)</f>
        <v>Machine 3</v>
      </c>
      <c r="F528">
        <f t="shared" ca="1" si="60"/>
        <v>3</v>
      </c>
      <c r="G528">
        <f t="shared" ca="1" si="61"/>
        <v>1</v>
      </c>
      <c r="H528">
        <f ca="1">RANDBETWEEN(1,J528-2)</f>
        <v>4</v>
      </c>
      <c r="I528">
        <f t="shared" ca="1" si="62"/>
        <v>35</v>
      </c>
      <c r="J528">
        <f t="shared" ca="1" si="63"/>
        <v>9</v>
      </c>
    </row>
    <row r="529" spans="1:10" x14ac:dyDescent="0.25">
      <c r="A529" t="s">
        <v>536</v>
      </c>
      <c r="B529" t="s">
        <v>1</v>
      </c>
      <c r="C529" t="str">
        <f t="shared" si="58"/>
        <v>060115</v>
      </c>
      <c r="D529" t="str">
        <f t="shared" si="59"/>
        <v>TOR</v>
      </c>
      <c r="E529" t="str" cm="1">
        <f t="array" ref="E529">INDEX($E$2:$E$4, MOD(ROW()-1,3)+1)</f>
        <v>Machine 1</v>
      </c>
      <c r="F529">
        <f t="shared" ca="1" si="60"/>
        <v>3</v>
      </c>
      <c r="G529">
        <f t="shared" ca="1" si="61"/>
        <v>1</v>
      </c>
      <c r="H529">
        <f ca="1">RANDBETWEEN(1,J529-2)</f>
        <v>1</v>
      </c>
      <c r="I529">
        <f t="shared" ca="1" si="62"/>
        <v>40</v>
      </c>
      <c r="J529">
        <f t="shared" ca="1" si="63"/>
        <v>8</v>
      </c>
    </row>
    <row r="530" spans="1:10" x14ac:dyDescent="0.25">
      <c r="A530" t="s">
        <v>537</v>
      </c>
      <c r="B530" t="s">
        <v>1</v>
      </c>
      <c r="C530" t="str">
        <f t="shared" si="58"/>
        <v>060123</v>
      </c>
      <c r="D530" t="str">
        <f t="shared" si="59"/>
        <v>TOR</v>
      </c>
      <c r="E530" t="str" cm="1">
        <f t="array" ref="E530">INDEX($E$2:$E$4, MOD(ROW()-1,3)+1)</f>
        <v>Machine 2</v>
      </c>
      <c r="F530">
        <f t="shared" ca="1" si="60"/>
        <v>2</v>
      </c>
      <c r="G530">
        <f t="shared" ca="1" si="61"/>
        <v>1</v>
      </c>
      <c r="H530">
        <f ca="1">RANDBETWEEN(1,J530-2)</f>
        <v>2</v>
      </c>
      <c r="I530">
        <f t="shared" ca="1" si="62"/>
        <v>44</v>
      </c>
      <c r="J530">
        <f t="shared" ca="1" si="63"/>
        <v>5</v>
      </c>
    </row>
    <row r="531" spans="1:10" x14ac:dyDescent="0.25">
      <c r="A531" t="s">
        <v>538</v>
      </c>
      <c r="B531" t="s">
        <v>1</v>
      </c>
      <c r="C531" t="str">
        <f t="shared" si="58"/>
        <v>060130</v>
      </c>
      <c r="D531" t="str">
        <f t="shared" si="59"/>
        <v>TOR</v>
      </c>
      <c r="E531" t="str" cm="1">
        <f t="array" ref="E531">INDEX($E$2:$E$4, MOD(ROW()-1,3)+1)</f>
        <v>Machine 3</v>
      </c>
      <c r="F531">
        <f t="shared" ca="1" si="60"/>
        <v>2</v>
      </c>
      <c r="G531">
        <f t="shared" ca="1" si="61"/>
        <v>0</v>
      </c>
      <c r="H531">
        <f ca="1">RANDBETWEEN(1,J531-2)</f>
        <v>1</v>
      </c>
      <c r="I531">
        <f t="shared" ca="1" si="62"/>
        <v>25</v>
      </c>
      <c r="J531">
        <f t="shared" ca="1" si="63"/>
        <v>7</v>
      </c>
    </row>
    <row r="532" spans="1:10" x14ac:dyDescent="0.25">
      <c r="A532" t="s">
        <v>539</v>
      </c>
      <c r="B532" t="s">
        <v>1</v>
      </c>
      <c r="C532" t="str">
        <f t="shared" si="58"/>
        <v>060132</v>
      </c>
      <c r="D532" t="str">
        <f t="shared" si="59"/>
        <v>TOR</v>
      </c>
      <c r="E532" t="str" cm="1">
        <f t="array" ref="E532">INDEX($E$2:$E$4, MOD(ROW()-1,3)+1)</f>
        <v>Machine 1</v>
      </c>
      <c r="F532">
        <f t="shared" ca="1" si="60"/>
        <v>2</v>
      </c>
      <c r="G532">
        <f t="shared" ca="1" si="61"/>
        <v>0</v>
      </c>
      <c r="H532">
        <f ca="1">RANDBETWEEN(1,J532-2)</f>
        <v>2</v>
      </c>
      <c r="I532">
        <f t="shared" ca="1" si="62"/>
        <v>24</v>
      </c>
      <c r="J532">
        <f t="shared" ca="1" si="63"/>
        <v>7</v>
      </c>
    </row>
    <row r="533" spans="1:10" x14ac:dyDescent="0.25">
      <c r="A533" t="s">
        <v>540</v>
      </c>
      <c r="B533" t="s">
        <v>1</v>
      </c>
      <c r="C533" t="str">
        <f t="shared" si="58"/>
        <v>060134</v>
      </c>
      <c r="D533" t="str">
        <f t="shared" si="59"/>
        <v>TOR</v>
      </c>
      <c r="E533" t="str" cm="1">
        <f t="array" ref="E533">INDEX($E$2:$E$4, MOD(ROW()-1,3)+1)</f>
        <v>Machine 2</v>
      </c>
      <c r="F533">
        <f t="shared" ca="1" si="60"/>
        <v>2</v>
      </c>
      <c r="G533">
        <f t="shared" ca="1" si="61"/>
        <v>1</v>
      </c>
      <c r="H533">
        <f ca="1">RANDBETWEEN(1,J533-2)</f>
        <v>9</v>
      </c>
      <c r="I533">
        <f t="shared" ca="1" si="62"/>
        <v>46</v>
      </c>
      <c r="J533">
        <f t="shared" ca="1" si="63"/>
        <v>11</v>
      </c>
    </row>
    <row r="534" spans="1:10" x14ac:dyDescent="0.25">
      <c r="A534" t="s">
        <v>541</v>
      </c>
      <c r="B534" t="s">
        <v>1</v>
      </c>
      <c r="C534" t="str">
        <f t="shared" si="58"/>
        <v>060136</v>
      </c>
      <c r="D534" t="str">
        <f t="shared" si="59"/>
        <v>TOR</v>
      </c>
      <c r="E534" t="str" cm="1">
        <f t="array" ref="E534">INDEX($E$2:$E$4, MOD(ROW()-1,3)+1)</f>
        <v>Machine 3</v>
      </c>
      <c r="F534">
        <f t="shared" ca="1" si="60"/>
        <v>3</v>
      </c>
      <c r="G534">
        <f t="shared" ca="1" si="61"/>
        <v>1</v>
      </c>
      <c r="H534">
        <f ca="1">RANDBETWEEN(1,J534-2)</f>
        <v>2</v>
      </c>
      <c r="I534">
        <f t="shared" ca="1" si="62"/>
        <v>34</v>
      </c>
      <c r="J534">
        <f t="shared" ca="1" si="63"/>
        <v>6</v>
      </c>
    </row>
    <row r="535" spans="1:10" x14ac:dyDescent="0.25">
      <c r="A535" t="s">
        <v>542</v>
      </c>
      <c r="B535" t="s">
        <v>1</v>
      </c>
      <c r="C535" t="str">
        <f t="shared" si="58"/>
        <v>060138</v>
      </c>
      <c r="D535" t="str">
        <f t="shared" si="59"/>
        <v>TOR</v>
      </c>
      <c r="E535" t="str" cm="1">
        <f t="array" ref="E535">INDEX($E$2:$E$4, MOD(ROW()-1,3)+1)</f>
        <v>Machine 1</v>
      </c>
      <c r="F535">
        <f t="shared" ca="1" si="60"/>
        <v>2</v>
      </c>
      <c r="G535">
        <f t="shared" ca="1" si="61"/>
        <v>1</v>
      </c>
      <c r="H535">
        <f ca="1">RANDBETWEEN(1,J535-2)</f>
        <v>2</v>
      </c>
      <c r="I535">
        <f t="shared" ca="1" si="62"/>
        <v>38</v>
      </c>
      <c r="J535">
        <f t="shared" ca="1" si="63"/>
        <v>7</v>
      </c>
    </row>
    <row r="536" spans="1:10" x14ac:dyDescent="0.25">
      <c r="A536" t="s">
        <v>543</v>
      </c>
      <c r="B536" t="s">
        <v>1</v>
      </c>
      <c r="C536" t="str">
        <f t="shared" si="58"/>
        <v>060140</v>
      </c>
      <c r="D536" t="str">
        <f t="shared" si="59"/>
        <v>TOR</v>
      </c>
      <c r="E536" t="str" cm="1">
        <f t="array" ref="E536">INDEX($E$2:$E$4, MOD(ROW()-1,3)+1)</f>
        <v>Machine 2</v>
      </c>
      <c r="F536">
        <f t="shared" ca="1" si="60"/>
        <v>3</v>
      </c>
      <c r="G536">
        <f t="shared" ca="1" si="61"/>
        <v>0</v>
      </c>
      <c r="H536">
        <f ca="1">RANDBETWEEN(1,J536-2)</f>
        <v>9</v>
      </c>
      <c r="I536">
        <f t="shared" ca="1" si="62"/>
        <v>43</v>
      </c>
      <c r="J536">
        <f t="shared" ca="1" si="63"/>
        <v>15</v>
      </c>
    </row>
    <row r="537" spans="1:10" x14ac:dyDescent="0.25">
      <c r="A537" t="s">
        <v>544</v>
      </c>
      <c r="B537" t="s">
        <v>1</v>
      </c>
      <c r="C537" t="str">
        <f t="shared" si="58"/>
        <v>060142</v>
      </c>
      <c r="D537" t="str">
        <f t="shared" si="59"/>
        <v>TOR</v>
      </c>
      <c r="E537" t="str" cm="1">
        <f t="array" ref="E537">INDEX($E$2:$E$4, MOD(ROW()-1,3)+1)</f>
        <v>Machine 3</v>
      </c>
      <c r="F537">
        <f t="shared" ca="1" si="60"/>
        <v>2</v>
      </c>
      <c r="G537">
        <f t="shared" ca="1" si="61"/>
        <v>1</v>
      </c>
      <c r="H537">
        <f ca="1">RANDBETWEEN(1,J537-2)</f>
        <v>5</v>
      </c>
      <c r="I537">
        <f t="shared" ca="1" si="62"/>
        <v>45</v>
      </c>
      <c r="J537">
        <f t="shared" ca="1" si="63"/>
        <v>13</v>
      </c>
    </row>
    <row r="538" spans="1:10" x14ac:dyDescent="0.25">
      <c r="A538" t="s">
        <v>545</v>
      </c>
      <c r="B538" t="s">
        <v>1</v>
      </c>
      <c r="C538" t="str">
        <f t="shared" si="58"/>
        <v>060146</v>
      </c>
      <c r="D538" t="str">
        <f t="shared" si="59"/>
        <v>TOR</v>
      </c>
      <c r="E538" t="str" cm="1">
        <f t="array" ref="E538">INDEX($E$2:$E$4, MOD(ROW()-1,3)+1)</f>
        <v>Machine 1</v>
      </c>
      <c r="F538">
        <f t="shared" ca="1" si="60"/>
        <v>3</v>
      </c>
      <c r="G538">
        <f t="shared" ca="1" si="61"/>
        <v>0</v>
      </c>
      <c r="H538">
        <f ca="1">RANDBETWEEN(1,J538-2)</f>
        <v>7</v>
      </c>
      <c r="I538">
        <f t="shared" ca="1" si="62"/>
        <v>25</v>
      </c>
      <c r="J538">
        <f t="shared" ca="1" si="63"/>
        <v>11</v>
      </c>
    </row>
    <row r="539" spans="1:10" x14ac:dyDescent="0.25">
      <c r="A539" t="s">
        <v>546</v>
      </c>
      <c r="B539" t="s">
        <v>1</v>
      </c>
      <c r="C539" t="str">
        <f t="shared" si="58"/>
        <v>060150</v>
      </c>
      <c r="D539" t="str">
        <f t="shared" si="59"/>
        <v>TOR</v>
      </c>
      <c r="E539" t="str" cm="1">
        <f t="array" ref="E539">INDEX($E$2:$E$4, MOD(ROW()-1,3)+1)</f>
        <v>Machine 2</v>
      </c>
      <c r="F539">
        <f t="shared" ca="1" si="60"/>
        <v>3</v>
      </c>
      <c r="G539">
        <f t="shared" ca="1" si="61"/>
        <v>0</v>
      </c>
      <c r="H539">
        <f ca="1">RANDBETWEEN(1,J539-2)</f>
        <v>2</v>
      </c>
      <c r="I539">
        <f t="shared" ca="1" si="62"/>
        <v>27</v>
      </c>
      <c r="J539">
        <f t="shared" ca="1" si="63"/>
        <v>10</v>
      </c>
    </row>
    <row r="540" spans="1:10" x14ac:dyDescent="0.25">
      <c r="A540" t="s">
        <v>547</v>
      </c>
      <c r="B540" t="s">
        <v>1</v>
      </c>
      <c r="C540" t="str">
        <f t="shared" si="58"/>
        <v>060152</v>
      </c>
      <c r="D540" t="str">
        <f t="shared" si="59"/>
        <v>TOR</v>
      </c>
      <c r="E540" t="str" cm="1">
        <f t="array" ref="E540">INDEX($E$2:$E$4, MOD(ROW()-1,3)+1)</f>
        <v>Machine 3</v>
      </c>
      <c r="F540">
        <f t="shared" ca="1" si="60"/>
        <v>3</v>
      </c>
      <c r="G540">
        <f t="shared" ca="1" si="61"/>
        <v>0</v>
      </c>
      <c r="H540">
        <f ca="1">RANDBETWEEN(1,J540-2)</f>
        <v>2</v>
      </c>
      <c r="I540">
        <f t="shared" ca="1" si="62"/>
        <v>38</v>
      </c>
      <c r="J540">
        <f t="shared" ca="1" si="63"/>
        <v>7</v>
      </c>
    </row>
    <row r="541" spans="1:10" x14ac:dyDescent="0.25">
      <c r="A541" t="s">
        <v>548</v>
      </c>
      <c r="B541" t="s">
        <v>1</v>
      </c>
      <c r="C541" t="str">
        <f t="shared" si="58"/>
        <v>060154</v>
      </c>
      <c r="D541" t="str">
        <f t="shared" si="59"/>
        <v>TOR</v>
      </c>
      <c r="E541" t="str" cm="1">
        <f t="array" ref="E541">INDEX($E$2:$E$4, MOD(ROW()-1,3)+1)</f>
        <v>Machine 1</v>
      </c>
      <c r="F541">
        <f t="shared" ca="1" si="60"/>
        <v>3</v>
      </c>
      <c r="G541">
        <f t="shared" ca="1" si="61"/>
        <v>0</v>
      </c>
      <c r="H541">
        <f ca="1">RANDBETWEEN(1,J541-2)</f>
        <v>4</v>
      </c>
      <c r="I541">
        <f t="shared" ca="1" si="62"/>
        <v>32</v>
      </c>
      <c r="J541">
        <f t="shared" ca="1" si="63"/>
        <v>6</v>
      </c>
    </row>
    <row r="542" spans="1:10" x14ac:dyDescent="0.25">
      <c r="A542" t="s">
        <v>549</v>
      </c>
      <c r="B542" t="s">
        <v>1</v>
      </c>
      <c r="C542" t="str">
        <f t="shared" si="58"/>
        <v>060156</v>
      </c>
      <c r="D542" t="str">
        <f t="shared" si="59"/>
        <v>TOR</v>
      </c>
      <c r="E542" t="str" cm="1">
        <f t="array" ref="E542">INDEX($E$2:$E$4, MOD(ROW()-1,3)+1)</f>
        <v>Machine 2</v>
      </c>
      <c r="F542">
        <f t="shared" ca="1" si="60"/>
        <v>2</v>
      </c>
      <c r="G542">
        <f t="shared" ca="1" si="61"/>
        <v>1</v>
      </c>
      <c r="H542">
        <f ca="1">RANDBETWEEN(1,J542-2)</f>
        <v>5</v>
      </c>
      <c r="I542">
        <f t="shared" ca="1" si="62"/>
        <v>35</v>
      </c>
      <c r="J542">
        <f t="shared" ca="1" si="63"/>
        <v>13</v>
      </c>
    </row>
    <row r="543" spans="1:10" x14ac:dyDescent="0.25">
      <c r="A543" t="s">
        <v>550</v>
      </c>
      <c r="B543" t="s">
        <v>1</v>
      </c>
      <c r="C543" t="str">
        <f t="shared" si="58"/>
        <v>060159</v>
      </c>
      <c r="D543" t="str">
        <f t="shared" si="59"/>
        <v>TOR</v>
      </c>
      <c r="E543" t="str" cm="1">
        <f t="array" ref="E543">INDEX($E$2:$E$4, MOD(ROW()-1,3)+1)</f>
        <v>Machine 3</v>
      </c>
      <c r="F543">
        <f t="shared" ca="1" si="60"/>
        <v>3</v>
      </c>
      <c r="G543">
        <f t="shared" ca="1" si="61"/>
        <v>1</v>
      </c>
      <c r="H543">
        <f ca="1">RANDBETWEEN(1,J543-2)</f>
        <v>2</v>
      </c>
      <c r="I543">
        <f t="shared" ca="1" si="62"/>
        <v>39</v>
      </c>
      <c r="J543">
        <f t="shared" ca="1" si="63"/>
        <v>5</v>
      </c>
    </row>
    <row r="544" spans="1:10" x14ac:dyDescent="0.25">
      <c r="A544" t="s">
        <v>551</v>
      </c>
      <c r="B544" t="s">
        <v>1</v>
      </c>
      <c r="C544" t="str">
        <f t="shared" si="58"/>
        <v>060161</v>
      </c>
      <c r="D544" t="str">
        <f t="shared" si="59"/>
        <v>TOR</v>
      </c>
      <c r="E544" t="str" cm="1">
        <f t="array" ref="E544">INDEX($E$2:$E$4, MOD(ROW()-1,3)+1)</f>
        <v>Machine 1</v>
      </c>
      <c r="F544">
        <f t="shared" ca="1" si="60"/>
        <v>2</v>
      </c>
      <c r="G544">
        <f t="shared" ca="1" si="61"/>
        <v>0</v>
      </c>
      <c r="H544">
        <f ca="1">RANDBETWEEN(1,J544-2)</f>
        <v>9</v>
      </c>
      <c r="I544">
        <f t="shared" ca="1" si="62"/>
        <v>47</v>
      </c>
      <c r="J544">
        <f t="shared" ca="1" si="63"/>
        <v>11</v>
      </c>
    </row>
    <row r="545" spans="1:10" x14ac:dyDescent="0.25">
      <c r="A545" t="s">
        <v>552</v>
      </c>
      <c r="B545" t="s">
        <v>1</v>
      </c>
      <c r="C545" t="str">
        <f t="shared" si="58"/>
        <v>060163</v>
      </c>
      <c r="D545" t="str">
        <f t="shared" si="59"/>
        <v>TOR</v>
      </c>
      <c r="E545" t="str" cm="1">
        <f t="array" ref="E545">INDEX($E$2:$E$4, MOD(ROW()-1,3)+1)</f>
        <v>Machine 2</v>
      </c>
      <c r="F545">
        <f t="shared" ca="1" si="60"/>
        <v>3</v>
      </c>
      <c r="G545">
        <f t="shared" ca="1" si="61"/>
        <v>0</v>
      </c>
      <c r="H545">
        <f ca="1">RANDBETWEEN(1,J545-2)</f>
        <v>5</v>
      </c>
      <c r="I545">
        <f t="shared" ca="1" si="62"/>
        <v>24</v>
      </c>
      <c r="J545">
        <f t="shared" ca="1" si="63"/>
        <v>11</v>
      </c>
    </row>
    <row r="546" spans="1:10" x14ac:dyDescent="0.25">
      <c r="A546" t="s">
        <v>553</v>
      </c>
      <c r="B546" t="s">
        <v>1</v>
      </c>
      <c r="C546" t="str">
        <f t="shared" si="58"/>
        <v>060165</v>
      </c>
      <c r="D546" t="str">
        <f t="shared" si="59"/>
        <v>TOR</v>
      </c>
      <c r="E546" t="str" cm="1">
        <f t="array" ref="E546">INDEX($E$2:$E$4, MOD(ROW()-1,3)+1)</f>
        <v>Machine 3</v>
      </c>
      <c r="F546">
        <f t="shared" ca="1" si="60"/>
        <v>2</v>
      </c>
      <c r="G546">
        <f t="shared" ca="1" si="61"/>
        <v>1</v>
      </c>
      <c r="H546">
        <f ca="1">RANDBETWEEN(1,J546-2)</f>
        <v>5</v>
      </c>
      <c r="I546">
        <f t="shared" ca="1" si="62"/>
        <v>41</v>
      </c>
      <c r="J546">
        <f t="shared" ca="1" si="63"/>
        <v>7</v>
      </c>
    </row>
    <row r="547" spans="1:10" x14ac:dyDescent="0.25">
      <c r="A547" t="s">
        <v>554</v>
      </c>
      <c r="B547" t="s">
        <v>1</v>
      </c>
      <c r="C547" t="str">
        <f t="shared" si="58"/>
        <v>060169</v>
      </c>
      <c r="D547" t="str">
        <f t="shared" si="59"/>
        <v>TOR</v>
      </c>
      <c r="E547" t="str" cm="1">
        <f t="array" ref="E547">INDEX($E$2:$E$4, MOD(ROW()-1,3)+1)</f>
        <v>Machine 1</v>
      </c>
      <c r="F547">
        <f t="shared" ca="1" si="60"/>
        <v>3</v>
      </c>
      <c r="G547">
        <f t="shared" ca="1" si="61"/>
        <v>0</v>
      </c>
      <c r="H547">
        <f ca="1">RANDBETWEEN(1,J547-2)</f>
        <v>9</v>
      </c>
      <c r="I547">
        <f t="shared" ca="1" si="62"/>
        <v>44</v>
      </c>
      <c r="J547">
        <f t="shared" ca="1" si="63"/>
        <v>12</v>
      </c>
    </row>
    <row r="548" spans="1:10" x14ac:dyDescent="0.25">
      <c r="A548" t="s">
        <v>555</v>
      </c>
      <c r="B548" t="s">
        <v>1</v>
      </c>
      <c r="C548" t="str">
        <f t="shared" si="58"/>
        <v>060173</v>
      </c>
      <c r="D548" t="str">
        <f t="shared" si="59"/>
        <v>TOR</v>
      </c>
      <c r="E548" t="str" cm="1">
        <f t="array" ref="E548">INDEX($E$2:$E$4, MOD(ROW()-1,3)+1)</f>
        <v>Machine 2</v>
      </c>
      <c r="F548">
        <f t="shared" ca="1" si="60"/>
        <v>3</v>
      </c>
      <c r="G548">
        <f t="shared" ca="1" si="61"/>
        <v>0</v>
      </c>
      <c r="H548">
        <f ca="1">RANDBETWEEN(1,J548-2)</f>
        <v>2</v>
      </c>
      <c r="I548">
        <f t="shared" ca="1" si="62"/>
        <v>33</v>
      </c>
      <c r="J548">
        <f t="shared" ca="1" si="63"/>
        <v>8</v>
      </c>
    </row>
    <row r="549" spans="1:10" x14ac:dyDescent="0.25">
      <c r="A549" t="s">
        <v>556</v>
      </c>
      <c r="B549" t="s">
        <v>1</v>
      </c>
      <c r="C549" t="str">
        <f t="shared" si="58"/>
        <v>060175</v>
      </c>
      <c r="D549" t="str">
        <f t="shared" si="59"/>
        <v>TOR</v>
      </c>
      <c r="E549" t="str" cm="1">
        <f t="array" ref="E549">INDEX($E$2:$E$4, MOD(ROW()-1,3)+1)</f>
        <v>Machine 3</v>
      </c>
      <c r="F549">
        <f t="shared" ca="1" si="60"/>
        <v>2</v>
      </c>
      <c r="G549">
        <f t="shared" ca="1" si="61"/>
        <v>1</v>
      </c>
      <c r="H549">
        <f ca="1">RANDBETWEEN(1,J549-2)</f>
        <v>6</v>
      </c>
      <c r="I549">
        <f t="shared" ca="1" si="62"/>
        <v>30</v>
      </c>
      <c r="J549">
        <f t="shared" ca="1" si="63"/>
        <v>10</v>
      </c>
    </row>
    <row r="550" spans="1:10" x14ac:dyDescent="0.25">
      <c r="A550" t="s">
        <v>557</v>
      </c>
      <c r="B550" t="s">
        <v>1</v>
      </c>
      <c r="C550" t="str">
        <f t="shared" si="58"/>
        <v>060179</v>
      </c>
      <c r="D550" t="str">
        <f t="shared" si="59"/>
        <v>TOR</v>
      </c>
      <c r="E550" t="str" cm="1">
        <f t="array" ref="E550">INDEX($E$2:$E$4, MOD(ROW()-1,3)+1)</f>
        <v>Machine 1</v>
      </c>
      <c r="F550">
        <f t="shared" ca="1" si="60"/>
        <v>3</v>
      </c>
      <c r="G550">
        <f t="shared" ca="1" si="61"/>
        <v>1</v>
      </c>
      <c r="H550">
        <f ca="1">RANDBETWEEN(1,J550-2)</f>
        <v>8</v>
      </c>
      <c r="I550">
        <f t="shared" ca="1" si="62"/>
        <v>42</v>
      </c>
      <c r="J550">
        <f t="shared" ca="1" si="63"/>
        <v>11</v>
      </c>
    </row>
    <row r="551" spans="1:10" x14ac:dyDescent="0.25">
      <c r="A551" t="s">
        <v>558</v>
      </c>
      <c r="B551" t="s">
        <v>1</v>
      </c>
      <c r="C551" t="str">
        <f t="shared" si="58"/>
        <v>060181</v>
      </c>
      <c r="D551" t="str">
        <f t="shared" si="59"/>
        <v>TOR</v>
      </c>
      <c r="E551" t="str" cm="1">
        <f t="array" ref="E551">INDEX($E$2:$E$4, MOD(ROW()-1,3)+1)</f>
        <v>Machine 2</v>
      </c>
      <c r="F551">
        <f t="shared" ca="1" si="60"/>
        <v>3</v>
      </c>
      <c r="G551">
        <f t="shared" ca="1" si="61"/>
        <v>1</v>
      </c>
      <c r="H551">
        <f ca="1">RANDBETWEEN(1,J551-2)</f>
        <v>3</v>
      </c>
      <c r="I551">
        <f t="shared" ca="1" si="62"/>
        <v>41</v>
      </c>
      <c r="J551">
        <f t="shared" ca="1" si="63"/>
        <v>15</v>
      </c>
    </row>
    <row r="552" spans="1:10" x14ac:dyDescent="0.25">
      <c r="A552" t="s">
        <v>559</v>
      </c>
      <c r="B552" t="s">
        <v>1</v>
      </c>
      <c r="C552" t="str">
        <f t="shared" si="58"/>
        <v>060183</v>
      </c>
      <c r="D552" t="str">
        <f t="shared" si="59"/>
        <v>TOR</v>
      </c>
      <c r="E552" t="str" cm="1">
        <f t="array" ref="E552">INDEX($E$2:$E$4, MOD(ROW()-1,3)+1)</f>
        <v>Machine 3</v>
      </c>
      <c r="F552">
        <f t="shared" ca="1" si="60"/>
        <v>2</v>
      </c>
      <c r="G552">
        <f t="shared" ca="1" si="61"/>
        <v>1</v>
      </c>
      <c r="H552">
        <f ca="1">RANDBETWEEN(1,J552-2)</f>
        <v>3</v>
      </c>
      <c r="I552">
        <f t="shared" ca="1" si="62"/>
        <v>37</v>
      </c>
      <c r="J552">
        <f t="shared" ca="1" si="63"/>
        <v>11</v>
      </c>
    </row>
    <row r="553" spans="1:10" x14ac:dyDescent="0.25">
      <c r="A553" t="s">
        <v>560</v>
      </c>
      <c r="B553" t="s">
        <v>1</v>
      </c>
      <c r="C553" t="str">
        <f t="shared" si="58"/>
        <v>060185</v>
      </c>
      <c r="D553" t="str">
        <f t="shared" si="59"/>
        <v>TOR</v>
      </c>
      <c r="E553" t="str" cm="1">
        <f t="array" ref="E553">INDEX($E$2:$E$4, MOD(ROW()-1,3)+1)</f>
        <v>Machine 1</v>
      </c>
      <c r="F553">
        <f t="shared" ca="1" si="60"/>
        <v>3</v>
      </c>
      <c r="G553">
        <f t="shared" ca="1" si="61"/>
        <v>0</v>
      </c>
      <c r="H553">
        <f ca="1">RANDBETWEEN(1,J553-2)</f>
        <v>3</v>
      </c>
      <c r="I553">
        <f t="shared" ca="1" si="62"/>
        <v>34</v>
      </c>
      <c r="J553">
        <f t="shared" ca="1" si="63"/>
        <v>8</v>
      </c>
    </row>
    <row r="554" spans="1:10" x14ac:dyDescent="0.25">
      <c r="A554" t="s">
        <v>561</v>
      </c>
      <c r="B554" t="s">
        <v>1</v>
      </c>
      <c r="C554" t="str">
        <f t="shared" si="58"/>
        <v>060187</v>
      </c>
      <c r="D554" t="str">
        <f t="shared" si="59"/>
        <v>TOR</v>
      </c>
      <c r="E554" t="str" cm="1">
        <f t="array" ref="E554">INDEX($E$2:$E$4, MOD(ROW()-1,3)+1)</f>
        <v>Machine 2</v>
      </c>
      <c r="F554">
        <f t="shared" ca="1" si="60"/>
        <v>3</v>
      </c>
      <c r="G554">
        <f t="shared" ca="1" si="61"/>
        <v>0</v>
      </c>
      <c r="H554">
        <f ca="1">RANDBETWEEN(1,J554-2)</f>
        <v>1</v>
      </c>
      <c r="I554">
        <f t="shared" ca="1" si="62"/>
        <v>48</v>
      </c>
      <c r="J554">
        <f t="shared" ca="1" si="63"/>
        <v>13</v>
      </c>
    </row>
    <row r="555" spans="1:10" x14ac:dyDescent="0.25">
      <c r="A555" t="s">
        <v>562</v>
      </c>
      <c r="B555" t="s">
        <v>1</v>
      </c>
      <c r="C555" t="str">
        <f t="shared" si="58"/>
        <v>060189</v>
      </c>
      <c r="D555" t="str">
        <f t="shared" si="59"/>
        <v>TOR</v>
      </c>
      <c r="E555" t="str" cm="1">
        <f t="array" ref="E555">INDEX($E$2:$E$4, MOD(ROW()-1,3)+1)</f>
        <v>Machine 3</v>
      </c>
      <c r="F555">
        <f t="shared" ca="1" si="60"/>
        <v>2</v>
      </c>
      <c r="G555">
        <f t="shared" ca="1" si="61"/>
        <v>1</v>
      </c>
      <c r="H555">
        <f ca="1">RANDBETWEEN(1,J555-2)</f>
        <v>2</v>
      </c>
      <c r="I555">
        <f t="shared" ca="1" si="62"/>
        <v>30</v>
      </c>
      <c r="J555">
        <f t="shared" ca="1" si="63"/>
        <v>7</v>
      </c>
    </row>
    <row r="556" spans="1:10" x14ac:dyDescent="0.25">
      <c r="A556" t="s">
        <v>563</v>
      </c>
      <c r="B556" t="s">
        <v>1</v>
      </c>
      <c r="C556" t="str">
        <f t="shared" si="58"/>
        <v>060191</v>
      </c>
      <c r="D556" t="str">
        <f t="shared" si="59"/>
        <v>TOR</v>
      </c>
      <c r="E556" t="str" cm="1">
        <f t="array" ref="E556">INDEX($E$2:$E$4, MOD(ROW()-1,3)+1)</f>
        <v>Machine 1</v>
      </c>
      <c r="F556">
        <f t="shared" ca="1" si="60"/>
        <v>2</v>
      </c>
      <c r="G556">
        <f t="shared" ca="1" si="61"/>
        <v>0</v>
      </c>
      <c r="H556">
        <f ca="1">RANDBETWEEN(1,J556-2)</f>
        <v>2</v>
      </c>
      <c r="I556">
        <f t="shared" ca="1" si="62"/>
        <v>34</v>
      </c>
      <c r="J556">
        <f t="shared" ca="1" si="63"/>
        <v>5</v>
      </c>
    </row>
    <row r="557" spans="1:10" x14ac:dyDescent="0.25">
      <c r="A557" t="s">
        <v>564</v>
      </c>
      <c r="B557" t="s">
        <v>1</v>
      </c>
      <c r="C557" t="str">
        <f t="shared" si="58"/>
        <v>060193</v>
      </c>
      <c r="D557" t="str">
        <f t="shared" si="59"/>
        <v>TOR</v>
      </c>
      <c r="E557" t="str" cm="1">
        <f t="array" ref="E557">INDEX($E$2:$E$4, MOD(ROW()-1,3)+1)</f>
        <v>Machine 2</v>
      </c>
      <c r="F557">
        <f t="shared" ca="1" si="60"/>
        <v>3</v>
      </c>
      <c r="G557">
        <f t="shared" ca="1" si="61"/>
        <v>1</v>
      </c>
      <c r="H557">
        <f ca="1">RANDBETWEEN(1,J557-2)</f>
        <v>1</v>
      </c>
      <c r="I557">
        <f t="shared" ca="1" si="62"/>
        <v>30</v>
      </c>
      <c r="J557">
        <f t="shared" ca="1" si="63"/>
        <v>14</v>
      </c>
    </row>
    <row r="558" spans="1:10" x14ac:dyDescent="0.25">
      <c r="A558" t="s">
        <v>565</v>
      </c>
      <c r="B558" t="s">
        <v>1</v>
      </c>
      <c r="C558" t="str">
        <f t="shared" si="58"/>
        <v>060195</v>
      </c>
      <c r="D558" t="str">
        <f t="shared" si="59"/>
        <v>TOR</v>
      </c>
      <c r="E558" t="str" cm="1">
        <f t="array" ref="E558">INDEX($E$2:$E$4, MOD(ROW()-1,3)+1)</f>
        <v>Machine 3</v>
      </c>
      <c r="F558">
        <f t="shared" ca="1" si="60"/>
        <v>3</v>
      </c>
      <c r="G558">
        <f t="shared" ca="1" si="61"/>
        <v>1</v>
      </c>
      <c r="H558">
        <f ca="1">RANDBETWEEN(1,J558-2)</f>
        <v>9</v>
      </c>
      <c r="I558">
        <f t="shared" ca="1" si="62"/>
        <v>40</v>
      </c>
      <c r="J558">
        <f t="shared" ca="1" si="63"/>
        <v>13</v>
      </c>
    </row>
    <row r="559" spans="1:10" x14ac:dyDescent="0.25">
      <c r="A559" t="s">
        <v>566</v>
      </c>
      <c r="B559" t="s">
        <v>1</v>
      </c>
      <c r="C559" t="str">
        <f t="shared" si="58"/>
        <v>060197</v>
      </c>
      <c r="D559" t="str">
        <f t="shared" si="59"/>
        <v>TOR</v>
      </c>
      <c r="E559" t="str" cm="1">
        <f t="array" ref="E559">INDEX($E$2:$E$4, MOD(ROW()-1,3)+1)</f>
        <v>Machine 1</v>
      </c>
      <c r="F559">
        <f t="shared" ca="1" si="60"/>
        <v>2</v>
      </c>
      <c r="G559">
        <f t="shared" ca="1" si="61"/>
        <v>1</v>
      </c>
      <c r="H559">
        <f ca="1">RANDBETWEEN(1,J559-2)</f>
        <v>4</v>
      </c>
      <c r="I559">
        <f t="shared" ca="1" si="62"/>
        <v>45</v>
      </c>
      <c r="J559">
        <f t="shared" ca="1" si="63"/>
        <v>15</v>
      </c>
    </row>
    <row r="560" spans="1:10" x14ac:dyDescent="0.25">
      <c r="A560" t="s">
        <v>567</v>
      </c>
      <c r="B560" t="s">
        <v>1</v>
      </c>
      <c r="C560" t="str">
        <f t="shared" si="58"/>
        <v>060199</v>
      </c>
      <c r="D560" t="str">
        <f t="shared" si="59"/>
        <v>TOR</v>
      </c>
      <c r="E560" t="str" cm="1">
        <f t="array" ref="E560">INDEX($E$2:$E$4, MOD(ROW()-1,3)+1)</f>
        <v>Machine 2</v>
      </c>
      <c r="F560">
        <f t="shared" ca="1" si="60"/>
        <v>3</v>
      </c>
      <c r="G560">
        <f t="shared" ca="1" si="61"/>
        <v>1</v>
      </c>
      <c r="H560">
        <f ca="1">RANDBETWEEN(1,J560-2)</f>
        <v>11</v>
      </c>
      <c r="I560">
        <f t="shared" ca="1" si="62"/>
        <v>44</v>
      </c>
      <c r="J560">
        <f t="shared" ca="1" si="63"/>
        <v>14</v>
      </c>
    </row>
    <row r="561" spans="1:10" x14ac:dyDescent="0.25">
      <c r="A561" t="s">
        <v>568</v>
      </c>
      <c r="B561" t="s">
        <v>1</v>
      </c>
      <c r="C561" t="str">
        <f t="shared" si="58"/>
        <v>060203</v>
      </c>
      <c r="D561" t="str">
        <f t="shared" si="59"/>
        <v>TOR</v>
      </c>
      <c r="E561" t="str" cm="1">
        <f t="array" ref="E561">INDEX($E$2:$E$4, MOD(ROW()-1,3)+1)</f>
        <v>Machine 3</v>
      </c>
      <c r="F561">
        <f t="shared" ca="1" si="60"/>
        <v>3</v>
      </c>
      <c r="G561">
        <f t="shared" ca="1" si="61"/>
        <v>0</v>
      </c>
      <c r="H561">
        <f ca="1">RANDBETWEEN(1,J561-2)</f>
        <v>1</v>
      </c>
      <c r="I561">
        <f t="shared" ca="1" si="62"/>
        <v>30</v>
      </c>
      <c r="J561">
        <f t="shared" ca="1" si="63"/>
        <v>5</v>
      </c>
    </row>
    <row r="562" spans="1:10" x14ac:dyDescent="0.25">
      <c r="A562" t="s">
        <v>569</v>
      </c>
      <c r="B562" t="s">
        <v>1</v>
      </c>
      <c r="C562" t="str">
        <f t="shared" si="58"/>
        <v>060205</v>
      </c>
      <c r="D562" t="str">
        <f t="shared" si="59"/>
        <v>TOR</v>
      </c>
      <c r="E562" t="str" cm="1">
        <f t="array" ref="E562">INDEX($E$2:$E$4, MOD(ROW()-1,3)+1)</f>
        <v>Machine 1</v>
      </c>
      <c r="F562">
        <f t="shared" ca="1" si="60"/>
        <v>2</v>
      </c>
      <c r="G562">
        <f t="shared" ca="1" si="61"/>
        <v>0</v>
      </c>
      <c r="H562">
        <f ca="1">RANDBETWEEN(1,J562-2)</f>
        <v>2</v>
      </c>
      <c r="I562">
        <f t="shared" ca="1" si="62"/>
        <v>46</v>
      </c>
      <c r="J562">
        <f t="shared" ca="1" si="63"/>
        <v>5</v>
      </c>
    </row>
    <row r="563" spans="1:10" x14ac:dyDescent="0.25">
      <c r="A563" t="s">
        <v>570</v>
      </c>
      <c r="B563" t="s">
        <v>1</v>
      </c>
      <c r="C563" t="str">
        <f t="shared" si="58"/>
        <v>060209</v>
      </c>
      <c r="D563" t="str">
        <f t="shared" si="59"/>
        <v>TOR</v>
      </c>
      <c r="E563" t="str" cm="1">
        <f t="array" ref="E563">INDEX($E$2:$E$4, MOD(ROW()-1,3)+1)</f>
        <v>Machine 2</v>
      </c>
      <c r="F563">
        <f t="shared" ca="1" si="60"/>
        <v>3</v>
      </c>
      <c r="G563">
        <f t="shared" ca="1" si="61"/>
        <v>1</v>
      </c>
      <c r="H563">
        <f ca="1">RANDBETWEEN(1,J563-2)</f>
        <v>1</v>
      </c>
      <c r="I563">
        <f t="shared" ca="1" si="62"/>
        <v>39</v>
      </c>
      <c r="J563">
        <f t="shared" ca="1" si="63"/>
        <v>5</v>
      </c>
    </row>
    <row r="564" spans="1:10" x14ac:dyDescent="0.25">
      <c r="A564" t="s">
        <v>571</v>
      </c>
      <c r="B564" t="s">
        <v>1</v>
      </c>
      <c r="C564" t="str">
        <f t="shared" si="58"/>
        <v>060211</v>
      </c>
      <c r="D564" t="str">
        <f t="shared" si="59"/>
        <v>TOR</v>
      </c>
      <c r="E564" t="str" cm="1">
        <f t="array" ref="E564">INDEX($E$2:$E$4, MOD(ROW()-1,3)+1)</f>
        <v>Machine 3</v>
      </c>
      <c r="F564">
        <f t="shared" ca="1" si="60"/>
        <v>3</v>
      </c>
      <c r="G564">
        <f t="shared" ca="1" si="61"/>
        <v>0</v>
      </c>
      <c r="H564">
        <f ca="1">RANDBETWEEN(1,J564-2)</f>
        <v>10</v>
      </c>
      <c r="I564">
        <f t="shared" ca="1" si="62"/>
        <v>45</v>
      </c>
      <c r="J564">
        <f t="shared" ca="1" si="63"/>
        <v>14</v>
      </c>
    </row>
    <row r="565" spans="1:10" x14ac:dyDescent="0.25">
      <c r="A565" t="s">
        <v>572</v>
      </c>
      <c r="B565" t="s">
        <v>1</v>
      </c>
      <c r="C565" t="str">
        <f t="shared" si="58"/>
        <v>060213</v>
      </c>
      <c r="D565" t="str">
        <f t="shared" si="59"/>
        <v>TOR</v>
      </c>
      <c r="E565" t="str" cm="1">
        <f t="array" ref="E565">INDEX($E$2:$E$4, MOD(ROW()-1,3)+1)</f>
        <v>Machine 1</v>
      </c>
      <c r="F565">
        <f t="shared" ca="1" si="60"/>
        <v>2</v>
      </c>
      <c r="G565">
        <f t="shared" ca="1" si="61"/>
        <v>0</v>
      </c>
      <c r="H565">
        <f ca="1">RANDBETWEEN(1,J565-2)</f>
        <v>1</v>
      </c>
      <c r="I565">
        <f t="shared" ca="1" si="62"/>
        <v>39</v>
      </c>
      <c r="J565">
        <f t="shared" ca="1" si="63"/>
        <v>8</v>
      </c>
    </row>
    <row r="566" spans="1:10" x14ac:dyDescent="0.25">
      <c r="A566" t="s">
        <v>573</v>
      </c>
      <c r="B566" t="s">
        <v>1</v>
      </c>
      <c r="C566" t="str">
        <f t="shared" si="58"/>
        <v>060216</v>
      </c>
      <c r="D566" t="str">
        <f t="shared" si="59"/>
        <v>TOR</v>
      </c>
      <c r="E566" t="str" cm="1">
        <f t="array" ref="E566">INDEX($E$2:$E$4, MOD(ROW()-1,3)+1)</f>
        <v>Machine 2</v>
      </c>
      <c r="F566">
        <f t="shared" ca="1" si="60"/>
        <v>2</v>
      </c>
      <c r="G566">
        <f t="shared" ca="1" si="61"/>
        <v>1</v>
      </c>
      <c r="H566">
        <f ca="1">RANDBETWEEN(1,J566-2)</f>
        <v>6</v>
      </c>
      <c r="I566">
        <f t="shared" ca="1" si="62"/>
        <v>25</v>
      </c>
      <c r="J566">
        <f t="shared" ca="1" si="63"/>
        <v>11</v>
      </c>
    </row>
    <row r="567" spans="1:10" x14ac:dyDescent="0.25">
      <c r="A567" t="s">
        <v>574</v>
      </c>
      <c r="B567" t="s">
        <v>1</v>
      </c>
      <c r="C567" t="str">
        <f t="shared" si="58"/>
        <v>060219</v>
      </c>
      <c r="D567" t="str">
        <f t="shared" si="59"/>
        <v>TOR</v>
      </c>
      <c r="E567" t="str" cm="1">
        <f t="array" ref="E567">INDEX($E$2:$E$4, MOD(ROW()-1,3)+1)</f>
        <v>Machine 3</v>
      </c>
      <c r="F567">
        <f t="shared" ca="1" si="60"/>
        <v>2</v>
      </c>
      <c r="G567">
        <f t="shared" ca="1" si="61"/>
        <v>0</v>
      </c>
      <c r="H567">
        <f ca="1">RANDBETWEEN(1,J567-2)</f>
        <v>11</v>
      </c>
      <c r="I567">
        <f t="shared" ca="1" si="62"/>
        <v>48</v>
      </c>
      <c r="J567">
        <f t="shared" ca="1" si="63"/>
        <v>14</v>
      </c>
    </row>
    <row r="568" spans="1:10" x14ac:dyDescent="0.25">
      <c r="A568" t="s">
        <v>575</v>
      </c>
      <c r="B568" t="s">
        <v>1</v>
      </c>
      <c r="C568" t="str">
        <f t="shared" si="58"/>
        <v>060221</v>
      </c>
      <c r="D568" t="str">
        <f t="shared" si="59"/>
        <v>TOR</v>
      </c>
      <c r="E568" t="str" cm="1">
        <f t="array" ref="E568">INDEX($E$2:$E$4, MOD(ROW()-1,3)+1)</f>
        <v>Machine 1</v>
      </c>
      <c r="F568">
        <f t="shared" ca="1" si="60"/>
        <v>3</v>
      </c>
      <c r="G568">
        <f t="shared" ca="1" si="61"/>
        <v>0</v>
      </c>
      <c r="H568">
        <f ca="1">RANDBETWEEN(1,J568-2)</f>
        <v>4</v>
      </c>
      <c r="I568">
        <f t="shared" ca="1" si="62"/>
        <v>39</v>
      </c>
      <c r="J568">
        <f t="shared" ca="1" si="63"/>
        <v>12</v>
      </c>
    </row>
    <row r="569" spans="1:10" x14ac:dyDescent="0.25">
      <c r="A569" t="s">
        <v>576</v>
      </c>
      <c r="B569" t="s">
        <v>1</v>
      </c>
      <c r="C569" t="str">
        <f t="shared" si="58"/>
        <v>060223</v>
      </c>
      <c r="D569" t="str">
        <f t="shared" si="59"/>
        <v>TOR</v>
      </c>
      <c r="E569" t="str" cm="1">
        <f t="array" ref="E569">INDEX($E$2:$E$4, MOD(ROW()-1,3)+1)</f>
        <v>Machine 2</v>
      </c>
      <c r="F569">
        <f t="shared" ca="1" si="60"/>
        <v>2</v>
      </c>
      <c r="G569">
        <f t="shared" ca="1" si="61"/>
        <v>0</v>
      </c>
      <c r="H569">
        <f ca="1">RANDBETWEEN(1,J569-2)</f>
        <v>2</v>
      </c>
      <c r="I569">
        <f t="shared" ca="1" si="62"/>
        <v>34</v>
      </c>
      <c r="J569">
        <f t="shared" ca="1" si="63"/>
        <v>5</v>
      </c>
    </row>
    <row r="570" spans="1:10" x14ac:dyDescent="0.25">
      <c r="A570" t="s">
        <v>577</v>
      </c>
      <c r="B570" t="s">
        <v>1</v>
      </c>
      <c r="C570" t="str">
        <f t="shared" si="58"/>
        <v>060228</v>
      </c>
      <c r="D570" t="str">
        <f t="shared" si="59"/>
        <v>TOR</v>
      </c>
      <c r="E570" t="str" cm="1">
        <f t="array" ref="E570">INDEX($E$2:$E$4, MOD(ROW()-1,3)+1)</f>
        <v>Machine 3</v>
      </c>
      <c r="F570">
        <f t="shared" ca="1" si="60"/>
        <v>3</v>
      </c>
      <c r="G570">
        <f t="shared" ca="1" si="61"/>
        <v>1</v>
      </c>
      <c r="H570">
        <f ca="1">RANDBETWEEN(1,J570-2)</f>
        <v>3</v>
      </c>
      <c r="I570">
        <f t="shared" ca="1" si="62"/>
        <v>28</v>
      </c>
      <c r="J570">
        <f t="shared" ca="1" si="63"/>
        <v>6</v>
      </c>
    </row>
    <row r="571" spans="1:10" x14ac:dyDescent="0.25">
      <c r="A571" t="s">
        <v>578</v>
      </c>
      <c r="B571" t="s">
        <v>1</v>
      </c>
      <c r="C571" t="str">
        <f t="shared" si="58"/>
        <v>060254</v>
      </c>
      <c r="D571" t="str">
        <f t="shared" si="59"/>
        <v>TOR</v>
      </c>
      <c r="E571" t="str" cm="1">
        <f t="array" ref="E571">INDEX($E$2:$E$4, MOD(ROW()-1,3)+1)</f>
        <v>Machine 1</v>
      </c>
      <c r="F571">
        <f t="shared" ca="1" si="60"/>
        <v>3</v>
      </c>
      <c r="G571">
        <f t="shared" ca="1" si="61"/>
        <v>1</v>
      </c>
      <c r="H571">
        <f ca="1">RANDBETWEEN(1,J571-2)</f>
        <v>2</v>
      </c>
      <c r="I571">
        <f t="shared" ca="1" si="62"/>
        <v>48</v>
      </c>
      <c r="J571">
        <f t="shared" ca="1" si="63"/>
        <v>15</v>
      </c>
    </row>
    <row r="572" spans="1:10" x14ac:dyDescent="0.25">
      <c r="A572" t="s">
        <v>579</v>
      </c>
      <c r="B572" t="s">
        <v>1</v>
      </c>
      <c r="C572" t="str">
        <f t="shared" si="58"/>
        <v>060256</v>
      </c>
      <c r="D572" t="str">
        <f t="shared" si="59"/>
        <v>TOR</v>
      </c>
      <c r="E572" t="str" cm="1">
        <f t="array" ref="E572">INDEX($E$2:$E$4, MOD(ROW()-1,3)+1)</f>
        <v>Machine 2</v>
      </c>
      <c r="F572">
        <f t="shared" ca="1" si="60"/>
        <v>2</v>
      </c>
      <c r="G572">
        <f t="shared" ca="1" si="61"/>
        <v>1</v>
      </c>
      <c r="H572">
        <f ca="1">RANDBETWEEN(1,J572-2)</f>
        <v>1</v>
      </c>
      <c r="I572">
        <f t="shared" ca="1" si="62"/>
        <v>42</v>
      </c>
      <c r="J572">
        <f t="shared" ca="1" si="63"/>
        <v>7</v>
      </c>
    </row>
    <row r="573" spans="1:10" x14ac:dyDescent="0.25">
      <c r="A573" t="s">
        <v>580</v>
      </c>
      <c r="B573" t="s">
        <v>1</v>
      </c>
      <c r="C573" t="str">
        <f t="shared" si="58"/>
        <v>060258</v>
      </c>
      <c r="D573" t="str">
        <f t="shared" si="59"/>
        <v>TOR</v>
      </c>
      <c r="E573" t="str" cm="1">
        <f t="array" ref="E573">INDEX($E$2:$E$4, MOD(ROW()-1,3)+1)</f>
        <v>Machine 3</v>
      </c>
      <c r="F573">
        <f t="shared" ca="1" si="60"/>
        <v>2</v>
      </c>
      <c r="G573">
        <f t="shared" ca="1" si="61"/>
        <v>1</v>
      </c>
      <c r="H573">
        <f ca="1">RANDBETWEEN(1,J573-2)</f>
        <v>3</v>
      </c>
      <c r="I573">
        <f t="shared" ca="1" si="62"/>
        <v>35</v>
      </c>
      <c r="J573">
        <f t="shared" ca="1" si="63"/>
        <v>5</v>
      </c>
    </row>
    <row r="574" spans="1:10" x14ac:dyDescent="0.25">
      <c r="A574" t="s">
        <v>581</v>
      </c>
      <c r="B574" t="s">
        <v>1</v>
      </c>
      <c r="C574" t="str">
        <f t="shared" si="58"/>
        <v>060260</v>
      </c>
      <c r="D574" t="str">
        <f t="shared" si="59"/>
        <v>TOR</v>
      </c>
      <c r="E574" t="str" cm="1">
        <f t="array" ref="E574">INDEX($E$2:$E$4, MOD(ROW()-1,3)+1)</f>
        <v>Machine 1</v>
      </c>
      <c r="F574">
        <f t="shared" ca="1" si="60"/>
        <v>2</v>
      </c>
      <c r="G574">
        <f t="shared" ca="1" si="61"/>
        <v>1</v>
      </c>
      <c r="H574">
        <f ca="1">RANDBETWEEN(1,J574-2)</f>
        <v>3</v>
      </c>
      <c r="I574">
        <f t="shared" ca="1" si="62"/>
        <v>31</v>
      </c>
      <c r="J574">
        <f t="shared" ca="1" si="63"/>
        <v>10</v>
      </c>
    </row>
    <row r="575" spans="1:10" x14ac:dyDescent="0.25">
      <c r="A575" t="s">
        <v>582</v>
      </c>
      <c r="B575" t="s">
        <v>1</v>
      </c>
      <c r="C575" t="str">
        <f t="shared" si="58"/>
        <v>060262</v>
      </c>
      <c r="D575" t="str">
        <f t="shared" si="59"/>
        <v>TOR</v>
      </c>
      <c r="E575" t="str" cm="1">
        <f t="array" ref="E575">INDEX($E$2:$E$4, MOD(ROW()-1,3)+1)</f>
        <v>Machine 2</v>
      </c>
      <c r="F575">
        <f t="shared" ca="1" si="60"/>
        <v>2</v>
      </c>
      <c r="G575">
        <f t="shared" ca="1" si="61"/>
        <v>1</v>
      </c>
      <c r="H575">
        <f ca="1">RANDBETWEEN(1,J575-2)</f>
        <v>4</v>
      </c>
      <c r="I575">
        <f t="shared" ca="1" si="62"/>
        <v>32</v>
      </c>
      <c r="J575">
        <f t="shared" ca="1" si="63"/>
        <v>15</v>
      </c>
    </row>
    <row r="576" spans="1:10" x14ac:dyDescent="0.25">
      <c r="A576" t="s">
        <v>583</v>
      </c>
      <c r="B576" t="s">
        <v>1</v>
      </c>
      <c r="C576" t="str">
        <f t="shared" si="58"/>
        <v>060264</v>
      </c>
      <c r="D576" t="str">
        <f t="shared" si="59"/>
        <v>TOR</v>
      </c>
      <c r="E576" t="str" cm="1">
        <f t="array" ref="E576">INDEX($E$2:$E$4, MOD(ROW()-1,3)+1)</f>
        <v>Machine 3</v>
      </c>
      <c r="F576">
        <f t="shared" ca="1" si="60"/>
        <v>3</v>
      </c>
      <c r="G576">
        <f t="shared" ca="1" si="61"/>
        <v>0</v>
      </c>
      <c r="H576">
        <f ca="1">RANDBETWEEN(1,J576-2)</f>
        <v>7</v>
      </c>
      <c r="I576">
        <f t="shared" ca="1" si="62"/>
        <v>24</v>
      </c>
      <c r="J576">
        <f t="shared" ca="1" si="63"/>
        <v>10</v>
      </c>
    </row>
    <row r="577" spans="1:10" x14ac:dyDescent="0.25">
      <c r="A577" t="s">
        <v>584</v>
      </c>
      <c r="B577" t="s">
        <v>1</v>
      </c>
      <c r="C577" t="str">
        <f t="shared" si="58"/>
        <v>060267</v>
      </c>
      <c r="D577" t="str">
        <f t="shared" si="59"/>
        <v>TOR</v>
      </c>
      <c r="E577" t="str" cm="1">
        <f t="array" ref="E577">INDEX($E$2:$E$4, MOD(ROW()-1,3)+1)</f>
        <v>Machine 1</v>
      </c>
      <c r="F577">
        <f t="shared" ca="1" si="60"/>
        <v>3</v>
      </c>
      <c r="G577">
        <f t="shared" ca="1" si="61"/>
        <v>1</v>
      </c>
      <c r="H577">
        <f ca="1">RANDBETWEEN(1,J577-2)</f>
        <v>11</v>
      </c>
      <c r="I577">
        <f t="shared" ca="1" si="62"/>
        <v>34</v>
      </c>
      <c r="J577">
        <f t="shared" ca="1" si="63"/>
        <v>14</v>
      </c>
    </row>
    <row r="578" spans="1:10" x14ac:dyDescent="0.25">
      <c r="A578" t="s">
        <v>585</v>
      </c>
      <c r="B578" t="s">
        <v>1</v>
      </c>
      <c r="C578" t="str">
        <f t="shared" si="58"/>
        <v>060270</v>
      </c>
      <c r="D578" t="str">
        <f t="shared" si="59"/>
        <v>TOR</v>
      </c>
      <c r="E578" t="str" cm="1">
        <f t="array" ref="E578">INDEX($E$2:$E$4, MOD(ROW()-1,3)+1)</f>
        <v>Machine 2</v>
      </c>
      <c r="F578">
        <f t="shared" ca="1" si="60"/>
        <v>3</v>
      </c>
      <c r="G578">
        <f t="shared" ca="1" si="61"/>
        <v>1</v>
      </c>
      <c r="H578">
        <f ca="1">RANDBETWEEN(1,J578-2)</f>
        <v>4</v>
      </c>
      <c r="I578">
        <f t="shared" ca="1" si="62"/>
        <v>43</v>
      </c>
      <c r="J578">
        <f t="shared" ca="1" si="63"/>
        <v>7</v>
      </c>
    </row>
    <row r="579" spans="1:10" x14ac:dyDescent="0.25">
      <c r="A579" t="s">
        <v>586</v>
      </c>
      <c r="B579" t="s">
        <v>1</v>
      </c>
      <c r="C579" t="str">
        <f t="shared" ref="C579:C642" si="64">RIGHT(A579,6)</f>
        <v>060272</v>
      </c>
      <c r="D579" t="str">
        <f t="shared" ref="D579:D642" si="65">RIGHT(B579,3)</f>
        <v>TOR</v>
      </c>
      <c r="E579" t="str" cm="1">
        <f t="array" ref="E579">INDEX($E$2:$E$4, MOD(ROW()-1,3)+1)</f>
        <v>Machine 3</v>
      </c>
      <c r="F579">
        <f t="shared" ref="F579:F642" ca="1" si="66">RANDBETWEEN(2,3)</f>
        <v>2</v>
      </c>
      <c r="G579">
        <f t="shared" ref="G579:G642" ca="1" si="67">RANDBETWEEN(0,1)</f>
        <v>0</v>
      </c>
      <c r="H579">
        <f ca="1">RANDBETWEEN(1,J579-2)</f>
        <v>2</v>
      </c>
      <c r="I579">
        <f t="shared" ref="I579:I642" ca="1" si="68">RANDBETWEEN(24,48)</f>
        <v>29</v>
      </c>
      <c r="J579">
        <f t="shared" ref="J579:J642" ca="1" si="69">RANDBETWEEN(5,15)</f>
        <v>5</v>
      </c>
    </row>
    <row r="580" spans="1:10" x14ac:dyDescent="0.25">
      <c r="A580" t="s">
        <v>587</v>
      </c>
      <c r="B580" t="s">
        <v>1</v>
      </c>
      <c r="C580" t="str">
        <f t="shared" si="64"/>
        <v>060274</v>
      </c>
      <c r="D580" t="str">
        <f t="shared" si="65"/>
        <v>TOR</v>
      </c>
      <c r="E580" t="str" cm="1">
        <f t="array" ref="E580">INDEX($E$2:$E$4, MOD(ROW()-1,3)+1)</f>
        <v>Machine 1</v>
      </c>
      <c r="F580">
        <f t="shared" ca="1" si="66"/>
        <v>2</v>
      </c>
      <c r="G580">
        <f t="shared" ca="1" si="67"/>
        <v>1</v>
      </c>
      <c r="H580">
        <f ca="1">RANDBETWEEN(1,J580-2)</f>
        <v>5</v>
      </c>
      <c r="I580">
        <f t="shared" ca="1" si="68"/>
        <v>30</v>
      </c>
      <c r="J580">
        <f t="shared" ca="1" si="69"/>
        <v>11</v>
      </c>
    </row>
    <row r="581" spans="1:10" x14ac:dyDescent="0.25">
      <c r="A581" t="s">
        <v>588</v>
      </c>
      <c r="B581" t="s">
        <v>1</v>
      </c>
      <c r="C581" t="str">
        <f t="shared" si="64"/>
        <v>060278</v>
      </c>
      <c r="D581" t="str">
        <f t="shared" si="65"/>
        <v>TOR</v>
      </c>
      <c r="E581" t="str" cm="1">
        <f t="array" ref="E581">INDEX($E$2:$E$4, MOD(ROW()-1,3)+1)</f>
        <v>Machine 2</v>
      </c>
      <c r="F581">
        <f t="shared" ca="1" si="66"/>
        <v>2</v>
      </c>
      <c r="G581">
        <f t="shared" ca="1" si="67"/>
        <v>0</v>
      </c>
      <c r="H581">
        <f ca="1">RANDBETWEEN(1,J581-2)</f>
        <v>6</v>
      </c>
      <c r="I581">
        <f t="shared" ca="1" si="68"/>
        <v>32</v>
      </c>
      <c r="J581">
        <f t="shared" ca="1" si="69"/>
        <v>11</v>
      </c>
    </row>
    <row r="582" spans="1:10" x14ac:dyDescent="0.25">
      <c r="A582" t="s">
        <v>589</v>
      </c>
      <c r="B582" t="s">
        <v>1</v>
      </c>
      <c r="C582" t="str">
        <f t="shared" si="64"/>
        <v>060280</v>
      </c>
      <c r="D582" t="str">
        <f t="shared" si="65"/>
        <v>TOR</v>
      </c>
      <c r="E582" t="str" cm="1">
        <f t="array" ref="E582">INDEX($E$2:$E$4, MOD(ROW()-1,3)+1)</f>
        <v>Machine 3</v>
      </c>
      <c r="F582">
        <f t="shared" ca="1" si="66"/>
        <v>3</v>
      </c>
      <c r="G582">
        <f t="shared" ca="1" si="67"/>
        <v>0</v>
      </c>
      <c r="H582">
        <f ca="1">RANDBETWEEN(1,J582-2)</f>
        <v>5</v>
      </c>
      <c r="I582">
        <f t="shared" ca="1" si="68"/>
        <v>34</v>
      </c>
      <c r="J582">
        <f t="shared" ca="1" si="69"/>
        <v>8</v>
      </c>
    </row>
    <row r="583" spans="1:10" x14ac:dyDescent="0.25">
      <c r="A583" t="s">
        <v>590</v>
      </c>
      <c r="B583" t="s">
        <v>1</v>
      </c>
      <c r="C583" t="str">
        <f t="shared" si="64"/>
        <v>060282</v>
      </c>
      <c r="D583" t="str">
        <f t="shared" si="65"/>
        <v>TOR</v>
      </c>
      <c r="E583" t="str" cm="1">
        <f t="array" ref="E583">INDEX($E$2:$E$4, MOD(ROW()-1,3)+1)</f>
        <v>Machine 1</v>
      </c>
      <c r="F583">
        <f t="shared" ca="1" si="66"/>
        <v>2</v>
      </c>
      <c r="G583">
        <f t="shared" ca="1" si="67"/>
        <v>0</v>
      </c>
      <c r="H583">
        <f ca="1">RANDBETWEEN(1,J583-2)</f>
        <v>3</v>
      </c>
      <c r="I583">
        <f t="shared" ca="1" si="68"/>
        <v>27</v>
      </c>
      <c r="J583">
        <f t="shared" ca="1" si="69"/>
        <v>8</v>
      </c>
    </row>
    <row r="584" spans="1:10" x14ac:dyDescent="0.25">
      <c r="A584" t="s">
        <v>591</v>
      </c>
      <c r="B584" t="s">
        <v>1</v>
      </c>
      <c r="C584" t="str">
        <f t="shared" si="64"/>
        <v>060284</v>
      </c>
      <c r="D584" t="str">
        <f t="shared" si="65"/>
        <v>TOR</v>
      </c>
      <c r="E584" t="str" cm="1">
        <f t="array" ref="E584">INDEX($E$2:$E$4, MOD(ROW()-1,3)+1)</f>
        <v>Machine 2</v>
      </c>
      <c r="F584">
        <f t="shared" ca="1" si="66"/>
        <v>3</v>
      </c>
      <c r="G584">
        <f t="shared" ca="1" si="67"/>
        <v>0</v>
      </c>
      <c r="H584">
        <f ca="1">RANDBETWEEN(1,J584-2)</f>
        <v>6</v>
      </c>
      <c r="I584">
        <f t="shared" ca="1" si="68"/>
        <v>34</v>
      </c>
      <c r="J584">
        <f t="shared" ca="1" si="69"/>
        <v>8</v>
      </c>
    </row>
    <row r="585" spans="1:10" x14ac:dyDescent="0.25">
      <c r="A585" t="s">
        <v>592</v>
      </c>
      <c r="B585" t="s">
        <v>1</v>
      </c>
      <c r="C585" t="str">
        <f t="shared" si="64"/>
        <v>060291</v>
      </c>
      <c r="D585" t="str">
        <f t="shared" si="65"/>
        <v>TOR</v>
      </c>
      <c r="E585" t="str" cm="1">
        <f t="array" ref="E585">INDEX($E$2:$E$4, MOD(ROW()-1,3)+1)</f>
        <v>Machine 3</v>
      </c>
      <c r="F585">
        <f t="shared" ca="1" si="66"/>
        <v>2</v>
      </c>
      <c r="G585">
        <f t="shared" ca="1" si="67"/>
        <v>1</v>
      </c>
      <c r="H585">
        <f ca="1">RANDBETWEEN(1,J585-2)</f>
        <v>4</v>
      </c>
      <c r="I585">
        <f t="shared" ca="1" si="68"/>
        <v>46</v>
      </c>
      <c r="J585">
        <f t="shared" ca="1" si="69"/>
        <v>9</v>
      </c>
    </row>
    <row r="586" spans="1:10" x14ac:dyDescent="0.25">
      <c r="A586" t="s">
        <v>593</v>
      </c>
      <c r="B586" t="s">
        <v>1</v>
      </c>
      <c r="C586" t="str">
        <f t="shared" si="64"/>
        <v>060293</v>
      </c>
      <c r="D586" t="str">
        <f t="shared" si="65"/>
        <v>TOR</v>
      </c>
      <c r="E586" t="str" cm="1">
        <f t="array" ref="E586">INDEX($E$2:$E$4, MOD(ROW()-1,3)+1)</f>
        <v>Machine 1</v>
      </c>
      <c r="F586">
        <f t="shared" ca="1" si="66"/>
        <v>2</v>
      </c>
      <c r="G586">
        <f t="shared" ca="1" si="67"/>
        <v>1</v>
      </c>
      <c r="H586">
        <f ca="1">RANDBETWEEN(1,J586-2)</f>
        <v>2</v>
      </c>
      <c r="I586">
        <f t="shared" ca="1" si="68"/>
        <v>39</v>
      </c>
      <c r="J586">
        <f t="shared" ca="1" si="69"/>
        <v>15</v>
      </c>
    </row>
    <row r="587" spans="1:10" x14ac:dyDescent="0.25">
      <c r="A587" t="s">
        <v>594</v>
      </c>
      <c r="B587" t="s">
        <v>1</v>
      </c>
      <c r="C587" t="str">
        <f t="shared" si="64"/>
        <v>060296</v>
      </c>
      <c r="D587" t="str">
        <f t="shared" si="65"/>
        <v>TOR</v>
      </c>
      <c r="E587" t="str" cm="1">
        <f t="array" ref="E587">INDEX($E$2:$E$4, MOD(ROW()-1,3)+1)</f>
        <v>Machine 2</v>
      </c>
      <c r="F587">
        <f t="shared" ca="1" si="66"/>
        <v>3</v>
      </c>
      <c r="G587">
        <f t="shared" ca="1" si="67"/>
        <v>1</v>
      </c>
      <c r="H587">
        <f ca="1">RANDBETWEEN(1,J587-2)</f>
        <v>1</v>
      </c>
      <c r="I587">
        <f t="shared" ca="1" si="68"/>
        <v>46</v>
      </c>
      <c r="J587">
        <f t="shared" ca="1" si="69"/>
        <v>8</v>
      </c>
    </row>
    <row r="588" spans="1:10" x14ac:dyDescent="0.25">
      <c r="A588" t="s">
        <v>595</v>
      </c>
      <c r="B588" t="s">
        <v>1</v>
      </c>
      <c r="C588" t="str">
        <f t="shared" si="64"/>
        <v>060301</v>
      </c>
      <c r="D588" t="str">
        <f t="shared" si="65"/>
        <v>TOR</v>
      </c>
      <c r="E588" t="str" cm="1">
        <f t="array" ref="E588">INDEX($E$2:$E$4, MOD(ROW()-1,3)+1)</f>
        <v>Machine 3</v>
      </c>
      <c r="F588">
        <f t="shared" ca="1" si="66"/>
        <v>2</v>
      </c>
      <c r="G588">
        <f t="shared" ca="1" si="67"/>
        <v>1</v>
      </c>
      <c r="H588">
        <f ca="1">RANDBETWEEN(1,J588-2)</f>
        <v>3</v>
      </c>
      <c r="I588">
        <f t="shared" ca="1" si="68"/>
        <v>38</v>
      </c>
      <c r="J588">
        <f t="shared" ca="1" si="69"/>
        <v>8</v>
      </c>
    </row>
    <row r="589" spans="1:10" x14ac:dyDescent="0.25">
      <c r="A589" t="s">
        <v>596</v>
      </c>
      <c r="B589" t="s">
        <v>1</v>
      </c>
      <c r="C589" t="str">
        <f t="shared" si="64"/>
        <v>060303</v>
      </c>
      <c r="D589" t="str">
        <f t="shared" si="65"/>
        <v>TOR</v>
      </c>
      <c r="E589" t="str" cm="1">
        <f t="array" ref="E589">INDEX($E$2:$E$4, MOD(ROW()-1,3)+1)</f>
        <v>Machine 1</v>
      </c>
      <c r="F589">
        <f t="shared" ca="1" si="66"/>
        <v>2</v>
      </c>
      <c r="G589">
        <f t="shared" ca="1" si="67"/>
        <v>0</v>
      </c>
      <c r="H589">
        <f ca="1">RANDBETWEEN(1,J589-2)</f>
        <v>6</v>
      </c>
      <c r="I589">
        <f t="shared" ca="1" si="68"/>
        <v>33</v>
      </c>
      <c r="J589">
        <f t="shared" ca="1" si="69"/>
        <v>13</v>
      </c>
    </row>
    <row r="590" spans="1:10" x14ac:dyDescent="0.25">
      <c r="A590" t="s">
        <v>597</v>
      </c>
      <c r="B590" t="s">
        <v>1</v>
      </c>
      <c r="C590" t="str">
        <f t="shared" si="64"/>
        <v>060305</v>
      </c>
      <c r="D590" t="str">
        <f t="shared" si="65"/>
        <v>TOR</v>
      </c>
      <c r="E590" t="str" cm="1">
        <f t="array" ref="E590">INDEX($E$2:$E$4, MOD(ROW()-1,3)+1)</f>
        <v>Machine 2</v>
      </c>
      <c r="F590">
        <f t="shared" ca="1" si="66"/>
        <v>3</v>
      </c>
      <c r="G590">
        <f t="shared" ca="1" si="67"/>
        <v>0</v>
      </c>
      <c r="H590">
        <f ca="1">RANDBETWEEN(1,J590-2)</f>
        <v>2</v>
      </c>
      <c r="I590">
        <f t="shared" ca="1" si="68"/>
        <v>33</v>
      </c>
      <c r="J590">
        <f t="shared" ca="1" si="69"/>
        <v>5</v>
      </c>
    </row>
    <row r="591" spans="1:10" x14ac:dyDescent="0.25">
      <c r="A591" t="s">
        <v>598</v>
      </c>
      <c r="B591" t="s">
        <v>1</v>
      </c>
      <c r="C591" t="str">
        <f t="shared" si="64"/>
        <v>060307</v>
      </c>
      <c r="D591" t="str">
        <f t="shared" si="65"/>
        <v>TOR</v>
      </c>
      <c r="E591" t="str" cm="1">
        <f t="array" ref="E591">INDEX($E$2:$E$4, MOD(ROW()-1,3)+1)</f>
        <v>Machine 3</v>
      </c>
      <c r="F591">
        <f t="shared" ca="1" si="66"/>
        <v>3</v>
      </c>
      <c r="G591">
        <f t="shared" ca="1" si="67"/>
        <v>1</v>
      </c>
      <c r="H591">
        <f ca="1">RANDBETWEEN(1,J591-2)</f>
        <v>7</v>
      </c>
      <c r="I591">
        <f t="shared" ca="1" si="68"/>
        <v>31</v>
      </c>
      <c r="J591">
        <f t="shared" ca="1" si="69"/>
        <v>9</v>
      </c>
    </row>
    <row r="592" spans="1:10" x14ac:dyDescent="0.25">
      <c r="A592" t="s">
        <v>599</v>
      </c>
      <c r="B592" t="s">
        <v>1</v>
      </c>
      <c r="C592" t="str">
        <f t="shared" si="64"/>
        <v>060309</v>
      </c>
      <c r="D592" t="str">
        <f t="shared" si="65"/>
        <v>TOR</v>
      </c>
      <c r="E592" t="str" cm="1">
        <f t="array" ref="E592">INDEX($E$2:$E$4, MOD(ROW()-1,3)+1)</f>
        <v>Machine 1</v>
      </c>
      <c r="F592">
        <f t="shared" ca="1" si="66"/>
        <v>3</v>
      </c>
      <c r="G592">
        <f t="shared" ca="1" si="67"/>
        <v>0</v>
      </c>
      <c r="H592">
        <f ca="1">RANDBETWEEN(1,J592-2)</f>
        <v>11</v>
      </c>
      <c r="I592">
        <f t="shared" ca="1" si="68"/>
        <v>45</v>
      </c>
      <c r="J592">
        <f t="shared" ca="1" si="69"/>
        <v>14</v>
      </c>
    </row>
    <row r="593" spans="1:10" x14ac:dyDescent="0.25">
      <c r="A593" t="s">
        <v>600</v>
      </c>
      <c r="B593" t="s">
        <v>1</v>
      </c>
      <c r="C593" t="str">
        <f t="shared" si="64"/>
        <v>060311</v>
      </c>
      <c r="D593" t="str">
        <f t="shared" si="65"/>
        <v>TOR</v>
      </c>
      <c r="E593" t="str" cm="1">
        <f t="array" ref="E593">INDEX($E$2:$E$4, MOD(ROW()-1,3)+1)</f>
        <v>Machine 2</v>
      </c>
      <c r="F593">
        <f t="shared" ca="1" si="66"/>
        <v>3</v>
      </c>
      <c r="G593">
        <f t="shared" ca="1" si="67"/>
        <v>0</v>
      </c>
      <c r="H593">
        <f ca="1">RANDBETWEEN(1,J593-2)</f>
        <v>2</v>
      </c>
      <c r="I593">
        <f t="shared" ca="1" si="68"/>
        <v>43</v>
      </c>
      <c r="J593">
        <f t="shared" ca="1" si="69"/>
        <v>12</v>
      </c>
    </row>
    <row r="594" spans="1:10" x14ac:dyDescent="0.25">
      <c r="A594" t="s">
        <v>601</v>
      </c>
      <c r="B594" t="s">
        <v>1</v>
      </c>
      <c r="C594" t="str">
        <f t="shared" si="64"/>
        <v>060318</v>
      </c>
      <c r="D594" t="str">
        <f t="shared" si="65"/>
        <v>TOR</v>
      </c>
      <c r="E594" t="str" cm="1">
        <f t="array" ref="E594">INDEX($E$2:$E$4, MOD(ROW()-1,3)+1)</f>
        <v>Machine 3</v>
      </c>
      <c r="F594">
        <f t="shared" ca="1" si="66"/>
        <v>3</v>
      </c>
      <c r="G594">
        <f t="shared" ca="1" si="67"/>
        <v>1</v>
      </c>
      <c r="H594">
        <f ca="1">RANDBETWEEN(1,J594-2)</f>
        <v>2</v>
      </c>
      <c r="I594">
        <f t="shared" ca="1" si="68"/>
        <v>32</v>
      </c>
      <c r="J594">
        <f t="shared" ca="1" si="69"/>
        <v>11</v>
      </c>
    </row>
    <row r="595" spans="1:10" x14ac:dyDescent="0.25">
      <c r="A595" t="s">
        <v>602</v>
      </c>
      <c r="B595" t="s">
        <v>1</v>
      </c>
      <c r="C595" t="str">
        <f t="shared" si="64"/>
        <v>060320</v>
      </c>
      <c r="D595" t="str">
        <f t="shared" si="65"/>
        <v>TOR</v>
      </c>
      <c r="E595" t="str" cm="1">
        <f t="array" ref="E595">INDEX($E$2:$E$4, MOD(ROW()-1,3)+1)</f>
        <v>Machine 1</v>
      </c>
      <c r="F595">
        <f t="shared" ca="1" si="66"/>
        <v>3</v>
      </c>
      <c r="G595">
        <f t="shared" ca="1" si="67"/>
        <v>0</v>
      </c>
      <c r="H595">
        <f ca="1">RANDBETWEEN(1,J595-2)</f>
        <v>9</v>
      </c>
      <c r="I595">
        <f t="shared" ca="1" si="68"/>
        <v>40</v>
      </c>
      <c r="J595">
        <f t="shared" ca="1" si="69"/>
        <v>12</v>
      </c>
    </row>
    <row r="596" spans="1:10" x14ac:dyDescent="0.25">
      <c r="A596" t="s">
        <v>603</v>
      </c>
      <c r="B596" t="s">
        <v>1</v>
      </c>
      <c r="C596" t="str">
        <f t="shared" si="64"/>
        <v>060322</v>
      </c>
      <c r="D596" t="str">
        <f t="shared" si="65"/>
        <v>TOR</v>
      </c>
      <c r="E596" t="str" cm="1">
        <f t="array" ref="E596">INDEX($E$2:$E$4, MOD(ROW()-1,3)+1)</f>
        <v>Machine 2</v>
      </c>
      <c r="F596">
        <f t="shared" ca="1" si="66"/>
        <v>2</v>
      </c>
      <c r="G596">
        <f t="shared" ca="1" si="67"/>
        <v>1</v>
      </c>
      <c r="H596">
        <f ca="1">RANDBETWEEN(1,J596-2)</f>
        <v>4</v>
      </c>
      <c r="I596">
        <f t="shared" ca="1" si="68"/>
        <v>33</v>
      </c>
      <c r="J596">
        <f t="shared" ca="1" si="69"/>
        <v>7</v>
      </c>
    </row>
    <row r="597" spans="1:10" x14ac:dyDescent="0.25">
      <c r="A597" t="s">
        <v>604</v>
      </c>
      <c r="B597" t="s">
        <v>1</v>
      </c>
      <c r="C597" t="str">
        <f t="shared" si="64"/>
        <v>060327</v>
      </c>
      <c r="D597" t="str">
        <f t="shared" si="65"/>
        <v>TOR</v>
      </c>
      <c r="E597" t="str" cm="1">
        <f t="array" ref="E597">INDEX($E$2:$E$4, MOD(ROW()-1,3)+1)</f>
        <v>Machine 3</v>
      </c>
      <c r="F597">
        <f t="shared" ca="1" si="66"/>
        <v>3</v>
      </c>
      <c r="G597">
        <f t="shared" ca="1" si="67"/>
        <v>0</v>
      </c>
      <c r="H597">
        <f ca="1">RANDBETWEEN(1,J597-2)</f>
        <v>6</v>
      </c>
      <c r="I597">
        <f t="shared" ca="1" si="68"/>
        <v>24</v>
      </c>
      <c r="J597">
        <f t="shared" ca="1" si="69"/>
        <v>8</v>
      </c>
    </row>
    <row r="598" spans="1:10" x14ac:dyDescent="0.25">
      <c r="A598" t="s">
        <v>605</v>
      </c>
      <c r="B598" t="s">
        <v>1</v>
      </c>
      <c r="C598" t="str">
        <f t="shared" si="64"/>
        <v>060332</v>
      </c>
      <c r="D598" t="str">
        <f t="shared" si="65"/>
        <v>TOR</v>
      </c>
      <c r="E598" t="str" cm="1">
        <f t="array" ref="E598">INDEX($E$2:$E$4, MOD(ROW()-1,3)+1)</f>
        <v>Machine 1</v>
      </c>
      <c r="F598">
        <f t="shared" ca="1" si="66"/>
        <v>3</v>
      </c>
      <c r="G598">
        <f t="shared" ca="1" si="67"/>
        <v>1</v>
      </c>
      <c r="H598">
        <f ca="1">RANDBETWEEN(1,J598-2)</f>
        <v>1</v>
      </c>
      <c r="I598">
        <f t="shared" ca="1" si="68"/>
        <v>27</v>
      </c>
      <c r="J598">
        <f t="shared" ca="1" si="69"/>
        <v>6</v>
      </c>
    </row>
    <row r="599" spans="1:10" x14ac:dyDescent="0.25">
      <c r="A599" t="s">
        <v>606</v>
      </c>
      <c r="B599" t="s">
        <v>1</v>
      </c>
      <c r="C599" t="str">
        <f t="shared" si="64"/>
        <v>060334</v>
      </c>
      <c r="D599" t="str">
        <f t="shared" si="65"/>
        <v>TOR</v>
      </c>
      <c r="E599" t="str" cm="1">
        <f t="array" ref="E599">INDEX($E$2:$E$4, MOD(ROW()-1,3)+1)</f>
        <v>Machine 2</v>
      </c>
      <c r="F599">
        <f t="shared" ca="1" si="66"/>
        <v>2</v>
      </c>
      <c r="G599">
        <f t="shared" ca="1" si="67"/>
        <v>1</v>
      </c>
      <c r="H599">
        <f ca="1">RANDBETWEEN(1,J599-2)</f>
        <v>9</v>
      </c>
      <c r="I599">
        <f t="shared" ca="1" si="68"/>
        <v>46</v>
      </c>
      <c r="J599">
        <f t="shared" ca="1" si="69"/>
        <v>12</v>
      </c>
    </row>
    <row r="600" spans="1:10" x14ac:dyDescent="0.25">
      <c r="A600" t="s">
        <v>607</v>
      </c>
      <c r="B600" t="s">
        <v>1</v>
      </c>
      <c r="C600" t="str">
        <f t="shared" si="64"/>
        <v>060338</v>
      </c>
      <c r="D600" t="str">
        <f t="shared" si="65"/>
        <v>TOR</v>
      </c>
      <c r="E600" t="str" cm="1">
        <f t="array" ref="E600">INDEX($E$2:$E$4, MOD(ROW()-1,3)+1)</f>
        <v>Machine 3</v>
      </c>
      <c r="F600">
        <f t="shared" ca="1" si="66"/>
        <v>2</v>
      </c>
      <c r="G600">
        <f t="shared" ca="1" si="67"/>
        <v>0</v>
      </c>
      <c r="H600">
        <f ca="1">RANDBETWEEN(1,J600-2)</f>
        <v>13</v>
      </c>
      <c r="I600">
        <f t="shared" ca="1" si="68"/>
        <v>25</v>
      </c>
      <c r="J600">
        <f t="shared" ca="1" si="69"/>
        <v>15</v>
      </c>
    </row>
    <row r="601" spans="1:10" x14ac:dyDescent="0.25">
      <c r="A601" t="s">
        <v>608</v>
      </c>
      <c r="B601" t="s">
        <v>1</v>
      </c>
      <c r="C601" t="str">
        <f t="shared" si="64"/>
        <v>060344</v>
      </c>
      <c r="D601" t="str">
        <f t="shared" si="65"/>
        <v>TOR</v>
      </c>
      <c r="E601" t="str" cm="1">
        <f t="array" ref="E601">INDEX($E$2:$E$4, MOD(ROW()-1,3)+1)</f>
        <v>Machine 1</v>
      </c>
      <c r="F601">
        <f t="shared" ca="1" si="66"/>
        <v>3</v>
      </c>
      <c r="G601">
        <f t="shared" ca="1" si="67"/>
        <v>1</v>
      </c>
      <c r="H601">
        <f ca="1">RANDBETWEEN(1,J601-2)</f>
        <v>3</v>
      </c>
      <c r="I601">
        <f t="shared" ca="1" si="68"/>
        <v>46</v>
      </c>
      <c r="J601">
        <f t="shared" ca="1" si="69"/>
        <v>9</v>
      </c>
    </row>
    <row r="602" spans="1:10" x14ac:dyDescent="0.25">
      <c r="A602" t="s">
        <v>609</v>
      </c>
      <c r="B602" t="s">
        <v>1</v>
      </c>
      <c r="C602" t="str">
        <f t="shared" si="64"/>
        <v>060346</v>
      </c>
      <c r="D602" t="str">
        <f t="shared" si="65"/>
        <v>TOR</v>
      </c>
      <c r="E602" t="str" cm="1">
        <f t="array" ref="E602">INDEX($E$2:$E$4, MOD(ROW()-1,3)+1)</f>
        <v>Machine 2</v>
      </c>
      <c r="F602">
        <f t="shared" ca="1" si="66"/>
        <v>2</v>
      </c>
      <c r="G602">
        <f t="shared" ca="1" si="67"/>
        <v>0</v>
      </c>
      <c r="H602">
        <f ca="1">RANDBETWEEN(1,J602-2)</f>
        <v>2</v>
      </c>
      <c r="I602">
        <f t="shared" ca="1" si="68"/>
        <v>33</v>
      </c>
      <c r="J602">
        <f t="shared" ca="1" si="69"/>
        <v>12</v>
      </c>
    </row>
    <row r="603" spans="1:10" x14ac:dyDescent="0.25">
      <c r="A603" t="s">
        <v>610</v>
      </c>
      <c r="B603" t="s">
        <v>1</v>
      </c>
      <c r="C603" t="str">
        <f t="shared" si="64"/>
        <v>060348</v>
      </c>
      <c r="D603" t="str">
        <f t="shared" si="65"/>
        <v>TOR</v>
      </c>
      <c r="E603" t="str" cm="1">
        <f t="array" ref="E603">INDEX($E$2:$E$4, MOD(ROW()-1,3)+1)</f>
        <v>Machine 3</v>
      </c>
      <c r="F603">
        <f t="shared" ca="1" si="66"/>
        <v>2</v>
      </c>
      <c r="G603">
        <f t="shared" ca="1" si="67"/>
        <v>0</v>
      </c>
      <c r="H603">
        <f ca="1">RANDBETWEEN(1,J603-2)</f>
        <v>2</v>
      </c>
      <c r="I603">
        <f t="shared" ca="1" si="68"/>
        <v>32</v>
      </c>
      <c r="J603">
        <f t="shared" ca="1" si="69"/>
        <v>7</v>
      </c>
    </row>
    <row r="604" spans="1:10" x14ac:dyDescent="0.25">
      <c r="A604" t="s">
        <v>611</v>
      </c>
      <c r="B604" t="s">
        <v>1</v>
      </c>
      <c r="C604" t="str">
        <f t="shared" si="64"/>
        <v>060354</v>
      </c>
      <c r="D604" t="str">
        <f t="shared" si="65"/>
        <v>TOR</v>
      </c>
      <c r="E604" t="str" cm="1">
        <f t="array" ref="E604">INDEX($E$2:$E$4, MOD(ROW()-1,3)+1)</f>
        <v>Machine 1</v>
      </c>
      <c r="F604">
        <f t="shared" ca="1" si="66"/>
        <v>3</v>
      </c>
      <c r="G604">
        <f t="shared" ca="1" si="67"/>
        <v>0</v>
      </c>
      <c r="H604">
        <f ca="1">RANDBETWEEN(1,J604-2)</f>
        <v>5</v>
      </c>
      <c r="I604">
        <f t="shared" ca="1" si="68"/>
        <v>37</v>
      </c>
      <c r="J604">
        <f t="shared" ca="1" si="69"/>
        <v>8</v>
      </c>
    </row>
    <row r="605" spans="1:10" x14ac:dyDescent="0.25">
      <c r="A605" t="s">
        <v>612</v>
      </c>
      <c r="B605" t="s">
        <v>1</v>
      </c>
      <c r="C605" t="str">
        <f t="shared" si="64"/>
        <v>060374</v>
      </c>
      <c r="D605" t="str">
        <f t="shared" si="65"/>
        <v>TOR</v>
      </c>
      <c r="E605" t="str" cm="1">
        <f t="array" ref="E605">INDEX($E$2:$E$4, MOD(ROW()-1,3)+1)</f>
        <v>Machine 2</v>
      </c>
      <c r="F605">
        <f t="shared" ca="1" si="66"/>
        <v>3</v>
      </c>
      <c r="G605">
        <f t="shared" ca="1" si="67"/>
        <v>0</v>
      </c>
      <c r="H605">
        <f ca="1">RANDBETWEEN(1,J605-2)</f>
        <v>6</v>
      </c>
      <c r="I605">
        <f t="shared" ca="1" si="68"/>
        <v>45</v>
      </c>
      <c r="J605">
        <f t="shared" ca="1" si="69"/>
        <v>13</v>
      </c>
    </row>
    <row r="606" spans="1:10" x14ac:dyDescent="0.25">
      <c r="A606" t="s">
        <v>613</v>
      </c>
      <c r="B606" t="s">
        <v>1</v>
      </c>
      <c r="C606" t="str">
        <f t="shared" si="64"/>
        <v>060378</v>
      </c>
      <c r="D606" t="str">
        <f t="shared" si="65"/>
        <v>TOR</v>
      </c>
      <c r="E606" t="str" cm="1">
        <f t="array" ref="E606">INDEX($E$2:$E$4, MOD(ROW()-1,3)+1)</f>
        <v>Machine 3</v>
      </c>
      <c r="F606">
        <f t="shared" ca="1" si="66"/>
        <v>3</v>
      </c>
      <c r="G606">
        <f t="shared" ca="1" si="67"/>
        <v>0</v>
      </c>
      <c r="H606">
        <f ca="1">RANDBETWEEN(1,J606-2)</f>
        <v>3</v>
      </c>
      <c r="I606">
        <f t="shared" ca="1" si="68"/>
        <v>37</v>
      </c>
      <c r="J606">
        <f t="shared" ca="1" si="69"/>
        <v>7</v>
      </c>
    </row>
    <row r="607" spans="1:10" x14ac:dyDescent="0.25">
      <c r="A607" t="s">
        <v>614</v>
      </c>
      <c r="B607" t="s">
        <v>1</v>
      </c>
      <c r="C607" t="str">
        <f t="shared" si="64"/>
        <v>060381</v>
      </c>
      <c r="D607" t="str">
        <f t="shared" si="65"/>
        <v>TOR</v>
      </c>
      <c r="E607" t="str" cm="1">
        <f t="array" ref="E607">INDEX($E$2:$E$4, MOD(ROW()-1,3)+1)</f>
        <v>Machine 1</v>
      </c>
      <c r="F607">
        <f t="shared" ca="1" si="66"/>
        <v>2</v>
      </c>
      <c r="G607">
        <f t="shared" ca="1" si="67"/>
        <v>1</v>
      </c>
      <c r="H607">
        <f ca="1">RANDBETWEEN(1,J607-2)</f>
        <v>2</v>
      </c>
      <c r="I607">
        <f t="shared" ca="1" si="68"/>
        <v>40</v>
      </c>
      <c r="J607">
        <f t="shared" ca="1" si="69"/>
        <v>14</v>
      </c>
    </row>
    <row r="608" spans="1:10" x14ac:dyDescent="0.25">
      <c r="A608" t="s">
        <v>615</v>
      </c>
      <c r="B608" t="s">
        <v>1</v>
      </c>
      <c r="C608" t="str">
        <f t="shared" si="64"/>
        <v>060385</v>
      </c>
      <c r="D608" t="str">
        <f t="shared" si="65"/>
        <v>TOR</v>
      </c>
      <c r="E608" t="str" cm="1">
        <f t="array" ref="E608">INDEX($E$2:$E$4, MOD(ROW()-1,3)+1)</f>
        <v>Machine 2</v>
      </c>
      <c r="F608">
        <f t="shared" ca="1" si="66"/>
        <v>2</v>
      </c>
      <c r="G608">
        <f t="shared" ca="1" si="67"/>
        <v>0</v>
      </c>
      <c r="H608">
        <f ca="1">RANDBETWEEN(1,J608-2)</f>
        <v>1</v>
      </c>
      <c r="I608">
        <f t="shared" ca="1" si="68"/>
        <v>27</v>
      </c>
      <c r="J608">
        <f t="shared" ca="1" si="69"/>
        <v>8</v>
      </c>
    </row>
    <row r="609" spans="1:10" x14ac:dyDescent="0.25">
      <c r="A609" t="s">
        <v>616</v>
      </c>
      <c r="B609" t="s">
        <v>1</v>
      </c>
      <c r="C609" t="str">
        <f t="shared" si="64"/>
        <v>060388</v>
      </c>
      <c r="D609" t="str">
        <f t="shared" si="65"/>
        <v>TOR</v>
      </c>
      <c r="E609" t="str" cm="1">
        <f t="array" ref="E609">INDEX($E$2:$E$4, MOD(ROW()-1,3)+1)</f>
        <v>Machine 3</v>
      </c>
      <c r="F609">
        <f t="shared" ca="1" si="66"/>
        <v>3</v>
      </c>
      <c r="G609">
        <f t="shared" ca="1" si="67"/>
        <v>1</v>
      </c>
      <c r="H609">
        <f ca="1">RANDBETWEEN(1,J609-2)</f>
        <v>1</v>
      </c>
      <c r="I609">
        <f t="shared" ca="1" si="68"/>
        <v>36</v>
      </c>
      <c r="J609">
        <f t="shared" ca="1" si="69"/>
        <v>10</v>
      </c>
    </row>
    <row r="610" spans="1:10" x14ac:dyDescent="0.25">
      <c r="A610" t="s">
        <v>617</v>
      </c>
      <c r="B610" t="s">
        <v>1</v>
      </c>
      <c r="C610" t="str">
        <f t="shared" si="64"/>
        <v>060399</v>
      </c>
      <c r="D610" t="str">
        <f t="shared" si="65"/>
        <v>TOR</v>
      </c>
      <c r="E610" t="str" cm="1">
        <f t="array" ref="E610">INDEX($E$2:$E$4, MOD(ROW()-1,3)+1)</f>
        <v>Machine 1</v>
      </c>
      <c r="F610">
        <f t="shared" ca="1" si="66"/>
        <v>2</v>
      </c>
      <c r="G610">
        <f t="shared" ca="1" si="67"/>
        <v>1</v>
      </c>
      <c r="H610">
        <f ca="1">RANDBETWEEN(1,J610-2)</f>
        <v>2</v>
      </c>
      <c r="I610">
        <f t="shared" ca="1" si="68"/>
        <v>38</v>
      </c>
      <c r="J610">
        <f t="shared" ca="1" si="69"/>
        <v>6</v>
      </c>
    </row>
    <row r="611" spans="1:10" x14ac:dyDescent="0.25">
      <c r="A611" t="s">
        <v>618</v>
      </c>
      <c r="B611" t="s">
        <v>1</v>
      </c>
      <c r="C611" t="str">
        <f t="shared" si="64"/>
        <v>060401</v>
      </c>
      <c r="D611" t="str">
        <f t="shared" si="65"/>
        <v>TOR</v>
      </c>
      <c r="E611" t="str" cm="1">
        <f t="array" ref="E611">INDEX($E$2:$E$4, MOD(ROW()-1,3)+1)</f>
        <v>Machine 2</v>
      </c>
      <c r="F611">
        <f t="shared" ca="1" si="66"/>
        <v>2</v>
      </c>
      <c r="G611">
        <f t="shared" ca="1" si="67"/>
        <v>1</v>
      </c>
      <c r="H611">
        <f ca="1">RANDBETWEEN(1,J611-2)</f>
        <v>9</v>
      </c>
      <c r="I611">
        <f t="shared" ca="1" si="68"/>
        <v>30</v>
      </c>
      <c r="J611">
        <f t="shared" ca="1" si="69"/>
        <v>12</v>
      </c>
    </row>
    <row r="612" spans="1:10" x14ac:dyDescent="0.25">
      <c r="A612" t="s">
        <v>619</v>
      </c>
      <c r="B612" t="s">
        <v>1</v>
      </c>
      <c r="C612" t="str">
        <f t="shared" si="64"/>
        <v>060412</v>
      </c>
      <c r="D612" t="str">
        <f t="shared" si="65"/>
        <v>TOR</v>
      </c>
      <c r="E612" t="str" cm="1">
        <f t="array" ref="E612">INDEX($E$2:$E$4, MOD(ROW()-1,3)+1)</f>
        <v>Machine 3</v>
      </c>
      <c r="F612">
        <f t="shared" ca="1" si="66"/>
        <v>2</v>
      </c>
      <c r="G612">
        <f t="shared" ca="1" si="67"/>
        <v>1</v>
      </c>
      <c r="H612">
        <f ca="1">RANDBETWEEN(1,J612-2)</f>
        <v>1</v>
      </c>
      <c r="I612">
        <f t="shared" ca="1" si="68"/>
        <v>36</v>
      </c>
      <c r="J612">
        <f t="shared" ca="1" si="69"/>
        <v>14</v>
      </c>
    </row>
    <row r="613" spans="1:10" x14ac:dyDescent="0.25">
      <c r="A613" t="s">
        <v>620</v>
      </c>
      <c r="B613" t="s">
        <v>1</v>
      </c>
      <c r="C613" t="str">
        <f t="shared" si="64"/>
        <v>060414</v>
      </c>
      <c r="D613" t="str">
        <f t="shared" si="65"/>
        <v>TOR</v>
      </c>
      <c r="E613" t="str" cm="1">
        <f t="array" ref="E613">INDEX($E$2:$E$4, MOD(ROW()-1,3)+1)</f>
        <v>Machine 1</v>
      </c>
      <c r="F613">
        <f t="shared" ca="1" si="66"/>
        <v>3</v>
      </c>
      <c r="G613">
        <f t="shared" ca="1" si="67"/>
        <v>0</v>
      </c>
      <c r="H613">
        <f ca="1">RANDBETWEEN(1,J613-2)</f>
        <v>1</v>
      </c>
      <c r="I613">
        <f t="shared" ca="1" si="68"/>
        <v>35</v>
      </c>
      <c r="J613">
        <f t="shared" ca="1" si="69"/>
        <v>10</v>
      </c>
    </row>
    <row r="614" spans="1:10" x14ac:dyDescent="0.25">
      <c r="A614" t="s">
        <v>621</v>
      </c>
      <c r="B614" t="s">
        <v>1</v>
      </c>
      <c r="C614" t="str">
        <f t="shared" si="64"/>
        <v>060421</v>
      </c>
      <c r="D614" t="str">
        <f t="shared" si="65"/>
        <v>TOR</v>
      </c>
      <c r="E614" t="str" cm="1">
        <f t="array" ref="E614">INDEX($E$2:$E$4, MOD(ROW()-1,3)+1)</f>
        <v>Machine 2</v>
      </c>
      <c r="F614">
        <f t="shared" ca="1" si="66"/>
        <v>3</v>
      </c>
      <c r="G614">
        <f t="shared" ca="1" si="67"/>
        <v>1</v>
      </c>
      <c r="H614">
        <f ca="1">RANDBETWEEN(1,J614-2)</f>
        <v>10</v>
      </c>
      <c r="I614">
        <f t="shared" ca="1" si="68"/>
        <v>27</v>
      </c>
      <c r="J614">
        <f t="shared" ca="1" si="69"/>
        <v>14</v>
      </c>
    </row>
    <row r="615" spans="1:10" x14ac:dyDescent="0.25">
      <c r="A615" t="s">
        <v>622</v>
      </c>
      <c r="B615" t="s">
        <v>1</v>
      </c>
      <c r="C615" t="str">
        <f t="shared" si="64"/>
        <v>060425</v>
      </c>
      <c r="D615" t="str">
        <f t="shared" si="65"/>
        <v>TOR</v>
      </c>
      <c r="E615" t="str" cm="1">
        <f t="array" ref="E615">INDEX($E$2:$E$4, MOD(ROW()-1,3)+1)</f>
        <v>Machine 3</v>
      </c>
      <c r="F615">
        <f t="shared" ca="1" si="66"/>
        <v>3</v>
      </c>
      <c r="G615">
        <f t="shared" ca="1" si="67"/>
        <v>1</v>
      </c>
      <c r="H615">
        <f ca="1">RANDBETWEEN(1,J615-2)</f>
        <v>7</v>
      </c>
      <c r="I615">
        <f t="shared" ca="1" si="68"/>
        <v>25</v>
      </c>
      <c r="J615">
        <f t="shared" ca="1" si="69"/>
        <v>11</v>
      </c>
    </row>
    <row r="616" spans="1:10" x14ac:dyDescent="0.25">
      <c r="A616" t="s">
        <v>623</v>
      </c>
      <c r="B616" t="s">
        <v>1</v>
      </c>
      <c r="C616" t="str">
        <f t="shared" si="64"/>
        <v>060443</v>
      </c>
      <c r="D616" t="str">
        <f t="shared" si="65"/>
        <v>TOR</v>
      </c>
      <c r="E616" t="str" cm="1">
        <f t="array" ref="E616">INDEX($E$2:$E$4, MOD(ROW()-1,3)+1)</f>
        <v>Machine 1</v>
      </c>
      <c r="F616">
        <f t="shared" ca="1" si="66"/>
        <v>2</v>
      </c>
      <c r="G616">
        <f t="shared" ca="1" si="67"/>
        <v>0</v>
      </c>
      <c r="H616">
        <f ca="1">RANDBETWEEN(1,J616-2)</f>
        <v>3</v>
      </c>
      <c r="I616">
        <f t="shared" ca="1" si="68"/>
        <v>25</v>
      </c>
      <c r="J616">
        <f t="shared" ca="1" si="69"/>
        <v>5</v>
      </c>
    </row>
    <row r="617" spans="1:10" x14ac:dyDescent="0.25">
      <c r="A617" t="s">
        <v>624</v>
      </c>
      <c r="B617" t="s">
        <v>1</v>
      </c>
      <c r="C617" t="str">
        <f t="shared" si="64"/>
        <v>060445</v>
      </c>
      <c r="D617" t="str">
        <f t="shared" si="65"/>
        <v>TOR</v>
      </c>
      <c r="E617" t="str" cm="1">
        <f t="array" ref="E617">INDEX($E$2:$E$4, MOD(ROW()-1,3)+1)</f>
        <v>Machine 2</v>
      </c>
      <c r="F617">
        <f t="shared" ca="1" si="66"/>
        <v>3</v>
      </c>
      <c r="G617">
        <f t="shared" ca="1" si="67"/>
        <v>1</v>
      </c>
      <c r="H617">
        <f ca="1">RANDBETWEEN(1,J617-2)</f>
        <v>7</v>
      </c>
      <c r="I617">
        <f t="shared" ca="1" si="68"/>
        <v>38</v>
      </c>
      <c r="J617">
        <f t="shared" ca="1" si="69"/>
        <v>11</v>
      </c>
    </row>
    <row r="618" spans="1:10" x14ac:dyDescent="0.25">
      <c r="A618" t="s">
        <v>625</v>
      </c>
      <c r="B618" t="s">
        <v>1</v>
      </c>
      <c r="C618" t="str">
        <f t="shared" si="64"/>
        <v>060449</v>
      </c>
      <c r="D618" t="str">
        <f t="shared" si="65"/>
        <v>TOR</v>
      </c>
      <c r="E618" t="str" cm="1">
        <f t="array" ref="E618">INDEX($E$2:$E$4, MOD(ROW()-1,3)+1)</f>
        <v>Machine 3</v>
      </c>
      <c r="F618">
        <f t="shared" ca="1" si="66"/>
        <v>2</v>
      </c>
      <c r="G618">
        <f t="shared" ca="1" si="67"/>
        <v>1</v>
      </c>
      <c r="H618">
        <f ca="1">RANDBETWEEN(1,J618-2)</f>
        <v>8</v>
      </c>
      <c r="I618">
        <f t="shared" ca="1" si="68"/>
        <v>47</v>
      </c>
      <c r="J618">
        <f t="shared" ca="1" si="69"/>
        <v>10</v>
      </c>
    </row>
    <row r="619" spans="1:10" x14ac:dyDescent="0.25">
      <c r="A619" t="s">
        <v>626</v>
      </c>
      <c r="B619" t="s">
        <v>1</v>
      </c>
      <c r="C619" t="str">
        <f t="shared" si="64"/>
        <v>060452</v>
      </c>
      <c r="D619" t="str">
        <f t="shared" si="65"/>
        <v>TOR</v>
      </c>
      <c r="E619" t="str" cm="1">
        <f t="array" ref="E619">INDEX($E$2:$E$4, MOD(ROW()-1,3)+1)</f>
        <v>Machine 1</v>
      </c>
      <c r="F619">
        <f t="shared" ca="1" si="66"/>
        <v>2</v>
      </c>
      <c r="G619">
        <f t="shared" ca="1" si="67"/>
        <v>0</v>
      </c>
      <c r="H619">
        <f ca="1">RANDBETWEEN(1,J619-2)</f>
        <v>3</v>
      </c>
      <c r="I619">
        <f t="shared" ca="1" si="68"/>
        <v>42</v>
      </c>
      <c r="J619">
        <f t="shared" ca="1" si="69"/>
        <v>12</v>
      </c>
    </row>
    <row r="620" spans="1:10" x14ac:dyDescent="0.25">
      <c r="A620" t="s">
        <v>627</v>
      </c>
      <c r="B620" t="s">
        <v>1</v>
      </c>
      <c r="C620" t="str">
        <f t="shared" si="64"/>
        <v>060460</v>
      </c>
      <c r="D620" t="str">
        <f t="shared" si="65"/>
        <v>TOR</v>
      </c>
      <c r="E620" t="str" cm="1">
        <f t="array" ref="E620">INDEX($E$2:$E$4, MOD(ROW()-1,3)+1)</f>
        <v>Machine 2</v>
      </c>
      <c r="F620">
        <f t="shared" ca="1" si="66"/>
        <v>3</v>
      </c>
      <c r="G620">
        <f t="shared" ca="1" si="67"/>
        <v>0</v>
      </c>
      <c r="H620">
        <f ca="1">RANDBETWEEN(1,J620-2)</f>
        <v>9</v>
      </c>
      <c r="I620">
        <f t="shared" ca="1" si="68"/>
        <v>35</v>
      </c>
      <c r="J620">
        <f t="shared" ca="1" si="69"/>
        <v>11</v>
      </c>
    </row>
    <row r="621" spans="1:10" x14ac:dyDescent="0.25">
      <c r="A621" t="s">
        <v>628</v>
      </c>
      <c r="B621" t="s">
        <v>1</v>
      </c>
      <c r="C621" t="str">
        <f t="shared" si="64"/>
        <v>060536</v>
      </c>
      <c r="D621" t="str">
        <f t="shared" si="65"/>
        <v>TOR</v>
      </c>
      <c r="E621" t="str" cm="1">
        <f t="array" ref="E621">INDEX($E$2:$E$4, MOD(ROW()-1,3)+1)</f>
        <v>Machine 3</v>
      </c>
      <c r="F621">
        <f t="shared" ca="1" si="66"/>
        <v>2</v>
      </c>
      <c r="G621">
        <f t="shared" ca="1" si="67"/>
        <v>1</v>
      </c>
      <c r="H621">
        <f ca="1">RANDBETWEEN(1,J621-2)</f>
        <v>3</v>
      </c>
      <c r="I621">
        <f t="shared" ca="1" si="68"/>
        <v>35</v>
      </c>
      <c r="J621">
        <f t="shared" ca="1" si="69"/>
        <v>14</v>
      </c>
    </row>
    <row r="622" spans="1:10" x14ac:dyDescent="0.25">
      <c r="A622" t="s">
        <v>629</v>
      </c>
      <c r="B622" t="s">
        <v>1</v>
      </c>
      <c r="C622" t="str">
        <f t="shared" si="64"/>
        <v>060556</v>
      </c>
      <c r="D622" t="str">
        <f t="shared" si="65"/>
        <v>TOR</v>
      </c>
      <c r="E622" t="str" cm="1">
        <f t="array" ref="E622">INDEX($E$2:$E$4, MOD(ROW()-1,3)+1)</f>
        <v>Machine 1</v>
      </c>
      <c r="F622">
        <f t="shared" ca="1" si="66"/>
        <v>2</v>
      </c>
      <c r="G622">
        <f t="shared" ca="1" si="67"/>
        <v>1</v>
      </c>
      <c r="H622">
        <f ca="1">RANDBETWEEN(1,J622-2)</f>
        <v>12</v>
      </c>
      <c r="I622">
        <f t="shared" ca="1" si="68"/>
        <v>41</v>
      </c>
      <c r="J622">
        <f t="shared" ca="1" si="69"/>
        <v>14</v>
      </c>
    </row>
    <row r="623" spans="1:10" x14ac:dyDescent="0.25">
      <c r="A623" t="s">
        <v>630</v>
      </c>
      <c r="B623" t="s">
        <v>1</v>
      </c>
      <c r="C623" t="str">
        <f t="shared" si="64"/>
        <v>060571</v>
      </c>
      <c r="D623" t="str">
        <f t="shared" si="65"/>
        <v>TOR</v>
      </c>
      <c r="E623" t="str" cm="1">
        <f t="array" ref="E623">INDEX($E$2:$E$4, MOD(ROW()-1,3)+1)</f>
        <v>Machine 2</v>
      </c>
      <c r="F623">
        <f t="shared" ca="1" si="66"/>
        <v>2</v>
      </c>
      <c r="G623">
        <f t="shared" ca="1" si="67"/>
        <v>1</v>
      </c>
      <c r="H623">
        <f ca="1">RANDBETWEEN(1,J623-2)</f>
        <v>2</v>
      </c>
      <c r="I623">
        <f t="shared" ca="1" si="68"/>
        <v>47</v>
      </c>
      <c r="J623">
        <f t="shared" ca="1" si="69"/>
        <v>5</v>
      </c>
    </row>
    <row r="624" spans="1:10" x14ac:dyDescent="0.25">
      <c r="A624" t="s">
        <v>631</v>
      </c>
      <c r="B624" t="s">
        <v>1</v>
      </c>
      <c r="C624" t="str">
        <f t="shared" si="64"/>
        <v>060573</v>
      </c>
      <c r="D624" t="str">
        <f t="shared" si="65"/>
        <v>TOR</v>
      </c>
      <c r="E624" t="str" cm="1">
        <f t="array" ref="E624">INDEX($E$2:$E$4, MOD(ROW()-1,3)+1)</f>
        <v>Machine 3</v>
      </c>
      <c r="F624">
        <f t="shared" ca="1" si="66"/>
        <v>2</v>
      </c>
      <c r="G624">
        <f t="shared" ca="1" si="67"/>
        <v>0</v>
      </c>
      <c r="H624">
        <f ca="1">RANDBETWEEN(1,J624-2)</f>
        <v>1</v>
      </c>
      <c r="I624">
        <f t="shared" ca="1" si="68"/>
        <v>25</v>
      </c>
      <c r="J624">
        <f t="shared" ca="1" si="69"/>
        <v>10</v>
      </c>
    </row>
    <row r="625" spans="1:10" x14ac:dyDescent="0.25">
      <c r="A625" t="s">
        <v>632</v>
      </c>
      <c r="B625" t="s">
        <v>1</v>
      </c>
      <c r="C625" t="str">
        <f t="shared" si="64"/>
        <v>060575</v>
      </c>
      <c r="D625" t="str">
        <f t="shared" si="65"/>
        <v>TOR</v>
      </c>
      <c r="E625" t="str" cm="1">
        <f t="array" ref="E625">INDEX($E$2:$E$4, MOD(ROW()-1,3)+1)</f>
        <v>Machine 1</v>
      </c>
      <c r="F625">
        <f t="shared" ca="1" si="66"/>
        <v>2</v>
      </c>
      <c r="G625">
        <f t="shared" ca="1" si="67"/>
        <v>1</v>
      </c>
      <c r="H625">
        <f ca="1">RANDBETWEEN(1,J625-2)</f>
        <v>1</v>
      </c>
      <c r="I625">
        <f t="shared" ca="1" si="68"/>
        <v>38</v>
      </c>
      <c r="J625">
        <f t="shared" ca="1" si="69"/>
        <v>7</v>
      </c>
    </row>
    <row r="626" spans="1:10" x14ac:dyDescent="0.25">
      <c r="A626" t="s">
        <v>633</v>
      </c>
      <c r="B626" t="s">
        <v>1</v>
      </c>
      <c r="C626" t="str">
        <f t="shared" si="64"/>
        <v>060585</v>
      </c>
      <c r="D626" t="str">
        <f t="shared" si="65"/>
        <v>TOR</v>
      </c>
      <c r="E626" t="str" cm="1">
        <f t="array" ref="E626">INDEX($E$2:$E$4, MOD(ROW()-1,3)+1)</f>
        <v>Machine 2</v>
      </c>
      <c r="F626">
        <f t="shared" ca="1" si="66"/>
        <v>3</v>
      </c>
      <c r="G626">
        <f t="shared" ca="1" si="67"/>
        <v>1</v>
      </c>
      <c r="H626">
        <f ca="1">RANDBETWEEN(1,J626-2)</f>
        <v>2</v>
      </c>
      <c r="I626">
        <f t="shared" ca="1" si="68"/>
        <v>46</v>
      </c>
      <c r="J626">
        <f t="shared" ca="1" si="69"/>
        <v>11</v>
      </c>
    </row>
    <row r="627" spans="1:10" x14ac:dyDescent="0.25">
      <c r="A627" t="s">
        <v>634</v>
      </c>
      <c r="B627" t="s">
        <v>1</v>
      </c>
      <c r="C627" t="str">
        <f t="shared" si="64"/>
        <v>060587</v>
      </c>
      <c r="D627" t="str">
        <f t="shared" si="65"/>
        <v>TOR</v>
      </c>
      <c r="E627" t="str" cm="1">
        <f t="array" ref="E627">INDEX($E$2:$E$4, MOD(ROW()-1,3)+1)</f>
        <v>Machine 3</v>
      </c>
      <c r="F627">
        <f t="shared" ca="1" si="66"/>
        <v>2</v>
      </c>
      <c r="G627">
        <f t="shared" ca="1" si="67"/>
        <v>0</v>
      </c>
      <c r="H627">
        <f ca="1">RANDBETWEEN(1,J627-2)</f>
        <v>8</v>
      </c>
      <c r="I627">
        <f t="shared" ca="1" si="68"/>
        <v>38</v>
      </c>
      <c r="J627">
        <f t="shared" ca="1" si="69"/>
        <v>14</v>
      </c>
    </row>
    <row r="628" spans="1:10" x14ac:dyDescent="0.25">
      <c r="A628" t="s">
        <v>635</v>
      </c>
      <c r="B628" t="s">
        <v>1</v>
      </c>
      <c r="C628" t="str">
        <f t="shared" si="64"/>
        <v>060593</v>
      </c>
      <c r="D628" t="str">
        <f t="shared" si="65"/>
        <v>TOR</v>
      </c>
      <c r="E628" t="str" cm="1">
        <f t="array" ref="E628">INDEX($E$2:$E$4, MOD(ROW()-1,3)+1)</f>
        <v>Machine 1</v>
      </c>
      <c r="F628">
        <f t="shared" ca="1" si="66"/>
        <v>2</v>
      </c>
      <c r="G628">
        <f t="shared" ca="1" si="67"/>
        <v>0</v>
      </c>
      <c r="H628">
        <f ca="1">RANDBETWEEN(1,J628-2)</f>
        <v>6</v>
      </c>
      <c r="I628">
        <f t="shared" ca="1" si="68"/>
        <v>36</v>
      </c>
      <c r="J628">
        <f t="shared" ca="1" si="69"/>
        <v>8</v>
      </c>
    </row>
    <row r="629" spans="1:10" x14ac:dyDescent="0.25">
      <c r="A629" t="s">
        <v>636</v>
      </c>
      <c r="B629" t="s">
        <v>1</v>
      </c>
      <c r="C629" t="str">
        <f t="shared" si="64"/>
        <v>060595</v>
      </c>
      <c r="D629" t="str">
        <f t="shared" si="65"/>
        <v>TOR</v>
      </c>
      <c r="E629" t="str" cm="1">
        <f t="array" ref="E629">INDEX($E$2:$E$4, MOD(ROW()-1,3)+1)</f>
        <v>Machine 2</v>
      </c>
      <c r="F629">
        <f t="shared" ca="1" si="66"/>
        <v>2</v>
      </c>
      <c r="G629">
        <f t="shared" ca="1" si="67"/>
        <v>0</v>
      </c>
      <c r="H629">
        <f ca="1">RANDBETWEEN(1,J629-2)</f>
        <v>1</v>
      </c>
      <c r="I629">
        <f t="shared" ca="1" si="68"/>
        <v>46</v>
      </c>
      <c r="J629">
        <f t="shared" ca="1" si="69"/>
        <v>5</v>
      </c>
    </row>
    <row r="630" spans="1:10" x14ac:dyDescent="0.25">
      <c r="A630" t="s">
        <v>637</v>
      </c>
      <c r="B630" t="s">
        <v>1</v>
      </c>
      <c r="C630" t="str">
        <f t="shared" si="64"/>
        <v>060606</v>
      </c>
      <c r="D630" t="str">
        <f t="shared" si="65"/>
        <v>TOR</v>
      </c>
      <c r="E630" t="str" cm="1">
        <f t="array" ref="E630">INDEX($E$2:$E$4, MOD(ROW()-1,3)+1)</f>
        <v>Machine 3</v>
      </c>
      <c r="F630">
        <f t="shared" ca="1" si="66"/>
        <v>2</v>
      </c>
      <c r="G630">
        <f t="shared" ca="1" si="67"/>
        <v>1</v>
      </c>
      <c r="H630">
        <f ca="1">RANDBETWEEN(1,J630-2)</f>
        <v>4</v>
      </c>
      <c r="I630">
        <f t="shared" ca="1" si="68"/>
        <v>41</v>
      </c>
      <c r="J630">
        <f t="shared" ca="1" si="69"/>
        <v>9</v>
      </c>
    </row>
    <row r="631" spans="1:10" x14ac:dyDescent="0.25">
      <c r="A631" t="s">
        <v>638</v>
      </c>
      <c r="B631" t="s">
        <v>1</v>
      </c>
      <c r="C631" t="str">
        <f t="shared" si="64"/>
        <v>060608</v>
      </c>
      <c r="D631" t="str">
        <f t="shared" si="65"/>
        <v>TOR</v>
      </c>
      <c r="E631" t="str" cm="1">
        <f t="array" ref="E631">INDEX($E$2:$E$4, MOD(ROW()-1,3)+1)</f>
        <v>Machine 1</v>
      </c>
      <c r="F631">
        <f t="shared" ca="1" si="66"/>
        <v>3</v>
      </c>
      <c r="G631">
        <f t="shared" ca="1" si="67"/>
        <v>0</v>
      </c>
      <c r="H631">
        <f ca="1">RANDBETWEEN(1,J631-2)</f>
        <v>6</v>
      </c>
      <c r="I631">
        <f t="shared" ca="1" si="68"/>
        <v>31</v>
      </c>
      <c r="J631">
        <f t="shared" ca="1" si="69"/>
        <v>14</v>
      </c>
    </row>
    <row r="632" spans="1:10" x14ac:dyDescent="0.25">
      <c r="A632" t="s">
        <v>639</v>
      </c>
      <c r="B632" t="s">
        <v>1</v>
      </c>
      <c r="C632" t="str">
        <f t="shared" si="64"/>
        <v>060610</v>
      </c>
      <c r="D632" t="str">
        <f t="shared" si="65"/>
        <v>TOR</v>
      </c>
      <c r="E632" t="str" cm="1">
        <f t="array" ref="E632">INDEX($E$2:$E$4, MOD(ROW()-1,3)+1)</f>
        <v>Machine 2</v>
      </c>
      <c r="F632">
        <f t="shared" ca="1" si="66"/>
        <v>2</v>
      </c>
      <c r="G632">
        <f t="shared" ca="1" si="67"/>
        <v>0</v>
      </c>
      <c r="H632">
        <f ca="1">RANDBETWEEN(1,J632-2)</f>
        <v>2</v>
      </c>
      <c r="I632">
        <f t="shared" ca="1" si="68"/>
        <v>30</v>
      </c>
      <c r="J632">
        <f t="shared" ca="1" si="69"/>
        <v>8</v>
      </c>
    </row>
    <row r="633" spans="1:10" x14ac:dyDescent="0.25">
      <c r="A633" t="s">
        <v>640</v>
      </c>
      <c r="B633" t="s">
        <v>1</v>
      </c>
      <c r="C633" t="str">
        <f t="shared" si="64"/>
        <v>060613</v>
      </c>
      <c r="D633" t="str">
        <f t="shared" si="65"/>
        <v>TOR</v>
      </c>
      <c r="E633" t="str" cm="1">
        <f t="array" ref="E633">INDEX($E$2:$E$4, MOD(ROW()-1,3)+1)</f>
        <v>Machine 3</v>
      </c>
      <c r="F633">
        <f t="shared" ca="1" si="66"/>
        <v>3</v>
      </c>
      <c r="G633">
        <f t="shared" ca="1" si="67"/>
        <v>1</v>
      </c>
      <c r="H633">
        <f ca="1">RANDBETWEEN(1,J633-2)</f>
        <v>7</v>
      </c>
      <c r="I633">
        <f t="shared" ca="1" si="68"/>
        <v>41</v>
      </c>
      <c r="J633">
        <f t="shared" ca="1" si="69"/>
        <v>11</v>
      </c>
    </row>
    <row r="634" spans="1:10" x14ac:dyDescent="0.25">
      <c r="A634" t="s">
        <v>641</v>
      </c>
      <c r="B634" t="s">
        <v>1</v>
      </c>
      <c r="C634" t="str">
        <f t="shared" si="64"/>
        <v>060615</v>
      </c>
      <c r="D634" t="str">
        <f t="shared" si="65"/>
        <v>TOR</v>
      </c>
      <c r="E634" t="str" cm="1">
        <f t="array" ref="E634">INDEX($E$2:$E$4, MOD(ROW()-1,3)+1)</f>
        <v>Machine 1</v>
      </c>
      <c r="F634">
        <f t="shared" ca="1" si="66"/>
        <v>3</v>
      </c>
      <c r="G634">
        <f t="shared" ca="1" si="67"/>
        <v>0</v>
      </c>
      <c r="H634">
        <f ca="1">RANDBETWEEN(1,J634-2)</f>
        <v>3</v>
      </c>
      <c r="I634">
        <f t="shared" ca="1" si="68"/>
        <v>31</v>
      </c>
      <c r="J634">
        <f t="shared" ca="1" si="69"/>
        <v>12</v>
      </c>
    </row>
    <row r="635" spans="1:10" x14ac:dyDescent="0.25">
      <c r="A635" t="s">
        <v>642</v>
      </c>
      <c r="B635" t="s">
        <v>1</v>
      </c>
      <c r="C635" t="str">
        <f t="shared" si="64"/>
        <v>060617</v>
      </c>
      <c r="D635" t="str">
        <f t="shared" si="65"/>
        <v>TOR</v>
      </c>
      <c r="E635" t="str" cm="1">
        <f t="array" ref="E635">INDEX($E$2:$E$4, MOD(ROW()-1,3)+1)</f>
        <v>Machine 2</v>
      </c>
      <c r="F635">
        <f t="shared" ca="1" si="66"/>
        <v>3</v>
      </c>
      <c r="G635">
        <f t="shared" ca="1" si="67"/>
        <v>1</v>
      </c>
      <c r="H635">
        <f ca="1">RANDBETWEEN(1,J635-2)</f>
        <v>11</v>
      </c>
      <c r="I635">
        <f t="shared" ca="1" si="68"/>
        <v>44</v>
      </c>
      <c r="J635">
        <f t="shared" ca="1" si="69"/>
        <v>14</v>
      </c>
    </row>
    <row r="636" spans="1:10" x14ac:dyDescent="0.25">
      <c r="A636" t="s">
        <v>643</v>
      </c>
      <c r="B636" t="s">
        <v>1</v>
      </c>
      <c r="C636" t="str">
        <f t="shared" si="64"/>
        <v>060619</v>
      </c>
      <c r="D636" t="str">
        <f t="shared" si="65"/>
        <v>TOR</v>
      </c>
      <c r="E636" t="str" cm="1">
        <f t="array" ref="E636">INDEX($E$2:$E$4, MOD(ROW()-1,3)+1)</f>
        <v>Machine 3</v>
      </c>
      <c r="F636">
        <f t="shared" ca="1" si="66"/>
        <v>3</v>
      </c>
      <c r="G636">
        <f t="shared" ca="1" si="67"/>
        <v>0</v>
      </c>
      <c r="H636">
        <f ca="1">RANDBETWEEN(1,J636-2)</f>
        <v>3</v>
      </c>
      <c r="I636">
        <f t="shared" ca="1" si="68"/>
        <v>24</v>
      </c>
      <c r="J636">
        <f t="shared" ca="1" si="69"/>
        <v>5</v>
      </c>
    </row>
    <row r="637" spans="1:10" x14ac:dyDescent="0.25">
      <c r="A637" t="s">
        <v>644</v>
      </c>
      <c r="B637" t="s">
        <v>1</v>
      </c>
      <c r="C637" t="str">
        <f t="shared" si="64"/>
        <v>060621</v>
      </c>
      <c r="D637" t="str">
        <f t="shared" si="65"/>
        <v>TOR</v>
      </c>
      <c r="E637" t="str" cm="1">
        <f t="array" ref="E637">INDEX($E$2:$E$4, MOD(ROW()-1,3)+1)</f>
        <v>Machine 1</v>
      </c>
      <c r="F637">
        <f t="shared" ca="1" si="66"/>
        <v>2</v>
      </c>
      <c r="G637">
        <f t="shared" ca="1" si="67"/>
        <v>0</v>
      </c>
      <c r="H637">
        <f ca="1">RANDBETWEEN(1,J637-2)</f>
        <v>1</v>
      </c>
      <c r="I637">
        <f t="shared" ca="1" si="68"/>
        <v>30</v>
      </c>
      <c r="J637">
        <f t="shared" ca="1" si="69"/>
        <v>13</v>
      </c>
    </row>
    <row r="638" spans="1:10" x14ac:dyDescent="0.25">
      <c r="A638" t="s">
        <v>645</v>
      </c>
      <c r="B638" t="s">
        <v>1</v>
      </c>
      <c r="C638" t="str">
        <f t="shared" si="64"/>
        <v>060623</v>
      </c>
      <c r="D638" t="str">
        <f t="shared" si="65"/>
        <v>TOR</v>
      </c>
      <c r="E638" t="str" cm="1">
        <f t="array" ref="E638">INDEX($E$2:$E$4, MOD(ROW()-1,3)+1)</f>
        <v>Machine 2</v>
      </c>
      <c r="F638">
        <f t="shared" ca="1" si="66"/>
        <v>2</v>
      </c>
      <c r="G638">
        <f t="shared" ca="1" si="67"/>
        <v>1</v>
      </c>
      <c r="H638">
        <f ca="1">RANDBETWEEN(1,J638-2)</f>
        <v>3</v>
      </c>
      <c r="I638">
        <f t="shared" ca="1" si="68"/>
        <v>47</v>
      </c>
      <c r="J638">
        <f t="shared" ca="1" si="69"/>
        <v>12</v>
      </c>
    </row>
    <row r="639" spans="1:10" x14ac:dyDescent="0.25">
      <c r="A639" t="s">
        <v>646</v>
      </c>
      <c r="B639" t="s">
        <v>1</v>
      </c>
      <c r="C639" t="str">
        <f t="shared" si="64"/>
        <v>060625</v>
      </c>
      <c r="D639" t="str">
        <f t="shared" si="65"/>
        <v>TOR</v>
      </c>
      <c r="E639" t="str" cm="1">
        <f t="array" ref="E639">INDEX($E$2:$E$4, MOD(ROW()-1,3)+1)</f>
        <v>Machine 3</v>
      </c>
      <c r="F639">
        <f t="shared" ca="1" si="66"/>
        <v>2</v>
      </c>
      <c r="G639">
        <f t="shared" ca="1" si="67"/>
        <v>0</v>
      </c>
      <c r="H639">
        <f ca="1">RANDBETWEEN(1,J639-2)</f>
        <v>4</v>
      </c>
      <c r="I639">
        <f t="shared" ca="1" si="68"/>
        <v>40</v>
      </c>
      <c r="J639">
        <f t="shared" ca="1" si="69"/>
        <v>7</v>
      </c>
    </row>
    <row r="640" spans="1:10" x14ac:dyDescent="0.25">
      <c r="A640" t="s">
        <v>647</v>
      </c>
      <c r="B640" t="s">
        <v>1</v>
      </c>
      <c r="C640" t="str">
        <f t="shared" si="64"/>
        <v>060630</v>
      </c>
      <c r="D640" t="str">
        <f t="shared" si="65"/>
        <v>TOR</v>
      </c>
      <c r="E640" t="str" cm="1">
        <f t="array" ref="E640">INDEX($E$2:$E$4, MOD(ROW()-1,3)+1)</f>
        <v>Machine 1</v>
      </c>
      <c r="F640">
        <f t="shared" ca="1" si="66"/>
        <v>2</v>
      </c>
      <c r="G640">
        <f t="shared" ca="1" si="67"/>
        <v>0</v>
      </c>
      <c r="H640">
        <f ca="1">RANDBETWEEN(1,J640-2)</f>
        <v>2</v>
      </c>
      <c r="I640">
        <f t="shared" ca="1" si="68"/>
        <v>25</v>
      </c>
      <c r="J640">
        <f t="shared" ca="1" si="69"/>
        <v>6</v>
      </c>
    </row>
    <row r="641" spans="1:10" x14ac:dyDescent="0.25">
      <c r="A641" t="s">
        <v>648</v>
      </c>
      <c r="B641" t="s">
        <v>1</v>
      </c>
      <c r="C641" t="str">
        <f t="shared" si="64"/>
        <v>060632</v>
      </c>
      <c r="D641" t="str">
        <f t="shared" si="65"/>
        <v>TOR</v>
      </c>
      <c r="E641" t="str" cm="1">
        <f t="array" ref="E641">INDEX($E$2:$E$4, MOD(ROW()-1,3)+1)</f>
        <v>Machine 2</v>
      </c>
      <c r="F641">
        <f t="shared" ca="1" si="66"/>
        <v>2</v>
      </c>
      <c r="G641">
        <f t="shared" ca="1" si="67"/>
        <v>1</v>
      </c>
      <c r="H641">
        <f ca="1">RANDBETWEEN(1,J641-2)</f>
        <v>2</v>
      </c>
      <c r="I641">
        <f t="shared" ca="1" si="68"/>
        <v>46</v>
      </c>
      <c r="J641">
        <f t="shared" ca="1" si="69"/>
        <v>11</v>
      </c>
    </row>
    <row r="642" spans="1:10" x14ac:dyDescent="0.25">
      <c r="A642" t="s">
        <v>649</v>
      </c>
      <c r="B642" t="s">
        <v>1</v>
      </c>
      <c r="C642" t="str">
        <f t="shared" si="64"/>
        <v>060634</v>
      </c>
      <c r="D642" t="str">
        <f t="shared" si="65"/>
        <v>TOR</v>
      </c>
      <c r="E642" t="str" cm="1">
        <f t="array" ref="E642">INDEX($E$2:$E$4, MOD(ROW()-1,3)+1)</f>
        <v>Machine 3</v>
      </c>
      <c r="F642">
        <f t="shared" ca="1" si="66"/>
        <v>2</v>
      </c>
      <c r="G642">
        <f t="shared" ca="1" si="67"/>
        <v>0</v>
      </c>
      <c r="H642">
        <f ca="1">RANDBETWEEN(1,J642-2)</f>
        <v>6</v>
      </c>
      <c r="I642">
        <f t="shared" ca="1" si="68"/>
        <v>33</v>
      </c>
      <c r="J642">
        <f t="shared" ca="1" si="69"/>
        <v>10</v>
      </c>
    </row>
    <row r="643" spans="1:10" x14ac:dyDescent="0.25">
      <c r="A643" t="s">
        <v>650</v>
      </c>
      <c r="B643" t="s">
        <v>1</v>
      </c>
      <c r="C643" t="str">
        <f t="shared" ref="C643:C706" si="70">RIGHT(A643,6)</f>
        <v>060636</v>
      </c>
      <c r="D643" t="str">
        <f t="shared" ref="D643:D706" si="71">RIGHT(B643,3)</f>
        <v>TOR</v>
      </c>
      <c r="E643" t="str" cm="1">
        <f t="array" ref="E643">INDEX($E$2:$E$4, MOD(ROW()-1,3)+1)</f>
        <v>Machine 1</v>
      </c>
      <c r="F643">
        <f t="shared" ref="F643:F706" ca="1" si="72">RANDBETWEEN(2,3)</f>
        <v>2</v>
      </c>
      <c r="G643">
        <f t="shared" ref="G643:G706" ca="1" si="73">RANDBETWEEN(0,1)</f>
        <v>1</v>
      </c>
      <c r="H643">
        <f ca="1">RANDBETWEEN(1,J643-2)</f>
        <v>2</v>
      </c>
      <c r="I643">
        <f t="shared" ref="I643:I706" ca="1" si="74">RANDBETWEEN(24,48)</f>
        <v>39</v>
      </c>
      <c r="J643">
        <f t="shared" ref="J643:J706" ca="1" si="75">RANDBETWEEN(5,15)</f>
        <v>5</v>
      </c>
    </row>
    <row r="644" spans="1:10" x14ac:dyDescent="0.25">
      <c r="A644" t="s">
        <v>651</v>
      </c>
      <c r="B644" t="s">
        <v>1</v>
      </c>
      <c r="C644" t="str">
        <f t="shared" si="70"/>
        <v>060638</v>
      </c>
      <c r="D644" t="str">
        <f t="shared" si="71"/>
        <v>TOR</v>
      </c>
      <c r="E644" t="str" cm="1">
        <f t="array" ref="E644">INDEX($E$2:$E$4, MOD(ROW()-1,3)+1)</f>
        <v>Machine 2</v>
      </c>
      <c r="F644">
        <f t="shared" ca="1" si="72"/>
        <v>3</v>
      </c>
      <c r="G644">
        <f t="shared" ca="1" si="73"/>
        <v>0</v>
      </c>
      <c r="H644">
        <f ca="1">RANDBETWEEN(1,J644-2)</f>
        <v>2</v>
      </c>
      <c r="I644">
        <f t="shared" ca="1" si="74"/>
        <v>32</v>
      </c>
      <c r="J644">
        <f t="shared" ca="1" si="75"/>
        <v>6</v>
      </c>
    </row>
    <row r="645" spans="1:10" x14ac:dyDescent="0.25">
      <c r="A645" t="s">
        <v>652</v>
      </c>
      <c r="B645" t="s">
        <v>1</v>
      </c>
      <c r="C645" t="str">
        <f t="shared" si="70"/>
        <v>060640</v>
      </c>
      <c r="D645" t="str">
        <f t="shared" si="71"/>
        <v>TOR</v>
      </c>
      <c r="E645" t="str" cm="1">
        <f t="array" ref="E645">INDEX($E$2:$E$4, MOD(ROW()-1,3)+1)</f>
        <v>Machine 3</v>
      </c>
      <c r="F645">
        <f t="shared" ca="1" si="72"/>
        <v>2</v>
      </c>
      <c r="G645">
        <f t="shared" ca="1" si="73"/>
        <v>1</v>
      </c>
      <c r="H645">
        <f ca="1">RANDBETWEEN(1,J645-2)</f>
        <v>2</v>
      </c>
      <c r="I645">
        <f t="shared" ca="1" si="74"/>
        <v>31</v>
      </c>
      <c r="J645">
        <f t="shared" ca="1" si="75"/>
        <v>5</v>
      </c>
    </row>
    <row r="646" spans="1:10" x14ac:dyDescent="0.25">
      <c r="A646" t="s">
        <v>653</v>
      </c>
      <c r="B646" t="s">
        <v>1</v>
      </c>
      <c r="C646" t="str">
        <f t="shared" si="70"/>
        <v>060642</v>
      </c>
      <c r="D646" t="str">
        <f t="shared" si="71"/>
        <v>TOR</v>
      </c>
      <c r="E646" t="str" cm="1">
        <f t="array" ref="E646">INDEX($E$2:$E$4, MOD(ROW()-1,3)+1)</f>
        <v>Machine 1</v>
      </c>
      <c r="F646">
        <f t="shared" ca="1" si="72"/>
        <v>3</v>
      </c>
      <c r="G646">
        <f t="shared" ca="1" si="73"/>
        <v>1</v>
      </c>
      <c r="H646">
        <f ca="1">RANDBETWEEN(1,J646-2)</f>
        <v>10</v>
      </c>
      <c r="I646">
        <f t="shared" ca="1" si="74"/>
        <v>36</v>
      </c>
      <c r="J646">
        <f t="shared" ca="1" si="75"/>
        <v>15</v>
      </c>
    </row>
    <row r="647" spans="1:10" x14ac:dyDescent="0.25">
      <c r="A647" t="s">
        <v>654</v>
      </c>
      <c r="B647" t="s">
        <v>1</v>
      </c>
      <c r="C647" t="str">
        <f t="shared" si="70"/>
        <v>060644</v>
      </c>
      <c r="D647" t="str">
        <f t="shared" si="71"/>
        <v>TOR</v>
      </c>
      <c r="E647" t="str" cm="1">
        <f t="array" ref="E647">INDEX($E$2:$E$4, MOD(ROW()-1,3)+1)</f>
        <v>Machine 2</v>
      </c>
      <c r="F647">
        <f t="shared" ca="1" si="72"/>
        <v>2</v>
      </c>
      <c r="G647">
        <f t="shared" ca="1" si="73"/>
        <v>1</v>
      </c>
      <c r="H647">
        <f ca="1">RANDBETWEEN(1,J647-2)</f>
        <v>10</v>
      </c>
      <c r="I647">
        <f t="shared" ca="1" si="74"/>
        <v>36</v>
      </c>
      <c r="J647">
        <f t="shared" ca="1" si="75"/>
        <v>13</v>
      </c>
    </row>
    <row r="648" spans="1:10" x14ac:dyDescent="0.25">
      <c r="A648" t="s">
        <v>655</v>
      </c>
      <c r="B648" t="s">
        <v>1</v>
      </c>
      <c r="C648" t="str">
        <f t="shared" si="70"/>
        <v>060646</v>
      </c>
      <c r="D648" t="str">
        <f t="shared" si="71"/>
        <v>TOR</v>
      </c>
      <c r="E648" t="str" cm="1">
        <f t="array" ref="E648">INDEX($E$2:$E$4, MOD(ROW()-1,3)+1)</f>
        <v>Machine 3</v>
      </c>
      <c r="F648">
        <f t="shared" ca="1" si="72"/>
        <v>3</v>
      </c>
      <c r="G648">
        <f t="shared" ca="1" si="73"/>
        <v>1</v>
      </c>
      <c r="H648">
        <f ca="1">RANDBETWEEN(1,J648-2)</f>
        <v>4</v>
      </c>
      <c r="I648">
        <f t="shared" ca="1" si="74"/>
        <v>47</v>
      </c>
      <c r="J648">
        <f t="shared" ca="1" si="75"/>
        <v>14</v>
      </c>
    </row>
    <row r="649" spans="1:10" x14ac:dyDescent="0.25">
      <c r="A649" t="s">
        <v>656</v>
      </c>
      <c r="B649" t="s">
        <v>1</v>
      </c>
      <c r="C649" t="str">
        <f t="shared" si="70"/>
        <v>060650</v>
      </c>
      <c r="D649" t="str">
        <f t="shared" si="71"/>
        <v>TOR</v>
      </c>
      <c r="E649" t="str" cm="1">
        <f t="array" ref="E649">INDEX($E$2:$E$4, MOD(ROW()-1,3)+1)</f>
        <v>Machine 1</v>
      </c>
      <c r="F649">
        <f t="shared" ca="1" si="72"/>
        <v>2</v>
      </c>
      <c r="G649">
        <f t="shared" ca="1" si="73"/>
        <v>0</v>
      </c>
      <c r="H649">
        <f ca="1">RANDBETWEEN(1,J649-2)</f>
        <v>3</v>
      </c>
      <c r="I649">
        <f t="shared" ca="1" si="74"/>
        <v>43</v>
      </c>
      <c r="J649">
        <f t="shared" ca="1" si="75"/>
        <v>15</v>
      </c>
    </row>
    <row r="650" spans="1:10" x14ac:dyDescent="0.25">
      <c r="A650" t="s">
        <v>657</v>
      </c>
      <c r="B650" t="s">
        <v>1</v>
      </c>
      <c r="C650" t="str">
        <f t="shared" si="70"/>
        <v>060652</v>
      </c>
      <c r="D650" t="str">
        <f t="shared" si="71"/>
        <v>TOR</v>
      </c>
      <c r="E650" t="str" cm="1">
        <f t="array" ref="E650">INDEX($E$2:$E$4, MOD(ROW()-1,3)+1)</f>
        <v>Machine 2</v>
      </c>
      <c r="F650">
        <f t="shared" ca="1" si="72"/>
        <v>2</v>
      </c>
      <c r="G650">
        <f t="shared" ca="1" si="73"/>
        <v>1</v>
      </c>
      <c r="H650">
        <f ca="1">RANDBETWEEN(1,J650-2)</f>
        <v>7</v>
      </c>
      <c r="I650">
        <f t="shared" ca="1" si="74"/>
        <v>46</v>
      </c>
      <c r="J650">
        <f t="shared" ca="1" si="75"/>
        <v>9</v>
      </c>
    </row>
    <row r="651" spans="1:10" x14ac:dyDescent="0.25">
      <c r="A651" t="s">
        <v>658</v>
      </c>
      <c r="B651" t="s">
        <v>1</v>
      </c>
      <c r="C651" t="str">
        <f t="shared" si="70"/>
        <v>060654</v>
      </c>
      <c r="D651" t="str">
        <f t="shared" si="71"/>
        <v>TOR</v>
      </c>
      <c r="E651" t="str" cm="1">
        <f t="array" ref="E651">INDEX($E$2:$E$4, MOD(ROW()-1,3)+1)</f>
        <v>Machine 3</v>
      </c>
      <c r="F651">
        <f t="shared" ca="1" si="72"/>
        <v>3</v>
      </c>
      <c r="G651">
        <f t="shared" ca="1" si="73"/>
        <v>1</v>
      </c>
      <c r="H651">
        <f ca="1">RANDBETWEEN(1,J651-2)</f>
        <v>5</v>
      </c>
      <c r="I651">
        <f t="shared" ca="1" si="74"/>
        <v>26</v>
      </c>
      <c r="J651">
        <f t="shared" ca="1" si="75"/>
        <v>9</v>
      </c>
    </row>
    <row r="652" spans="1:10" x14ac:dyDescent="0.25">
      <c r="A652" t="s">
        <v>659</v>
      </c>
      <c r="B652" t="s">
        <v>1</v>
      </c>
      <c r="C652" t="str">
        <f t="shared" si="70"/>
        <v>060657</v>
      </c>
      <c r="D652" t="str">
        <f t="shared" si="71"/>
        <v>TOR</v>
      </c>
      <c r="E652" t="str" cm="1">
        <f t="array" ref="E652">INDEX($E$2:$E$4, MOD(ROW()-1,3)+1)</f>
        <v>Machine 1</v>
      </c>
      <c r="F652">
        <f t="shared" ca="1" si="72"/>
        <v>2</v>
      </c>
      <c r="G652">
        <f t="shared" ca="1" si="73"/>
        <v>1</v>
      </c>
      <c r="H652">
        <f ca="1">RANDBETWEEN(1,J652-2)</f>
        <v>5</v>
      </c>
      <c r="I652">
        <f t="shared" ca="1" si="74"/>
        <v>40</v>
      </c>
      <c r="J652">
        <f t="shared" ca="1" si="75"/>
        <v>11</v>
      </c>
    </row>
    <row r="653" spans="1:10" x14ac:dyDescent="0.25">
      <c r="A653" t="s">
        <v>660</v>
      </c>
      <c r="B653" t="s">
        <v>1</v>
      </c>
      <c r="C653" t="str">
        <f t="shared" si="70"/>
        <v>060659</v>
      </c>
      <c r="D653" t="str">
        <f t="shared" si="71"/>
        <v>TOR</v>
      </c>
      <c r="E653" t="str" cm="1">
        <f t="array" ref="E653">INDEX($E$2:$E$4, MOD(ROW()-1,3)+1)</f>
        <v>Machine 2</v>
      </c>
      <c r="F653">
        <f t="shared" ca="1" si="72"/>
        <v>3</v>
      </c>
      <c r="G653">
        <f t="shared" ca="1" si="73"/>
        <v>0</v>
      </c>
      <c r="H653">
        <f ca="1">RANDBETWEEN(1,J653-2)</f>
        <v>3</v>
      </c>
      <c r="I653">
        <f t="shared" ca="1" si="74"/>
        <v>40</v>
      </c>
      <c r="J653">
        <f t="shared" ca="1" si="75"/>
        <v>6</v>
      </c>
    </row>
    <row r="654" spans="1:10" x14ac:dyDescent="0.25">
      <c r="A654" t="s">
        <v>661</v>
      </c>
      <c r="B654" t="s">
        <v>1</v>
      </c>
      <c r="C654" t="str">
        <f t="shared" si="70"/>
        <v>060661</v>
      </c>
      <c r="D654" t="str">
        <f t="shared" si="71"/>
        <v>TOR</v>
      </c>
      <c r="E654" t="str" cm="1">
        <f t="array" ref="E654">INDEX($E$2:$E$4, MOD(ROW()-1,3)+1)</f>
        <v>Machine 3</v>
      </c>
      <c r="F654">
        <f t="shared" ca="1" si="72"/>
        <v>3</v>
      </c>
      <c r="G654">
        <f t="shared" ca="1" si="73"/>
        <v>0</v>
      </c>
      <c r="H654">
        <f ca="1">RANDBETWEEN(1,J654-2)</f>
        <v>6</v>
      </c>
      <c r="I654">
        <f t="shared" ca="1" si="74"/>
        <v>25</v>
      </c>
      <c r="J654">
        <f t="shared" ca="1" si="75"/>
        <v>12</v>
      </c>
    </row>
    <row r="655" spans="1:10" x14ac:dyDescent="0.25">
      <c r="A655" t="s">
        <v>662</v>
      </c>
      <c r="B655" t="s">
        <v>1</v>
      </c>
      <c r="C655" t="str">
        <f t="shared" si="70"/>
        <v>060663</v>
      </c>
      <c r="D655" t="str">
        <f t="shared" si="71"/>
        <v>TOR</v>
      </c>
      <c r="E655" t="str" cm="1">
        <f t="array" ref="E655">INDEX($E$2:$E$4, MOD(ROW()-1,3)+1)</f>
        <v>Machine 1</v>
      </c>
      <c r="F655">
        <f t="shared" ca="1" si="72"/>
        <v>3</v>
      </c>
      <c r="G655">
        <f t="shared" ca="1" si="73"/>
        <v>1</v>
      </c>
      <c r="H655">
        <f ca="1">RANDBETWEEN(1,J655-2)</f>
        <v>8</v>
      </c>
      <c r="I655">
        <f t="shared" ca="1" si="74"/>
        <v>40</v>
      </c>
      <c r="J655">
        <f t="shared" ca="1" si="75"/>
        <v>15</v>
      </c>
    </row>
    <row r="656" spans="1:10" x14ac:dyDescent="0.25">
      <c r="A656" t="s">
        <v>663</v>
      </c>
      <c r="B656" t="s">
        <v>1</v>
      </c>
      <c r="C656" t="str">
        <f t="shared" si="70"/>
        <v>060665</v>
      </c>
      <c r="D656" t="str">
        <f t="shared" si="71"/>
        <v>TOR</v>
      </c>
      <c r="E656" t="str" cm="1">
        <f t="array" ref="E656">INDEX($E$2:$E$4, MOD(ROW()-1,3)+1)</f>
        <v>Machine 2</v>
      </c>
      <c r="F656">
        <f t="shared" ca="1" si="72"/>
        <v>2</v>
      </c>
      <c r="G656">
        <f t="shared" ca="1" si="73"/>
        <v>0</v>
      </c>
      <c r="H656">
        <f ca="1">RANDBETWEEN(1,J656-2)</f>
        <v>1</v>
      </c>
      <c r="I656">
        <f t="shared" ca="1" si="74"/>
        <v>48</v>
      </c>
      <c r="J656">
        <f t="shared" ca="1" si="75"/>
        <v>6</v>
      </c>
    </row>
    <row r="657" spans="1:10" x14ac:dyDescent="0.25">
      <c r="A657" t="s">
        <v>664</v>
      </c>
      <c r="B657" t="s">
        <v>1</v>
      </c>
      <c r="C657" t="str">
        <f t="shared" si="70"/>
        <v>060667</v>
      </c>
      <c r="D657" t="str">
        <f t="shared" si="71"/>
        <v>TOR</v>
      </c>
      <c r="E657" t="str" cm="1">
        <f t="array" ref="E657">INDEX($E$2:$E$4, MOD(ROW()-1,3)+1)</f>
        <v>Machine 3</v>
      </c>
      <c r="F657">
        <f t="shared" ca="1" si="72"/>
        <v>2</v>
      </c>
      <c r="G657">
        <f t="shared" ca="1" si="73"/>
        <v>0</v>
      </c>
      <c r="H657">
        <f ca="1">RANDBETWEEN(1,J657-2)</f>
        <v>7</v>
      </c>
      <c r="I657">
        <f t="shared" ca="1" si="74"/>
        <v>46</v>
      </c>
      <c r="J657">
        <f t="shared" ca="1" si="75"/>
        <v>10</v>
      </c>
    </row>
    <row r="658" spans="1:10" x14ac:dyDescent="0.25">
      <c r="A658" t="s">
        <v>665</v>
      </c>
      <c r="B658" t="s">
        <v>1</v>
      </c>
      <c r="C658" t="str">
        <f t="shared" si="70"/>
        <v>060669</v>
      </c>
      <c r="D658" t="str">
        <f t="shared" si="71"/>
        <v>TOR</v>
      </c>
      <c r="E658" t="str" cm="1">
        <f t="array" ref="E658">INDEX($E$2:$E$4, MOD(ROW()-1,3)+1)</f>
        <v>Machine 1</v>
      </c>
      <c r="F658">
        <f t="shared" ca="1" si="72"/>
        <v>2</v>
      </c>
      <c r="G658">
        <f t="shared" ca="1" si="73"/>
        <v>0</v>
      </c>
      <c r="H658">
        <f ca="1">RANDBETWEEN(1,J658-2)</f>
        <v>4</v>
      </c>
      <c r="I658">
        <f t="shared" ca="1" si="74"/>
        <v>26</v>
      </c>
      <c r="J658">
        <f t="shared" ca="1" si="75"/>
        <v>8</v>
      </c>
    </row>
    <row r="659" spans="1:10" x14ac:dyDescent="0.25">
      <c r="A659" t="s">
        <v>666</v>
      </c>
      <c r="B659" t="s">
        <v>1</v>
      </c>
      <c r="C659" t="str">
        <f t="shared" si="70"/>
        <v>060671</v>
      </c>
      <c r="D659" t="str">
        <f t="shared" si="71"/>
        <v>TOR</v>
      </c>
      <c r="E659" t="str" cm="1">
        <f t="array" ref="E659">INDEX($E$2:$E$4, MOD(ROW()-1,3)+1)</f>
        <v>Machine 2</v>
      </c>
      <c r="F659">
        <f t="shared" ca="1" si="72"/>
        <v>3</v>
      </c>
      <c r="G659">
        <f t="shared" ca="1" si="73"/>
        <v>0</v>
      </c>
      <c r="H659">
        <f ca="1">RANDBETWEEN(1,J659-2)</f>
        <v>4</v>
      </c>
      <c r="I659">
        <f t="shared" ca="1" si="74"/>
        <v>30</v>
      </c>
      <c r="J659">
        <f t="shared" ca="1" si="75"/>
        <v>7</v>
      </c>
    </row>
    <row r="660" spans="1:10" x14ac:dyDescent="0.25">
      <c r="A660" t="s">
        <v>667</v>
      </c>
      <c r="B660" t="s">
        <v>1</v>
      </c>
      <c r="C660" t="str">
        <f t="shared" si="70"/>
        <v>060673</v>
      </c>
      <c r="D660" t="str">
        <f t="shared" si="71"/>
        <v>TOR</v>
      </c>
      <c r="E660" t="str" cm="1">
        <f t="array" ref="E660">INDEX($E$2:$E$4, MOD(ROW()-1,3)+1)</f>
        <v>Machine 3</v>
      </c>
      <c r="F660">
        <f t="shared" ca="1" si="72"/>
        <v>2</v>
      </c>
      <c r="G660">
        <f t="shared" ca="1" si="73"/>
        <v>0</v>
      </c>
      <c r="H660">
        <f ca="1">RANDBETWEEN(1,J660-2)</f>
        <v>4</v>
      </c>
      <c r="I660">
        <f t="shared" ca="1" si="74"/>
        <v>43</v>
      </c>
      <c r="J660">
        <f t="shared" ca="1" si="75"/>
        <v>14</v>
      </c>
    </row>
    <row r="661" spans="1:10" x14ac:dyDescent="0.25">
      <c r="A661" t="s">
        <v>668</v>
      </c>
      <c r="B661" t="s">
        <v>1</v>
      </c>
      <c r="C661" t="str">
        <f t="shared" si="70"/>
        <v>060675</v>
      </c>
      <c r="D661" t="str">
        <f t="shared" si="71"/>
        <v>TOR</v>
      </c>
      <c r="E661" t="str" cm="1">
        <f t="array" ref="E661">INDEX($E$2:$E$4, MOD(ROW()-1,3)+1)</f>
        <v>Machine 1</v>
      </c>
      <c r="F661">
        <f t="shared" ca="1" si="72"/>
        <v>3</v>
      </c>
      <c r="G661">
        <f t="shared" ca="1" si="73"/>
        <v>1</v>
      </c>
      <c r="H661">
        <f ca="1">RANDBETWEEN(1,J661-2)</f>
        <v>8</v>
      </c>
      <c r="I661">
        <f t="shared" ca="1" si="74"/>
        <v>29</v>
      </c>
      <c r="J661">
        <f t="shared" ca="1" si="75"/>
        <v>11</v>
      </c>
    </row>
    <row r="662" spans="1:10" x14ac:dyDescent="0.25">
      <c r="A662" t="s">
        <v>669</v>
      </c>
      <c r="B662" t="s">
        <v>1</v>
      </c>
      <c r="C662" t="str">
        <f t="shared" si="70"/>
        <v>060679</v>
      </c>
      <c r="D662" t="str">
        <f t="shared" si="71"/>
        <v>TOR</v>
      </c>
      <c r="E662" t="str" cm="1">
        <f t="array" ref="E662">INDEX($E$2:$E$4, MOD(ROW()-1,3)+1)</f>
        <v>Machine 2</v>
      </c>
      <c r="F662">
        <f t="shared" ca="1" si="72"/>
        <v>3</v>
      </c>
      <c r="G662">
        <f t="shared" ca="1" si="73"/>
        <v>1</v>
      </c>
      <c r="H662">
        <f ca="1">RANDBETWEEN(1,J662-2)</f>
        <v>7</v>
      </c>
      <c r="I662">
        <f t="shared" ca="1" si="74"/>
        <v>36</v>
      </c>
      <c r="J662">
        <f t="shared" ca="1" si="75"/>
        <v>11</v>
      </c>
    </row>
    <row r="663" spans="1:10" x14ac:dyDescent="0.25">
      <c r="A663" t="s">
        <v>670</v>
      </c>
      <c r="B663" t="s">
        <v>1</v>
      </c>
      <c r="C663" t="str">
        <f t="shared" si="70"/>
        <v>060683</v>
      </c>
      <c r="D663" t="str">
        <f t="shared" si="71"/>
        <v>TOR</v>
      </c>
      <c r="E663" t="str" cm="1">
        <f t="array" ref="E663">INDEX($E$2:$E$4, MOD(ROW()-1,3)+1)</f>
        <v>Machine 3</v>
      </c>
      <c r="F663">
        <f t="shared" ca="1" si="72"/>
        <v>2</v>
      </c>
      <c r="G663">
        <f t="shared" ca="1" si="73"/>
        <v>0</v>
      </c>
      <c r="H663">
        <f ca="1">RANDBETWEEN(1,J663-2)</f>
        <v>5</v>
      </c>
      <c r="I663">
        <f t="shared" ca="1" si="74"/>
        <v>30</v>
      </c>
      <c r="J663">
        <f t="shared" ca="1" si="75"/>
        <v>15</v>
      </c>
    </row>
    <row r="664" spans="1:10" x14ac:dyDescent="0.25">
      <c r="A664" t="s">
        <v>671</v>
      </c>
      <c r="B664" t="s">
        <v>1</v>
      </c>
      <c r="C664" t="str">
        <f t="shared" si="70"/>
        <v>060685</v>
      </c>
      <c r="D664" t="str">
        <f t="shared" si="71"/>
        <v>TOR</v>
      </c>
      <c r="E664" t="str" cm="1">
        <f t="array" ref="E664">INDEX($E$2:$E$4, MOD(ROW()-1,3)+1)</f>
        <v>Machine 1</v>
      </c>
      <c r="F664">
        <f t="shared" ca="1" si="72"/>
        <v>2</v>
      </c>
      <c r="G664">
        <f t="shared" ca="1" si="73"/>
        <v>1</v>
      </c>
      <c r="H664">
        <f ca="1">RANDBETWEEN(1,J664-2)</f>
        <v>1</v>
      </c>
      <c r="I664">
        <f t="shared" ca="1" si="74"/>
        <v>27</v>
      </c>
      <c r="J664">
        <f t="shared" ca="1" si="75"/>
        <v>9</v>
      </c>
    </row>
    <row r="665" spans="1:10" x14ac:dyDescent="0.25">
      <c r="A665" t="s">
        <v>672</v>
      </c>
      <c r="B665" t="s">
        <v>1</v>
      </c>
      <c r="C665" t="str">
        <f t="shared" si="70"/>
        <v>060688</v>
      </c>
      <c r="D665" t="str">
        <f t="shared" si="71"/>
        <v>TOR</v>
      </c>
      <c r="E665" t="str" cm="1">
        <f t="array" ref="E665">INDEX($E$2:$E$4, MOD(ROW()-1,3)+1)</f>
        <v>Machine 2</v>
      </c>
      <c r="F665">
        <f t="shared" ca="1" si="72"/>
        <v>3</v>
      </c>
      <c r="G665">
        <f t="shared" ca="1" si="73"/>
        <v>0</v>
      </c>
      <c r="H665">
        <f ca="1">RANDBETWEEN(1,J665-2)</f>
        <v>3</v>
      </c>
      <c r="I665">
        <f t="shared" ca="1" si="74"/>
        <v>27</v>
      </c>
      <c r="J665">
        <f t="shared" ca="1" si="75"/>
        <v>14</v>
      </c>
    </row>
    <row r="666" spans="1:10" x14ac:dyDescent="0.25">
      <c r="A666" t="s">
        <v>673</v>
      </c>
      <c r="B666" t="s">
        <v>1</v>
      </c>
      <c r="C666" t="str">
        <f t="shared" si="70"/>
        <v>060690</v>
      </c>
      <c r="D666" t="str">
        <f t="shared" si="71"/>
        <v>TOR</v>
      </c>
      <c r="E666" t="str" cm="1">
        <f t="array" ref="E666">INDEX($E$2:$E$4, MOD(ROW()-1,3)+1)</f>
        <v>Machine 3</v>
      </c>
      <c r="F666">
        <f t="shared" ca="1" si="72"/>
        <v>3</v>
      </c>
      <c r="G666">
        <f t="shared" ca="1" si="73"/>
        <v>0</v>
      </c>
      <c r="H666">
        <f ca="1">RANDBETWEEN(1,J666-2)</f>
        <v>3</v>
      </c>
      <c r="I666">
        <f t="shared" ca="1" si="74"/>
        <v>39</v>
      </c>
      <c r="J666">
        <f t="shared" ca="1" si="75"/>
        <v>9</v>
      </c>
    </row>
    <row r="667" spans="1:10" x14ac:dyDescent="0.25">
      <c r="A667" t="s">
        <v>674</v>
      </c>
      <c r="B667" t="s">
        <v>1</v>
      </c>
      <c r="C667" t="str">
        <f t="shared" si="70"/>
        <v>060694</v>
      </c>
      <c r="D667" t="str">
        <f t="shared" si="71"/>
        <v>TOR</v>
      </c>
      <c r="E667" t="str" cm="1">
        <f t="array" ref="E667">INDEX($E$2:$E$4, MOD(ROW()-1,3)+1)</f>
        <v>Machine 1</v>
      </c>
      <c r="F667">
        <f t="shared" ca="1" si="72"/>
        <v>2</v>
      </c>
      <c r="G667">
        <f t="shared" ca="1" si="73"/>
        <v>1</v>
      </c>
      <c r="H667">
        <f ca="1">RANDBETWEEN(1,J667-2)</f>
        <v>1</v>
      </c>
      <c r="I667">
        <f t="shared" ca="1" si="74"/>
        <v>39</v>
      </c>
      <c r="J667">
        <f t="shared" ca="1" si="75"/>
        <v>11</v>
      </c>
    </row>
    <row r="668" spans="1:10" x14ac:dyDescent="0.25">
      <c r="A668" t="s">
        <v>675</v>
      </c>
      <c r="B668" t="s">
        <v>1</v>
      </c>
      <c r="C668" t="str">
        <f t="shared" si="70"/>
        <v>060696</v>
      </c>
      <c r="D668" t="str">
        <f t="shared" si="71"/>
        <v>TOR</v>
      </c>
      <c r="E668" t="str" cm="1">
        <f t="array" ref="E668">INDEX($E$2:$E$4, MOD(ROW()-1,3)+1)</f>
        <v>Machine 2</v>
      </c>
      <c r="F668">
        <f t="shared" ca="1" si="72"/>
        <v>2</v>
      </c>
      <c r="G668">
        <f t="shared" ca="1" si="73"/>
        <v>0</v>
      </c>
      <c r="H668">
        <f ca="1">RANDBETWEEN(1,J668-2)</f>
        <v>4</v>
      </c>
      <c r="I668">
        <f t="shared" ca="1" si="74"/>
        <v>46</v>
      </c>
      <c r="J668">
        <f t="shared" ca="1" si="75"/>
        <v>6</v>
      </c>
    </row>
    <row r="669" spans="1:10" x14ac:dyDescent="0.25">
      <c r="A669" t="s">
        <v>676</v>
      </c>
      <c r="B669" t="s">
        <v>1</v>
      </c>
      <c r="C669" t="str">
        <f t="shared" si="70"/>
        <v>060698</v>
      </c>
      <c r="D669" t="str">
        <f t="shared" si="71"/>
        <v>TOR</v>
      </c>
      <c r="E669" t="str" cm="1">
        <f t="array" ref="E669">INDEX($E$2:$E$4, MOD(ROW()-1,3)+1)</f>
        <v>Machine 3</v>
      </c>
      <c r="F669">
        <f t="shared" ca="1" si="72"/>
        <v>3</v>
      </c>
      <c r="G669">
        <f t="shared" ca="1" si="73"/>
        <v>1</v>
      </c>
      <c r="H669">
        <f ca="1">RANDBETWEEN(1,J669-2)</f>
        <v>5</v>
      </c>
      <c r="I669">
        <f t="shared" ca="1" si="74"/>
        <v>35</v>
      </c>
      <c r="J669">
        <f t="shared" ca="1" si="75"/>
        <v>11</v>
      </c>
    </row>
    <row r="670" spans="1:10" x14ac:dyDescent="0.25">
      <c r="A670" t="s">
        <v>677</v>
      </c>
      <c r="B670" t="s">
        <v>1</v>
      </c>
      <c r="C670" t="str">
        <f t="shared" si="70"/>
        <v>060700</v>
      </c>
      <c r="D670" t="str">
        <f t="shared" si="71"/>
        <v>TOR</v>
      </c>
      <c r="E670" t="str" cm="1">
        <f t="array" ref="E670">INDEX($E$2:$E$4, MOD(ROW()-1,3)+1)</f>
        <v>Machine 1</v>
      </c>
      <c r="F670">
        <f t="shared" ca="1" si="72"/>
        <v>3</v>
      </c>
      <c r="G670">
        <f t="shared" ca="1" si="73"/>
        <v>0</v>
      </c>
      <c r="H670">
        <f ca="1">RANDBETWEEN(1,J670-2)</f>
        <v>2</v>
      </c>
      <c r="I670">
        <f t="shared" ca="1" si="74"/>
        <v>31</v>
      </c>
      <c r="J670">
        <f t="shared" ca="1" si="75"/>
        <v>12</v>
      </c>
    </row>
    <row r="671" spans="1:10" x14ac:dyDescent="0.25">
      <c r="A671" t="s">
        <v>678</v>
      </c>
      <c r="B671" t="s">
        <v>1</v>
      </c>
      <c r="C671" t="str">
        <f t="shared" si="70"/>
        <v>060702</v>
      </c>
      <c r="D671" t="str">
        <f t="shared" si="71"/>
        <v>TOR</v>
      </c>
      <c r="E671" t="str" cm="1">
        <f t="array" ref="E671">INDEX($E$2:$E$4, MOD(ROW()-1,3)+1)</f>
        <v>Machine 2</v>
      </c>
      <c r="F671">
        <f t="shared" ca="1" si="72"/>
        <v>2</v>
      </c>
      <c r="G671">
        <f t="shared" ca="1" si="73"/>
        <v>1</v>
      </c>
      <c r="H671">
        <f ca="1">RANDBETWEEN(1,J671-2)</f>
        <v>1</v>
      </c>
      <c r="I671">
        <f t="shared" ca="1" si="74"/>
        <v>41</v>
      </c>
      <c r="J671">
        <f t="shared" ca="1" si="75"/>
        <v>15</v>
      </c>
    </row>
    <row r="672" spans="1:10" x14ac:dyDescent="0.25">
      <c r="A672" t="s">
        <v>679</v>
      </c>
      <c r="B672" t="s">
        <v>1</v>
      </c>
      <c r="C672" t="str">
        <f t="shared" si="70"/>
        <v>060704</v>
      </c>
      <c r="D672" t="str">
        <f t="shared" si="71"/>
        <v>TOR</v>
      </c>
      <c r="E672" t="str" cm="1">
        <f t="array" ref="E672">INDEX($E$2:$E$4, MOD(ROW()-1,3)+1)</f>
        <v>Machine 3</v>
      </c>
      <c r="F672">
        <f t="shared" ca="1" si="72"/>
        <v>2</v>
      </c>
      <c r="G672">
        <f t="shared" ca="1" si="73"/>
        <v>1</v>
      </c>
      <c r="H672">
        <f ca="1">RANDBETWEEN(1,J672-2)</f>
        <v>4</v>
      </c>
      <c r="I672">
        <f t="shared" ca="1" si="74"/>
        <v>47</v>
      </c>
      <c r="J672">
        <f t="shared" ca="1" si="75"/>
        <v>11</v>
      </c>
    </row>
    <row r="673" spans="1:10" x14ac:dyDescent="0.25">
      <c r="A673" t="s">
        <v>680</v>
      </c>
      <c r="B673" t="s">
        <v>1</v>
      </c>
      <c r="C673" t="str">
        <f t="shared" si="70"/>
        <v>060706</v>
      </c>
      <c r="D673" t="str">
        <f t="shared" si="71"/>
        <v>TOR</v>
      </c>
      <c r="E673" t="str" cm="1">
        <f t="array" ref="E673">INDEX($E$2:$E$4, MOD(ROW()-1,3)+1)</f>
        <v>Machine 1</v>
      </c>
      <c r="F673">
        <f t="shared" ca="1" si="72"/>
        <v>2</v>
      </c>
      <c r="G673">
        <f t="shared" ca="1" si="73"/>
        <v>1</v>
      </c>
      <c r="H673">
        <f ca="1">RANDBETWEEN(1,J673-2)</f>
        <v>1</v>
      </c>
      <c r="I673">
        <f t="shared" ca="1" si="74"/>
        <v>42</v>
      </c>
      <c r="J673">
        <f t="shared" ca="1" si="75"/>
        <v>9</v>
      </c>
    </row>
    <row r="674" spans="1:10" x14ac:dyDescent="0.25">
      <c r="A674" t="s">
        <v>681</v>
      </c>
      <c r="B674" t="s">
        <v>1</v>
      </c>
      <c r="C674" t="str">
        <f t="shared" si="70"/>
        <v>060708</v>
      </c>
      <c r="D674" t="str">
        <f t="shared" si="71"/>
        <v>TOR</v>
      </c>
      <c r="E674" t="str" cm="1">
        <f t="array" ref="E674">INDEX($E$2:$E$4, MOD(ROW()-1,3)+1)</f>
        <v>Machine 2</v>
      </c>
      <c r="F674">
        <f t="shared" ca="1" si="72"/>
        <v>2</v>
      </c>
      <c r="G674">
        <f t="shared" ca="1" si="73"/>
        <v>0</v>
      </c>
      <c r="H674">
        <f ca="1">RANDBETWEEN(1,J674-2)</f>
        <v>1</v>
      </c>
      <c r="I674">
        <f t="shared" ca="1" si="74"/>
        <v>40</v>
      </c>
      <c r="J674">
        <f t="shared" ca="1" si="75"/>
        <v>13</v>
      </c>
    </row>
    <row r="675" spans="1:10" x14ac:dyDescent="0.25">
      <c r="A675" t="s">
        <v>682</v>
      </c>
      <c r="B675" t="s">
        <v>1</v>
      </c>
      <c r="C675" t="str">
        <f t="shared" si="70"/>
        <v>060710</v>
      </c>
      <c r="D675" t="str">
        <f t="shared" si="71"/>
        <v>TOR</v>
      </c>
      <c r="E675" t="str" cm="1">
        <f t="array" ref="E675">INDEX($E$2:$E$4, MOD(ROW()-1,3)+1)</f>
        <v>Machine 3</v>
      </c>
      <c r="F675">
        <f t="shared" ca="1" si="72"/>
        <v>3</v>
      </c>
      <c r="G675">
        <f t="shared" ca="1" si="73"/>
        <v>1</v>
      </c>
      <c r="H675">
        <f ca="1">RANDBETWEEN(1,J675-2)</f>
        <v>3</v>
      </c>
      <c r="I675">
        <f t="shared" ca="1" si="74"/>
        <v>42</v>
      </c>
      <c r="J675">
        <f t="shared" ca="1" si="75"/>
        <v>12</v>
      </c>
    </row>
    <row r="676" spans="1:10" x14ac:dyDescent="0.25">
      <c r="A676" t="s">
        <v>683</v>
      </c>
      <c r="B676" t="s">
        <v>1</v>
      </c>
      <c r="C676" t="str">
        <f t="shared" si="70"/>
        <v>060712</v>
      </c>
      <c r="D676" t="str">
        <f t="shared" si="71"/>
        <v>TOR</v>
      </c>
      <c r="E676" t="str" cm="1">
        <f t="array" ref="E676">INDEX($E$2:$E$4, MOD(ROW()-1,3)+1)</f>
        <v>Machine 1</v>
      </c>
      <c r="F676">
        <f t="shared" ca="1" si="72"/>
        <v>2</v>
      </c>
      <c r="G676">
        <f t="shared" ca="1" si="73"/>
        <v>1</v>
      </c>
      <c r="H676">
        <f ca="1">RANDBETWEEN(1,J676-2)</f>
        <v>9</v>
      </c>
      <c r="I676">
        <f t="shared" ca="1" si="74"/>
        <v>42</v>
      </c>
      <c r="J676">
        <f t="shared" ca="1" si="75"/>
        <v>12</v>
      </c>
    </row>
    <row r="677" spans="1:10" x14ac:dyDescent="0.25">
      <c r="A677" t="s">
        <v>684</v>
      </c>
      <c r="B677" t="s">
        <v>1</v>
      </c>
      <c r="C677" t="str">
        <f t="shared" si="70"/>
        <v>060714</v>
      </c>
      <c r="D677" t="str">
        <f t="shared" si="71"/>
        <v>TOR</v>
      </c>
      <c r="E677" t="str" cm="1">
        <f t="array" ref="E677">INDEX($E$2:$E$4, MOD(ROW()-1,3)+1)</f>
        <v>Machine 2</v>
      </c>
      <c r="F677">
        <f t="shared" ca="1" si="72"/>
        <v>3</v>
      </c>
      <c r="G677">
        <f t="shared" ca="1" si="73"/>
        <v>1</v>
      </c>
      <c r="H677">
        <f ca="1">RANDBETWEEN(1,J677-2)</f>
        <v>7</v>
      </c>
      <c r="I677">
        <f t="shared" ca="1" si="74"/>
        <v>25</v>
      </c>
      <c r="J677">
        <f t="shared" ca="1" si="75"/>
        <v>13</v>
      </c>
    </row>
    <row r="678" spans="1:10" x14ac:dyDescent="0.25">
      <c r="A678" t="s">
        <v>685</v>
      </c>
      <c r="B678" t="s">
        <v>1</v>
      </c>
      <c r="C678" t="str">
        <f t="shared" si="70"/>
        <v>060716</v>
      </c>
      <c r="D678" t="str">
        <f t="shared" si="71"/>
        <v>TOR</v>
      </c>
      <c r="E678" t="str" cm="1">
        <f t="array" ref="E678">INDEX($E$2:$E$4, MOD(ROW()-1,3)+1)</f>
        <v>Machine 3</v>
      </c>
      <c r="F678">
        <f t="shared" ca="1" si="72"/>
        <v>2</v>
      </c>
      <c r="G678">
        <f t="shared" ca="1" si="73"/>
        <v>1</v>
      </c>
      <c r="H678">
        <f ca="1">RANDBETWEEN(1,J678-2)</f>
        <v>5</v>
      </c>
      <c r="I678">
        <f t="shared" ca="1" si="74"/>
        <v>33</v>
      </c>
      <c r="J678">
        <f t="shared" ca="1" si="75"/>
        <v>7</v>
      </c>
    </row>
    <row r="679" spans="1:10" x14ac:dyDescent="0.25">
      <c r="A679" t="s">
        <v>686</v>
      </c>
      <c r="B679" t="s">
        <v>1</v>
      </c>
      <c r="C679" t="str">
        <f t="shared" si="70"/>
        <v>060718</v>
      </c>
      <c r="D679" t="str">
        <f t="shared" si="71"/>
        <v>TOR</v>
      </c>
      <c r="E679" t="str" cm="1">
        <f t="array" ref="E679">INDEX($E$2:$E$4, MOD(ROW()-1,3)+1)</f>
        <v>Machine 1</v>
      </c>
      <c r="F679">
        <f t="shared" ca="1" si="72"/>
        <v>2</v>
      </c>
      <c r="G679">
        <f t="shared" ca="1" si="73"/>
        <v>0</v>
      </c>
      <c r="H679">
        <f ca="1">RANDBETWEEN(1,J679-2)</f>
        <v>2</v>
      </c>
      <c r="I679">
        <f t="shared" ca="1" si="74"/>
        <v>38</v>
      </c>
      <c r="J679">
        <f t="shared" ca="1" si="75"/>
        <v>15</v>
      </c>
    </row>
    <row r="680" spans="1:10" x14ac:dyDescent="0.25">
      <c r="A680" t="s">
        <v>687</v>
      </c>
      <c r="B680" t="s">
        <v>1</v>
      </c>
      <c r="C680" t="str">
        <f t="shared" si="70"/>
        <v>060722</v>
      </c>
      <c r="D680" t="str">
        <f t="shared" si="71"/>
        <v>TOR</v>
      </c>
      <c r="E680" t="str" cm="1">
        <f t="array" ref="E680">INDEX($E$2:$E$4, MOD(ROW()-1,3)+1)</f>
        <v>Machine 2</v>
      </c>
      <c r="F680">
        <f t="shared" ca="1" si="72"/>
        <v>3</v>
      </c>
      <c r="G680">
        <f t="shared" ca="1" si="73"/>
        <v>0</v>
      </c>
      <c r="H680">
        <f ca="1">RANDBETWEEN(1,J680-2)</f>
        <v>5</v>
      </c>
      <c r="I680">
        <f t="shared" ca="1" si="74"/>
        <v>47</v>
      </c>
      <c r="J680">
        <f t="shared" ca="1" si="75"/>
        <v>9</v>
      </c>
    </row>
    <row r="681" spans="1:10" x14ac:dyDescent="0.25">
      <c r="A681" t="s">
        <v>688</v>
      </c>
      <c r="B681" t="s">
        <v>1</v>
      </c>
      <c r="C681" t="str">
        <f t="shared" si="70"/>
        <v>060724</v>
      </c>
      <c r="D681" t="str">
        <f t="shared" si="71"/>
        <v>TOR</v>
      </c>
      <c r="E681" t="str" cm="1">
        <f t="array" ref="E681">INDEX($E$2:$E$4, MOD(ROW()-1,3)+1)</f>
        <v>Machine 3</v>
      </c>
      <c r="F681">
        <f t="shared" ca="1" si="72"/>
        <v>3</v>
      </c>
      <c r="G681">
        <f t="shared" ca="1" si="73"/>
        <v>0</v>
      </c>
      <c r="H681">
        <f ca="1">RANDBETWEEN(1,J681-2)</f>
        <v>4</v>
      </c>
      <c r="I681">
        <f t="shared" ca="1" si="74"/>
        <v>35</v>
      </c>
      <c r="J681">
        <f t="shared" ca="1" si="75"/>
        <v>13</v>
      </c>
    </row>
    <row r="682" spans="1:10" x14ac:dyDescent="0.25">
      <c r="A682" t="s">
        <v>689</v>
      </c>
      <c r="B682" t="s">
        <v>1</v>
      </c>
      <c r="C682" t="str">
        <f t="shared" si="70"/>
        <v>060726</v>
      </c>
      <c r="D682" t="str">
        <f t="shared" si="71"/>
        <v>TOR</v>
      </c>
      <c r="E682" t="str" cm="1">
        <f t="array" ref="E682">INDEX($E$2:$E$4, MOD(ROW()-1,3)+1)</f>
        <v>Machine 1</v>
      </c>
      <c r="F682">
        <f t="shared" ca="1" si="72"/>
        <v>2</v>
      </c>
      <c r="G682">
        <f t="shared" ca="1" si="73"/>
        <v>1</v>
      </c>
      <c r="H682">
        <f ca="1">RANDBETWEEN(1,J682-2)</f>
        <v>4</v>
      </c>
      <c r="I682">
        <f t="shared" ca="1" si="74"/>
        <v>37</v>
      </c>
      <c r="J682">
        <f t="shared" ca="1" si="75"/>
        <v>7</v>
      </c>
    </row>
    <row r="683" spans="1:10" x14ac:dyDescent="0.25">
      <c r="A683" t="s">
        <v>690</v>
      </c>
      <c r="B683" t="s">
        <v>1</v>
      </c>
      <c r="C683" t="str">
        <f t="shared" si="70"/>
        <v>060728</v>
      </c>
      <c r="D683" t="str">
        <f t="shared" si="71"/>
        <v>TOR</v>
      </c>
      <c r="E683" t="str" cm="1">
        <f t="array" ref="E683">INDEX($E$2:$E$4, MOD(ROW()-1,3)+1)</f>
        <v>Machine 2</v>
      </c>
      <c r="F683">
        <f t="shared" ca="1" si="72"/>
        <v>3</v>
      </c>
      <c r="G683">
        <f t="shared" ca="1" si="73"/>
        <v>0</v>
      </c>
      <c r="H683">
        <f ca="1">RANDBETWEEN(1,J683-2)</f>
        <v>10</v>
      </c>
      <c r="I683">
        <f t="shared" ca="1" si="74"/>
        <v>40</v>
      </c>
      <c r="J683">
        <f t="shared" ca="1" si="75"/>
        <v>13</v>
      </c>
    </row>
    <row r="684" spans="1:10" x14ac:dyDescent="0.25">
      <c r="A684" t="s">
        <v>691</v>
      </c>
      <c r="B684" t="s">
        <v>1</v>
      </c>
      <c r="C684" t="str">
        <f t="shared" si="70"/>
        <v>060730</v>
      </c>
      <c r="D684" t="str">
        <f t="shared" si="71"/>
        <v>TOR</v>
      </c>
      <c r="E684" t="str" cm="1">
        <f t="array" ref="E684">INDEX($E$2:$E$4, MOD(ROW()-1,3)+1)</f>
        <v>Machine 3</v>
      </c>
      <c r="F684">
        <f t="shared" ca="1" si="72"/>
        <v>3</v>
      </c>
      <c r="G684">
        <f t="shared" ca="1" si="73"/>
        <v>0</v>
      </c>
      <c r="H684">
        <f ca="1">RANDBETWEEN(1,J684-2)</f>
        <v>5</v>
      </c>
      <c r="I684">
        <f t="shared" ca="1" si="74"/>
        <v>33</v>
      </c>
      <c r="J684">
        <f t="shared" ca="1" si="75"/>
        <v>10</v>
      </c>
    </row>
    <row r="685" spans="1:10" x14ac:dyDescent="0.25">
      <c r="A685" t="s">
        <v>692</v>
      </c>
      <c r="B685" t="s">
        <v>1</v>
      </c>
      <c r="C685" t="str">
        <f t="shared" si="70"/>
        <v>060733</v>
      </c>
      <c r="D685" t="str">
        <f t="shared" si="71"/>
        <v>TOR</v>
      </c>
      <c r="E685" t="str" cm="1">
        <f t="array" ref="E685">INDEX($E$2:$E$4, MOD(ROW()-1,3)+1)</f>
        <v>Machine 1</v>
      </c>
      <c r="F685">
        <f t="shared" ca="1" si="72"/>
        <v>3</v>
      </c>
      <c r="G685">
        <f t="shared" ca="1" si="73"/>
        <v>0</v>
      </c>
      <c r="H685">
        <f ca="1">RANDBETWEEN(1,J685-2)</f>
        <v>6</v>
      </c>
      <c r="I685">
        <f t="shared" ca="1" si="74"/>
        <v>29</v>
      </c>
      <c r="J685">
        <f t="shared" ca="1" si="75"/>
        <v>9</v>
      </c>
    </row>
    <row r="686" spans="1:10" x14ac:dyDescent="0.25">
      <c r="A686" t="s">
        <v>693</v>
      </c>
      <c r="B686" t="s">
        <v>1</v>
      </c>
      <c r="C686" t="str">
        <f t="shared" si="70"/>
        <v>060735</v>
      </c>
      <c r="D686" t="str">
        <f t="shared" si="71"/>
        <v>TOR</v>
      </c>
      <c r="E686" t="str" cm="1">
        <f t="array" ref="E686">INDEX($E$2:$E$4, MOD(ROW()-1,3)+1)</f>
        <v>Machine 2</v>
      </c>
      <c r="F686">
        <f t="shared" ca="1" si="72"/>
        <v>3</v>
      </c>
      <c r="G686">
        <f t="shared" ca="1" si="73"/>
        <v>0</v>
      </c>
      <c r="H686">
        <f ca="1">RANDBETWEEN(1,J686-2)</f>
        <v>1</v>
      </c>
      <c r="I686">
        <f t="shared" ca="1" si="74"/>
        <v>32</v>
      </c>
      <c r="J686">
        <f t="shared" ca="1" si="75"/>
        <v>15</v>
      </c>
    </row>
    <row r="687" spans="1:10" x14ac:dyDescent="0.25">
      <c r="A687" t="s">
        <v>694</v>
      </c>
      <c r="B687" t="s">
        <v>1</v>
      </c>
      <c r="C687" t="str">
        <f t="shared" si="70"/>
        <v>060737</v>
      </c>
      <c r="D687" t="str">
        <f t="shared" si="71"/>
        <v>TOR</v>
      </c>
      <c r="E687" t="str" cm="1">
        <f t="array" ref="E687">INDEX($E$2:$E$4, MOD(ROW()-1,3)+1)</f>
        <v>Machine 3</v>
      </c>
      <c r="F687">
        <f t="shared" ca="1" si="72"/>
        <v>3</v>
      </c>
      <c r="G687">
        <f t="shared" ca="1" si="73"/>
        <v>0</v>
      </c>
      <c r="H687">
        <f ca="1">RANDBETWEEN(1,J687-2)</f>
        <v>9</v>
      </c>
      <c r="I687">
        <f t="shared" ca="1" si="74"/>
        <v>41</v>
      </c>
      <c r="J687">
        <f t="shared" ca="1" si="75"/>
        <v>14</v>
      </c>
    </row>
    <row r="688" spans="1:10" x14ac:dyDescent="0.25">
      <c r="A688" t="s">
        <v>695</v>
      </c>
      <c r="B688" t="s">
        <v>1</v>
      </c>
      <c r="C688" t="str">
        <f t="shared" si="70"/>
        <v>060739</v>
      </c>
      <c r="D688" t="str">
        <f t="shared" si="71"/>
        <v>TOR</v>
      </c>
      <c r="E688" t="str" cm="1">
        <f t="array" ref="E688">INDEX($E$2:$E$4, MOD(ROW()-1,3)+1)</f>
        <v>Machine 1</v>
      </c>
      <c r="F688">
        <f t="shared" ca="1" si="72"/>
        <v>3</v>
      </c>
      <c r="G688">
        <f t="shared" ca="1" si="73"/>
        <v>0</v>
      </c>
      <c r="H688">
        <f ca="1">RANDBETWEEN(1,J688-2)</f>
        <v>2</v>
      </c>
      <c r="I688">
        <f t="shared" ca="1" si="74"/>
        <v>25</v>
      </c>
      <c r="J688">
        <f t="shared" ca="1" si="75"/>
        <v>9</v>
      </c>
    </row>
    <row r="689" spans="1:10" x14ac:dyDescent="0.25">
      <c r="A689" t="s">
        <v>696</v>
      </c>
      <c r="B689" t="s">
        <v>1</v>
      </c>
      <c r="C689" t="str">
        <f t="shared" si="70"/>
        <v>060743</v>
      </c>
      <c r="D689" t="str">
        <f t="shared" si="71"/>
        <v>TOR</v>
      </c>
      <c r="E689" t="str" cm="1">
        <f t="array" ref="E689">INDEX($E$2:$E$4, MOD(ROW()-1,3)+1)</f>
        <v>Machine 2</v>
      </c>
      <c r="F689">
        <f t="shared" ca="1" si="72"/>
        <v>2</v>
      </c>
      <c r="G689">
        <f t="shared" ca="1" si="73"/>
        <v>1</v>
      </c>
      <c r="H689">
        <f ca="1">RANDBETWEEN(1,J689-2)</f>
        <v>1</v>
      </c>
      <c r="I689">
        <f t="shared" ca="1" si="74"/>
        <v>35</v>
      </c>
      <c r="J689">
        <f t="shared" ca="1" si="75"/>
        <v>7</v>
      </c>
    </row>
    <row r="690" spans="1:10" x14ac:dyDescent="0.25">
      <c r="A690" t="s">
        <v>697</v>
      </c>
      <c r="B690" t="s">
        <v>1</v>
      </c>
      <c r="C690" t="str">
        <f t="shared" si="70"/>
        <v>060745</v>
      </c>
      <c r="D690" t="str">
        <f t="shared" si="71"/>
        <v>TOR</v>
      </c>
      <c r="E690" t="str" cm="1">
        <f t="array" ref="E690">INDEX($E$2:$E$4, MOD(ROW()-1,3)+1)</f>
        <v>Machine 3</v>
      </c>
      <c r="F690">
        <f t="shared" ca="1" si="72"/>
        <v>2</v>
      </c>
      <c r="G690">
        <f t="shared" ca="1" si="73"/>
        <v>1</v>
      </c>
      <c r="H690">
        <f ca="1">RANDBETWEEN(1,J690-2)</f>
        <v>2</v>
      </c>
      <c r="I690">
        <f t="shared" ca="1" si="74"/>
        <v>37</v>
      </c>
      <c r="J690">
        <f t="shared" ca="1" si="75"/>
        <v>12</v>
      </c>
    </row>
    <row r="691" spans="1:10" x14ac:dyDescent="0.25">
      <c r="A691" t="s">
        <v>698</v>
      </c>
      <c r="B691" t="s">
        <v>1</v>
      </c>
      <c r="C691" t="str">
        <f t="shared" si="70"/>
        <v>060747</v>
      </c>
      <c r="D691" t="str">
        <f t="shared" si="71"/>
        <v>TOR</v>
      </c>
      <c r="E691" t="str" cm="1">
        <f t="array" ref="E691">INDEX($E$2:$E$4, MOD(ROW()-1,3)+1)</f>
        <v>Machine 1</v>
      </c>
      <c r="F691">
        <f t="shared" ca="1" si="72"/>
        <v>2</v>
      </c>
      <c r="G691">
        <f t="shared" ca="1" si="73"/>
        <v>1</v>
      </c>
      <c r="H691">
        <f ca="1">RANDBETWEEN(1,J691-2)</f>
        <v>3</v>
      </c>
      <c r="I691">
        <f t="shared" ca="1" si="74"/>
        <v>37</v>
      </c>
      <c r="J691">
        <f t="shared" ca="1" si="75"/>
        <v>8</v>
      </c>
    </row>
    <row r="692" spans="1:10" x14ac:dyDescent="0.25">
      <c r="A692" t="s">
        <v>699</v>
      </c>
      <c r="B692" t="s">
        <v>1</v>
      </c>
      <c r="C692" t="str">
        <f t="shared" si="70"/>
        <v>060749</v>
      </c>
      <c r="D692" t="str">
        <f t="shared" si="71"/>
        <v>TOR</v>
      </c>
      <c r="E692" t="str" cm="1">
        <f t="array" ref="E692">INDEX($E$2:$E$4, MOD(ROW()-1,3)+1)</f>
        <v>Machine 2</v>
      </c>
      <c r="F692">
        <f t="shared" ca="1" si="72"/>
        <v>2</v>
      </c>
      <c r="G692">
        <f t="shared" ca="1" si="73"/>
        <v>1</v>
      </c>
      <c r="H692">
        <f ca="1">RANDBETWEEN(1,J692-2)</f>
        <v>1</v>
      </c>
      <c r="I692">
        <f t="shared" ca="1" si="74"/>
        <v>47</v>
      </c>
      <c r="J692">
        <f t="shared" ca="1" si="75"/>
        <v>8</v>
      </c>
    </row>
    <row r="693" spans="1:10" x14ac:dyDescent="0.25">
      <c r="A693" t="s">
        <v>700</v>
      </c>
      <c r="B693" t="s">
        <v>1</v>
      </c>
      <c r="C693" t="str">
        <f t="shared" si="70"/>
        <v>060751</v>
      </c>
      <c r="D693" t="str">
        <f t="shared" si="71"/>
        <v>TOR</v>
      </c>
      <c r="E693" t="str" cm="1">
        <f t="array" ref="E693">INDEX($E$2:$E$4, MOD(ROW()-1,3)+1)</f>
        <v>Machine 3</v>
      </c>
      <c r="F693">
        <f t="shared" ca="1" si="72"/>
        <v>2</v>
      </c>
      <c r="G693">
        <f t="shared" ca="1" si="73"/>
        <v>0</v>
      </c>
      <c r="H693">
        <f ca="1">RANDBETWEEN(1,J693-2)</f>
        <v>3</v>
      </c>
      <c r="I693">
        <f t="shared" ca="1" si="74"/>
        <v>35</v>
      </c>
      <c r="J693">
        <f t="shared" ca="1" si="75"/>
        <v>12</v>
      </c>
    </row>
    <row r="694" spans="1:10" x14ac:dyDescent="0.25">
      <c r="A694" t="s">
        <v>701</v>
      </c>
      <c r="B694" t="s">
        <v>1</v>
      </c>
      <c r="C694" t="str">
        <f t="shared" si="70"/>
        <v>060755</v>
      </c>
      <c r="D694" t="str">
        <f t="shared" si="71"/>
        <v>TOR</v>
      </c>
      <c r="E694" t="str" cm="1">
        <f t="array" ref="E694">INDEX($E$2:$E$4, MOD(ROW()-1,3)+1)</f>
        <v>Machine 1</v>
      </c>
      <c r="F694">
        <f t="shared" ca="1" si="72"/>
        <v>3</v>
      </c>
      <c r="G694">
        <f t="shared" ca="1" si="73"/>
        <v>1</v>
      </c>
      <c r="H694">
        <f ca="1">RANDBETWEEN(1,J694-2)</f>
        <v>9</v>
      </c>
      <c r="I694">
        <f t="shared" ca="1" si="74"/>
        <v>36</v>
      </c>
      <c r="J694">
        <f t="shared" ca="1" si="75"/>
        <v>13</v>
      </c>
    </row>
    <row r="695" spans="1:10" x14ac:dyDescent="0.25">
      <c r="A695" t="s">
        <v>702</v>
      </c>
      <c r="B695" t="s">
        <v>1</v>
      </c>
      <c r="C695" t="str">
        <f t="shared" si="70"/>
        <v>060757</v>
      </c>
      <c r="D695" t="str">
        <f t="shared" si="71"/>
        <v>TOR</v>
      </c>
      <c r="E695" t="str" cm="1">
        <f t="array" ref="E695">INDEX($E$2:$E$4, MOD(ROW()-1,3)+1)</f>
        <v>Machine 2</v>
      </c>
      <c r="F695">
        <f t="shared" ca="1" si="72"/>
        <v>3</v>
      </c>
      <c r="G695">
        <f t="shared" ca="1" si="73"/>
        <v>1</v>
      </c>
      <c r="H695">
        <f ca="1">RANDBETWEEN(1,J695-2)</f>
        <v>4</v>
      </c>
      <c r="I695">
        <f t="shared" ca="1" si="74"/>
        <v>42</v>
      </c>
      <c r="J695">
        <f t="shared" ca="1" si="75"/>
        <v>6</v>
      </c>
    </row>
    <row r="696" spans="1:10" x14ac:dyDescent="0.25">
      <c r="A696" t="s">
        <v>703</v>
      </c>
      <c r="B696" t="s">
        <v>1</v>
      </c>
      <c r="C696" t="str">
        <f t="shared" si="70"/>
        <v>060759</v>
      </c>
      <c r="D696" t="str">
        <f t="shared" si="71"/>
        <v>TOR</v>
      </c>
      <c r="E696" t="str" cm="1">
        <f t="array" ref="E696">INDEX($E$2:$E$4, MOD(ROW()-1,3)+1)</f>
        <v>Machine 3</v>
      </c>
      <c r="F696">
        <f t="shared" ca="1" si="72"/>
        <v>2</v>
      </c>
      <c r="G696">
        <f t="shared" ca="1" si="73"/>
        <v>0</v>
      </c>
      <c r="H696">
        <f ca="1">RANDBETWEEN(1,J696-2)</f>
        <v>1</v>
      </c>
      <c r="I696">
        <f t="shared" ca="1" si="74"/>
        <v>25</v>
      </c>
      <c r="J696">
        <f t="shared" ca="1" si="75"/>
        <v>5</v>
      </c>
    </row>
    <row r="697" spans="1:10" x14ac:dyDescent="0.25">
      <c r="A697" t="s">
        <v>704</v>
      </c>
      <c r="B697" t="s">
        <v>1</v>
      </c>
      <c r="C697" t="str">
        <f t="shared" si="70"/>
        <v>060765</v>
      </c>
      <c r="D697" t="str">
        <f t="shared" si="71"/>
        <v>TOR</v>
      </c>
      <c r="E697" t="str" cm="1">
        <f t="array" ref="E697">INDEX($E$2:$E$4, MOD(ROW()-1,3)+1)</f>
        <v>Machine 1</v>
      </c>
      <c r="F697">
        <f t="shared" ca="1" si="72"/>
        <v>3</v>
      </c>
      <c r="G697">
        <f t="shared" ca="1" si="73"/>
        <v>0</v>
      </c>
      <c r="H697">
        <f ca="1">RANDBETWEEN(1,J697-2)</f>
        <v>2</v>
      </c>
      <c r="I697">
        <f t="shared" ca="1" si="74"/>
        <v>46</v>
      </c>
      <c r="J697">
        <f t="shared" ca="1" si="75"/>
        <v>14</v>
      </c>
    </row>
    <row r="698" spans="1:10" x14ac:dyDescent="0.25">
      <c r="A698" t="s">
        <v>705</v>
      </c>
      <c r="B698" t="s">
        <v>1</v>
      </c>
      <c r="C698" t="str">
        <f t="shared" si="70"/>
        <v>060767</v>
      </c>
      <c r="D698" t="str">
        <f t="shared" si="71"/>
        <v>TOR</v>
      </c>
      <c r="E698" t="str" cm="1">
        <f t="array" ref="E698">INDEX($E$2:$E$4, MOD(ROW()-1,3)+1)</f>
        <v>Machine 2</v>
      </c>
      <c r="F698">
        <f t="shared" ca="1" si="72"/>
        <v>3</v>
      </c>
      <c r="G698">
        <f t="shared" ca="1" si="73"/>
        <v>1</v>
      </c>
      <c r="H698">
        <f ca="1">RANDBETWEEN(1,J698-2)</f>
        <v>12</v>
      </c>
      <c r="I698">
        <f t="shared" ca="1" si="74"/>
        <v>42</v>
      </c>
      <c r="J698">
        <f t="shared" ca="1" si="75"/>
        <v>15</v>
      </c>
    </row>
    <row r="699" spans="1:10" x14ac:dyDescent="0.25">
      <c r="A699" t="s">
        <v>706</v>
      </c>
      <c r="B699" t="s">
        <v>1</v>
      </c>
      <c r="C699" t="str">
        <f t="shared" si="70"/>
        <v>060770</v>
      </c>
      <c r="D699" t="str">
        <f t="shared" si="71"/>
        <v>TOR</v>
      </c>
      <c r="E699" t="str" cm="1">
        <f t="array" ref="E699">INDEX($E$2:$E$4, MOD(ROW()-1,3)+1)</f>
        <v>Machine 3</v>
      </c>
      <c r="F699">
        <f t="shared" ca="1" si="72"/>
        <v>2</v>
      </c>
      <c r="G699">
        <f t="shared" ca="1" si="73"/>
        <v>0</v>
      </c>
      <c r="H699">
        <f ca="1">RANDBETWEEN(1,J699-2)</f>
        <v>5</v>
      </c>
      <c r="I699">
        <f t="shared" ca="1" si="74"/>
        <v>24</v>
      </c>
      <c r="J699">
        <f t="shared" ca="1" si="75"/>
        <v>9</v>
      </c>
    </row>
    <row r="700" spans="1:10" x14ac:dyDescent="0.25">
      <c r="A700" t="s">
        <v>707</v>
      </c>
      <c r="B700" t="s">
        <v>1</v>
      </c>
      <c r="C700" t="str">
        <f t="shared" si="70"/>
        <v>060772</v>
      </c>
      <c r="D700" t="str">
        <f t="shared" si="71"/>
        <v>TOR</v>
      </c>
      <c r="E700" t="str" cm="1">
        <f t="array" ref="E700">INDEX($E$2:$E$4, MOD(ROW()-1,3)+1)</f>
        <v>Machine 1</v>
      </c>
      <c r="F700">
        <f t="shared" ca="1" si="72"/>
        <v>2</v>
      </c>
      <c r="G700">
        <f t="shared" ca="1" si="73"/>
        <v>1</v>
      </c>
      <c r="H700">
        <f ca="1">RANDBETWEEN(1,J700-2)</f>
        <v>2</v>
      </c>
      <c r="I700">
        <f t="shared" ca="1" si="74"/>
        <v>35</v>
      </c>
      <c r="J700">
        <f t="shared" ca="1" si="75"/>
        <v>8</v>
      </c>
    </row>
    <row r="701" spans="1:10" x14ac:dyDescent="0.25">
      <c r="A701" t="s">
        <v>708</v>
      </c>
      <c r="B701" t="s">
        <v>1</v>
      </c>
      <c r="C701" t="str">
        <f t="shared" si="70"/>
        <v>060774</v>
      </c>
      <c r="D701" t="str">
        <f t="shared" si="71"/>
        <v>TOR</v>
      </c>
      <c r="E701" t="str" cm="1">
        <f t="array" ref="E701">INDEX($E$2:$E$4, MOD(ROW()-1,3)+1)</f>
        <v>Machine 2</v>
      </c>
      <c r="F701">
        <f t="shared" ca="1" si="72"/>
        <v>2</v>
      </c>
      <c r="G701">
        <f t="shared" ca="1" si="73"/>
        <v>0</v>
      </c>
      <c r="H701">
        <f ca="1">RANDBETWEEN(1,J701-2)</f>
        <v>3</v>
      </c>
      <c r="I701">
        <f t="shared" ca="1" si="74"/>
        <v>40</v>
      </c>
      <c r="J701">
        <f t="shared" ca="1" si="75"/>
        <v>11</v>
      </c>
    </row>
    <row r="702" spans="1:10" x14ac:dyDescent="0.25">
      <c r="A702" t="s">
        <v>709</v>
      </c>
      <c r="B702" t="s">
        <v>1</v>
      </c>
      <c r="C702" t="str">
        <f t="shared" si="70"/>
        <v>060776</v>
      </c>
      <c r="D702" t="str">
        <f t="shared" si="71"/>
        <v>TOR</v>
      </c>
      <c r="E702" t="str" cm="1">
        <f t="array" ref="E702">INDEX($E$2:$E$4, MOD(ROW()-1,3)+1)</f>
        <v>Machine 3</v>
      </c>
      <c r="F702">
        <f t="shared" ca="1" si="72"/>
        <v>2</v>
      </c>
      <c r="G702">
        <f t="shared" ca="1" si="73"/>
        <v>0</v>
      </c>
      <c r="H702">
        <f ca="1">RANDBETWEEN(1,J702-2)</f>
        <v>5</v>
      </c>
      <c r="I702">
        <f t="shared" ca="1" si="74"/>
        <v>37</v>
      </c>
      <c r="J702">
        <f t="shared" ca="1" si="75"/>
        <v>10</v>
      </c>
    </row>
    <row r="703" spans="1:10" x14ac:dyDescent="0.25">
      <c r="A703" t="s">
        <v>710</v>
      </c>
      <c r="B703" t="s">
        <v>1</v>
      </c>
      <c r="C703" t="str">
        <f t="shared" si="70"/>
        <v>060778</v>
      </c>
      <c r="D703" t="str">
        <f t="shared" si="71"/>
        <v>TOR</v>
      </c>
      <c r="E703" t="str" cm="1">
        <f t="array" ref="E703">INDEX($E$2:$E$4, MOD(ROW()-1,3)+1)</f>
        <v>Machine 1</v>
      </c>
      <c r="F703">
        <f t="shared" ca="1" si="72"/>
        <v>2</v>
      </c>
      <c r="G703">
        <f t="shared" ca="1" si="73"/>
        <v>0</v>
      </c>
      <c r="H703">
        <f ca="1">RANDBETWEEN(1,J703-2)</f>
        <v>8</v>
      </c>
      <c r="I703">
        <f t="shared" ca="1" si="74"/>
        <v>38</v>
      </c>
      <c r="J703">
        <f t="shared" ca="1" si="75"/>
        <v>10</v>
      </c>
    </row>
    <row r="704" spans="1:10" x14ac:dyDescent="0.25">
      <c r="A704" t="s">
        <v>711</v>
      </c>
      <c r="B704" t="s">
        <v>1</v>
      </c>
      <c r="C704" t="str">
        <f t="shared" si="70"/>
        <v>060781</v>
      </c>
      <c r="D704" t="str">
        <f t="shared" si="71"/>
        <v>TOR</v>
      </c>
      <c r="E704" t="str" cm="1">
        <f t="array" ref="E704">INDEX($E$2:$E$4, MOD(ROW()-1,3)+1)</f>
        <v>Machine 2</v>
      </c>
      <c r="F704">
        <f t="shared" ca="1" si="72"/>
        <v>3</v>
      </c>
      <c r="G704">
        <f t="shared" ca="1" si="73"/>
        <v>0</v>
      </c>
      <c r="H704">
        <f ca="1">RANDBETWEEN(1,J704-2)</f>
        <v>12</v>
      </c>
      <c r="I704">
        <f t="shared" ca="1" si="74"/>
        <v>36</v>
      </c>
      <c r="J704">
        <f t="shared" ca="1" si="75"/>
        <v>15</v>
      </c>
    </row>
    <row r="705" spans="1:10" x14ac:dyDescent="0.25">
      <c r="A705" t="s">
        <v>712</v>
      </c>
      <c r="B705" t="s">
        <v>1</v>
      </c>
      <c r="C705" t="str">
        <f t="shared" si="70"/>
        <v>060783</v>
      </c>
      <c r="D705" t="str">
        <f t="shared" si="71"/>
        <v>TOR</v>
      </c>
      <c r="E705" t="str" cm="1">
        <f t="array" ref="E705">INDEX($E$2:$E$4, MOD(ROW()-1,3)+1)</f>
        <v>Machine 3</v>
      </c>
      <c r="F705">
        <f t="shared" ca="1" si="72"/>
        <v>2</v>
      </c>
      <c r="G705">
        <f t="shared" ca="1" si="73"/>
        <v>1</v>
      </c>
      <c r="H705">
        <f ca="1">RANDBETWEEN(1,J705-2)</f>
        <v>3</v>
      </c>
      <c r="I705">
        <f t="shared" ca="1" si="74"/>
        <v>40</v>
      </c>
      <c r="J705">
        <f t="shared" ca="1" si="75"/>
        <v>7</v>
      </c>
    </row>
    <row r="706" spans="1:10" x14ac:dyDescent="0.25">
      <c r="A706" t="s">
        <v>713</v>
      </c>
      <c r="B706" t="s">
        <v>1</v>
      </c>
      <c r="C706" t="str">
        <f t="shared" si="70"/>
        <v>060785</v>
      </c>
      <c r="D706" t="str">
        <f t="shared" si="71"/>
        <v>TOR</v>
      </c>
      <c r="E706" t="str" cm="1">
        <f t="array" ref="E706">INDEX($E$2:$E$4, MOD(ROW()-1,3)+1)</f>
        <v>Machine 1</v>
      </c>
      <c r="F706">
        <f t="shared" ca="1" si="72"/>
        <v>3</v>
      </c>
      <c r="G706">
        <f t="shared" ca="1" si="73"/>
        <v>1</v>
      </c>
      <c r="H706">
        <f ca="1">RANDBETWEEN(1,J706-2)</f>
        <v>4</v>
      </c>
      <c r="I706">
        <f t="shared" ca="1" si="74"/>
        <v>35</v>
      </c>
      <c r="J706">
        <f t="shared" ca="1" si="75"/>
        <v>6</v>
      </c>
    </row>
    <row r="707" spans="1:10" x14ac:dyDescent="0.25">
      <c r="A707" t="s">
        <v>714</v>
      </c>
      <c r="B707" t="s">
        <v>1</v>
      </c>
      <c r="C707" t="str">
        <f t="shared" ref="C707:C770" si="76">RIGHT(A707,6)</f>
        <v>060787</v>
      </c>
      <c r="D707" t="str">
        <f t="shared" ref="D707:D770" si="77">RIGHT(B707,3)</f>
        <v>TOR</v>
      </c>
      <c r="E707" t="str" cm="1">
        <f t="array" ref="E707">INDEX($E$2:$E$4, MOD(ROW()-1,3)+1)</f>
        <v>Machine 2</v>
      </c>
      <c r="F707">
        <f t="shared" ref="F707:F770" ca="1" si="78">RANDBETWEEN(2,3)</f>
        <v>3</v>
      </c>
      <c r="G707">
        <f t="shared" ref="G707:G770" ca="1" si="79">RANDBETWEEN(0,1)</f>
        <v>0</v>
      </c>
      <c r="H707">
        <f ca="1">RANDBETWEEN(1,J707-2)</f>
        <v>5</v>
      </c>
      <c r="I707">
        <f t="shared" ref="I707:I770" ca="1" si="80">RANDBETWEEN(24,48)</f>
        <v>33</v>
      </c>
      <c r="J707">
        <f t="shared" ref="J707:J770" ca="1" si="81">RANDBETWEEN(5,15)</f>
        <v>9</v>
      </c>
    </row>
    <row r="708" spans="1:10" x14ac:dyDescent="0.25">
      <c r="A708" t="s">
        <v>715</v>
      </c>
      <c r="B708" t="s">
        <v>1</v>
      </c>
      <c r="C708" t="str">
        <f t="shared" si="76"/>
        <v>060789</v>
      </c>
      <c r="D708" t="str">
        <f t="shared" si="77"/>
        <v>TOR</v>
      </c>
      <c r="E708" t="str" cm="1">
        <f t="array" ref="E708">INDEX($E$2:$E$4, MOD(ROW()-1,3)+1)</f>
        <v>Machine 3</v>
      </c>
      <c r="F708">
        <f t="shared" ca="1" si="78"/>
        <v>2</v>
      </c>
      <c r="G708">
        <f t="shared" ca="1" si="79"/>
        <v>0</v>
      </c>
      <c r="H708">
        <f ca="1">RANDBETWEEN(1,J708-2)</f>
        <v>8</v>
      </c>
      <c r="I708">
        <f t="shared" ca="1" si="80"/>
        <v>37</v>
      </c>
      <c r="J708">
        <f t="shared" ca="1" si="81"/>
        <v>15</v>
      </c>
    </row>
    <row r="709" spans="1:10" x14ac:dyDescent="0.25">
      <c r="A709" t="s">
        <v>716</v>
      </c>
      <c r="B709" t="s">
        <v>1</v>
      </c>
      <c r="C709" t="str">
        <f t="shared" si="76"/>
        <v>060791</v>
      </c>
      <c r="D709" t="str">
        <f t="shared" si="77"/>
        <v>TOR</v>
      </c>
      <c r="E709" t="str" cm="1">
        <f t="array" ref="E709">INDEX($E$2:$E$4, MOD(ROW()-1,3)+1)</f>
        <v>Machine 1</v>
      </c>
      <c r="F709">
        <f t="shared" ca="1" si="78"/>
        <v>2</v>
      </c>
      <c r="G709">
        <f t="shared" ca="1" si="79"/>
        <v>1</v>
      </c>
      <c r="H709">
        <f ca="1">RANDBETWEEN(1,J709-2)</f>
        <v>6</v>
      </c>
      <c r="I709">
        <f t="shared" ca="1" si="80"/>
        <v>32</v>
      </c>
      <c r="J709">
        <f t="shared" ca="1" si="81"/>
        <v>14</v>
      </c>
    </row>
    <row r="710" spans="1:10" x14ac:dyDescent="0.25">
      <c r="A710" t="s">
        <v>717</v>
      </c>
      <c r="B710" t="s">
        <v>1</v>
      </c>
      <c r="C710" t="str">
        <f t="shared" si="76"/>
        <v>060793</v>
      </c>
      <c r="D710" t="str">
        <f t="shared" si="77"/>
        <v>TOR</v>
      </c>
      <c r="E710" t="str" cm="1">
        <f t="array" ref="E710">INDEX($E$2:$E$4, MOD(ROW()-1,3)+1)</f>
        <v>Machine 2</v>
      </c>
      <c r="F710">
        <f t="shared" ca="1" si="78"/>
        <v>3</v>
      </c>
      <c r="G710">
        <f t="shared" ca="1" si="79"/>
        <v>1</v>
      </c>
      <c r="H710">
        <f ca="1">RANDBETWEEN(1,J710-2)</f>
        <v>2</v>
      </c>
      <c r="I710">
        <f t="shared" ca="1" si="80"/>
        <v>48</v>
      </c>
      <c r="J710">
        <f t="shared" ca="1" si="81"/>
        <v>6</v>
      </c>
    </row>
    <row r="711" spans="1:10" x14ac:dyDescent="0.25">
      <c r="A711" t="s">
        <v>718</v>
      </c>
      <c r="B711" t="s">
        <v>1</v>
      </c>
      <c r="C711" t="str">
        <f t="shared" si="76"/>
        <v>060795</v>
      </c>
      <c r="D711" t="str">
        <f t="shared" si="77"/>
        <v>TOR</v>
      </c>
      <c r="E711" t="str" cm="1">
        <f t="array" ref="E711">INDEX($E$2:$E$4, MOD(ROW()-1,3)+1)</f>
        <v>Machine 3</v>
      </c>
      <c r="F711">
        <f t="shared" ca="1" si="78"/>
        <v>2</v>
      </c>
      <c r="G711">
        <f t="shared" ca="1" si="79"/>
        <v>0</v>
      </c>
      <c r="H711">
        <f ca="1">RANDBETWEEN(1,J711-2)</f>
        <v>3</v>
      </c>
      <c r="I711">
        <f t="shared" ca="1" si="80"/>
        <v>33</v>
      </c>
      <c r="J711">
        <f t="shared" ca="1" si="81"/>
        <v>6</v>
      </c>
    </row>
    <row r="712" spans="1:10" x14ac:dyDescent="0.25">
      <c r="A712" t="s">
        <v>719</v>
      </c>
      <c r="B712" t="s">
        <v>1</v>
      </c>
      <c r="C712" t="str">
        <f t="shared" si="76"/>
        <v>060799</v>
      </c>
      <c r="D712" t="str">
        <f t="shared" si="77"/>
        <v>TOR</v>
      </c>
      <c r="E712" t="str" cm="1">
        <f t="array" ref="E712">INDEX($E$2:$E$4, MOD(ROW()-1,3)+1)</f>
        <v>Machine 1</v>
      </c>
      <c r="F712">
        <f t="shared" ca="1" si="78"/>
        <v>3</v>
      </c>
      <c r="G712">
        <f t="shared" ca="1" si="79"/>
        <v>0</v>
      </c>
      <c r="H712">
        <f ca="1">RANDBETWEEN(1,J712-2)</f>
        <v>8</v>
      </c>
      <c r="I712">
        <f t="shared" ca="1" si="80"/>
        <v>36</v>
      </c>
      <c r="J712">
        <f t="shared" ca="1" si="81"/>
        <v>11</v>
      </c>
    </row>
    <row r="713" spans="1:10" x14ac:dyDescent="0.25">
      <c r="A713" t="s">
        <v>720</v>
      </c>
      <c r="B713" t="s">
        <v>1</v>
      </c>
      <c r="C713" t="str">
        <f t="shared" si="76"/>
        <v>060804</v>
      </c>
      <c r="D713" t="str">
        <f t="shared" si="77"/>
        <v>TOR</v>
      </c>
      <c r="E713" t="str" cm="1">
        <f t="array" ref="E713">INDEX($E$2:$E$4, MOD(ROW()-1,3)+1)</f>
        <v>Machine 2</v>
      </c>
      <c r="F713">
        <f t="shared" ca="1" si="78"/>
        <v>2</v>
      </c>
      <c r="G713">
        <f t="shared" ca="1" si="79"/>
        <v>0</v>
      </c>
      <c r="H713">
        <f ca="1">RANDBETWEEN(1,J713-2)</f>
        <v>5</v>
      </c>
      <c r="I713">
        <f t="shared" ca="1" si="80"/>
        <v>46</v>
      </c>
      <c r="J713">
        <f t="shared" ca="1" si="81"/>
        <v>7</v>
      </c>
    </row>
    <row r="714" spans="1:10" x14ac:dyDescent="0.25">
      <c r="A714" t="s">
        <v>721</v>
      </c>
      <c r="B714" t="s">
        <v>1</v>
      </c>
      <c r="C714" t="str">
        <f t="shared" si="76"/>
        <v>060807</v>
      </c>
      <c r="D714" t="str">
        <f t="shared" si="77"/>
        <v>TOR</v>
      </c>
      <c r="E714" t="str" cm="1">
        <f t="array" ref="E714">INDEX($E$2:$E$4, MOD(ROW()-1,3)+1)</f>
        <v>Machine 3</v>
      </c>
      <c r="F714">
        <f t="shared" ca="1" si="78"/>
        <v>2</v>
      </c>
      <c r="G714">
        <f t="shared" ca="1" si="79"/>
        <v>0</v>
      </c>
      <c r="H714">
        <f ca="1">RANDBETWEEN(1,J714-2)</f>
        <v>2</v>
      </c>
      <c r="I714">
        <f t="shared" ca="1" si="80"/>
        <v>25</v>
      </c>
      <c r="J714">
        <f t="shared" ca="1" si="81"/>
        <v>11</v>
      </c>
    </row>
    <row r="715" spans="1:10" x14ac:dyDescent="0.25">
      <c r="A715" t="s">
        <v>722</v>
      </c>
      <c r="B715" t="s">
        <v>1</v>
      </c>
      <c r="C715" t="str">
        <f t="shared" si="76"/>
        <v>060818</v>
      </c>
      <c r="D715" t="str">
        <f t="shared" si="77"/>
        <v>TOR</v>
      </c>
      <c r="E715" t="str" cm="1">
        <f t="array" ref="E715">INDEX($E$2:$E$4, MOD(ROW()-1,3)+1)</f>
        <v>Machine 1</v>
      </c>
      <c r="F715">
        <f t="shared" ca="1" si="78"/>
        <v>2</v>
      </c>
      <c r="G715">
        <f t="shared" ca="1" si="79"/>
        <v>0</v>
      </c>
      <c r="H715">
        <f ca="1">RANDBETWEEN(1,J715-2)</f>
        <v>4</v>
      </c>
      <c r="I715">
        <f t="shared" ca="1" si="80"/>
        <v>25</v>
      </c>
      <c r="J715">
        <f t="shared" ca="1" si="81"/>
        <v>8</v>
      </c>
    </row>
    <row r="716" spans="1:10" x14ac:dyDescent="0.25">
      <c r="A716" t="s">
        <v>723</v>
      </c>
      <c r="B716" t="s">
        <v>1</v>
      </c>
      <c r="C716" t="str">
        <f t="shared" si="76"/>
        <v>060821</v>
      </c>
      <c r="D716" t="str">
        <f t="shared" si="77"/>
        <v>TOR</v>
      </c>
      <c r="E716" t="str" cm="1">
        <f t="array" ref="E716">INDEX($E$2:$E$4, MOD(ROW()-1,3)+1)</f>
        <v>Machine 2</v>
      </c>
      <c r="F716">
        <f t="shared" ca="1" si="78"/>
        <v>2</v>
      </c>
      <c r="G716">
        <f t="shared" ca="1" si="79"/>
        <v>0</v>
      </c>
      <c r="H716">
        <f ca="1">RANDBETWEEN(1,J716-2)</f>
        <v>9</v>
      </c>
      <c r="I716">
        <f t="shared" ca="1" si="80"/>
        <v>43</v>
      </c>
      <c r="J716">
        <f t="shared" ca="1" si="81"/>
        <v>11</v>
      </c>
    </row>
    <row r="717" spans="1:10" x14ac:dyDescent="0.25">
      <c r="A717" t="s">
        <v>724</v>
      </c>
      <c r="B717" t="s">
        <v>1</v>
      </c>
      <c r="C717" t="str">
        <f t="shared" si="76"/>
        <v>060823</v>
      </c>
      <c r="D717" t="str">
        <f t="shared" si="77"/>
        <v>TOR</v>
      </c>
      <c r="E717" t="str" cm="1">
        <f t="array" ref="E717">INDEX($E$2:$E$4, MOD(ROW()-1,3)+1)</f>
        <v>Machine 3</v>
      </c>
      <c r="F717">
        <f t="shared" ca="1" si="78"/>
        <v>2</v>
      </c>
      <c r="G717">
        <f t="shared" ca="1" si="79"/>
        <v>0</v>
      </c>
      <c r="H717">
        <f ca="1">RANDBETWEEN(1,J717-2)</f>
        <v>4</v>
      </c>
      <c r="I717">
        <f t="shared" ca="1" si="80"/>
        <v>28</v>
      </c>
      <c r="J717">
        <f t="shared" ca="1" si="81"/>
        <v>8</v>
      </c>
    </row>
    <row r="718" spans="1:10" x14ac:dyDescent="0.25">
      <c r="A718" t="s">
        <v>725</v>
      </c>
      <c r="B718" t="s">
        <v>1</v>
      </c>
      <c r="C718" t="str">
        <f t="shared" si="76"/>
        <v>060828</v>
      </c>
      <c r="D718" t="str">
        <f t="shared" si="77"/>
        <v>TOR</v>
      </c>
      <c r="E718" t="str" cm="1">
        <f t="array" ref="E718">INDEX($E$2:$E$4, MOD(ROW()-1,3)+1)</f>
        <v>Machine 1</v>
      </c>
      <c r="F718">
        <f t="shared" ca="1" si="78"/>
        <v>3</v>
      </c>
      <c r="G718">
        <f t="shared" ca="1" si="79"/>
        <v>1</v>
      </c>
      <c r="H718">
        <f ca="1">RANDBETWEEN(1,J718-2)</f>
        <v>2</v>
      </c>
      <c r="I718">
        <f t="shared" ca="1" si="80"/>
        <v>42</v>
      </c>
      <c r="J718">
        <f t="shared" ca="1" si="81"/>
        <v>8</v>
      </c>
    </row>
    <row r="719" spans="1:10" x14ac:dyDescent="0.25">
      <c r="A719" t="s">
        <v>726</v>
      </c>
      <c r="B719" t="s">
        <v>1</v>
      </c>
      <c r="C719" t="str">
        <f t="shared" si="76"/>
        <v>060830</v>
      </c>
      <c r="D719" t="str">
        <f t="shared" si="77"/>
        <v>TOR</v>
      </c>
      <c r="E719" t="str" cm="1">
        <f t="array" ref="E719">INDEX($E$2:$E$4, MOD(ROW()-1,3)+1)</f>
        <v>Machine 2</v>
      </c>
      <c r="F719">
        <f t="shared" ca="1" si="78"/>
        <v>2</v>
      </c>
      <c r="G719">
        <f t="shared" ca="1" si="79"/>
        <v>1</v>
      </c>
      <c r="H719">
        <f ca="1">RANDBETWEEN(1,J719-2)</f>
        <v>8</v>
      </c>
      <c r="I719">
        <f t="shared" ca="1" si="80"/>
        <v>45</v>
      </c>
      <c r="J719">
        <f t="shared" ca="1" si="81"/>
        <v>12</v>
      </c>
    </row>
    <row r="720" spans="1:10" x14ac:dyDescent="0.25">
      <c r="A720" t="s">
        <v>727</v>
      </c>
      <c r="B720" t="s">
        <v>1</v>
      </c>
      <c r="C720" t="str">
        <f t="shared" si="76"/>
        <v>060832</v>
      </c>
      <c r="D720" t="str">
        <f t="shared" si="77"/>
        <v>TOR</v>
      </c>
      <c r="E720" t="str" cm="1">
        <f t="array" ref="E720">INDEX($E$2:$E$4, MOD(ROW()-1,3)+1)</f>
        <v>Machine 3</v>
      </c>
      <c r="F720">
        <f t="shared" ca="1" si="78"/>
        <v>3</v>
      </c>
      <c r="G720">
        <f t="shared" ca="1" si="79"/>
        <v>0</v>
      </c>
      <c r="H720">
        <f ca="1">RANDBETWEEN(1,J720-2)</f>
        <v>6</v>
      </c>
      <c r="I720">
        <f t="shared" ca="1" si="80"/>
        <v>28</v>
      </c>
      <c r="J720">
        <f t="shared" ca="1" si="81"/>
        <v>13</v>
      </c>
    </row>
    <row r="721" spans="1:10" x14ac:dyDescent="0.25">
      <c r="A721" t="s">
        <v>728</v>
      </c>
      <c r="B721" t="s">
        <v>1</v>
      </c>
      <c r="C721" t="str">
        <f t="shared" si="76"/>
        <v>060835</v>
      </c>
      <c r="D721" t="str">
        <f t="shared" si="77"/>
        <v>TOR</v>
      </c>
      <c r="E721" t="str" cm="1">
        <f t="array" ref="E721">INDEX($E$2:$E$4, MOD(ROW()-1,3)+1)</f>
        <v>Machine 1</v>
      </c>
      <c r="F721">
        <f t="shared" ca="1" si="78"/>
        <v>3</v>
      </c>
      <c r="G721">
        <f t="shared" ca="1" si="79"/>
        <v>1</v>
      </c>
      <c r="H721">
        <f ca="1">RANDBETWEEN(1,J721-2)</f>
        <v>3</v>
      </c>
      <c r="I721">
        <f t="shared" ca="1" si="80"/>
        <v>32</v>
      </c>
      <c r="J721">
        <f t="shared" ca="1" si="81"/>
        <v>9</v>
      </c>
    </row>
    <row r="722" spans="1:10" x14ac:dyDescent="0.25">
      <c r="A722" t="s">
        <v>729</v>
      </c>
      <c r="B722" t="s">
        <v>1</v>
      </c>
      <c r="C722" t="str">
        <f t="shared" si="76"/>
        <v>060852</v>
      </c>
      <c r="D722" t="str">
        <f t="shared" si="77"/>
        <v>TOR</v>
      </c>
      <c r="E722" t="str" cm="1">
        <f t="array" ref="E722">INDEX($E$2:$E$4, MOD(ROW()-1,3)+1)</f>
        <v>Machine 2</v>
      </c>
      <c r="F722">
        <f t="shared" ca="1" si="78"/>
        <v>3</v>
      </c>
      <c r="G722">
        <f t="shared" ca="1" si="79"/>
        <v>0</v>
      </c>
      <c r="H722">
        <f ca="1">RANDBETWEEN(1,J722-2)</f>
        <v>3</v>
      </c>
      <c r="I722">
        <f t="shared" ca="1" si="80"/>
        <v>38</v>
      </c>
      <c r="J722">
        <f t="shared" ca="1" si="81"/>
        <v>5</v>
      </c>
    </row>
    <row r="723" spans="1:10" x14ac:dyDescent="0.25">
      <c r="A723" t="s">
        <v>730</v>
      </c>
      <c r="B723" t="s">
        <v>1</v>
      </c>
      <c r="C723" t="str">
        <f t="shared" si="76"/>
        <v>060854</v>
      </c>
      <c r="D723" t="str">
        <f t="shared" si="77"/>
        <v>TOR</v>
      </c>
      <c r="E723" t="str" cm="1">
        <f t="array" ref="E723">INDEX($E$2:$E$4, MOD(ROW()-1,3)+1)</f>
        <v>Machine 3</v>
      </c>
      <c r="F723">
        <f t="shared" ca="1" si="78"/>
        <v>2</v>
      </c>
      <c r="G723">
        <f t="shared" ca="1" si="79"/>
        <v>0</v>
      </c>
      <c r="H723">
        <f ca="1">RANDBETWEEN(1,J723-2)</f>
        <v>8</v>
      </c>
      <c r="I723">
        <f t="shared" ca="1" si="80"/>
        <v>40</v>
      </c>
      <c r="J723">
        <f t="shared" ca="1" si="81"/>
        <v>14</v>
      </c>
    </row>
    <row r="724" spans="1:10" x14ac:dyDescent="0.25">
      <c r="A724" t="s">
        <v>731</v>
      </c>
      <c r="B724" t="s">
        <v>1</v>
      </c>
      <c r="C724" t="str">
        <f t="shared" si="76"/>
        <v>060861</v>
      </c>
      <c r="D724" t="str">
        <f t="shared" si="77"/>
        <v>TOR</v>
      </c>
      <c r="E724" t="str" cm="1">
        <f t="array" ref="E724">INDEX($E$2:$E$4, MOD(ROW()-1,3)+1)</f>
        <v>Machine 1</v>
      </c>
      <c r="F724">
        <f t="shared" ca="1" si="78"/>
        <v>2</v>
      </c>
      <c r="G724">
        <f t="shared" ca="1" si="79"/>
        <v>0</v>
      </c>
      <c r="H724">
        <f ca="1">RANDBETWEEN(1,J724-2)</f>
        <v>9</v>
      </c>
      <c r="I724">
        <f t="shared" ca="1" si="80"/>
        <v>48</v>
      </c>
      <c r="J724">
        <f t="shared" ca="1" si="81"/>
        <v>12</v>
      </c>
    </row>
    <row r="725" spans="1:10" x14ac:dyDescent="0.25">
      <c r="A725" t="s">
        <v>732</v>
      </c>
      <c r="B725" t="s">
        <v>1</v>
      </c>
      <c r="C725" t="str">
        <f t="shared" si="76"/>
        <v>060866</v>
      </c>
      <c r="D725" t="str">
        <f t="shared" si="77"/>
        <v>TOR</v>
      </c>
      <c r="E725" t="str" cm="1">
        <f t="array" ref="E725">INDEX($E$2:$E$4, MOD(ROW()-1,3)+1)</f>
        <v>Machine 2</v>
      </c>
      <c r="F725">
        <f t="shared" ca="1" si="78"/>
        <v>3</v>
      </c>
      <c r="G725">
        <f t="shared" ca="1" si="79"/>
        <v>1</v>
      </c>
      <c r="H725">
        <f ca="1">RANDBETWEEN(1,J725-2)</f>
        <v>4</v>
      </c>
      <c r="I725">
        <f t="shared" ca="1" si="80"/>
        <v>44</v>
      </c>
      <c r="J725">
        <f t="shared" ca="1" si="81"/>
        <v>13</v>
      </c>
    </row>
    <row r="726" spans="1:10" x14ac:dyDescent="0.25">
      <c r="A726" t="s">
        <v>733</v>
      </c>
      <c r="B726" t="s">
        <v>1</v>
      </c>
      <c r="C726" t="str">
        <f t="shared" si="76"/>
        <v>060874</v>
      </c>
      <c r="D726" t="str">
        <f t="shared" si="77"/>
        <v>TOR</v>
      </c>
      <c r="E726" t="str" cm="1">
        <f t="array" ref="E726">INDEX($E$2:$E$4, MOD(ROW()-1,3)+1)</f>
        <v>Machine 3</v>
      </c>
      <c r="F726">
        <f t="shared" ca="1" si="78"/>
        <v>3</v>
      </c>
      <c r="G726">
        <f t="shared" ca="1" si="79"/>
        <v>0</v>
      </c>
      <c r="H726">
        <f ca="1">RANDBETWEEN(1,J726-2)</f>
        <v>6</v>
      </c>
      <c r="I726">
        <f t="shared" ca="1" si="80"/>
        <v>35</v>
      </c>
      <c r="J726">
        <f t="shared" ca="1" si="81"/>
        <v>15</v>
      </c>
    </row>
    <row r="727" spans="1:10" x14ac:dyDescent="0.25">
      <c r="A727" t="s">
        <v>734</v>
      </c>
      <c r="B727" t="s">
        <v>1</v>
      </c>
      <c r="C727" t="str">
        <f t="shared" si="76"/>
        <v>060876</v>
      </c>
      <c r="D727" t="str">
        <f t="shared" si="77"/>
        <v>TOR</v>
      </c>
      <c r="E727" t="str" cm="1">
        <f t="array" ref="E727">INDEX($E$2:$E$4, MOD(ROW()-1,3)+1)</f>
        <v>Machine 1</v>
      </c>
      <c r="F727">
        <f t="shared" ca="1" si="78"/>
        <v>3</v>
      </c>
      <c r="G727">
        <f t="shared" ca="1" si="79"/>
        <v>1</v>
      </c>
      <c r="H727">
        <f ca="1">RANDBETWEEN(1,J727-2)</f>
        <v>10</v>
      </c>
      <c r="I727">
        <f t="shared" ca="1" si="80"/>
        <v>40</v>
      </c>
      <c r="J727">
        <f t="shared" ca="1" si="81"/>
        <v>15</v>
      </c>
    </row>
    <row r="728" spans="1:10" x14ac:dyDescent="0.25">
      <c r="A728" t="s">
        <v>735</v>
      </c>
      <c r="B728" t="s">
        <v>1</v>
      </c>
      <c r="C728" t="str">
        <f t="shared" si="76"/>
        <v>060881</v>
      </c>
      <c r="D728" t="str">
        <f t="shared" si="77"/>
        <v>TOR</v>
      </c>
      <c r="E728" t="str" cm="1">
        <f t="array" ref="E728">INDEX($E$2:$E$4, MOD(ROW()-1,3)+1)</f>
        <v>Machine 2</v>
      </c>
      <c r="F728">
        <f t="shared" ca="1" si="78"/>
        <v>2</v>
      </c>
      <c r="G728">
        <f t="shared" ca="1" si="79"/>
        <v>0</v>
      </c>
      <c r="H728">
        <f ca="1">RANDBETWEEN(1,J728-2)</f>
        <v>2</v>
      </c>
      <c r="I728">
        <f t="shared" ca="1" si="80"/>
        <v>39</v>
      </c>
      <c r="J728">
        <f t="shared" ca="1" si="81"/>
        <v>7</v>
      </c>
    </row>
    <row r="729" spans="1:10" x14ac:dyDescent="0.25">
      <c r="A729" t="s">
        <v>736</v>
      </c>
      <c r="B729" t="s">
        <v>1</v>
      </c>
      <c r="C729" t="str">
        <f t="shared" si="76"/>
        <v>060883</v>
      </c>
      <c r="D729" t="str">
        <f t="shared" si="77"/>
        <v>TOR</v>
      </c>
      <c r="E729" t="str" cm="1">
        <f t="array" ref="E729">INDEX($E$2:$E$4, MOD(ROW()-1,3)+1)</f>
        <v>Machine 3</v>
      </c>
      <c r="F729">
        <f t="shared" ca="1" si="78"/>
        <v>2</v>
      </c>
      <c r="G729">
        <f t="shared" ca="1" si="79"/>
        <v>1</v>
      </c>
      <c r="H729">
        <f ca="1">RANDBETWEEN(1,J729-2)</f>
        <v>1</v>
      </c>
      <c r="I729">
        <f t="shared" ca="1" si="80"/>
        <v>25</v>
      </c>
      <c r="J729">
        <f t="shared" ca="1" si="81"/>
        <v>14</v>
      </c>
    </row>
    <row r="730" spans="1:10" x14ac:dyDescent="0.25">
      <c r="A730" t="s">
        <v>737</v>
      </c>
      <c r="B730" t="s">
        <v>1</v>
      </c>
      <c r="C730" t="str">
        <f t="shared" si="76"/>
        <v>060886</v>
      </c>
      <c r="D730" t="str">
        <f t="shared" si="77"/>
        <v>TOR</v>
      </c>
      <c r="E730" t="str" cm="1">
        <f t="array" ref="E730">INDEX($E$2:$E$4, MOD(ROW()-1,3)+1)</f>
        <v>Machine 1</v>
      </c>
      <c r="F730">
        <f t="shared" ca="1" si="78"/>
        <v>2</v>
      </c>
      <c r="G730">
        <f t="shared" ca="1" si="79"/>
        <v>0</v>
      </c>
      <c r="H730">
        <f ca="1">RANDBETWEEN(1,J730-2)</f>
        <v>3</v>
      </c>
      <c r="I730">
        <f t="shared" ca="1" si="80"/>
        <v>25</v>
      </c>
      <c r="J730">
        <f t="shared" ca="1" si="81"/>
        <v>7</v>
      </c>
    </row>
    <row r="731" spans="1:10" x14ac:dyDescent="0.25">
      <c r="A731" t="s">
        <v>738</v>
      </c>
      <c r="B731" t="s">
        <v>1</v>
      </c>
      <c r="C731" t="str">
        <f t="shared" si="76"/>
        <v>060896</v>
      </c>
      <c r="D731" t="str">
        <f t="shared" si="77"/>
        <v>TOR</v>
      </c>
      <c r="E731" t="str" cm="1">
        <f t="array" ref="E731">INDEX($E$2:$E$4, MOD(ROW()-1,3)+1)</f>
        <v>Machine 2</v>
      </c>
      <c r="F731">
        <f t="shared" ca="1" si="78"/>
        <v>3</v>
      </c>
      <c r="G731">
        <f t="shared" ca="1" si="79"/>
        <v>0</v>
      </c>
      <c r="H731">
        <f ca="1">RANDBETWEEN(1,J731-2)</f>
        <v>4</v>
      </c>
      <c r="I731">
        <f t="shared" ca="1" si="80"/>
        <v>46</v>
      </c>
      <c r="J731">
        <f t="shared" ca="1" si="81"/>
        <v>10</v>
      </c>
    </row>
    <row r="732" spans="1:10" x14ac:dyDescent="0.25">
      <c r="A732" t="s">
        <v>739</v>
      </c>
      <c r="B732" t="s">
        <v>1</v>
      </c>
      <c r="C732" t="str">
        <f t="shared" si="76"/>
        <v>060898</v>
      </c>
      <c r="D732" t="str">
        <f t="shared" si="77"/>
        <v>TOR</v>
      </c>
      <c r="E732" t="str" cm="1">
        <f t="array" ref="E732">INDEX($E$2:$E$4, MOD(ROW()-1,3)+1)</f>
        <v>Machine 3</v>
      </c>
      <c r="F732">
        <f t="shared" ca="1" si="78"/>
        <v>3</v>
      </c>
      <c r="G732">
        <f t="shared" ca="1" si="79"/>
        <v>0</v>
      </c>
      <c r="H732">
        <f ca="1">RANDBETWEEN(1,J732-2)</f>
        <v>3</v>
      </c>
      <c r="I732">
        <f t="shared" ca="1" si="80"/>
        <v>28</v>
      </c>
      <c r="J732">
        <f t="shared" ca="1" si="81"/>
        <v>7</v>
      </c>
    </row>
    <row r="733" spans="1:10" x14ac:dyDescent="0.25">
      <c r="A733" t="s">
        <v>740</v>
      </c>
      <c r="B733" t="s">
        <v>1</v>
      </c>
      <c r="C733" t="str">
        <f t="shared" si="76"/>
        <v>060900</v>
      </c>
      <c r="D733" t="str">
        <f t="shared" si="77"/>
        <v>TOR</v>
      </c>
      <c r="E733" t="str" cm="1">
        <f t="array" ref="E733">INDEX($E$2:$E$4, MOD(ROW()-1,3)+1)</f>
        <v>Machine 1</v>
      </c>
      <c r="F733">
        <f t="shared" ca="1" si="78"/>
        <v>2</v>
      </c>
      <c r="G733">
        <f t="shared" ca="1" si="79"/>
        <v>0</v>
      </c>
      <c r="H733">
        <f ca="1">RANDBETWEEN(1,J733-2)</f>
        <v>2</v>
      </c>
      <c r="I733">
        <f t="shared" ca="1" si="80"/>
        <v>41</v>
      </c>
      <c r="J733">
        <f t="shared" ca="1" si="81"/>
        <v>13</v>
      </c>
    </row>
    <row r="734" spans="1:10" x14ac:dyDescent="0.25">
      <c r="A734" t="s">
        <v>741</v>
      </c>
      <c r="B734" t="s">
        <v>1</v>
      </c>
      <c r="C734" t="str">
        <f t="shared" si="76"/>
        <v>060910</v>
      </c>
      <c r="D734" t="str">
        <f t="shared" si="77"/>
        <v>TOR</v>
      </c>
      <c r="E734" t="str" cm="1">
        <f t="array" ref="E734">INDEX($E$2:$E$4, MOD(ROW()-1,3)+1)</f>
        <v>Machine 2</v>
      </c>
      <c r="F734">
        <f t="shared" ca="1" si="78"/>
        <v>2</v>
      </c>
      <c r="G734">
        <f t="shared" ca="1" si="79"/>
        <v>0</v>
      </c>
      <c r="H734">
        <f ca="1">RANDBETWEEN(1,J734-2)</f>
        <v>2</v>
      </c>
      <c r="I734">
        <f t="shared" ca="1" si="80"/>
        <v>44</v>
      </c>
      <c r="J734">
        <f t="shared" ca="1" si="81"/>
        <v>6</v>
      </c>
    </row>
    <row r="735" spans="1:10" x14ac:dyDescent="0.25">
      <c r="A735" t="s">
        <v>742</v>
      </c>
      <c r="B735" t="s">
        <v>1</v>
      </c>
      <c r="C735" t="str">
        <f t="shared" si="76"/>
        <v>060931</v>
      </c>
      <c r="D735" t="str">
        <f t="shared" si="77"/>
        <v>TOR</v>
      </c>
      <c r="E735" t="str" cm="1">
        <f t="array" ref="E735">INDEX($E$2:$E$4, MOD(ROW()-1,3)+1)</f>
        <v>Machine 3</v>
      </c>
      <c r="F735">
        <f t="shared" ca="1" si="78"/>
        <v>2</v>
      </c>
      <c r="G735">
        <f t="shared" ca="1" si="79"/>
        <v>1</v>
      </c>
      <c r="H735">
        <f ca="1">RANDBETWEEN(1,J735-2)</f>
        <v>3</v>
      </c>
      <c r="I735">
        <f t="shared" ca="1" si="80"/>
        <v>41</v>
      </c>
      <c r="J735">
        <f t="shared" ca="1" si="81"/>
        <v>8</v>
      </c>
    </row>
    <row r="736" spans="1:10" x14ac:dyDescent="0.25">
      <c r="A736" t="s">
        <v>743</v>
      </c>
      <c r="B736" t="s">
        <v>1</v>
      </c>
      <c r="C736" t="str">
        <f t="shared" si="76"/>
        <v>060935</v>
      </c>
      <c r="D736" t="str">
        <f t="shared" si="77"/>
        <v>TOR</v>
      </c>
      <c r="E736" t="str" cm="1">
        <f t="array" ref="E736">INDEX($E$2:$E$4, MOD(ROW()-1,3)+1)</f>
        <v>Machine 1</v>
      </c>
      <c r="F736">
        <f t="shared" ca="1" si="78"/>
        <v>3</v>
      </c>
      <c r="G736">
        <f t="shared" ca="1" si="79"/>
        <v>1</v>
      </c>
      <c r="H736">
        <f ca="1">RANDBETWEEN(1,J736-2)</f>
        <v>2</v>
      </c>
      <c r="I736">
        <f t="shared" ca="1" si="80"/>
        <v>43</v>
      </c>
      <c r="J736">
        <f t="shared" ca="1" si="81"/>
        <v>7</v>
      </c>
    </row>
    <row r="737" spans="1:10" x14ac:dyDescent="0.25">
      <c r="A737" t="s">
        <v>744</v>
      </c>
      <c r="B737" t="s">
        <v>1</v>
      </c>
      <c r="C737" t="str">
        <f t="shared" si="76"/>
        <v>060943</v>
      </c>
      <c r="D737" t="str">
        <f t="shared" si="77"/>
        <v>TOR</v>
      </c>
      <c r="E737" t="str" cm="1">
        <f t="array" ref="E737">INDEX($E$2:$E$4, MOD(ROW()-1,3)+1)</f>
        <v>Machine 2</v>
      </c>
      <c r="F737">
        <f t="shared" ca="1" si="78"/>
        <v>3</v>
      </c>
      <c r="G737">
        <f t="shared" ca="1" si="79"/>
        <v>0</v>
      </c>
      <c r="H737">
        <f ca="1">RANDBETWEEN(1,J737-2)</f>
        <v>9</v>
      </c>
      <c r="I737">
        <f t="shared" ca="1" si="80"/>
        <v>27</v>
      </c>
      <c r="J737">
        <f t="shared" ca="1" si="81"/>
        <v>13</v>
      </c>
    </row>
    <row r="738" spans="1:10" x14ac:dyDescent="0.25">
      <c r="A738" t="s">
        <v>745</v>
      </c>
      <c r="B738" t="s">
        <v>1</v>
      </c>
      <c r="C738" t="str">
        <f t="shared" si="76"/>
        <v>060946</v>
      </c>
      <c r="D738" t="str">
        <f t="shared" si="77"/>
        <v>TOR</v>
      </c>
      <c r="E738" t="str" cm="1">
        <f t="array" ref="E738">INDEX($E$2:$E$4, MOD(ROW()-1,3)+1)</f>
        <v>Machine 3</v>
      </c>
      <c r="F738">
        <f t="shared" ca="1" si="78"/>
        <v>2</v>
      </c>
      <c r="G738">
        <f t="shared" ca="1" si="79"/>
        <v>1</v>
      </c>
      <c r="H738">
        <f ca="1">RANDBETWEEN(1,J738-2)</f>
        <v>3</v>
      </c>
      <c r="I738">
        <f t="shared" ca="1" si="80"/>
        <v>35</v>
      </c>
      <c r="J738">
        <f t="shared" ca="1" si="81"/>
        <v>6</v>
      </c>
    </row>
    <row r="739" spans="1:10" x14ac:dyDescent="0.25">
      <c r="A739" t="s">
        <v>746</v>
      </c>
      <c r="B739" t="s">
        <v>1</v>
      </c>
      <c r="C739" t="str">
        <f t="shared" si="76"/>
        <v>060948</v>
      </c>
      <c r="D739" t="str">
        <f t="shared" si="77"/>
        <v>TOR</v>
      </c>
      <c r="E739" t="str" cm="1">
        <f t="array" ref="E739">INDEX($E$2:$E$4, MOD(ROW()-1,3)+1)</f>
        <v>Machine 1</v>
      </c>
      <c r="F739">
        <f t="shared" ca="1" si="78"/>
        <v>2</v>
      </c>
      <c r="G739">
        <f t="shared" ca="1" si="79"/>
        <v>1</v>
      </c>
      <c r="H739">
        <f ca="1">RANDBETWEEN(1,J739-2)</f>
        <v>12</v>
      </c>
      <c r="I739">
        <f t="shared" ca="1" si="80"/>
        <v>28</v>
      </c>
      <c r="J739">
        <f t="shared" ca="1" si="81"/>
        <v>15</v>
      </c>
    </row>
    <row r="740" spans="1:10" x14ac:dyDescent="0.25">
      <c r="A740" t="s">
        <v>747</v>
      </c>
      <c r="B740" t="s">
        <v>1</v>
      </c>
      <c r="C740" t="str">
        <f t="shared" si="76"/>
        <v>060951</v>
      </c>
      <c r="D740" t="str">
        <f t="shared" si="77"/>
        <v>TOR</v>
      </c>
      <c r="E740" t="str" cm="1">
        <f t="array" ref="E740">INDEX($E$2:$E$4, MOD(ROW()-1,3)+1)</f>
        <v>Machine 2</v>
      </c>
      <c r="F740">
        <f t="shared" ca="1" si="78"/>
        <v>2</v>
      </c>
      <c r="G740">
        <f t="shared" ca="1" si="79"/>
        <v>1</v>
      </c>
      <c r="H740">
        <f ca="1">RANDBETWEEN(1,J740-2)</f>
        <v>1</v>
      </c>
      <c r="I740">
        <f t="shared" ca="1" si="80"/>
        <v>30</v>
      </c>
      <c r="J740">
        <f t="shared" ca="1" si="81"/>
        <v>15</v>
      </c>
    </row>
    <row r="741" spans="1:10" x14ac:dyDescent="0.25">
      <c r="A741" t="s">
        <v>748</v>
      </c>
      <c r="B741" t="s">
        <v>1</v>
      </c>
      <c r="C741" t="str">
        <f t="shared" si="76"/>
        <v>060953</v>
      </c>
      <c r="D741" t="str">
        <f t="shared" si="77"/>
        <v>TOR</v>
      </c>
      <c r="E741" t="str" cm="1">
        <f t="array" ref="E741">INDEX($E$2:$E$4, MOD(ROW()-1,3)+1)</f>
        <v>Machine 3</v>
      </c>
      <c r="F741">
        <f t="shared" ca="1" si="78"/>
        <v>2</v>
      </c>
      <c r="G741">
        <f t="shared" ca="1" si="79"/>
        <v>1</v>
      </c>
      <c r="H741">
        <f ca="1">RANDBETWEEN(1,J741-2)</f>
        <v>6</v>
      </c>
      <c r="I741">
        <f t="shared" ca="1" si="80"/>
        <v>39</v>
      </c>
      <c r="J741">
        <f t="shared" ca="1" si="81"/>
        <v>10</v>
      </c>
    </row>
    <row r="742" spans="1:10" x14ac:dyDescent="0.25">
      <c r="A742" t="s">
        <v>749</v>
      </c>
      <c r="B742" t="s">
        <v>1</v>
      </c>
      <c r="C742" t="str">
        <f t="shared" si="76"/>
        <v>060963</v>
      </c>
      <c r="D742" t="str">
        <f t="shared" si="77"/>
        <v>TOR</v>
      </c>
      <c r="E742" t="str" cm="1">
        <f t="array" ref="E742">INDEX($E$2:$E$4, MOD(ROW()-1,3)+1)</f>
        <v>Machine 1</v>
      </c>
      <c r="F742">
        <f t="shared" ca="1" si="78"/>
        <v>2</v>
      </c>
      <c r="G742">
        <f t="shared" ca="1" si="79"/>
        <v>1</v>
      </c>
      <c r="H742">
        <f ca="1">RANDBETWEEN(1,J742-2)</f>
        <v>4</v>
      </c>
      <c r="I742">
        <f t="shared" ca="1" si="80"/>
        <v>46</v>
      </c>
      <c r="J742">
        <f t="shared" ca="1" si="81"/>
        <v>7</v>
      </c>
    </row>
    <row r="743" spans="1:10" x14ac:dyDescent="0.25">
      <c r="A743" t="s">
        <v>750</v>
      </c>
      <c r="B743" t="s">
        <v>1</v>
      </c>
      <c r="C743" t="str">
        <f t="shared" si="76"/>
        <v>060965</v>
      </c>
      <c r="D743" t="str">
        <f t="shared" si="77"/>
        <v>TOR</v>
      </c>
      <c r="E743" t="str" cm="1">
        <f t="array" ref="E743">INDEX($E$2:$E$4, MOD(ROW()-1,3)+1)</f>
        <v>Machine 2</v>
      </c>
      <c r="F743">
        <f t="shared" ca="1" si="78"/>
        <v>3</v>
      </c>
      <c r="G743">
        <f t="shared" ca="1" si="79"/>
        <v>1</v>
      </c>
      <c r="H743">
        <f ca="1">RANDBETWEEN(1,J743-2)</f>
        <v>1</v>
      </c>
      <c r="I743">
        <f t="shared" ca="1" si="80"/>
        <v>29</v>
      </c>
      <c r="J743">
        <f t="shared" ca="1" si="81"/>
        <v>12</v>
      </c>
    </row>
    <row r="744" spans="1:10" x14ac:dyDescent="0.25">
      <c r="A744" t="s">
        <v>751</v>
      </c>
      <c r="B744" t="s">
        <v>1</v>
      </c>
      <c r="C744" t="str">
        <f t="shared" si="76"/>
        <v>060970</v>
      </c>
      <c r="D744" t="str">
        <f t="shared" si="77"/>
        <v>TOR</v>
      </c>
      <c r="E744" t="str" cm="1">
        <f t="array" ref="E744">INDEX($E$2:$E$4, MOD(ROW()-1,3)+1)</f>
        <v>Machine 3</v>
      </c>
      <c r="F744">
        <f t="shared" ca="1" si="78"/>
        <v>2</v>
      </c>
      <c r="G744">
        <f t="shared" ca="1" si="79"/>
        <v>0</v>
      </c>
      <c r="H744">
        <f ca="1">RANDBETWEEN(1,J744-2)</f>
        <v>1</v>
      </c>
      <c r="I744">
        <f t="shared" ca="1" si="80"/>
        <v>39</v>
      </c>
      <c r="J744">
        <f t="shared" ca="1" si="81"/>
        <v>15</v>
      </c>
    </row>
    <row r="745" spans="1:10" x14ac:dyDescent="0.25">
      <c r="A745" t="s">
        <v>752</v>
      </c>
      <c r="B745" t="s">
        <v>1</v>
      </c>
      <c r="C745" t="str">
        <f t="shared" si="76"/>
        <v>060975</v>
      </c>
      <c r="D745" t="str">
        <f t="shared" si="77"/>
        <v>TOR</v>
      </c>
      <c r="E745" t="str" cm="1">
        <f t="array" ref="E745">INDEX($E$2:$E$4, MOD(ROW()-1,3)+1)</f>
        <v>Machine 1</v>
      </c>
      <c r="F745">
        <f t="shared" ca="1" si="78"/>
        <v>3</v>
      </c>
      <c r="G745">
        <f t="shared" ca="1" si="79"/>
        <v>0</v>
      </c>
      <c r="H745">
        <f ca="1">RANDBETWEEN(1,J745-2)</f>
        <v>2</v>
      </c>
      <c r="I745">
        <f t="shared" ca="1" si="80"/>
        <v>48</v>
      </c>
      <c r="J745">
        <f t="shared" ca="1" si="81"/>
        <v>5</v>
      </c>
    </row>
    <row r="746" spans="1:10" x14ac:dyDescent="0.25">
      <c r="A746" t="s">
        <v>753</v>
      </c>
      <c r="B746" t="s">
        <v>1</v>
      </c>
      <c r="C746" t="str">
        <f t="shared" si="76"/>
        <v>060977</v>
      </c>
      <c r="D746" t="str">
        <f t="shared" si="77"/>
        <v>TOR</v>
      </c>
      <c r="E746" t="str" cm="1">
        <f t="array" ref="E746">INDEX($E$2:$E$4, MOD(ROW()-1,3)+1)</f>
        <v>Machine 2</v>
      </c>
      <c r="F746">
        <f t="shared" ca="1" si="78"/>
        <v>3</v>
      </c>
      <c r="G746">
        <f t="shared" ca="1" si="79"/>
        <v>0</v>
      </c>
      <c r="H746">
        <f ca="1">RANDBETWEEN(1,J746-2)</f>
        <v>3</v>
      </c>
      <c r="I746">
        <f t="shared" ca="1" si="80"/>
        <v>47</v>
      </c>
      <c r="J746">
        <f t="shared" ca="1" si="81"/>
        <v>15</v>
      </c>
    </row>
    <row r="747" spans="1:10" x14ac:dyDescent="0.25">
      <c r="A747" t="s">
        <v>754</v>
      </c>
      <c r="B747" t="s">
        <v>1</v>
      </c>
      <c r="C747" t="str">
        <f t="shared" si="76"/>
        <v>060979</v>
      </c>
      <c r="D747" t="str">
        <f t="shared" si="77"/>
        <v>TOR</v>
      </c>
      <c r="E747" t="str" cm="1">
        <f t="array" ref="E747">INDEX($E$2:$E$4, MOD(ROW()-1,3)+1)</f>
        <v>Machine 3</v>
      </c>
      <c r="F747">
        <f t="shared" ca="1" si="78"/>
        <v>3</v>
      </c>
      <c r="G747">
        <f t="shared" ca="1" si="79"/>
        <v>1</v>
      </c>
      <c r="H747">
        <f ca="1">RANDBETWEEN(1,J747-2)</f>
        <v>7</v>
      </c>
      <c r="I747">
        <f t="shared" ca="1" si="80"/>
        <v>37</v>
      </c>
      <c r="J747">
        <f t="shared" ca="1" si="81"/>
        <v>9</v>
      </c>
    </row>
    <row r="748" spans="1:10" x14ac:dyDescent="0.25">
      <c r="A748" t="s">
        <v>755</v>
      </c>
      <c r="B748" t="s">
        <v>1</v>
      </c>
      <c r="C748" t="str">
        <f t="shared" si="76"/>
        <v>060982</v>
      </c>
      <c r="D748" t="str">
        <f t="shared" si="77"/>
        <v>TOR</v>
      </c>
      <c r="E748" t="str" cm="1">
        <f t="array" ref="E748">INDEX($E$2:$E$4, MOD(ROW()-1,3)+1)</f>
        <v>Machine 1</v>
      </c>
      <c r="F748">
        <f t="shared" ca="1" si="78"/>
        <v>2</v>
      </c>
      <c r="G748">
        <f t="shared" ca="1" si="79"/>
        <v>0</v>
      </c>
      <c r="H748">
        <f ca="1">RANDBETWEEN(1,J748-2)</f>
        <v>6</v>
      </c>
      <c r="I748">
        <f t="shared" ca="1" si="80"/>
        <v>46</v>
      </c>
      <c r="J748">
        <f t="shared" ca="1" si="81"/>
        <v>8</v>
      </c>
    </row>
    <row r="749" spans="1:10" x14ac:dyDescent="0.25">
      <c r="A749" t="s">
        <v>756</v>
      </c>
      <c r="B749" t="s">
        <v>1</v>
      </c>
      <c r="C749" t="str">
        <f t="shared" si="76"/>
        <v>060986</v>
      </c>
      <c r="D749" t="str">
        <f t="shared" si="77"/>
        <v>TOR</v>
      </c>
      <c r="E749" t="str" cm="1">
        <f t="array" ref="E749">INDEX($E$2:$E$4, MOD(ROW()-1,3)+1)</f>
        <v>Machine 2</v>
      </c>
      <c r="F749">
        <f t="shared" ca="1" si="78"/>
        <v>2</v>
      </c>
      <c r="G749">
        <f t="shared" ca="1" si="79"/>
        <v>1</v>
      </c>
      <c r="H749">
        <f ca="1">RANDBETWEEN(1,J749-2)</f>
        <v>2</v>
      </c>
      <c r="I749">
        <f t="shared" ca="1" si="80"/>
        <v>33</v>
      </c>
      <c r="J749">
        <f t="shared" ca="1" si="81"/>
        <v>8</v>
      </c>
    </row>
    <row r="750" spans="1:10" x14ac:dyDescent="0.25">
      <c r="A750" t="s">
        <v>757</v>
      </c>
      <c r="B750" t="s">
        <v>1</v>
      </c>
      <c r="C750" t="str">
        <f t="shared" si="76"/>
        <v>060992</v>
      </c>
      <c r="D750" t="str">
        <f t="shared" si="77"/>
        <v>TOR</v>
      </c>
      <c r="E750" t="str" cm="1">
        <f t="array" ref="E750">INDEX($E$2:$E$4, MOD(ROW()-1,3)+1)</f>
        <v>Machine 3</v>
      </c>
      <c r="F750">
        <f t="shared" ca="1" si="78"/>
        <v>3</v>
      </c>
      <c r="G750">
        <f t="shared" ca="1" si="79"/>
        <v>0</v>
      </c>
      <c r="H750">
        <f ca="1">RANDBETWEEN(1,J750-2)</f>
        <v>1</v>
      </c>
      <c r="I750">
        <f t="shared" ca="1" si="80"/>
        <v>28</v>
      </c>
      <c r="J750">
        <f t="shared" ca="1" si="81"/>
        <v>5</v>
      </c>
    </row>
    <row r="751" spans="1:10" x14ac:dyDescent="0.25">
      <c r="A751" t="s">
        <v>758</v>
      </c>
      <c r="B751" t="s">
        <v>1</v>
      </c>
      <c r="C751" t="str">
        <f t="shared" si="76"/>
        <v>060994</v>
      </c>
      <c r="D751" t="str">
        <f t="shared" si="77"/>
        <v>TOR</v>
      </c>
      <c r="E751" t="str" cm="1">
        <f t="array" ref="E751">INDEX($E$2:$E$4, MOD(ROW()-1,3)+1)</f>
        <v>Machine 1</v>
      </c>
      <c r="F751">
        <f t="shared" ca="1" si="78"/>
        <v>2</v>
      </c>
      <c r="G751">
        <f t="shared" ca="1" si="79"/>
        <v>0</v>
      </c>
      <c r="H751">
        <f ca="1">RANDBETWEEN(1,J751-2)</f>
        <v>6</v>
      </c>
      <c r="I751">
        <f t="shared" ca="1" si="80"/>
        <v>40</v>
      </c>
      <c r="J751">
        <f t="shared" ca="1" si="81"/>
        <v>10</v>
      </c>
    </row>
    <row r="752" spans="1:10" x14ac:dyDescent="0.25">
      <c r="A752" t="s">
        <v>759</v>
      </c>
      <c r="B752" t="s">
        <v>1</v>
      </c>
      <c r="C752" t="str">
        <f t="shared" si="76"/>
        <v>060996</v>
      </c>
      <c r="D752" t="str">
        <f t="shared" si="77"/>
        <v>TOR</v>
      </c>
      <c r="E752" t="str" cm="1">
        <f t="array" ref="E752">INDEX($E$2:$E$4, MOD(ROW()-1,3)+1)</f>
        <v>Machine 2</v>
      </c>
      <c r="F752">
        <f t="shared" ca="1" si="78"/>
        <v>3</v>
      </c>
      <c r="G752">
        <f t="shared" ca="1" si="79"/>
        <v>1</v>
      </c>
      <c r="H752">
        <f ca="1">RANDBETWEEN(1,J752-2)</f>
        <v>7</v>
      </c>
      <c r="I752">
        <f t="shared" ca="1" si="80"/>
        <v>27</v>
      </c>
      <c r="J752">
        <f t="shared" ca="1" si="81"/>
        <v>13</v>
      </c>
    </row>
    <row r="753" spans="1:10" x14ac:dyDescent="0.25">
      <c r="A753" t="s">
        <v>760</v>
      </c>
      <c r="B753" t="s">
        <v>1</v>
      </c>
      <c r="C753" t="str">
        <f t="shared" si="76"/>
        <v>061016</v>
      </c>
      <c r="D753" t="str">
        <f t="shared" si="77"/>
        <v>TOR</v>
      </c>
      <c r="E753" t="str" cm="1">
        <f t="array" ref="E753">INDEX($E$2:$E$4, MOD(ROW()-1,3)+1)</f>
        <v>Machine 3</v>
      </c>
      <c r="F753">
        <f t="shared" ca="1" si="78"/>
        <v>2</v>
      </c>
      <c r="G753">
        <f t="shared" ca="1" si="79"/>
        <v>1</v>
      </c>
      <c r="H753">
        <f ca="1">RANDBETWEEN(1,J753-2)</f>
        <v>6</v>
      </c>
      <c r="I753">
        <f t="shared" ca="1" si="80"/>
        <v>46</v>
      </c>
      <c r="J753">
        <f t="shared" ca="1" si="81"/>
        <v>9</v>
      </c>
    </row>
    <row r="754" spans="1:10" x14ac:dyDescent="0.25">
      <c r="A754" t="s">
        <v>761</v>
      </c>
      <c r="B754" t="s">
        <v>1</v>
      </c>
      <c r="C754" t="str">
        <f t="shared" si="76"/>
        <v>061018</v>
      </c>
      <c r="D754" t="str">
        <f t="shared" si="77"/>
        <v>TOR</v>
      </c>
      <c r="E754" t="str" cm="1">
        <f t="array" ref="E754">INDEX($E$2:$E$4, MOD(ROW()-1,3)+1)</f>
        <v>Machine 1</v>
      </c>
      <c r="F754">
        <f t="shared" ca="1" si="78"/>
        <v>2</v>
      </c>
      <c r="G754">
        <f t="shared" ca="1" si="79"/>
        <v>1</v>
      </c>
      <c r="H754">
        <f ca="1">RANDBETWEEN(1,J754-2)</f>
        <v>5</v>
      </c>
      <c r="I754">
        <f t="shared" ca="1" si="80"/>
        <v>36</v>
      </c>
      <c r="J754">
        <f t="shared" ca="1" si="81"/>
        <v>14</v>
      </c>
    </row>
    <row r="755" spans="1:10" x14ac:dyDescent="0.25">
      <c r="A755" t="s">
        <v>762</v>
      </c>
      <c r="B755" t="s">
        <v>1</v>
      </c>
      <c r="C755" t="str">
        <f t="shared" si="76"/>
        <v>061022</v>
      </c>
      <c r="D755" t="str">
        <f t="shared" si="77"/>
        <v>TOR</v>
      </c>
      <c r="E755" t="str" cm="1">
        <f t="array" ref="E755">INDEX($E$2:$E$4, MOD(ROW()-1,3)+1)</f>
        <v>Machine 2</v>
      </c>
      <c r="F755">
        <f t="shared" ca="1" si="78"/>
        <v>2</v>
      </c>
      <c r="G755">
        <f t="shared" ca="1" si="79"/>
        <v>1</v>
      </c>
      <c r="H755">
        <f ca="1">RANDBETWEEN(1,J755-2)</f>
        <v>3</v>
      </c>
      <c r="I755">
        <f t="shared" ca="1" si="80"/>
        <v>27</v>
      </c>
      <c r="J755">
        <f t="shared" ca="1" si="81"/>
        <v>10</v>
      </c>
    </row>
    <row r="756" spans="1:10" x14ac:dyDescent="0.25">
      <c r="A756" t="s">
        <v>763</v>
      </c>
      <c r="B756" t="s">
        <v>1</v>
      </c>
      <c r="C756" t="str">
        <f t="shared" si="76"/>
        <v>061024</v>
      </c>
      <c r="D756" t="str">
        <f t="shared" si="77"/>
        <v>TOR</v>
      </c>
      <c r="E756" t="str" cm="1">
        <f t="array" ref="E756">INDEX($E$2:$E$4, MOD(ROW()-1,3)+1)</f>
        <v>Machine 3</v>
      </c>
      <c r="F756">
        <f t="shared" ca="1" si="78"/>
        <v>2</v>
      </c>
      <c r="G756">
        <f t="shared" ca="1" si="79"/>
        <v>0</v>
      </c>
      <c r="H756">
        <f ca="1">RANDBETWEEN(1,J756-2)</f>
        <v>6</v>
      </c>
      <c r="I756">
        <f t="shared" ca="1" si="80"/>
        <v>35</v>
      </c>
      <c r="J756">
        <f t="shared" ca="1" si="81"/>
        <v>9</v>
      </c>
    </row>
    <row r="757" spans="1:10" x14ac:dyDescent="0.25">
      <c r="A757" t="s">
        <v>764</v>
      </c>
      <c r="B757" t="s">
        <v>1</v>
      </c>
      <c r="C757" t="str">
        <f t="shared" si="76"/>
        <v>061026</v>
      </c>
      <c r="D757" t="str">
        <f t="shared" si="77"/>
        <v>TOR</v>
      </c>
      <c r="E757" t="str" cm="1">
        <f t="array" ref="E757">INDEX($E$2:$E$4, MOD(ROW()-1,3)+1)</f>
        <v>Machine 1</v>
      </c>
      <c r="F757">
        <f t="shared" ca="1" si="78"/>
        <v>3</v>
      </c>
      <c r="G757">
        <f t="shared" ca="1" si="79"/>
        <v>1</v>
      </c>
      <c r="H757">
        <f ca="1">RANDBETWEEN(1,J757-2)</f>
        <v>11</v>
      </c>
      <c r="I757">
        <f t="shared" ca="1" si="80"/>
        <v>37</v>
      </c>
      <c r="J757">
        <f t="shared" ca="1" si="81"/>
        <v>13</v>
      </c>
    </row>
    <row r="758" spans="1:10" x14ac:dyDescent="0.25">
      <c r="A758" t="s">
        <v>765</v>
      </c>
      <c r="B758" t="s">
        <v>1</v>
      </c>
      <c r="C758" t="str">
        <f t="shared" si="76"/>
        <v>061028</v>
      </c>
      <c r="D758" t="str">
        <f t="shared" si="77"/>
        <v>TOR</v>
      </c>
      <c r="E758" t="str" cm="1">
        <f t="array" ref="E758">INDEX($E$2:$E$4, MOD(ROW()-1,3)+1)</f>
        <v>Machine 2</v>
      </c>
      <c r="F758">
        <f t="shared" ca="1" si="78"/>
        <v>3</v>
      </c>
      <c r="G758">
        <f t="shared" ca="1" si="79"/>
        <v>0</v>
      </c>
      <c r="H758">
        <f ca="1">RANDBETWEEN(1,J758-2)</f>
        <v>3</v>
      </c>
      <c r="I758">
        <f t="shared" ca="1" si="80"/>
        <v>40</v>
      </c>
      <c r="J758">
        <f t="shared" ca="1" si="81"/>
        <v>11</v>
      </c>
    </row>
    <row r="759" spans="1:10" x14ac:dyDescent="0.25">
      <c r="A759" t="s">
        <v>766</v>
      </c>
      <c r="B759" t="s">
        <v>1</v>
      </c>
      <c r="C759" t="str">
        <f t="shared" si="76"/>
        <v>061030</v>
      </c>
      <c r="D759" t="str">
        <f t="shared" si="77"/>
        <v>TOR</v>
      </c>
      <c r="E759" t="str" cm="1">
        <f t="array" ref="E759">INDEX($E$2:$E$4, MOD(ROW()-1,3)+1)</f>
        <v>Machine 3</v>
      </c>
      <c r="F759">
        <f t="shared" ca="1" si="78"/>
        <v>2</v>
      </c>
      <c r="G759">
        <f t="shared" ca="1" si="79"/>
        <v>1</v>
      </c>
      <c r="H759">
        <f ca="1">RANDBETWEEN(1,J759-2)</f>
        <v>1</v>
      </c>
      <c r="I759">
        <f t="shared" ca="1" si="80"/>
        <v>27</v>
      </c>
      <c r="J759">
        <f t="shared" ca="1" si="81"/>
        <v>6</v>
      </c>
    </row>
    <row r="760" spans="1:10" x14ac:dyDescent="0.25">
      <c r="A760" t="s">
        <v>767</v>
      </c>
      <c r="B760" t="s">
        <v>1</v>
      </c>
      <c r="C760" t="str">
        <f t="shared" si="76"/>
        <v>061036</v>
      </c>
      <c r="D760" t="str">
        <f t="shared" si="77"/>
        <v>TOR</v>
      </c>
      <c r="E760" t="str" cm="1">
        <f t="array" ref="E760">INDEX($E$2:$E$4, MOD(ROW()-1,3)+1)</f>
        <v>Machine 1</v>
      </c>
      <c r="F760">
        <f t="shared" ca="1" si="78"/>
        <v>2</v>
      </c>
      <c r="G760">
        <f t="shared" ca="1" si="79"/>
        <v>0</v>
      </c>
      <c r="H760">
        <f ca="1">RANDBETWEEN(1,J760-2)</f>
        <v>1</v>
      </c>
      <c r="I760">
        <f t="shared" ca="1" si="80"/>
        <v>36</v>
      </c>
      <c r="J760">
        <f t="shared" ca="1" si="81"/>
        <v>9</v>
      </c>
    </row>
    <row r="761" spans="1:10" x14ac:dyDescent="0.25">
      <c r="A761" t="s">
        <v>768</v>
      </c>
      <c r="B761" t="s">
        <v>1</v>
      </c>
      <c r="C761" t="str">
        <f t="shared" si="76"/>
        <v>061040</v>
      </c>
      <c r="D761" t="str">
        <f t="shared" si="77"/>
        <v>TOR</v>
      </c>
      <c r="E761" t="str" cm="1">
        <f t="array" ref="E761">INDEX($E$2:$E$4, MOD(ROW()-1,3)+1)</f>
        <v>Machine 2</v>
      </c>
      <c r="F761">
        <f t="shared" ca="1" si="78"/>
        <v>3</v>
      </c>
      <c r="G761">
        <f t="shared" ca="1" si="79"/>
        <v>1</v>
      </c>
      <c r="H761">
        <f ca="1">RANDBETWEEN(1,J761-2)</f>
        <v>2</v>
      </c>
      <c r="I761">
        <f t="shared" ca="1" si="80"/>
        <v>47</v>
      </c>
      <c r="J761">
        <f t="shared" ca="1" si="81"/>
        <v>11</v>
      </c>
    </row>
    <row r="762" spans="1:10" x14ac:dyDescent="0.25">
      <c r="A762" t="s">
        <v>769</v>
      </c>
      <c r="B762" t="s">
        <v>1</v>
      </c>
      <c r="C762" t="str">
        <f t="shared" si="76"/>
        <v>061042</v>
      </c>
      <c r="D762" t="str">
        <f t="shared" si="77"/>
        <v>TOR</v>
      </c>
      <c r="E762" t="str" cm="1">
        <f t="array" ref="E762">INDEX($E$2:$E$4, MOD(ROW()-1,3)+1)</f>
        <v>Machine 3</v>
      </c>
      <c r="F762">
        <f t="shared" ca="1" si="78"/>
        <v>2</v>
      </c>
      <c r="G762">
        <f t="shared" ca="1" si="79"/>
        <v>0</v>
      </c>
      <c r="H762">
        <f ca="1">RANDBETWEEN(1,J762-2)</f>
        <v>4</v>
      </c>
      <c r="I762">
        <f t="shared" ca="1" si="80"/>
        <v>25</v>
      </c>
      <c r="J762">
        <f t="shared" ca="1" si="81"/>
        <v>13</v>
      </c>
    </row>
    <row r="763" spans="1:10" x14ac:dyDescent="0.25">
      <c r="A763" t="s">
        <v>770</v>
      </c>
      <c r="B763" t="s">
        <v>1</v>
      </c>
      <c r="C763" t="str">
        <f t="shared" si="76"/>
        <v>061049</v>
      </c>
      <c r="D763" t="str">
        <f t="shared" si="77"/>
        <v>TOR</v>
      </c>
      <c r="E763" t="str" cm="1">
        <f t="array" ref="E763">INDEX($E$2:$E$4, MOD(ROW()-1,3)+1)</f>
        <v>Machine 1</v>
      </c>
      <c r="F763">
        <f t="shared" ca="1" si="78"/>
        <v>3</v>
      </c>
      <c r="G763">
        <f t="shared" ca="1" si="79"/>
        <v>0</v>
      </c>
      <c r="H763">
        <f ca="1">RANDBETWEEN(1,J763-2)</f>
        <v>5</v>
      </c>
      <c r="I763">
        <f t="shared" ca="1" si="80"/>
        <v>41</v>
      </c>
      <c r="J763">
        <f t="shared" ca="1" si="81"/>
        <v>7</v>
      </c>
    </row>
    <row r="764" spans="1:10" x14ac:dyDescent="0.25">
      <c r="A764" t="s">
        <v>771</v>
      </c>
      <c r="B764" t="s">
        <v>1</v>
      </c>
      <c r="C764" t="str">
        <f t="shared" si="76"/>
        <v>061051</v>
      </c>
      <c r="D764" t="str">
        <f t="shared" si="77"/>
        <v>TOR</v>
      </c>
      <c r="E764" t="str" cm="1">
        <f t="array" ref="E764">INDEX($E$2:$E$4, MOD(ROW()-1,3)+1)</f>
        <v>Machine 2</v>
      </c>
      <c r="F764">
        <f t="shared" ca="1" si="78"/>
        <v>3</v>
      </c>
      <c r="G764">
        <f t="shared" ca="1" si="79"/>
        <v>1</v>
      </c>
      <c r="H764">
        <f ca="1">RANDBETWEEN(1,J764-2)</f>
        <v>3</v>
      </c>
      <c r="I764">
        <f t="shared" ca="1" si="80"/>
        <v>38</v>
      </c>
      <c r="J764">
        <f t="shared" ca="1" si="81"/>
        <v>14</v>
      </c>
    </row>
    <row r="765" spans="1:10" x14ac:dyDescent="0.25">
      <c r="A765" t="s">
        <v>772</v>
      </c>
      <c r="B765" t="s">
        <v>1</v>
      </c>
      <c r="C765" t="str">
        <f t="shared" si="76"/>
        <v>061056</v>
      </c>
      <c r="D765" t="str">
        <f t="shared" si="77"/>
        <v>TOR</v>
      </c>
      <c r="E765" t="str" cm="1">
        <f t="array" ref="E765">INDEX($E$2:$E$4, MOD(ROW()-1,3)+1)</f>
        <v>Machine 3</v>
      </c>
      <c r="F765">
        <f t="shared" ca="1" si="78"/>
        <v>3</v>
      </c>
      <c r="G765">
        <f t="shared" ca="1" si="79"/>
        <v>0</v>
      </c>
      <c r="H765">
        <f ca="1">RANDBETWEEN(1,J765-2)</f>
        <v>2</v>
      </c>
      <c r="I765">
        <f t="shared" ca="1" si="80"/>
        <v>31</v>
      </c>
      <c r="J765">
        <f t="shared" ca="1" si="81"/>
        <v>7</v>
      </c>
    </row>
    <row r="766" spans="1:10" x14ac:dyDescent="0.25">
      <c r="A766" t="s">
        <v>773</v>
      </c>
      <c r="B766" t="s">
        <v>1</v>
      </c>
      <c r="C766" t="str">
        <f t="shared" si="76"/>
        <v>061058</v>
      </c>
      <c r="D766" t="str">
        <f t="shared" si="77"/>
        <v>TOR</v>
      </c>
      <c r="E766" t="str" cm="1">
        <f t="array" ref="E766">INDEX($E$2:$E$4, MOD(ROW()-1,3)+1)</f>
        <v>Machine 1</v>
      </c>
      <c r="F766">
        <f t="shared" ca="1" si="78"/>
        <v>3</v>
      </c>
      <c r="G766">
        <f t="shared" ca="1" si="79"/>
        <v>1</v>
      </c>
      <c r="H766">
        <f ca="1">RANDBETWEEN(1,J766-2)</f>
        <v>8</v>
      </c>
      <c r="I766">
        <f t="shared" ca="1" si="80"/>
        <v>40</v>
      </c>
      <c r="J766">
        <f t="shared" ca="1" si="81"/>
        <v>14</v>
      </c>
    </row>
    <row r="767" spans="1:10" x14ac:dyDescent="0.25">
      <c r="A767" t="s">
        <v>774</v>
      </c>
      <c r="B767" t="s">
        <v>1</v>
      </c>
      <c r="C767" t="str">
        <f t="shared" si="76"/>
        <v>061065</v>
      </c>
      <c r="D767" t="str">
        <f t="shared" si="77"/>
        <v>TOR</v>
      </c>
      <c r="E767" t="str" cm="1">
        <f t="array" ref="E767">INDEX($E$2:$E$4, MOD(ROW()-1,3)+1)</f>
        <v>Machine 2</v>
      </c>
      <c r="F767">
        <f t="shared" ca="1" si="78"/>
        <v>3</v>
      </c>
      <c r="G767">
        <f t="shared" ca="1" si="79"/>
        <v>1</v>
      </c>
      <c r="H767">
        <f ca="1">RANDBETWEEN(1,J767-2)</f>
        <v>11</v>
      </c>
      <c r="I767">
        <f t="shared" ca="1" si="80"/>
        <v>39</v>
      </c>
      <c r="J767">
        <f t="shared" ca="1" si="81"/>
        <v>13</v>
      </c>
    </row>
    <row r="768" spans="1:10" x14ac:dyDescent="0.25">
      <c r="A768" t="s">
        <v>775</v>
      </c>
      <c r="B768" t="s">
        <v>1</v>
      </c>
      <c r="C768" t="str">
        <f t="shared" si="76"/>
        <v>061075</v>
      </c>
      <c r="D768" t="str">
        <f t="shared" si="77"/>
        <v>TOR</v>
      </c>
      <c r="E768" t="str" cm="1">
        <f t="array" ref="E768">INDEX($E$2:$E$4, MOD(ROW()-1,3)+1)</f>
        <v>Machine 3</v>
      </c>
      <c r="F768">
        <f t="shared" ca="1" si="78"/>
        <v>3</v>
      </c>
      <c r="G768">
        <f t="shared" ca="1" si="79"/>
        <v>1</v>
      </c>
      <c r="H768">
        <f ca="1">RANDBETWEEN(1,J768-2)</f>
        <v>1</v>
      </c>
      <c r="I768">
        <f t="shared" ca="1" si="80"/>
        <v>46</v>
      </c>
      <c r="J768">
        <f t="shared" ca="1" si="81"/>
        <v>9</v>
      </c>
    </row>
    <row r="769" spans="1:10" x14ac:dyDescent="0.25">
      <c r="A769" t="s">
        <v>776</v>
      </c>
      <c r="B769" t="s">
        <v>1</v>
      </c>
      <c r="C769" t="str">
        <f t="shared" si="76"/>
        <v>061081</v>
      </c>
      <c r="D769" t="str">
        <f t="shared" si="77"/>
        <v>TOR</v>
      </c>
      <c r="E769" t="str" cm="1">
        <f t="array" ref="E769">INDEX($E$2:$E$4, MOD(ROW()-1,3)+1)</f>
        <v>Machine 1</v>
      </c>
      <c r="F769">
        <f t="shared" ca="1" si="78"/>
        <v>2</v>
      </c>
      <c r="G769">
        <f t="shared" ca="1" si="79"/>
        <v>0</v>
      </c>
      <c r="H769">
        <f ca="1">RANDBETWEEN(1,J769-2)</f>
        <v>3</v>
      </c>
      <c r="I769">
        <f t="shared" ca="1" si="80"/>
        <v>45</v>
      </c>
      <c r="J769">
        <f t="shared" ca="1" si="81"/>
        <v>7</v>
      </c>
    </row>
    <row r="770" spans="1:10" x14ac:dyDescent="0.25">
      <c r="A770" t="s">
        <v>777</v>
      </c>
      <c r="B770" t="s">
        <v>1</v>
      </c>
      <c r="C770" t="str">
        <f t="shared" si="76"/>
        <v>061108</v>
      </c>
      <c r="D770" t="str">
        <f t="shared" si="77"/>
        <v>TOR</v>
      </c>
      <c r="E770" t="str" cm="1">
        <f t="array" ref="E770">INDEX($E$2:$E$4, MOD(ROW()-1,3)+1)</f>
        <v>Machine 2</v>
      </c>
      <c r="F770">
        <f t="shared" ca="1" si="78"/>
        <v>3</v>
      </c>
      <c r="G770">
        <f t="shared" ca="1" si="79"/>
        <v>0</v>
      </c>
      <c r="H770">
        <f ca="1">RANDBETWEEN(1,J770-2)</f>
        <v>1</v>
      </c>
      <c r="I770">
        <f t="shared" ca="1" si="80"/>
        <v>43</v>
      </c>
      <c r="J770">
        <f t="shared" ca="1" si="81"/>
        <v>11</v>
      </c>
    </row>
    <row r="771" spans="1:10" x14ac:dyDescent="0.25">
      <c r="A771" t="s">
        <v>778</v>
      </c>
      <c r="B771" t="s">
        <v>1</v>
      </c>
      <c r="C771" t="str">
        <f t="shared" ref="C771:C834" si="82">RIGHT(A771,6)</f>
        <v>061113</v>
      </c>
      <c r="D771" t="str">
        <f t="shared" ref="D771:D834" si="83">RIGHT(B771,3)</f>
        <v>TOR</v>
      </c>
      <c r="E771" t="str" cm="1">
        <f t="array" ref="E771">INDEX($E$2:$E$4, MOD(ROW()-1,3)+1)</f>
        <v>Machine 3</v>
      </c>
      <c r="F771">
        <f t="shared" ref="F771:F834" ca="1" si="84">RANDBETWEEN(2,3)</f>
        <v>3</v>
      </c>
      <c r="G771">
        <f t="shared" ref="G771:G834" ca="1" si="85">RANDBETWEEN(0,1)</f>
        <v>0</v>
      </c>
      <c r="H771">
        <f ca="1">RANDBETWEEN(1,J771-2)</f>
        <v>8</v>
      </c>
      <c r="I771">
        <f t="shared" ref="I771:I834" ca="1" si="86">RANDBETWEEN(24,48)</f>
        <v>39</v>
      </c>
      <c r="J771">
        <f t="shared" ref="J771:J834" ca="1" si="87">RANDBETWEEN(5,15)</f>
        <v>13</v>
      </c>
    </row>
    <row r="772" spans="1:10" x14ac:dyDescent="0.25">
      <c r="A772" t="s">
        <v>779</v>
      </c>
      <c r="B772" t="s">
        <v>1</v>
      </c>
      <c r="C772" t="str">
        <f t="shared" si="82"/>
        <v>061119</v>
      </c>
      <c r="D772" t="str">
        <f t="shared" si="83"/>
        <v>TOR</v>
      </c>
      <c r="E772" t="str" cm="1">
        <f t="array" ref="E772">INDEX($E$2:$E$4, MOD(ROW()-1,3)+1)</f>
        <v>Machine 1</v>
      </c>
      <c r="F772">
        <f t="shared" ca="1" si="84"/>
        <v>2</v>
      </c>
      <c r="G772">
        <f t="shared" ca="1" si="85"/>
        <v>1</v>
      </c>
      <c r="H772">
        <f ca="1">RANDBETWEEN(1,J772-2)</f>
        <v>4</v>
      </c>
      <c r="I772">
        <f t="shared" ca="1" si="86"/>
        <v>38</v>
      </c>
      <c r="J772">
        <f t="shared" ca="1" si="87"/>
        <v>10</v>
      </c>
    </row>
    <row r="773" spans="1:10" x14ac:dyDescent="0.25">
      <c r="A773" t="s">
        <v>780</v>
      </c>
      <c r="B773" t="s">
        <v>1</v>
      </c>
      <c r="C773" t="str">
        <f t="shared" si="82"/>
        <v>061122</v>
      </c>
      <c r="D773" t="str">
        <f t="shared" si="83"/>
        <v>TOR</v>
      </c>
      <c r="E773" t="str" cm="1">
        <f t="array" ref="E773">INDEX($E$2:$E$4, MOD(ROW()-1,3)+1)</f>
        <v>Machine 2</v>
      </c>
      <c r="F773">
        <f t="shared" ca="1" si="84"/>
        <v>3</v>
      </c>
      <c r="G773">
        <f t="shared" ca="1" si="85"/>
        <v>0</v>
      </c>
      <c r="H773">
        <f ca="1">RANDBETWEEN(1,J773-2)</f>
        <v>3</v>
      </c>
      <c r="I773">
        <f t="shared" ca="1" si="86"/>
        <v>34</v>
      </c>
      <c r="J773">
        <f t="shared" ca="1" si="87"/>
        <v>11</v>
      </c>
    </row>
    <row r="774" spans="1:10" x14ac:dyDescent="0.25">
      <c r="A774" t="s">
        <v>781</v>
      </c>
      <c r="B774" t="s">
        <v>1</v>
      </c>
      <c r="C774" t="str">
        <f t="shared" si="82"/>
        <v>061124</v>
      </c>
      <c r="D774" t="str">
        <f t="shared" si="83"/>
        <v>TOR</v>
      </c>
      <c r="E774" t="str" cm="1">
        <f t="array" ref="E774">INDEX($E$2:$E$4, MOD(ROW()-1,3)+1)</f>
        <v>Machine 3</v>
      </c>
      <c r="F774">
        <f t="shared" ca="1" si="84"/>
        <v>3</v>
      </c>
      <c r="G774">
        <f t="shared" ca="1" si="85"/>
        <v>1</v>
      </c>
      <c r="H774">
        <f ca="1">RANDBETWEEN(1,J774-2)</f>
        <v>2</v>
      </c>
      <c r="I774">
        <f t="shared" ca="1" si="86"/>
        <v>42</v>
      </c>
      <c r="J774">
        <f t="shared" ca="1" si="87"/>
        <v>8</v>
      </c>
    </row>
    <row r="775" spans="1:10" x14ac:dyDescent="0.25">
      <c r="A775" t="s">
        <v>782</v>
      </c>
      <c r="B775" t="s">
        <v>1</v>
      </c>
      <c r="C775" t="str">
        <f t="shared" si="82"/>
        <v>061130</v>
      </c>
      <c r="D775" t="str">
        <f t="shared" si="83"/>
        <v>TOR</v>
      </c>
      <c r="E775" t="str" cm="1">
        <f t="array" ref="E775">INDEX($E$2:$E$4, MOD(ROW()-1,3)+1)</f>
        <v>Machine 1</v>
      </c>
      <c r="F775">
        <f t="shared" ca="1" si="84"/>
        <v>2</v>
      </c>
      <c r="G775">
        <f t="shared" ca="1" si="85"/>
        <v>1</v>
      </c>
      <c r="H775">
        <f ca="1">RANDBETWEEN(1,J775-2)</f>
        <v>5</v>
      </c>
      <c r="I775">
        <f t="shared" ca="1" si="86"/>
        <v>25</v>
      </c>
      <c r="J775">
        <f t="shared" ca="1" si="87"/>
        <v>10</v>
      </c>
    </row>
    <row r="776" spans="1:10" x14ac:dyDescent="0.25">
      <c r="A776" t="s">
        <v>783</v>
      </c>
      <c r="B776" t="s">
        <v>1</v>
      </c>
      <c r="C776" t="str">
        <f t="shared" si="82"/>
        <v>061135</v>
      </c>
      <c r="D776" t="str">
        <f t="shared" si="83"/>
        <v>TOR</v>
      </c>
      <c r="E776" t="str" cm="1">
        <f t="array" ref="E776">INDEX($E$2:$E$4, MOD(ROW()-1,3)+1)</f>
        <v>Machine 2</v>
      </c>
      <c r="F776">
        <f t="shared" ca="1" si="84"/>
        <v>3</v>
      </c>
      <c r="G776">
        <f t="shared" ca="1" si="85"/>
        <v>1</v>
      </c>
      <c r="H776">
        <f ca="1">RANDBETWEEN(1,J776-2)</f>
        <v>12</v>
      </c>
      <c r="I776">
        <f t="shared" ca="1" si="86"/>
        <v>45</v>
      </c>
      <c r="J776">
        <f t="shared" ca="1" si="87"/>
        <v>14</v>
      </c>
    </row>
    <row r="777" spans="1:10" x14ac:dyDescent="0.25">
      <c r="A777" t="s">
        <v>784</v>
      </c>
      <c r="B777" t="s">
        <v>1</v>
      </c>
      <c r="C777" t="str">
        <f t="shared" si="82"/>
        <v>061137</v>
      </c>
      <c r="D777" t="str">
        <f t="shared" si="83"/>
        <v>TOR</v>
      </c>
      <c r="E777" t="str" cm="1">
        <f t="array" ref="E777">INDEX($E$2:$E$4, MOD(ROW()-1,3)+1)</f>
        <v>Machine 3</v>
      </c>
      <c r="F777">
        <f t="shared" ca="1" si="84"/>
        <v>2</v>
      </c>
      <c r="G777">
        <f t="shared" ca="1" si="85"/>
        <v>1</v>
      </c>
      <c r="H777">
        <f ca="1">RANDBETWEEN(1,J777-2)</f>
        <v>4</v>
      </c>
      <c r="I777">
        <f t="shared" ca="1" si="86"/>
        <v>38</v>
      </c>
      <c r="J777">
        <f t="shared" ca="1" si="87"/>
        <v>6</v>
      </c>
    </row>
    <row r="778" spans="1:10" x14ac:dyDescent="0.25">
      <c r="A778" t="s">
        <v>785</v>
      </c>
      <c r="B778" t="s">
        <v>1</v>
      </c>
      <c r="C778" t="str">
        <f t="shared" si="82"/>
        <v>061139</v>
      </c>
      <c r="D778" t="str">
        <f t="shared" si="83"/>
        <v>TOR</v>
      </c>
      <c r="E778" t="str" cm="1">
        <f t="array" ref="E778">INDEX($E$2:$E$4, MOD(ROW()-1,3)+1)</f>
        <v>Machine 1</v>
      </c>
      <c r="F778">
        <f t="shared" ca="1" si="84"/>
        <v>2</v>
      </c>
      <c r="G778">
        <f t="shared" ca="1" si="85"/>
        <v>1</v>
      </c>
      <c r="H778">
        <f ca="1">RANDBETWEEN(1,J778-2)</f>
        <v>3</v>
      </c>
      <c r="I778">
        <f t="shared" ca="1" si="86"/>
        <v>48</v>
      </c>
      <c r="J778">
        <f t="shared" ca="1" si="87"/>
        <v>6</v>
      </c>
    </row>
    <row r="779" spans="1:10" x14ac:dyDescent="0.25">
      <c r="A779" t="s">
        <v>786</v>
      </c>
      <c r="B779" t="s">
        <v>1</v>
      </c>
      <c r="C779" t="str">
        <f t="shared" si="82"/>
        <v>061145</v>
      </c>
      <c r="D779" t="str">
        <f t="shared" si="83"/>
        <v>TOR</v>
      </c>
      <c r="E779" t="str" cm="1">
        <f t="array" ref="E779">INDEX($E$2:$E$4, MOD(ROW()-1,3)+1)</f>
        <v>Machine 2</v>
      </c>
      <c r="F779">
        <f t="shared" ca="1" si="84"/>
        <v>2</v>
      </c>
      <c r="G779">
        <f t="shared" ca="1" si="85"/>
        <v>0</v>
      </c>
      <c r="H779">
        <f ca="1">RANDBETWEEN(1,J779-2)</f>
        <v>7</v>
      </c>
      <c r="I779">
        <f t="shared" ca="1" si="86"/>
        <v>27</v>
      </c>
      <c r="J779">
        <f t="shared" ca="1" si="87"/>
        <v>15</v>
      </c>
    </row>
    <row r="780" spans="1:10" x14ac:dyDescent="0.25">
      <c r="A780" t="s">
        <v>787</v>
      </c>
      <c r="B780" t="s">
        <v>1</v>
      </c>
      <c r="C780" t="str">
        <f t="shared" si="82"/>
        <v>061147</v>
      </c>
      <c r="D780" t="str">
        <f t="shared" si="83"/>
        <v>TOR</v>
      </c>
      <c r="E780" t="str" cm="1">
        <f t="array" ref="E780">INDEX($E$2:$E$4, MOD(ROW()-1,3)+1)</f>
        <v>Machine 3</v>
      </c>
      <c r="F780">
        <f t="shared" ca="1" si="84"/>
        <v>3</v>
      </c>
      <c r="G780">
        <f t="shared" ca="1" si="85"/>
        <v>0</v>
      </c>
      <c r="H780">
        <f ca="1">RANDBETWEEN(1,J780-2)</f>
        <v>3</v>
      </c>
      <c r="I780">
        <f t="shared" ca="1" si="86"/>
        <v>28</v>
      </c>
      <c r="J780">
        <f t="shared" ca="1" si="87"/>
        <v>5</v>
      </c>
    </row>
    <row r="781" spans="1:10" x14ac:dyDescent="0.25">
      <c r="A781" t="s">
        <v>788</v>
      </c>
      <c r="B781" t="s">
        <v>1</v>
      </c>
      <c r="C781" t="str">
        <f t="shared" si="82"/>
        <v>061152</v>
      </c>
      <c r="D781" t="str">
        <f t="shared" si="83"/>
        <v>TOR</v>
      </c>
      <c r="E781" t="str" cm="1">
        <f t="array" ref="E781">INDEX($E$2:$E$4, MOD(ROW()-1,3)+1)</f>
        <v>Machine 1</v>
      </c>
      <c r="F781">
        <f t="shared" ca="1" si="84"/>
        <v>3</v>
      </c>
      <c r="G781">
        <f t="shared" ca="1" si="85"/>
        <v>1</v>
      </c>
      <c r="H781">
        <f ca="1">RANDBETWEEN(1,J781-2)</f>
        <v>7</v>
      </c>
      <c r="I781">
        <f t="shared" ca="1" si="86"/>
        <v>45</v>
      </c>
      <c r="J781">
        <f t="shared" ca="1" si="87"/>
        <v>14</v>
      </c>
    </row>
    <row r="782" spans="1:10" x14ac:dyDescent="0.25">
      <c r="A782" t="s">
        <v>789</v>
      </c>
      <c r="B782" t="s">
        <v>1</v>
      </c>
      <c r="C782" t="str">
        <f t="shared" si="82"/>
        <v>061155</v>
      </c>
      <c r="D782" t="str">
        <f t="shared" si="83"/>
        <v>TOR</v>
      </c>
      <c r="E782" t="str" cm="1">
        <f t="array" ref="E782">INDEX($E$2:$E$4, MOD(ROW()-1,3)+1)</f>
        <v>Machine 2</v>
      </c>
      <c r="F782">
        <f t="shared" ca="1" si="84"/>
        <v>3</v>
      </c>
      <c r="G782">
        <f t="shared" ca="1" si="85"/>
        <v>1</v>
      </c>
      <c r="H782">
        <f ca="1">RANDBETWEEN(1,J782-2)</f>
        <v>5</v>
      </c>
      <c r="I782">
        <f t="shared" ca="1" si="86"/>
        <v>34</v>
      </c>
      <c r="J782">
        <f t="shared" ca="1" si="87"/>
        <v>8</v>
      </c>
    </row>
    <row r="783" spans="1:10" x14ac:dyDescent="0.25">
      <c r="A783" t="s">
        <v>790</v>
      </c>
      <c r="B783" t="s">
        <v>1</v>
      </c>
      <c r="C783" t="str">
        <f t="shared" si="82"/>
        <v>061159</v>
      </c>
      <c r="D783" t="str">
        <f t="shared" si="83"/>
        <v>TOR</v>
      </c>
      <c r="E783" t="str" cm="1">
        <f t="array" ref="E783">INDEX($E$2:$E$4, MOD(ROW()-1,3)+1)</f>
        <v>Machine 3</v>
      </c>
      <c r="F783">
        <f t="shared" ca="1" si="84"/>
        <v>2</v>
      </c>
      <c r="G783">
        <f t="shared" ca="1" si="85"/>
        <v>0</v>
      </c>
      <c r="H783">
        <f ca="1">RANDBETWEEN(1,J783-2)</f>
        <v>2</v>
      </c>
      <c r="I783">
        <f t="shared" ca="1" si="86"/>
        <v>39</v>
      </c>
      <c r="J783">
        <f t="shared" ca="1" si="87"/>
        <v>9</v>
      </c>
    </row>
    <row r="784" spans="1:10" x14ac:dyDescent="0.25">
      <c r="A784" t="s">
        <v>791</v>
      </c>
      <c r="B784" t="s">
        <v>1</v>
      </c>
      <c r="C784" t="str">
        <f t="shared" si="82"/>
        <v>061165</v>
      </c>
      <c r="D784" t="str">
        <f t="shared" si="83"/>
        <v>TOR</v>
      </c>
      <c r="E784" t="str" cm="1">
        <f t="array" ref="E784">INDEX($E$2:$E$4, MOD(ROW()-1,3)+1)</f>
        <v>Machine 1</v>
      </c>
      <c r="F784">
        <f t="shared" ca="1" si="84"/>
        <v>2</v>
      </c>
      <c r="G784">
        <f t="shared" ca="1" si="85"/>
        <v>0</v>
      </c>
      <c r="H784">
        <f ca="1">RANDBETWEEN(1,J784-2)</f>
        <v>2</v>
      </c>
      <c r="I784">
        <f t="shared" ca="1" si="86"/>
        <v>35</v>
      </c>
      <c r="J784">
        <f t="shared" ca="1" si="87"/>
        <v>5</v>
      </c>
    </row>
    <row r="785" spans="1:10" x14ac:dyDescent="0.25">
      <c r="A785" t="s">
        <v>792</v>
      </c>
      <c r="B785" t="s">
        <v>1</v>
      </c>
      <c r="C785" t="str">
        <f t="shared" si="82"/>
        <v>061168</v>
      </c>
      <c r="D785" t="str">
        <f t="shared" si="83"/>
        <v>TOR</v>
      </c>
      <c r="E785" t="str" cm="1">
        <f t="array" ref="E785">INDEX($E$2:$E$4, MOD(ROW()-1,3)+1)</f>
        <v>Machine 2</v>
      </c>
      <c r="F785">
        <f t="shared" ca="1" si="84"/>
        <v>2</v>
      </c>
      <c r="G785">
        <f t="shared" ca="1" si="85"/>
        <v>0</v>
      </c>
      <c r="H785">
        <f ca="1">RANDBETWEEN(1,J785-2)</f>
        <v>1</v>
      </c>
      <c r="I785">
        <f t="shared" ca="1" si="86"/>
        <v>25</v>
      </c>
      <c r="J785">
        <f t="shared" ca="1" si="87"/>
        <v>5</v>
      </c>
    </row>
    <row r="786" spans="1:10" x14ac:dyDescent="0.25">
      <c r="A786" t="s">
        <v>793</v>
      </c>
      <c r="B786" t="s">
        <v>1</v>
      </c>
      <c r="C786" t="str">
        <f t="shared" si="82"/>
        <v>061173</v>
      </c>
      <c r="D786" t="str">
        <f t="shared" si="83"/>
        <v>TOR</v>
      </c>
      <c r="E786" t="str" cm="1">
        <f t="array" ref="E786">INDEX($E$2:$E$4, MOD(ROW()-1,3)+1)</f>
        <v>Machine 3</v>
      </c>
      <c r="F786">
        <f t="shared" ca="1" si="84"/>
        <v>3</v>
      </c>
      <c r="G786">
        <f t="shared" ca="1" si="85"/>
        <v>1</v>
      </c>
      <c r="H786">
        <f ca="1">RANDBETWEEN(1,J786-2)</f>
        <v>13</v>
      </c>
      <c r="I786">
        <f t="shared" ca="1" si="86"/>
        <v>46</v>
      </c>
      <c r="J786">
        <f t="shared" ca="1" si="87"/>
        <v>15</v>
      </c>
    </row>
    <row r="787" spans="1:10" x14ac:dyDescent="0.25">
      <c r="A787" t="s">
        <v>794</v>
      </c>
      <c r="B787" t="s">
        <v>1</v>
      </c>
      <c r="C787" t="str">
        <f t="shared" si="82"/>
        <v>061178</v>
      </c>
      <c r="D787" t="str">
        <f t="shared" si="83"/>
        <v>TOR</v>
      </c>
      <c r="E787" t="str" cm="1">
        <f t="array" ref="E787">INDEX($E$2:$E$4, MOD(ROW()-1,3)+1)</f>
        <v>Machine 1</v>
      </c>
      <c r="F787">
        <f t="shared" ca="1" si="84"/>
        <v>2</v>
      </c>
      <c r="G787">
        <f t="shared" ca="1" si="85"/>
        <v>1</v>
      </c>
      <c r="H787">
        <f ca="1">RANDBETWEEN(1,J787-2)</f>
        <v>9</v>
      </c>
      <c r="I787">
        <f t="shared" ca="1" si="86"/>
        <v>41</v>
      </c>
      <c r="J787">
        <f t="shared" ca="1" si="87"/>
        <v>15</v>
      </c>
    </row>
    <row r="788" spans="1:10" x14ac:dyDescent="0.25">
      <c r="A788" t="s">
        <v>795</v>
      </c>
      <c r="B788" t="s">
        <v>1</v>
      </c>
      <c r="C788" t="str">
        <f t="shared" si="82"/>
        <v>061183</v>
      </c>
      <c r="D788" t="str">
        <f t="shared" si="83"/>
        <v>TOR</v>
      </c>
      <c r="E788" t="str" cm="1">
        <f t="array" ref="E788">INDEX($E$2:$E$4, MOD(ROW()-1,3)+1)</f>
        <v>Machine 2</v>
      </c>
      <c r="F788">
        <f t="shared" ca="1" si="84"/>
        <v>3</v>
      </c>
      <c r="G788">
        <f t="shared" ca="1" si="85"/>
        <v>1</v>
      </c>
      <c r="H788">
        <f ca="1">RANDBETWEEN(1,J788-2)</f>
        <v>2</v>
      </c>
      <c r="I788">
        <f t="shared" ca="1" si="86"/>
        <v>24</v>
      </c>
      <c r="J788">
        <f t="shared" ca="1" si="87"/>
        <v>9</v>
      </c>
    </row>
    <row r="789" spans="1:10" x14ac:dyDescent="0.25">
      <c r="A789" t="s">
        <v>796</v>
      </c>
      <c r="B789" t="s">
        <v>1</v>
      </c>
      <c r="C789" t="str">
        <f t="shared" si="82"/>
        <v>061186</v>
      </c>
      <c r="D789" t="str">
        <f t="shared" si="83"/>
        <v>TOR</v>
      </c>
      <c r="E789" t="str" cm="1">
        <f t="array" ref="E789">INDEX($E$2:$E$4, MOD(ROW()-1,3)+1)</f>
        <v>Machine 3</v>
      </c>
      <c r="F789">
        <f t="shared" ca="1" si="84"/>
        <v>3</v>
      </c>
      <c r="G789">
        <f t="shared" ca="1" si="85"/>
        <v>1</v>
      </c>
      <c r="H789">
        <f ca="1">RANDBETWEEN(1,J789-2)</f>
        <v>2</v>
      </c>
      <c r="I789">
        <f t="shared" ca="1" si="86"/>
        <v>47</v>
      </c>
      <c r="J789">
        <f t="shared" ca="1" si="87"/>
        <v>7</v>
      </c>
    </row>
    <row r="790" spans="1:10" x14ac:dyDescent="0.25">
      <c r="A790" t="s">
        <v>797</v>
      </c>
      <c r="B790" t="s">
        <v>1</v>
      </c>
      <c r="C790" t="str">
        <f t="shared" si="82"/>
        <v>061190</v>
      </c>
      <c r="D790" t="str">
        <f t="shared" si="83"/>
        <v>TOR</v>
      </c>
      <c r="E790" t="str" cm="1">
        <f t="array" ref="E790">INDEX($E$2:$E$4, MOD(ROW()-1,3)+1)</f>
        <v>Machine 1</v>
      </c>
      <c r="F790">
        <f t="shared" ca="1" si="84"/>
        <v>3</v>
      </c>
      <c r="G790">
        <f t="shared" ca="1" si="85"/>
        <v>1</v>
      </c>
      <c r="H790">
        <f ca="1">RANDBETWEEN(1,J790-2)</f>
        <v>1</v>
      </c>
      <c r="I790">
        <f t="shared" ca="1" si="86"/>
        <v>41</v>
      </c>
      <c r="J790">
        <f t="shared" ca="1" si="87"/>
        <v>5</v>
      </c>
    </row>
    <row r="791" spans="1:10" x14ac:dyDescent="0.25">
      <c r="A791" t="s">
        <v>798</v>
      </c>
      <c r="B791" t="s">
        <v>1</v>
      </c>
      <c r="C791" t="str">
        <f t="shared" si="82"/>
        <v>061202</v>
      </c>
      <c r="D791" t="str">
        <f t="shared" si="83"/>
        <v>TOR</v>
      </c>
      <c r="E791" t="str" cm="1">
        <f t="array" ref="E791">INDEX($E$2:$E$4, MOD(ROW()-1,3)+1)</f>
        <v>Machine 2</v>
      </c>
      <c r="F791">
        <f t="shared" ca="1" si="84"/>
        <v>2</v>
      </c>
      <c r="G791">
        <f t="shared" ca="1" si="85"/>
        <v>1</v>
      </c>
      <c r="H791">
        <f ca="1">RANDBETWEEN(1,J791-2)</f>
        <v>3</v>
      </c>
      <c r="I791">
        <f t="shared" ca="1" si="86"/>
        <v>40</v>
      </c>
      <c r="J791">
        <f t="shared" ca="1" si="87"/>
        <v>14</v>
      </c>
    </row>
    <row r="792" spans="1:10" x14ac:dyDescent="0.25">
      <c r="A792" t="s">
        <v>799</v>
      </c>
      <c r="B792" t="s">
        <v>1</v>
      </c>
      <c r="C792" t="str">
        <f t="shared" si="82"/>
        <v>061204</v>
      </c>
      <c r="D792" t="str">
        <f t="shared" si="83"/>
        <v>TOR</v>
      </c>
      <c r="E792" t="str" cm="1">
        <f t="array" ref="E792">INDEX($E$2:$E$4, MOD(ROW()-1,3)+1)</f>
        <v>Machine 3</v>
      </c>
      <c r="F792">
        <f t="shared" ca="1" si="84"/>
        <v>2</v>
      </c>
      <c r="G792">
        <f t="shared" ca="1" si="85"/>
        <v>1</v>
      </c>
      <c r="H792">
        <f ca="1">RANDBETWEEN(1,J792-2)</f>
        <v>1</v>
      </c>
      <c r="I792">
        <f t="shared" ca="1" si="86"/>
        <v>46</v>
      </c>
      <c r="J792">
        <f t="shared" ca="1" si="87"/>
        <v>14</v>
      </c>
    </row>
    <row r="793" spans="1:10" x14ac:dyDescent="0.25">
      <c r="A793" t="s">
        <v>800</v>
      </c>
      <c r="B793" t="s">
        <v>1</v>
      </c>
      <c r="C793" t="str">
        <f t="shared" si="82"/>
        <v>061206</v>
      </c>
      <c r="D793" t="str">
        <f t="shared" si="83"/>
        <v>TOR</v>
      </c>
      <c r="E793" t="str" cm="1">
        <f t="array" ref="E793">INDEX($E$2:$E$4, MOD(ROW()-1,3)+1)</f>
        <v>Machine 1</v>
      </c>
      <c r="F793">
        <f t="shared" ca="1" si="84"/>
        <v>2</v>
      </c>
      <c r="G793">
        <f t="shared" ca="1" si="85"/>
        <v>0</v>
      </c>
      <c r="H793">
        <f ca="1">RANDBETWEEN(1,J793-2)</f>
        <v>1</v>
      </c>
      <c r="I793">
        <f t="shared" ca="1" si="86"/>
        <v>38</v>
      </c>
      <c r="J793">
        <f t="shared" ca="1" si="87"/>
        <v>7</v>
      </c>
    </row>
    <row r="794" spans="1:10" x14ac:dyDescent="0.25">
      <c r="A794" t="s">
        <v>801</v>
      </c>
      <c r="B794" t="s">
        <v>1</v>
      </c>
      <c r="C794" t="str">
        <f t="shared" si="82"/>
        <v>061209</v>
      </c>
      <c r="D794" t="str">
        <f t="shared" si="83"/>
        <v>TOR</v>
      </c>
      <c r="E794" t="str" cm="1">
        <f t="array" ref="E794">INDEX($E$2:$E$4, MOD(ROW()-1,3)+1)</f>
        <v>Machine 2</v>
      </c>
      <c r="F794">
        <f t="shared" ca="1" si="84"/>
        <v>3</v>
      </c>
      <c r="G794">
        <f t="shared" ca="1" si="85"/>
        <v>1</v>
      </c>
      <c r="H794">
        <f ca="1">RANDBETWEEN(1,J794-2)</f>
        <v>4</v>
      </c>
      <c r="I794">
        <f t="shared" ca="1" si="86"/>
        <v>32</v>
      </c>
      <c r="J794">
        <f t="shared" ca="1" si="87"/>
        <v>9</v>
      </c>
    </row>
    <row r="795" spans="1:10" x14ac:dyDescent="0.25">
      <c r="A795" t="s">
        <v>802</v>
      </c>
      <c r="B795" t="s">
        <v>1</v>
      </c>
      <c r="C795" t="str">
        <f t="shared" si="82"/>
        <v>061225</v>
      </c>
      <c r="D795" t="str">
        <f t="shared" si="83"/>
        <v>TOR</v>
      </c>
      <c r="E795" t="str" cm="1">
        <f t="array" ref="E795">INDEX($E$2:$E$4, MOD(ROW()-1,3)+1)</f>
        <v>Machine 3</v>
      </c>
      <c r="F795">
        <f t="shared" ca="1" si="84"/>
        <v>3</v>
      </c>
      <c r="G795">
        <f t="shared" ca="1" si="85"/>
        <v>0</v>
      </c>
      <c r="H795">
        <f ca="1">RANDBETWEEN(1,J795-2)</f>
        <v>6</v>
      </c>
      <c r="I795">
        <f t="shared" ca="1" si="86"/>
        <v>41</v>
      </c>
      <c r="J795">
        <f t="shared" ca="1" si="87"/>
        <v>8</v>
      </c>
    </row>
    <row r="796" spans="1:10" x14ac:dyDescent="0.25">
      <c r="A796" t="s">
        <v>803</v>
      </c>
      <c r="B796" t="s">
        <v>1</v>
      </c>
      <c r="C796" t="str">
        <f t="shared" si="82"/>
        <v>061227</v>
      </c>
      <c r="D796" t="str">
        <f t="shared" si="83"/>
        <v>TOR</v>
      </c>
      <c r="E796" t="str" cm="1">
        <f t="array" ref="E796">INDEX($E$2:$E$4, MOD(ROW()-1,3)+1)</f>
        <v>Machine 1</v>
      </c>
      <c r="F796">
        <f t="shared" ca="1" si="84"/>
        <v>3</v>
      </c>
      <c r="G796">
        <f t="shared" ca="1" si="85"/>
        <v>1</v>
      </c>
      <c r="H796">
        <f ca="1">RANDBETWEEN(1,J796-2)</f>
        <v>7</v>
      </c>
      <c r="I796">
        <f t="shared" ca="1" si="86"/>
        <v>43</v>
      </c>
      <c r="J796">
        <f t="shared" ca="1" si="87"/>
        <v>9</v>
      </c>
    </row>
    <row r="797" spans="1:10" x14ac:dyDescent="0.25">
      <c r="A797" t="s">
        <v>804</v>
      </c>
      <c r="B797" t="s">
        <v>1</v>
      </c>
      <c r="C797" t="str">
        <f t="shared" si="82"/>
        <v>061230</v>
      </c>
      <c r="D797" t="str">
        <f t="shared" si="83"/>
        <v>TOR</v>
      </c>
      <c r="E797" t="str" cm="1">
        <f t="array" ref="E797">INDEX($E$2:$E$4, MOD(ROW()-1,3)+1)</f>
        <v>Machine 2</v>
      </c>
      <c r="F797">
        <f t="shared" ca="1" si="84"/>
        <v>2</v>
      </c>
      <c r="G797">
        <f t="shared" ca="1" si="85"/>
        <v>1</v>
      </c>
      <c r="H797">
        <f ca="1">RANDBETWEEN(1,J797-2)</f>
        <v>1</v>
      </c>
      <c r="I797">
        <f t="shared" ca="1" si="86"/>
        <v>40</v>
      </c>
      <c r="J797">
        <f t="shared" ca="1" si="87"/>
        <v>9</v>
      </c>
    </row>
    <row r="798" spans="1:10" x14ac:dyDescent="0.25">
      <c r="A798" t="s">
        <v>805</v>
      </c>
      <c r="B798" t="s">
        <v>1</v>
      </c>
      <c r="C798" t="str">
        <f t="shared" si="82"/>
        <v>061241</v>
      </c>
      <c r="D798" t="str">
        <f t="shared" si="83"/>
        <v>TOR</v>
      </c>
      <c r="E798" t="str" cm="1">
        <f t="array" ref="E798">INDEX($E$2:$E$4, MOD(ROW()-1,3)+1)</f>
        <v>Machine 3</v>
      </c>
      <c r="F798">
        <f t="shared" ca="1" si="84"/>
        <v>2</v>
      </c>
      <c r="G798">
        <f t="shared" ca="1" si="85"/>
        <v>1</v>
      </c>
      <c r="H798">
        <f ca="1">RANDBETWEEN(1,J798-2)</f>
        <v>3</v>
      </c>
      <c r="I798">
        <f t="shared" ca="1" si="86"/>
        <v>33</v>
      </c>
      <c r="J798">
        <f t="shared" ca="1" si="87"/>
        <v>5</v>
      </c>
    </row>
    <row r="799" spans="1:10" x14ac:dyDescent="0.25">
      <c r="A799" t="s">
        <v>806</v>
      </c>
      <c r="B799" t="s">
        <v>1</v>
      </c>
      <c r="C799" t="str">
        <f t="shared" si="82"/>
        <v>061266</v>
      </c>
      <c r="D799" t="str">
        <f t="shared" si="83"/>
        <v>TOR</v>
      </c>
      <c r="E799" t="str" cm="1">
        <f t="array" ref="E799">INDEX($E$2:$E$4, MOD(ROW()-1,3)+1)</f>
        <v>Machine 1</v>
      </c>
      <c r="F799">
        <f t="shared" ca="1" si="84"/>
        <v>3</v>
      </c>
      <c r="G799">
        <f t="shared" ca="1" si="85"/>
        <v>0</v>
      </c>
      <c r="H799">
        <f ca="1">RANDBETWEEN(1,J799-2)</f>
        <v>4</v>
      </c>
      <c r="I799">
        <f t="shared" ca="1" si="86"/>
        <v>47</v>
      </c>
      <c r="J799">
        <f t="shared" ca="1" si="87"/>
        <v>8</v>
      </c>
    </row>
    <row r="800" spans="1:10" x14ac:dyDescent="0.25">
      <c r="A800" t="s">
        <v>807</v>
      </c>
      <c r="B800" t="s">
        <v>1</v>
      </c>
      <c r="C800" t="str">
        <f t="shared" si="82"/>
        <v>061271</v>
      </c>
      <c r="D800" t="str">
        <f t="shared" si="83"/>
        <v>TOR</v>
      </c>
      <c r="E800" t="str" cm="1">
        <f t="array" ref="E800">INDEX($E$2:$E$4, MOD(ROW()-1,3)+1)</f>
        <v>Machine 2</v>
      </c>
      <c r="F800">
        <f t="shared" ca="1" si="84"/>
        <v>2</v>
      </c>
      <c r="G800">
        <f t="shared" ca="1" si="85"/>
        <v>0</v>
      </c>
      <c r="H800">
        <f ca="1">RANDBETWEEN(1,J800-2)</f>
        <v>3</v>
      </c>
      <c r="I800">
        <f t="shared" ca="1" si="86"/>
        <v>38</v>
      </c>
      <c r="J800">
        <f t="shared" ca="1" si="87"/>
        <v>12</v>
      </c>
    </row>
    <row r="801" spans="1:10" x14ac:dyDescent="0.25">
      <c r="A801" t="s">
        <v>808</v>
      </c>
      <c r="B801" t="s">
        <v>1</v>
      </c>
      <c r="C801" t="str">
        <f t="shared" si="82"/>
        <v>061274</v>
      </c>
      <c r="D801" t="str">
        <f t="shared" si="83"/>
        <v>TOR</v>
      </c>
      <c r="E801" t="str" cm="1">
        <f t="array" ref="E801">INDEX($E$2:$E$4, MOD(ROW()-1,3)+1)</f>
        <v>Machine 3</v>
      </c>
      <c r="F801">
        <f t="shared" ca="1" si="84"/>
        <v>3</v>
      </c>
      <c r="G801">
        <f t="shared" ca="1" si="85"/>
        <v>1</v>
      </c>
      <c r="H801">
        <f ca="1">RANDBETWEEN(1,J801-2)</f>
        <v>3</v>
      </c>
      <c r="I801">
        <f t="shared" ca="1" si="86"/>
        <v>40</v>
      </c>
      <c r="J801">
        <f t="shared" ca="1" si="87"/>
        <v>5</v>
      </c>
    </row>
    <row r="802" spans="1:10" x14ac:dyDescent="0.25">
      <c r="A802" t="s">
        <v>809</v>
      </c>
      <c r="B802" t="s">
        <v>1</v>
      </c>
      <c r="C802" t="str">
        <f t="shared" si="82"/>
        <v>061295</v>
      </c>
      <c r="D802" t="str">
        <f t="shared" si="83"/>
        <v>TOR</v>
      </c>
      <c r="E802" t="str" cm="1">
        <f t="array" ref="E802">INDEX($E$2:$E$4, MOD(ROW()-1,3)+1)</f>
        <v>Machine 1</v>
      </c>
      <c r="F802">
        <f t="shared" ca="1" si="84"/>
        <v>2</v>
      </c>
      <c r="G802">
        <f t="shared" ca="1" si="85"/>
        <v>0</v>
      </c>
      <c r="H802">
        <f ca="1">RANDBETWEEN(1,J802-2)</f>
        <v>5</v>
      </c>
      <c r="I802">
        <f t="shared" ca="1" si="86"/>
        <v>28</v>
      </c>
      <c r="J802">
        <f t="shared" ca="1" si="87"/>
        <v>15</v>
      </c>
    </row>
    <row r="803" spans="1:10" x14ac:dyDescent="0.25">
      <c r="A803" t="s">
        <v>810</v>
      </c>
      <c r="B803" t="s">
        <v>1</v>
      </c>
      <c r="C803" t="str">
        <f t="shared" si="82"/>
        <v>061297</v>
      </c>
      <c r="D803" t="str">
        <f t="shared" si="83"/>
        <v>TOR</v>
      </c>
      <c r="E803" t="str" cm="1">
        <f t="array" ref="E803">INDEX($E$2:$E$4, MOD(ROW()-1,3)+1)</f>
        <v>Machine 2</v>
      </c>
      <c r="F803">
        <f t="shared" ca="1" si="84"/>
        <v>3</v>
      </c>
      <c r="G803">
        <f t="shared" ca="1" si="85"/>
        <v>1</v>
      </c>
      <c r="H803">
        <f ca="1">RANDBETWEEN(1,J803-2)</f>
        <v>3</v>
      </c>
      <c r="I803">
        <f t="shared" ca="1" si="86"/>
        <v>28</v>
      </c>
      <c r="J803">
        <f t="shared" ca="1" si="87"/>
        <v>5</v>
      </c>
    </row>
    <row r="804" spans="1:10" x14ac:dyDescent="0.25">
      <c r="A804" t="s">
        <v>811</v>
      </c>
      <c r="B804" t="s">
        <v>1</v>
      </c>
      <c r="C804" t="str">
        <f t="shared" si="82"/>
        <v>061301</v>
      </c>
      <c r="D804" t="str">
        <f t="shared" si="83"/>
        <v>TOR</v>
      </c>
      <c r="E804" t="str" cm="1">
        <f t="array" ref="E804">INDEX($E$2:$E$4, MOD(ROW()-1,3)+1)</f>
        <v>Machine 3</v>
      </c>
      <c r="F804">
        <f t="shared" ca="1" si="84"/>
        <v>3</v>
      </c>
      <c r="G804">
        <f t="shared" ca="1" si="85"/>
        <v>0</v>
      </c>
      <c r="H804">
        <f ca="1">RANDBETWEEN(1,J804-2)</f>
        <v>5</v>
      </c>
      <c r="I804">
        <f t="shared" ca="1" si="86"/>
        <v>39</v>
      </c>
      <c r="J804">
        <f t="shared" ca="1" si="87"/>
        <v>12</v>
      </c>
    </row>
    <row r="805" spans="1:10" x14ac:dyDescent="0.25">
      <c r="A805" t="s">
        <v>812</v>
      </c>
      <c r="B805" t="s">
        <v>1</v>
      </c>
      <c r="C805" t="str">
        <f t="shared" si="82"/>
        <v>061305</v>
      </c>
      <c r="D805" t="str">
        <f t="shared" si="83"/>
        <v>TOR</v>
      </c>
      <c r="E805" t="str" cm="1">
        <f t="array" ref="E805">INDEX($E$2:$E$4, MOD(ROW()-1,3)+1)</f>
        <v>Machine 1</v>
      </c>
      <c r="F805">
        <f t="shared" ca="1" si="84"/>
        <v>2</v>
      </c>
      <c r="G805">
        <f t="shared" ca="1" si="85"/>
        <v>0</v>
      </c>
      <c r="H805">
        <f ca="1">RANDBETWEEN(1,J805-2)</f>
        <v>10</v>
      </c>
      <c r="I805">
        <f t="shared" ca="1" si="86"/>
        <v>27</v>
      </c>
      <c r="J805">
        <f t="shared" ca="1" si="87"/>
        <v>14</v>
      </c>
    </row>
    <row r="806" spans="1:10" x14ac:dyDescent="0.25">
      <c r="A806" t="s">
        <v>813</v>
      </c>
      <c r="B806" t="s">
        <v>1</v>
      </c>
      <c r="C806" t="str">
        <f t="shared" si="82"/>
        <v>061308</v>
      </c>
      <c r="D806" t="str">
        <f t="shared" si="83"/>
        <v>TOR</v>
      </c>
      <c r="E806" t="str" cm="1">
        <f t="array" ref="E806">INDEX($E$2:$E$4, MOD(ROW()-1,3)+1)</f>
        <v>Machine 2</v>
      </c>
      <c r="F806">
        <f t="shared" ca="1" si="84"/>
        <v>2</v>
      </c>
      <c r="G806">
        <f t="shared" ca="1" si="85"/>
        <v>1</v>
      </c>
      <c r="H806">
        <f ca="1">RANDBETWEEN(1,J806-2)</f>
        <v>2</v>
      </c>
      <c r="I806">
        <f t="shared" ca="1" si="86"/>
        <v>35</v>
      </c>
      <c r="J806">
        <f t="shared" ca="1" si="87"/>
        <v>5</v>
      </c>
    </row>
    <row r="807" spans="1:10" x14ac:dyDescent="0.25">
      <c r="A807" t="s">
        <v>814</v>
      </c>
      <c r="B807" t="s">
        <v>1</v>
      </c>
      <c r="C807" t="str">
        <f t="shared" si="82"/>
        <v>061311</v>
      </c>
      <c r="D807" t="str">
        <f t="shared" si="83"/>
        <v>TOR</v>
      </c>
      <c r="E807" t="str" cm="1">
        <f t="array" ref="E807">INDEX($E$2:$E$4, MOD(ROW()-1,3)+1)</f>
        <v>Machine 3</v>
      </c>
      <c r="F807">
        <f t="shared" ca="1" si="84"/>
        <v>2</v>
      </c>
      <c r="G807">
        <f t="shared" ca="1" si="85"/>
        <v>0</v>
      </c>
      <c r="H807">
        <f ca="1">RANDBETWEEN(1,J807-2)</f>
        <v>1</v>
      </c>
      <c r="I807">
        <f t="shared" ca="1" si="86"/>
        <v>27</v>
      </c>
      <c r="J807">
        <f t="shared" ca="1" si="87"/>
        <v>6</v>
      </c>
    </row>
    <row r="808" spans="1:10" x14ac:dyDescent="0.25">
      <c r="A808" t="s">
        <v>815</v>
      </c>
      <c r="B808" t="s">
        <v>1</v>
      </c>
      <c r="C808" t="str">
        <f t="shared" si="82"/>
        <v>061314</v>
      </c>
      <c r="D808" t="str">
        <f t="shared" si="83"/>
        <v>TOR</v>
      </c>
      <c r="E808" t="str" cm="1">
        <f t="array" ref="E808">INDEX($E$2:$E$4, MOD(ROW()-1,3)+1)</f>
        <v>Machine 1</v>
      </c>
      <c r="F808">
        <f t="shared" ca="1" si="84"/>
        <v>2</v>
      </c>
      <c r="G808">
        <f t="shared" ca="1" si="85"/>
        <v>0</v>
      </c>
      <c r="H808">
        <f ca="1">RANDBETWEEN(1,J808-2)</f>
        <v>7</v>
      </c>
      <c r="I808">
        <f t="shared" ca="1" si="86"/>
        <v>28</v>
      </c>
      <c r="J808">
        <f t="shared" ca="1" si="87"/>
        <v>12</v>
      </c>
    </row>
    <row r="809" spans="1:10" x14ac:dyDescent="0.25">
      <c r="A809" t="s">
        <v>816</v>
      </c>
      <c r="B809" t="s">
        <v>1</v>
      </c>
      <c r="C809" t="str">
        <f t="shared" si="82"/>
        <v>061316</v>
      </c>
      <c r="D809" t="str">
        <f t="shared" si="83"/>
        <v>TOR</v>
      </c>
      <c r="E809" t="str" cm="1">
        <f t="array" ref="E809">INDEX($E$2:$E$4, MOD(ROW()-1,3)+1)</f>
        <v>Machine 2</v>
      </c>
      <c r="F809">
        <f t="shared" ca="1" si="84"/>
        <v>3</v>
      </c>
      <c r="G809">
        <f t="shared" ca="1" si="85"/>
        <v>1</v>
      </c>
      <c r="H809">
        <f ca="1">RANDBETWEEN(1,J809-2)</f>
        <v>6</v>
      </c>
      <c r="I809">
        <f t="shared" ca="1" si="86"/>
        <v>27</v>
      </c>
      <c r="J809">
        <f t="shared" ca="1" si="87"/>
        <v>13</v>
      </c>
    </row>
    <row r="810" spans="1:10" x14ac:dyDescent="0.25">
      <c r="A810" t="s">
        <v>817</v>
      </c>
      <c r="B810" t="s">
        <v>1</v>
      </c>
      <c r="C810" t="str">
        <f t="shared" si="82"/>
        <v>061320</v>
      </c>
      <c r="D810" t="str">
        <f t="shared" si="83"/>
        <v>TOR</v>
      </c>
      <c r="E810" t="str" cm="1">
        <f t="array" ref="E810">INDEX($E$2:$E$4, MOD(ROW()-1,3)+1)</f>
        <v>Machine 3</v>
      </c>
      <c r="F810">
        <f t="shared" ca="1" si="84"/>
        <v>3</v>
      </c>
      <c r="G810">
        <f t="shared" ca="1" si="85"/>
        <v>1</v>
      </c>
      <c r="H810">
        <f ca="1">RANDBETWEEN(1,J810-2)</f>
        <v>9</v>
      </c>
      <c r="I810">
        <f t="shared" ca="1" si="86"/>
        <v>44</v>
      </c>
      <c r="J810">
        <f t="shared" ca="1" si="87"/>
        <v>11</v>
      </c>
    </row>
    <row r="811" spans="1:10" x14ac:dyDescent="0.25">
      <c r="A811" t="s">
        <v>818</v>
      </c>
      <c r="B811" t="s">
        <v>1</v>
      </c>
      <c r="C811" t="str">
        <f t="shared" si="82"/>
        <v>061331</v>
      </c>
      <c r="D811" t="str">
        <f t="shared" si="83"/>
        <v>TOR</v>
      </c>
      <c r="E811" t="str" cm="1">
        <f t="array" ref="E811">INDEX($E$2:$E$4, MOD(ROW()-1,3)+1)</f>
        <v>Machine 1</v>
      </c>
      <c r="F811">
        <f t="shared" ca="1" si="84"/>
        <v>3</v>
      </c>
      <c r="G811">
        <f t="shared" ca="1" si="85"/>
        <v>0</v>
      </c>
      <c r="H811">
        <f ca="1">RANDBETWEEN(1,J811-2)</f>
        <v>5</v>
      </c>
      <c r="I811">
        <f t="shared" ca="1" si="86"/>
        <v>46</v>
      </c>
      <c r="J811">
        <f t="shared" ca="1" si="87"/>
        <v>9</v>
      </c>
    </row>
    <row r="812" spans="1:10" x14ac:dyDescent="0.25">
      <c r="A812" t="s">
        <v>819</v>
      </c>
      <c r="B812" t="s">
        <v>1</v>
      </c>
      <c r="C812" t="str">
        <f t="shared" si="82"/>
        <v>061333</v>
      </c>
      <c r="D812" t="str">
        <f t="shared" si="83"/>
        <v>TOR</v>
      </c>
      <c r="E812" t="str" cm="1">
        <f t="array" ref="E812">INDEX($E$2:$E$4, MOD(ROW()-1,3)+1)</f>
        <v>Machine 2</v>
      </c>
      <c r="F812">
        <f t="shared" ca="1" si="84"/>
        <v>3</v>
      </c>
      <c r="G812">
        <f t="shared" ca="1" si="85"/>
        <v>1</v>
      </c>
      <c r="H812">
        <f ca="1">RANDBETWEEN(1,J812-2)</f>
        <v>12</v>
      </c>
      <c r="I812">
        <f t="shared" ca="1" si="86"/>
        <v>40</v>
      </c>
      <c r="J812">
        <f t="shared" ca="1" si="87"/>
        <v>14</v>
      </c>
    </row>
    <row r="813" spans="1:10" x14ac:dyDescent="0.25">
      <c r="A813" t="s">
        <v>820</v>
      </c>
      <c r="B813" t="s">
        <v>1</v>
      </c>
      <c r="C813" t="str">
        <f t="shared" si="82"/>
        <v>061335</v>
      </c>
      <c r="D813" t="str">
        <f t="shared" si="83"/>
        <v>TOR</v>
      </c>
      <c r="E813" t="str" cm="1">
        <f t="array" ref="E813">INDEX($E$2:$E$4, MOD(ROW()-1,3)+1)</f>
        <v>Machine 3</v>
      </c>
      <c r="F813">
        <f t="shared" ca="1" si="84"/>
        <v>2</v>
      </c>
      <c r="G813">
        <f t="shared" ca="1" si="85"/>
        <v>0</v>
      </c>
      <c r="H813">
        <f ca="1">RANDBETWEEN(1,J813-2)</f>
        <v>4</v>
      </c>
      <c r="I813">
        <f t="shared" ca="1" si="86"/>
        <v>32</v>
      </c>
      <c r="J813">
        <f t="shared" ca="1" si="87"/>
        <v>10</v>
      </c>
    </row>
    <row r="814" spans="1:10" x14ac:dyDescent="0.25">
      <c r="A814" t="s">
        <v>821</v>
      </c>
      <c r="B814" t="s">
        <v>1</v>
      </c>
      <c r="C814" t="str">
        <f t="shared" si="82"/>
        <v>061337</v>
      </c>
      <c r="D814" t="str">
        <f t="shared" si="83"/>
        <v>TOR</v>
      </c>
      <c r="E814" t="str" cm="1">
        <f t="array" ref="E814">INDEX($E$2:$E$4, MOD(ROW()-1,3)+1)</f>
        <v>Machine 1</v>
      </c>
      <c r="F814">
        <f t="shared" ca="1" si="84"/>
        <v>2</v>
      </c>
      <c r="G814">
        <f t="shared" ca="1" si="85"/>
        <v>1</v>
      </c>
      <c r="H814">
        <f ca="1">RANDBETWEEN(1,J814-2)</f>
        <v>3</v>
      </c>
      <c r="I814">
        <f t="shared" ca="1" si="86"/>
        <v>36</v>
      </c>
      <c r="J814">
        <f t="shared" ca="1" si="87"/>
        <v>9</v>
      </c>
    </row>
    <row r="815" spans="1:10" x14ac:dyDescent="0.25">
      <c r="A815" t="s">
        <v>822</v>
      </c>
      <c r="B815" t="s">
        <v>1</v>
      </c>
      <c r="C815" t="str">
        <f t="shared" si="82"/>
        <v>061339</v>
      </c>
      <c r="D815" t="str">
        <f t="shared" si="83"/>
        <v>TOR</v>
      </c>
      <c r="E815" t="str" cm="1">
        <f t="array" ref="E815">INDEX($E$2:$E$4, MOD(ROW()-1,3)+1)</f>
        <v>Machine 2</v>
      </c>
      <c r="F815">
        <f t="shared" ca="1" si="84"/>
        <v>2</v>
      </c>
      <c r="G815">
        <f t="shared" ca="1" si="85"/>
        <v>0</v>
      </c>
      <c r="H815">
        <f ca="1">RANDBETWEEN(1,J815-2)</f>
        <v>4</v>
      </c>
      <c r="I815">
        <f t="shared" ca="1" si="86"/>
        <v>38</v>
      </c>
      <c r="J815">
        <f t="shared" ca="1" si="87"/>
        <v>13</v>
      </c>
    </row>
    <row r="816" spans="1:10" x14ac:dyDescent="0.25">
      <c r="A816" t="s">
        <v>823</v>
      </c>
      <c r="B816" t="s">
        <v>1</v>
      </c>
      <c r="C816" t="str">
        <f t="shared" si="82"/>
        <v>061341</v>
      </c>
      <c r="D816" t="str">
        <f t="shared" si="83"/>
        <v>TOR</v>
      </c>
      <c r="E816" t="str" cm="1">
        <f t="array" ref="E816">INDEX($E$2:$E$4, MOD(ROW()-1,3)+1)</f>
        <v>Machine 3</v>
      </c>
      <c r="F816">
        <f t="shared" ca="1" si="84"/>
        <v>2</v>
      </c>
      <c r="G816">
        <f t="shared" ca="1" si="85"/>
        <v>1</v>
      </c>
      <c r="H816">
        <f ca="1">RANDBETWEEN(1,J816-2)</f>
        <v>6</v>
      </c>
      <c r="I816">
        <f t="shared" ca="1" si="86"/>
        <v>44</v>
      </c>
      <c r="J816">
        <f t="shared" ca="1" si="87"/>
        <v>10</v>
      </c>
    </row>
    <row r="817" spans="1:10" x14ac:dyDescent="0.25">
      <c r="A817" t="s">
        <v>824</v>
      </c>
      <c r="B817" t="s">
        <v>1</v>
      </c>
      <c r="C817" t="str">
        <f t="shared" si="82"/>
        <v>061343</v>
      </c>
      <c r="D817" t="str">
        <f t="shared" si="83"/>
        <v>TOR</v>
      </c>
      <c r="E817" t="str" cm="1">
        <f t="array" ref="E817">INDEX($E$2:$E$4, MOD(ROW()-1,3)+1)</f>
        <v>Machine 1</v>
      </c>
      <c r="F817">
        <f t="shared" ca="1" si="84"/>
        <v>3</v>
      </c>
      <c r="G817">
        <f t="shared" ca="1" si="85"/>
        <v>1</v>
      </c>
      <c r="H817">
        <f ca="1">RANDBETWEEN(1,J817-2)</f>
        <v>1</v>
      </c>
      <c r="I817">
        <f t="shared" ca="1" si="86"/>
        <v>28</v>
      </c>
      <c r="J817">
        <f t="shared" ca="1" si="87"/>
        <v>10</v>
      </c>
    </row>
    <row r="818" spans="1:10" x14ac:dyDescent="0.25">
      <c r="A818" t="s">
        <v>825</v>
      </c>
      <c r="B818" t="s">
        <v>1</v>
      </c>
      <c r="C818" t="str">
        <f t="shared" si="82"/>
        <v>061345</v>
      </c>
      <c r="D818" t="str">
        <f t="shared" si="83"/>
        <v>TOR</v>
      </c>
      <c r="E818" t="str" cm="1">
        <f t="array" ref="E818">INDEX($E$2:$E$4, MOD(ROW()-1,3)+1)</f>
        <v>Machine 2</v>
      </c>
      <c r="F818">
        <f t="shared" ca="1" si="84"/>
        <v>2</v>
      </c>
      <c r="G818">
        <f t="shared" ca="1" si="85"/>
        <v>0</v>
      </c>
      <c r="H818">
        <f ca="1">RANDBETWEEN(1,J818-2)</f>
        <v>1</v>
      </c>
      <c r="I818">
        <f t="shared" ca="1" si="86"/>
        <v>39</v>
      </c>
      <c r="J818">
        <f t="shared" ca="1" si="87"/>
        <v>6</v>
      </c>
    </row>
    <row r="819" spans="1:10" x14ac:dyDescent="0.25">
      <c r="A819" t="s">
        <v>826</v>
      </c>
      <c r="B819" t="s">
        <v>1</v>
      </c>
      <c r="C819" t="str">
        <f t="shared" si="82"/>
        <v>061347</v>
      </c>
      <c r="D819" t="str">
        <f t="shared" si="83"/>
        <v>TOR</v>
      </c>
      <c r="E819" t="str" cm="1">
        <f t="array" ref="E819">INDEX($E$2:$E$4, MOD(ROW()-1,3)+1)</f>
        <v>Machine 3</v>
      </c>
      <c r="F819">
        <f t="shared" ca="1" si="84"/>
        <v>3</v>
      </c>
      <c r="G819">
        <f t="shared" ca="1" si="85"/>
        <v>0</v>
      </c>
      <c r="H819">
        <f ca="1">RANDBETWEEN(1,J819-2)</f>
        <v>8</v>
      </c>
      <c r="I819">
        <f t="shared" ca="1" si="86"/>
        <v>25</v>
      </c>
      <c r="J819">
        <f t="shared" ca="1" si="87"/>
        <v>15</v>
      </c>
    </row>
    <row r="820" spans="1:10" x14ac:dyDescent="0.25">
      <c r="A820" t="s">
        <v>827</v>
      </c>
      <c r="B820" t="s">
        <v>1</v>
      </c>
      <c r="C820" t="str">
        <f t="shared" si="82"/>
        <v>061349</v>
      </c>
      <c r="D820" t="str">
        <f t="shared" si="83"/>
        <v>TOR</v>
      </c>
      <c r="E820" t="str" cm="1">
        <f t="array" ref="E820">INDEX($E$2:$E$4, MOD(ROW()-1,3)+1)</f>
        <v>Machine 1</v>
      </c>
      <c r="F820">
        <f t="shared" ca="1" si="84"/>
        <v>2</v>
      </c>
      <c r="G820">
        <f t="shared" ca="1" si="85"/>
        <v>0</v>
      </c>
      <c r="H820">
        <f ca="1">RANDBETWEEN(1,J820-2)</f>
        <v>9</v>
      </c>
      <c r="I820">
        <f t="shared" ca="1" si="86"/>
        <v>38</v>
      </c>
      <c r="J820">
        <f t="shared" ca="1" si="87"/>
        <v>12</v>
      </c>
    </row>
    <row r="821" spans="1:10" x14ac:dyDescent="0.25">
      <c r="A821" t="s">
        <v>828</v>
      </c>
      <c r="B821" t="s">
        <v>1</v>
      </c>
      <c r="C821" t="str">
        <f t="shared" si="82"/>
        <v>061351</v>
      </c>
      <c r="D821" t="str">
        <f t="shared" si="83"/>
        <v>TOR</v>
      </c>
      <c r="E821" t="str" cm="1">
        <f t="array" ref="E821">INDEX($E$2:$E$4, MOD(ROW()-1,3)+1)</f>
        <v>Machine 2</v>
      </c>
      <c r="F821">
        <f t="shared" ca="1" si="84"/>
        <v>3</v>
      </c>
      <c r="G821">
        <f t="shared" ca="1" si="85"/>
        <v>0</v>
      </c>
      <c r="H821">
        <f ca="1">RANDBETWEEN(1,J821-2)</f>
        <v>9</v>
      </c>
      <c r="I821">
        <f t="shared" ca="1" si="86"/>
        <v>34</v>
      </c>
      <c r="J821">
        <f t="shared" ca="1" si="87"/>
        <v>12</v>
      </c>
    </row>
    <row r="822" spans="1:10" x14ac:dyDescent="0.25">
      <c r="A822" t="s">
        <v>829</v>
      </c>
      <c r="B822" t="s">
        <v>1</v>
      </c>
      <c r="C822" t="str">
        <f t="shared" si="82"/>
        <v>061353</v>
      </c>
      <c r="D822" t="str">
        <f t="shared" si="83"/>
        <v>TOR</v>
      </c>
      <c r="E822" t="str" cm="1">
        <f t="array" ref="E822">INDEX($E$2:$E$4, MOD(ROW()-1,3)+1)</f>
        <v>Machine 3</v>
      </c>
      <c r="F822">
        <f t="shared" ca="1" si="84"/>
        <v>3</v>
      </c>
      <c r="G822">
        <f t="shared" ca="1" si="85"/>
        <v>0</v>
      </c>
      <c r="H822">
        <f ca="1">RANDBETWEEN(1,J822-2)</f>
        <v>4</v>
      </c>
      <c r="I822">
        <f t="shared" ca="1" si="86"/>
        <v>26</v>
      </c>
      <c r="J822">
        <f t="shared" ca="1" si="87"/>
        <v>12</v>
      </c>
    </row>
    <row r="823" spans="1:10" x14ac:dyDescent="0.25">
      <c r="A823" t="s">
        <v>830</v>
      </c>
      <c r="B823" t="s">
        <v>1</v>
      </c>
      <c r="C823" t="str">
        <f t="shared" si="82"/>
        <v>061355</v>
      </c>
      <c r="D823" t="str">
        <f t="shared" si="83"/>
        <v>TOR</v>
      </c>
      <c r="E823" t="str" cm="1">
        <f t="array" ref="E823">INDEX($E$2:$E$4, MOD(ROW()-1,3)+1)</f>
        <v>Machine 1</v>
      </c>
      <c r="F823">
        <f t="shared" ca="1" si="84"/>
        <v>3</v>
      </c>
      <c r="G823">
        <f t="shared" ca="1" si="85"/>
        <v>0</v>
      </c>
      <c r="H823">
        <f ca="1">RANDBETWEEN(1,J823-2)</f>
        <v>6</v>
      </c>
      <c r="I823">
        <f t="shared" ca="1" si="86"/>
        <v>28</v>
      </c>
      <c r="J823">
        <f t="shared" ca="1" si="87"/>
        <v>15</v>
      </c>
    </row>
    <row r="824" spans="1:10" x14ac:dyDescent="0.25">
      <c r="A824" t="s">
        <v>831</v>
      </c>
      <c r="B824" t="s">
        <v>1</v>
      </c>
      <c r="C824" t="str">
        <f t="shared" si="82"/>
        <v>061366</v>
      </c>
      <c r="D824" t="str">
        <f t="shared" si="83"/>
        <v>TOR</v>
      </c>
      <c r="E824" t="str" cm="1">
        <f t="array" ref="E824">INDEX($E$2:$E$4, MOD(ROW()-1,3)+1)</f>
        <v>Machine 2</v>
      </c>
      <c r="F824">
        <f t="shared" ca="1" si="84"/>
        <v>2</v>
      </c>
      <c r="G824">
        <f t="shared" ca="1" si="85"/>
        <v>0</v>
      </c>
      <c r="H824">
        <f ca="1">RANDBETWEEN(1,J824-2)</f>
        <v>4</v>
      </c>
      <c r="I824">
        <f t="shared" ca="1" si="86"/>
        <v>40</v>
      </c>
      <c r="J824">
        <f t="shared" ca="1" si="87"/>
        <v>13</v>
      </c>
    </row>
    <row r="825" spans="1:10" x14ac:dyDescent="0.25">
      <c r="A825" t="s">
        <v>832</v>
      </c>
      <c r="B825" t="s">
        <v>1</v>
      </c>
      <c r="C825" t="str">
        <f t="shared" si="82"/>
        <v>061375</v>
      </c>
      <c r="D825" t="str">
        <f t="shared" si="83"/>
        <v>TOR</v>
      </c>
      <c r="E825" t="str" cm="1">
        <f t="array" ref="E825">INDEX($E$2:$E$4, MOD(ROW()-1,3)+1)</f>
        <v>Machine 3</v>
      </c>
      <c r="F825">
        <f t="shared" ca="1" si="84"/>
        <v>3</v>
      </c>
      <c r="G825">
        <f t="shared" ca="1" si="85"/>
        <v>1</v>
      </c>
      <c r="H825">
        <f ca="1">RANDBETWEEN(1,J825-2)</f>
        <v>4</v>
      </c>
      <c r="I825">
        <f t="shared" ca="1" si="86"/>
        <v>44</v>
      </c>
      <c r="J825">
        <f t="shared" ca="1" si="87"/>
        <v>6</v>
      </c>
    </row>
    <row r="826" spans="1:10" x14ac:dyDescent="0.25">
      <c r="A826" t="s">
        <v>833</v>
      </c>
      <c r="B826" t="s">
        <v>1</v>
      </c>
      <c r="C826" t="str">
        <f t="shared" si="82"/>
        <v>061378</v>
      </c>
      <c r="D826" t="str">
        <f t="shared" si="83"/>
        <v>TOR</v>
      </c>
      <c r="E826" t="str" cm="1">
        <f t="array" ref="E826">INDEX($E$2:$E$4, MOD(ROW()-1,3)+1)</f>
        <v>Machine 1</v>
      </c>
      <c r="F826">
        <f t="shared" ca="1" si="84"/>
        <v>2</v>
      </c>
      <c r="G826">
        <f t="shared" ca="1" si="85"/>
        <v>0</v>
      </c>
      <c r="H826">
        <f ca="1">RANDBETWEEN(1,J826-2)</f>
        <v>4</v>
      </c>
      <c r="I826">
        <f t="shared" ca="1" si="86"/>
        <v>36</v>
      </c>
      <c r="J826">
        <f t="shared" ca="1" si="87"/>
        <v>9</v>
      </c>
    </row>
    <row r="827" spans="1:10" x14ac:dyDescent="0.25">
      <c r="A827" t="s">
        <v>834</v>
      </c>
      <c r="B827" t="s">
        <v>1</v>
      </c>
      <c r="C827" t="str">
        <f t="shared" si="82"/>
        <v>061383</v>
      </c>
      <c r="D827" t="str">
        <f t="shared" si="83"/>
        <v>TOR</v>
      </c>
      <c r="E827" t="str" cm="1">
        <f t="array" ref="E827">INDEX($E$2:$E$4, MOD(ROW()-1,3)+1)</f>
        <v>Machine 2</v>
      </c>
      <c r="F827">
        <f t="shared" ca="1" si="84"/>
        <v>3</v>
      </c>
      <c r="G827">
        <f t="shared" ca="1" si="85"/>
        <v>0</v>
      </c>
      <c r="H827">
        <f ca="1">RANDBETWEEN(1,J827-2)</f>
        <v>5</v>
      </c>
      <c r="I827">
        <f t="shared" ca="1" si="86"/>
        <v>42</v>
      </c>
      <c r="J827">
        <f t="shared" ca="1" si="87"/>
        <v>12</v>
      </c>
    </row>
    <row r="828" spans="1:10" x14ac:dyDescent="0.25">
      <c r="A828" t="s">
        <v>835</v>
      </c>
      <c r="B828" t="s">
        <v>1</v>
      </c>
      <c r="C828" t="str">
        <f t="shared" si="82"/>
        <v>061385</v>
      </c>
      <c r="D828" t="str">
        <f t="shared" si="83"/>
        <v>TOR</v>
      </c>
      <c r="E828" t="str" cm="1">
        <f t="array" ref="E828">INDEX($E$2:$E$4, MOD(ROW()-1,3)+1)</f>
        <v>Machine 3</v>
      </c>
      <c r="F828">
        <f t="shared" ca="1" si="84"/>
        <v>2</v>
      </c>
      <c r="G828">
        <f t="shared" ca="1" si="85"/>
        <v>1</v>
      </c>
      <c r="H828">
        <f ca="1">RANDBETWEEN(1,J828-2)</f>
        <v>7</v>
      </c>
      <c r="I828">
        <f t="shared" ca="1" si="86"/>
        <v>31</v>
      </c>
      <c r="J828">
        <f t="shared" ca="1" si="87"/>
        <v>9</v>
      </c>
    </row>
    <row r="829" spans="1:10" x14ac:dyDescent="0.25">
      <c r="A829" t="s">
        <v>836</v>
      </c>
      <c r="B829" t="s">
        <v>1</v>
      </c>
      <c r="C829" t="str">
        <f t="shared" si="82"/>
        <v>061387</v>
      </c>
      <c r="D829" t="str">
        <f t="shared" si="83"/>
        <v>TOR</v>
      </c>
      <c r="E829" t="str" cm="1">
        <f t="array" ref="E829">INDEX($E$2:$E$4, MOD(ROW()-1,3)+1)</f>
        <v>Machine 1</v>
      </c>
      <c r="F829">
        <f t="shared" ca="1" si="84"/>
        <v>3</v>
      </c>
      <c r="G829">
        <f t="shared" ca="1" si="85"/>
        <v>1</v>
      </c>
      <c r="H829">
        <f ca="1">RANDBETWEEN(1,J829-2)</f>
        <v>6</v>
      </c>
      <c r="I829">
        <f t="shared" ca="1" si="86"/>
        <v>28</v>
      </c>
      <c r="J829">
        <f t="shared" ca="1" si="87"/>
        <v>10</v>
      </c>
    </row>
    <row r="830" spans="1:10" x14ac:dyDescent="0.25">
      <c r="A830" t="s">
        <v>837</v>
      </c>
      <c r="B830" t="s">
        <v>1</v>
      </c>
      <c r="C830" t="str">
        <f t="shared" si="82"/>
        <v>061390</v>
      </c>
      <c r="D830" t="str">
        <f t="shared" si="83"/>
        <v>TOR</v>
      </c>
      <c r="E830" t="str" cm="1">
        <f t="array" ref="E830">INDEX($E$2:$E$4, MOD(ROW()-1,3)+1)</f>
        <v>Machine 2</v>
      </c>
      <c r="F830">
        <f t="shared" ca="1" si="84"/>
        <v>2</v>
      </c>
      <c r="G830">
        <f t="shared" ca="1" si="85"/>
        <v>0</v>
      </c>
      <c r="H830">
        <f ca="1">RANDBETWEEN(1,J830-2)</f>
        <v>3</v>
      </c>
      <c r="I830">
        <f t="shared" ca="1" si="86"/>
        <v>43</v>
      </c>
      <c r="J830">
        <f t="shared" ca="1" si="87"/>
        <v>7</v>
      </c>
    </row>
    <row r="831" spans="1:10" x14ac:dyDescent="0.25">
      <c r="A831" t="s">
        <v>838</v>
      </c>
      <c r="B831" t="s">
        <v>1</v>
      </c>
      <c r="C831" t="str">
        <f t="shared" si="82"/>
        <v>061403</v>
      </c>
      <c r="D831" t="str">
        <f t="shared" si="83"/>
        <v>TOR</v>
      </c>
      <c r="E831" t="str" cm="1">
        <f t="array" ref="E831">INDEX($E$2:$E$4, MOD(ROW()-1,3)+1)</f>
        <v>Machine 3</v>
      </c>
      <c r="F831">
        <f t="shared" ca="1" si="84"/>
        <v>2</v>
      </c>
      <c r="G831">
        <f t="shared" ca="1" si="85"/>
        <v>0</v>
      </c>
      <c r="H831">
        <f ca="1">RANDBETWEEN(1,J831-2)</f>
        <v>4</v>
      </c>
      <c r="I831">
        <f t="shared" ca="1" si="86"/>
        <v>38</v>
      </c>
      <c r="J831">
        <f t="shared" ca="1" si="87"/>
        <v>7</v>
      </c>
    </row>
    <row r="832" spans="1:10" x14ac:dyDescent="0.25">
      <c r="A832" t="s">
        <v>839</v>
      </c>
      <c r="B832" t="s">
        <v>1</v>
      </c>
      <c r="C832" t="str">
        <f t="shared" si="82"/>
        <v>061405</v>
      </c>
      <c r="D832" t="str">
        <f t="shared" si="83"/>
        <v>TOR</v>
      </c>
      <c r="E832" t="str" cm="1">
        <f t="array" ref="E832">INDEX($E$2:$E$4, MOD(ROW()-1,3)+1)</f>
        <v>Machine 1</v>
      </c>
      <c r="F832">
        <f t="shared" ca="1" si="84"/>
        <v>3</v>
      </c>
      <c r="G832">
        <f t="shared" ca="1" si="85"/>
        <v>0</v>
      </c>
      <c r="H832">
        <f ca="1">RANDBETWEEN(1,J832-2)</f>
        <v>3</v>
      </c>
      <c r="I832">
        <f t="shared" ca="1" si="86"/>
        <v>48</v>
      </c>
      <c r="J832">
        <f t="shared" ca="1" si="87"/>
        <v>6</v>
      </c>
    </row>
    <row r="833" spans="1:10" x14ac:dyDescent="0.25">
      <c r="A833" t="s">
        <v>840</v>
      </c>
      <c r="B833" t="s">
        <v>1</v>
      </c>
      <c r="C833" t="str">
        <f t="shared" si="82"/>
        <v>061407</v>
      </c>
      <c r="D833" t="str">
        <f t="shared" si="83"/>
        <v>TOR</v>
      </c>
      <c r="E833" t="str" cm="1">
        <f t="array" ref="E833">INDEX($E$2:$E$4, MOD(ROW()-1,3)+1)</f>
        <v>Machine 2</v>
      </c>
      <c r="F833">
        <f t="shared" ca="1" si="84"/>
        <v>2</v>
      </c>
      <c r="G833">
        <f t="shared" ca="1" si="85"/>
        <v>1</v>
      </c>
      <c r="H833">
        <f ca="1">RANDBETWEEN(1,J833-2)</f>
        <v>2</v>
      </c>
      <c r="I833">
        <f t="shared" ca="1" si="86"/>
        <v>35</v>
      </c>
      <c r="J833">
        <f t="shared" ca="1" si="87"/>
        <v>9</v>
      </c>
    </row>
    <row r="834" spans="1:10" x14ac:dyDescent="0.25">
      <c r="A834" t="s">
        <v>841</v>
      </c>
      <c r="B834" t="s">
        <v>1</v>
      </c>
      <c r="C834" t="str">
        <f t="shared" si="82"/>
        <v>061411</v>
      </c>
      <c r="D834" t="str">
        <f t="shared" si="83"/>
        <v>TOR</v>
      </c>
      <c r="E834" t="str" cm="1">
        <f t="array" ref="E834">INDEX($E$2:$E$4, MOD(ROW()-1,3)+1)</f>
        <v>Machine 3</v>
      </c>
      <c r="F834">
        <f t="shared" ca="1" si="84"/>
        <v>3</v>
      </c>
      <c r="G834">
        <f t="shared" ca="1" si="85"/>
        <v>0</v>
      </c>
      <c r="H834">
        <f ca="1">RANDBETWEEN(1,J834-2)</f>
        <v>1</v>
      </c>
      <c r="I834">
        <f t="shared" ca="1" si="86"/>
        <v>41</v>
      </c>
      <c r="J834">
        <f t="shared" ca="1" si="87"/>
        <v>8</v>
      </c>
    </row>
    <row r="835" spans="1:10" x14ac:dyDescent="0.25">
      <c r="A835" t="s">
        <v>842</v>
      </c>
      <c r="B835" t="s">
        <v>1</v>
      </c>
      <c r="C835" t="str">
        <f t="shared" ref="C835:C898" si="88">RIGHT(A835,6)</f>
        <v>061424</v>
      </c>
      <c r="D835" t="str">
        <f t="shared" ref="D835:D898" si="89">RIGHT(B835,3)</f>
        <v>TOR</v>
      </c>
      <c r="E835" t="str" cm="1">
        <f t="array" ref="E835">INDEX($E$2:$E$4, MOD(ROW()-1,3)+1)</f>
        <v>Machine 1</v>
      </c>
      <c r="F835">
        <f t="shared" ref="F835:F898" ca="1" si="90">RANDBETWEEN(2,3)</f>
        <v>2</v>
      </c>
      <c r="G835">
        <f t="shared" ref="G835:G898" ca="1" si="91">RANDBETWEEN(0,1)</f>
        <v>0</v>
      </c>
      <c r="H835">
        <f ca="1">RANDBETWEEN(1,J835-2)</f>
        <v>11</v>
      </c>
      <c r="I835">
        <f t="shared" ref="I835:I898" ca="1" si="92">RANDBETWEEN(24,48)</f>
        <v>39</v>
      </c>
      <c r="J835">
        <f t="shared" ref="J835:J898" ca="1" si="93">RANDBETWEEN(5,15)</f>
        <v>13</v>
      </c>
    </row>
    <row r="836" spans="1:10" x14ac:dyDescent="0.25">
      <c r="A836" t="s">
        <v>843</v>
      </c>
      <c r="B836" t="s">
        <v>1</v>
      </c>
      <c r="C836" t="str">
        <f t="shared" si="88"/>
        <v>061427</v>
      </c>
      <c r="D836" t="str">
        <f t="shared" si="89"/>
        <v>TOR</v>
      </c>
      <c r="E836" t="str" cm="1">
        <f t="array" ref="E836">INDEX($E$2:$E$4, MOD(ROW()-1,3)+1)</f>
        <v>Machine 2</v>
      </c>
      <c r="F836">
        <f t="shared" ca="1" si="90"/>
        <v>2</v>
      </c>
      <c r="G836">
        <f t="shared" ca="1" si="91"/>
        <v>0</v>
      </c>
      <c r="H836">
        <f ca="1">RANDBETWEEN(1,J836-2)</f>
        <v>7</v>
      </c>
      <c r="I836">
        <f t="shared" ca="1" si="92"/>
        <v>25</v>
      </c>
      <c r="J836">
        <f t="shared" ca="1" si="93"/>
        <v>11</v>
      </c>
    </row>
    <row r="837" spans="1:10" x14ac:dyDescent="0.25">
      <c r="A837" t="s">
        <v>844</v>
      </c>
      <c r="B837" t="s">
        <v>1</v>
      </c>
      <c r="C837" t="str">
        <f t="shared" si="88"/>
        <v>061429</v>
      </c>
      <c r="D837" t="str">
        <f t="shared" si="89"/>
        <v>TOR</v>
      </c>
      <c r="E837" t="str" cm="1">
        <f t="array" ref="E837">INDEX($E$2:$E$4, MOD(ROW()-1,3)+1)</f>
        <v>Machine 3</v>
      </c>
      <c r="F837">
        <f t="shared" ca="1" si="90"/>
        <v>3</v>
      </c>
      <c r="G837">
        <f t="shared" ca="1" si="91"/>
        <v>0</v>
      </c>
      <c r="H837">
        <f ca="1">RANDBETWEEN(1,J837-2)</f>
        <v>5</v>
      </c>
      <c r="I837">
        <f t="shared" ca="1" si="92"/>
        <v>29</v>
      </c>
      <c r="J837">
        <f t="shared" ca="1" si="93"/>
        <v>7</v>
      </c>
    </row>
    <row r="838" spans="1:10" x14ac:dyDescent="0.25">
      <c r="A838" t="s">
        <v>845</v>
      </c>
      <c r="B838" t="s">
        <v>1</v>
      </c>
      <c r="C838" t="str">
        <f t="shared" si="88"/>
        <v>061431</v>
      </c>
      <c r="D838" t="str">
        <f t="shared" si="89"/>
        <v>TOR</v>
      </c>
      <c r="E838" t="str" cm="1">
        <f t="array" ref="E838">INDEX($E$2:$E$4, MOD(ROW()-1,3)+1)</f>
        <v>Machine 1</v>
      </c>
      <c r="F838">
        <f t="shared" ca="1" si="90"/>
        <v>2</v>
      </c>
      <c r="G838">
        <f t="shared" ca="1" si="91"/>
        <v>1</v>
      </c>
      <c r="H838">
        <f ca="1">RANDBETWEEN(1,J838-2)</f>
        <v>8</v>
      </c>
      <c r="I838">
        <f t="shared" ca="1" si="92"/>
        <v>48</v>
      </c>
      <c r="J838">
        <f t="shared" ca="1" si="93"/>
        <v>13</v>
      </c>
    </row>
    <row r="839" spans="1:10" x14ac:dyDescent="0.25">
      <c r="A839" t="s">
        <v>846</v>
      </c>
      <c r="B839" t="s">
        <v>1</v>
      </c>
      <c r="C839" t="str">
        <f t="shared" si="88"/>
        <v>061437</v>
      </c>
      <c r="D839" t="str">
        <f t="shared" si="89"/>
        <v>TOR</v>
      </c>
      <c r="E839" t="str" cm="1">
        <f t="array" ref="E839">INDEX($E$2:$E$4, MOD(ROW()-1,3)+1)</f>
        <v>Machine 2</v>
      </c>
      <c r="F839">
        <f t="shared" ca="1" si="90"/>
        <v>2</v>
      </c>
      <c r="G839">
        <f t="shared" ca="1" si="91"/>
        <v>0</v>
      </c>
      <c r="H839">
        <f ca="1">RANDBETWEEN(1,J839-2)</f>
        <v>6</v>
      </c>
      <c r="I839">
        <f t="shared" ca="1" si="92"/>
        <v>38</v>
      </c>
      <c r="J839">
        <f t="shared" ca="1" si="93"/>
        <v>14</v>
      </c>
    </row>
    <row r="840" spans="1:10" x14ac:dyDescent="0.25">
      <c r="A840" t="s">
        <v>847</v>
      </c>
      <c r="B840" t="s">
        <v>1</v>
      </c>
      <c r="C840" t="str">
        <f t="shared" si="88"/>
        <v>061439</v>
      </c>
      <c r="D840" t="str">
        <f t="shared" si="89"/>
        <v>TOR</v>
      </c>
      <c r="E840" t="str" cm="1">
        <f t="array" ref="E840">INDEX($E$2:$E$4, MOD(ROW()-1,3)+1)</f>
        <v>Machine 3</v>
      </c>
      <c r="F840">
        <f t="shared" ca="1" si="90"/>
        <v>3</v>
      </c>
      <c r="G840">
        <f t="shared" ca="1" si="91"/>
        <v>0</v>
      </c>
      <c r="H840">
        <f ca="1">RANDBETWEEN(1,J840-2)</f>
        <v>4</v>
      </c>
      <c r="I840">
        <f t="shared" ca="1" si="92"/>
        <v>45</v>
      </c>
      <c r="J840">
        <f t="shared" ca="1" si="93"/>
        <v>13</v>
      </c>
    </row>
    <row r="841" spans="1:10" x14ac:dyDescent="0.25">
      <c r="A841" t="s">
        <v>848</v>
      </c>
      <c r="B841" t="s">
        <v>1</v>
      </c>
      <c r="C841" t="str">
        <f t="shared" si="88"/>
        <v>061441</v>
      </c>
      <c r="D841" t="str">
        <f t="shared" si="89"/>
        <v>TOR</v>
      </c>
      <c r="E841" t="str" cm="1">
        <f t="array" ref="E841">INDEX($E$2:$E$4, MOD(ROW()-1,3)+1)</f>
        <v>Machine 1</v>
      </c>
      <c r="F841">
        <f t="shared" ca="1" si="90"/>
        <v>2</v>
      </c>
      <c r="G841">
        <f t="shared" ca="1" si="91"/>
        <v>0</v>
      </c>
      <c r="H841">
        <f ca="1">RANDBETWEEN(1,J841-2)</f>
        <v>4</v>
      </c>
      <c r="I841">
        <f t="shared" ca="1" si="92"/>
        <v>43</v>
      </c>
      <c r="J841">
        <f t="shared" ca="1" si="93"/>
        <v>12</v>
      </c>
    </row>
    <row r="842" spans="1:10" x14ac:dyDescent="0.25">
      <c r="A842" t="s">
        <v>849</v>
      </c>
      <c r="B842" t="s">
        <v>1</v>
      </c>
      <c r="C842" t="str">
        <f t="shared" si="88"/>
        <v>061443</v>
      </c>
      <c r="D842" t="str">
        <f t="shared" si="89"/>
        <v>TOR</v>
      </c>
      <c r="E842" t="str" cm="1">
        <f t="array" ref="E842">INDEX($E$2:$E$4, MOD(ROW()-1,3)+1)</f>
        <v>Machine 2</v>
      </c>
      <c r="F842">
        <f t="shared" ca="1" si="90"/>
        <v>3</v>
      </c>
      <c r="G842">
        <f t="shared" ca="1" si="91"/>
        <v>1</v>
      </c>
      <c r="H842">
        <f ca="1">RANDBETWEEN(1,J842-2)</f>
        <v>4</v>
      </c>
      <c r="I842">
        <f t="shared" ca="1" si="92"/>
        <v>48</v>
      </c>
      <c r="J842">
        <f t="shared" ca="1" si="93"/>
        <v>15</v>
      </c>
    </row>
    <row r="843" spans="1:10" x14ac:dyDescent="0.25">
      <c r="A843" t="s">
        <v>850</v>
      </c>
      <c r="B843" t="s">
        <v>1</v>
      </c>
      <c r="C843" t="str">
        <f t="shared" si="88"/>
        <v>061445</v>
      </c>
      <c r="D843" t="str">
        <f t="shared" si="89"/>
        <v>TOR</v>
      </c>
      <c r="E843" t="str" cm="1">
        <f t="array" ref="E843">INDEX($E$2:$E$4, MOD(ROW()-1,3)+1)</f>
        <v>Machine 3</v>
      </c>
      <c r="F843">
        <f t="shared" ca="1" si="90"/>
        <v>2</v>
      </c>
      <c r="G843">
        <f t="shared" ca="1" si="91"/>
        <v>1</v>
      </c>
      <c r="H843">
        <f ca="1">RANDBETWEEN(1,J843-2)</f>
        <v>12</v>
      </c>
      <c r="I843">
        <f t="shared" ca="1" si="92"/>
        <v>40</v>
      </c>
      <c r="J843">
        <f t="shared" ca="1" si="93"/>
        <v>15</v>
      </c>
    </row>
    <row r="844" spans="1:10" x14ac:dyDescent="0.25">
      <c r="A844" t="s">
        <v>851</v>
      </c>
      <c r="B844" t="s">
        <v>1</v>
      </c>
      <c r="C844" t="str">
        <f t="shared" si="88"/>
        <v>061447</v>
      </c>
      <c r="D844" t="str">
        <f t="shared" si="89"/>
        <v>TOR</v>
      </c>
      <c r="E844" t="str" cm="1">
        <f t="array" ref="E844">INDEX($E$2:$E$4, MOD(ROW()-1,3)+1)</f>
        <v>Machine 1</v>
      </c>
      <c r="F844">
        <f t="shared" ca="1" si="90"/>
        <v>2</v>
      </c>
      <c r="G844">
        <f t="shared" ca="1" si="91"/>
        <v>1</v>
      </c>
      <c r="H844">
        <f ca="1">RANDBETWEEN(1,J844-2)</f>
        <v>3</v>
      </c>
      <c r="I844">
        <f t="shared" ca="1" si="92"/>
        <v>46</v>
      </c>
      <c r="J844">
        <f t="shared" ca="1" si="93"/>
        <v>6</v>
      </c>
    </row>
    <row r="845" spans="1:10" x14ac:dyDescent="0.25">
      <c r="A845" t="s">
        <v>852</v>
      </c>
      <c r="B845" t="s">
        <v>1</v>
      </c>
      <c r="C845" t="str">
        <f t="shared" si="88"/>
        <v>061449</v>
      </c>
      <c r="D845" t="str">
        <f t="shared" si="89"/>
        <v>TOR</v>
      </c>
      <c r="E845" t="str" cm="1">
        <f t="array" ref="E845">INDEX($E$2:$E$4, MOD(ROW()-1,3)+1)</f>
        <v>Machine 2</v>
      </c>
      <c r="F845">
        <f t="shared" ca="1" si="90"/>
        <v>3</v>
      </c>
      <c r="G845">
        <f t="shared" ca="1" si="91"/>
        <v>1</v>
      </c>
      <c r="H845">
        <f ca="1">RANDBETWEEN(1,J845-2)</f>
        <v>4</v>
      </c>
      <c r="I845">
        <f t="shared" ca="1" si="92"/>
        <v>24</v>
      </c>
      <c r="J845">
        <f t="shared" ca="1" si="93"/>
        <v>14</v>
      </c>
    </row>
    <row r="846" spans="1:10" x14ac:dyDescent="0.25">
      <c r="A846" t="s">
        <v>853</v>
      </c>
      <c r="B846" t="s">
        <v>1</v>
      </c>
      <c r="C846" t="str">
        <f t="shared" si="88"/>
        <v>061451</v>
      </c>
      <c r="D846" t="str">
        <f t="shared" si="89"/>
        <v>TOR</v>
      </c>
      <c r="E846" t="str" cm="1">
        <f t="array" ref="E846">INDEX($E$2:$E$4, MOD(ROW()-1,3)+1)</f>
        <v>Machine 3</v>
      </c>
      <c r="F846">
        <f t="shared" ca="1" si="90"/>
        <v>3</v>
      </c>
      <c r="G846">
        <f t="shared" ca="1" si="91"/>
        <v>0</v>
      </c>
      <c r="H846">
        <f ca="1">RANDBETWEEN(1,J846-2)</f>
        <v>1</v>
      </c>
      <c r="I846">
        <f t="shared" ca="1" si="92"/>
        <v>42</v>
      </c>
      <c r="J846">
        <f t="shared" ca="1" si="93"/>
        <v>7</v>
      </c>
    </row>
    <row r="847" spans="1:10" x14ac:dyDescent="0.25">
      <c r="A847" t="s">
        <v>854</v>
      </c>
      <c r="B847" t="s">
        <v>1</v>
      </c>
      <c r="C847" t="str">
        <f t="shared" si="88"/>
        <v>061453</v>
      </c>
      <c r="D847" t="str">
        <f t="shared" si="89"/>
        <v>TOR</v>
      </c>
      <c r="E847" t="str" cm="1">
        <f t="array" ref="E847">INDEX($E$2:$E$4, MOD(ROW()-1,3)+1)</f>
        <v>Machine 1</v>
      </c>
      <c r="F847">
        <f t="shared" ca="1" si="90"/>
        <v>2</v>
      </c>
      <c r="G847">
        <f t="shared" ca="1" si="91"/>
        <v>1</v>
      </c>
      <c r="H847">
        <f ca="1">RANDBETWEEN(1,J847-2)</f>
        <v>2</v>
      </c>
      <c r="I847">
        <f t="shared" ca="1" si="92"/>
        <v>24</v>
      </c>
      <c r="J847">
        <f t="shared" ca="1" si="93"/>
        <v>7</v>
      </c>
    </row>
    <row r="848" spans="1:10" x14ac:dyDescent="0.25">
      <c r="A848" t="s">
        <v>855</v>
      </c>
      <c r="B848" t="s">
        <v>1</v>
      </c>
      <c r="C848" t="str">
        <f t="shared" si="88"/>
        <v>061457</v>
      </c>
      <c r="D848" t="str">
        <f t="shared" si="89"/>
        <v>TOR</v>
      </c>
      <c r="E848" t="str" cm="1">
        <f t="array" ref="E848">INDEX($E$2:$E$4, MOD(ROW()-1,3)+1)</f>
        <v>Machine 2</v>
      </c>
      <c r="F848">
        <f t="shared" ca="1" si="90"/>
        <v>2</v>
      </c>
      <c r="G848">
        <f t="shared" ca="1" si="91"/>
        <v>1</v>
      </c>
      <c r="H848">
        <f ca="1">RANDBETWEEN(1,J848-2)</f>
        <v>12</v>
      </c>
      <c r="I848">
        <f t="shared" ca="1" si="92"/>
        <v>35</v>
      </c>
      <c r="J848">
        <f t="shared" ca="1" si="93"/>
        <v>14</v>
      </c>
    </row>
    <row r="849" spans="1:10" x14ac:dyDescent="0.25">
      <c r="A849" t="s">
        <v>856</v>
      </c>
      <c r="B849" t="s">
        <v>1</v>
      </c>
      <c r="C849" t="str">
        <f t="shared" si="88"/>
        <v>061459</v>
      </c>
      <c r="D849" t="str">
        <f t="shared" si="89"/>
        <v>TOR</v>
      </c>
      <c r="E849" t="str" cm="1">
        <f t="array" ref="E849">INDEX($E$2:$E$4, MOD(ROW()-1,3)+1)</f>
        <v>Machine 3</v>
      </c>
      <c r="F849">
        <f t="shared" ca="1" si="90"/>
        <v>3</v>
      </c>
      <c r="G849">
        <f t="shared" ca="1" si="91"/>
        <v>0</v>
      </c>
      <c r="H849">
        <f ca="1">RANDBETWEEN(1,J849-2)</f>
        <v>9</v>
      </c>
      <c r="I849">
        <f t="shared" ca="1" si="92"/>
        <v>31</v>
      </c>
      <c r="J849">
        <f t="shared" ca="1" si="93"/>
        <v>13</v>
      </c>
    </row>
    <row r="850" spans="1:10" x14ac:dyDescent="0.25">
      <c r="A850" t="s">
        <v>857</v>
      </c>
      <c r="B850" t="s">
        <v>1</v>
      </c>
      <c r="C850" t="str">
        <f t="shared" si="88"/>
        <v>061461</v>
      </c>
      <c r="D850" t="str">
        <f t="shared" si="89"/>
        <v>TOR</v>
      </c>
      <c r="E850" t="str" cm="1">
        <f t="array" ref="E850">INDEX($E$2:$E$4, MOD(ROW()-1,3)+1)</f>
        <v>Machine 1</v>
      </c>
      <c r="F850">
        <f t="shared" ca="1" si="90"/>
        <v>3</v>
      </c>
      <c r="G850">
        <f t="shared" ca="1" si="91"/>
        <v>1</v>
      </c>
      <c r="H850">
        <f ca="1">RANDBETWEEN(1,J850-2)</f>
        <v>4</v>
      </c>
      <c r="I850">
        <f t="shared" ca="1" si="92"/>
        <v>43</v>
      </c>
      <c r="J850">
        <f t="shared" ca="1" si="93"/>
        <v>6</v>
      </c>
    </row>
    <row r="851" spans="1:10" x14ac:dyDescent="0.25">
      <c r="A851" t="s">
        <v>858</v>
      </c>
      <c r="B851" t="s">
        <v>1</v>
      </c>
      <c r="C851" t="str">
        <f t="shared" si="88"/>
        <v>061466</v>
      </c>
      <c r="D851" t="str">
        <f t="shared" si="89"/>
        <v>TOR</v>
      </c>
      <c r="E851" t="str" cm="1">
        <f t="array" ref="E851">INDEX($E$2:$E$4, MOD(ROW()-1,3)+1)</f>
        <v>Machine 2</v>
      </c>
      <c r="F851">
        <f t="shared" ca="1" si="90"/>
        <v>3</v>
      </c>
      <c r="G851">
        <f t="shared" ca="1" si="91"/>
        <v>0</v>
      </c>
      <c r="H851">
        <f ca="1">RANDBETWEEN(1,J851-2)</f>
        <v>1</v>
      </c>
      <c r="I851">
        <f t="shared" ca="1" si="92"/>
        <v>32</v>
      </c>
      <c r="J851">
        <f t="shared" ca="1" si="93"/>
        <v>9</v>
      </c>
    </row>
    <row r="852" spans="1:10" x14ac:dyDescent="0.25">
      <c r="A852" t="s">
        <v>859</v>
      </c>
      <c r="B852" t="s">
        <v>1</v>
      </c>
      <c r="C852" t="str">
        <f t="shared" si="88"/>
        <v>061478</v>
      </c>
      <c r="D852" t="str">
        <f t="shared" si="89"/>
        <v>TOR</v>
      </c>
      <c r="E852" t="str" cm="1">
        <f t="array" ref="E852">INDEX($E$2:$E$4, MOD(ROW()-1,3)+1)</f>
        <v>Machine 3</v>
      </c>
      <c r="F852">
        <f t="shared" ca="1" si="90"/>
        <v>2</v>
      </c>
      <c r="G852">
        <f t="shared" ca="1" si="91"/>
        <v>1</v>
      </c>
      <c r="H852">
        <f ca="1">RANDBETWEEN(1,J852-2)</f>
        <v>4</v>
      </c>
      <c r="I852">
        <f t="shared" ca="1" si="92"/>
        <v>48</v>
      </c>
      <c r="J852">
        <f t="shared" ca="1" si="93"/>
        <v>8</v>
      </c>
    </row>
    <row r="853" spans="1:10" x14ac:dyDescent="0.25">
      <c r="A853" t="s">
        <v>860</v>
      </c>
      <c r="B853" t="s">
        <v>1</v>
      </c>
      <c r="C853" t="str">
        <f t="shared" si="88"/>
        <v>061481</v>
      </c>
      <c r="D853" t="str">
        <f t="shared" si="89"/>
        <v>TOR</v>
      </c>
      <c r="E853" t="str" cm="1">
        <f t="array" ref="E853">INDEX($E$2:$E$4, MOD(ROW()-1,3)+1)</f>
        <v>Machine 1</v>
      </c>
      <c r="F853">
        <f t="shared" ca="1" si="90"/>
        <v>2</v>
      </c>
      <c r="G853">
        <f t="shared" ca="1" si="91"/>
        <v>0</v>
      </c>
      <c r="H853">
        <f ca="1">RANDBETWEEN(1,J853-2)</f>
        <v>11</v>
      </c>
      <c r="I853">
        <f t="shared" ca="1" si="92"/>
        <v>27</v>
      </c>
      <c r="J853">
        <f t="shared" ca="1" si="93"/>
        <v>15</v>
      </c>
    </row>
    <row r="854" spans="1:10" x14ac:dyDescent="0.25">
      <c r="A854" t="s">
        <v>861</v>
      </c>
      <c r="B854" t="s">
        <v>1</v>
      </c>
      <c r="C854" t="str">
        <f t="shared" si="88"/>
        <v>061486</v>
      </c>
      <c r="D854" t="str">
        <f t="shared" si="89"/>
        <v>TOR</v>
      </c>
      <c r="E854" t="str" cm="1">
        <f t="array" ref="E854">INDEX($E$2:$E$4, MOD(ROW()-1,3)+1)</f>
        <v>Machine 2</v>
      </c>
      <c r="F854">
        <f t="shared" ca="1" si="90"/>
        <v>3</v>
      </c>
      <c r="G854">
        <f t="shared" ca="1" si="91"/>
        <v>0</v>
      </c>
      <c r="H854">
        <f ca="1">RANDBETWEEN(1,J854-2)</f>
        <v>10</v>
      </c>
      <c r="I854">
        <f t="shared" ca="1" si="92"/>
        <v>31</v>
      </c>
      <c r="J854">
        <f t="shared" ca="1" si="93"/>
        <v>13</v>
      </c>
    </row>
    <row r="855" spans="1:10" x14ac:dyDescent="0.25">
      <c r="A855" t="s">
        <v>862</v>
      </c>
      <c r="B855" t="s">
        <v>1</v>
      </c>
      <c r="C855" t="str">
        <f t="shared" si="88"/>
        <v>061490</v>
      </c>
      <c r="D855" t="str">
        <f t="shared" si="89"/>
        <v>TOR</v>
      </c>
      <c r="E855" t="str" cm="1">
        <f t="array" ref="E855">INDEX($E$2:$E$4, MOD(ROW()-1,3)+1)</f>
        <v>Machine 3</v>
      </c>
      <c r="F855">
        <f t="shared" ca="1" si="90"/>
        <v>2</v>
      </c>
      <c r="G855">
        <f t="shared" ca="1" si="91"/>
        <v>0</v>
      </c>
      <c r="H855">
        <f ca="1">RANDBETWEEN(1,J855-2)</f>
        <v>12</v>
      </c>
      <c r="I855">
        <f t="shared" ca="1" si="92"/>
        <v>48</v>
      </c>
      <c r="J855">
        <f t="shared" ca="1" si="93"/>
        <v>14</v>
      </c>
    </row>
    <row r="856" spans="1:10" x14ac:dyDescent="0.25">
      <c r="A856" t="s">
        <v>863</v>
      </c>
      <c r="B856" t="s">
        <v>1</v>
      </c>
      <c r="C856" t="str">
        <f t="shared" si="88"/>
        <v>061495</v>
      </c>
      <c r="D856" t="str">
        <f t="shared" si="89"/>
        <v>TOR</v>
      </c>
      <c r="E856" t="str" cm="1">
        <f t="array" ref="E856">INDEX($E$2:$E$4, MOD(ROW()-1,3)+1)</f>
        <v>Machine 1</v>
      </c>
      <c r="F856">
        <f t="shared" ca="1" si="90"/>
        <v>2</v>
      </c>
      <c r="G856">
        <f t="shared" ca="1" si="91"/>
        <v>0</v>
      </c>
      <c r="H856">
        <f ca="1">RANDBETWEEN(1,J856-2)</f>
        <v>5</v>
      </c>
      <c r="I856">
        <f t="shared" ca="1" si="92"/>
        <v>26</v>
      </c>
      <c r="J856">
        <f t="shared" ca="1" si="93"/>
        <v>12</v>
      </c>
    </row>
    <row r="857" spans="1:10" x14ac:dyDescent="0.25">
      <c r="A857" t="s">
        <v>864</v>
      </c>
      <c r="B857" t="s">
        <v>1</v>
      </c>
      <c r="C857" t="str">
        <f t="shared" si="88"/>
        <v>061498</v>
      </c>
      <c r="D857" t="str">
        <f t="shared" si="89"/>
        <v>TOR</v>
      </c>
      <c r="E857" t="str" cm="1">
        <f t="array" ref="E857">INDEX($E$2:$E$4, MOD(ROW()-1,3)+1)</f>
        <v>Machine 2</v>
      </c>
      <c r="F857">
        <f t="shared" ca="1" si="90"/>
        <v>2</v>
      </c>
      <c r="G857">
        <f t="shared" ca="1" si="91"/>
        <v>1</v>
      </c>
      <c r="H857">
        <f ca="1">RANDBETWEEN(1,J857-2)</f>
        <v>7</v>
      </c>
      <c r="I857">
        <f t="shared" ca="1" si="92"/>
        <v>47</v>
      </c>
      <c r="J857">
        <f t="shared" ca="1" si="93"/>
        <v>10</v>
      </c>
    </row>
    <row r="858" spans="1:10" x14ac:dyDescent="0.25">
      <c r="A858" t="s">
        <v>865</v>
      </c>
      <c r="B858" t="s">
        <v>1</v>
      </c>
      <c r="C858" t="str">
        <f t="shared" si="88"/>
        <v>061500</v>
      </c>
      <c r="D858" t="str">
        <f t="shared" si="89"/>
        <v>TOR</v>
      </c>
      <c r="E858" t="str" cm="1">
        <f t="array" ref="E858">INDEX($E$2:$E$4, MOD(ROW()-1,3)+1)</f>
        <v>Machine 3</v>
      </c>
      <c r="F858">
        <f t="shared" ca="1" si="90"/>
        <v>2</v>
      </c>
      <c r="G858">
        <f t="shared" ca="1" si="91"/>
        <v>0</v>
      </c>
      <c r="H858">
        <f ca="1">RANDBETWEEN(1,J858-2)</f>
        <v>3</v>
      </c>
      <c r="I858">
        <f t="shared" ca="1" si="92"/>
        <v>44</v>
      </c>
      <c r="J858">
        <f t="shared" ca="1" si="93"/>
        <v>15</v>
      </c>
    </row>
    <row r="859" spans="1:10" x14ac:dyDescent="0.25">
      <c r="A859" t="s">
        <v>866</v>
      </c>
      <c r="B859" t="s">
        <v>1</v>
      </c>
      <c r="C859" t="str">
        <f t="shared" si="88"/>
        <v>061503</v>
      </c>
      <c r="D859" t="str">
        <f t="shared" si="89"/>
        <v>TOR</v>
      </c>
      <c r="E859" t="str" cm="1">
        <f t="array" ref="E859">INDEX($E$2:$E$4, MOD(ROW()-1,3)+1)</f>
        <v>Machine 1</v>
      </c>
      <c r="F859">
        <f t="shared" ca="1" si="90"/>
        <v>2</v>
      </c>
      <c r="G859">
        <f t="shared" ca="1" si="91"/>
        <v>1</v>
      </c>
      <c r="H859">
        <f ca="1">RANDBETWEEN(1,J859-2)</f>
        <v>5</v>
      </c>
      <c r="I859">
        <f t="shared" ca="1" si="92"/>
        <v>33</v>
      </c>
      <c r="J859">
        <f t="shared" ca="1" si="93"/>
        <v>13</v>
      </c>
    </row>
    <row r="860" spans="1:10" x14ac:dyDescent="0.25">
      <c r="A860" t="s">
        <v>867</v>
      </c>
      <c r="B860" t="s">
        <v>1</v>
      </c>
      <c r="C860" t="str">
        <f t="shared" si="88"/>
        <v>061548</v>
      </c>
      <c r="D860" t="str">
        <f t="shared" si="89"/>
        <v>TOR</v>
      </c>
      <c r="E860" t="str" cm="1">
        <f t="array" ref="E860">INDEX($E$2:$E$4, MOD(ROW()-1,3)+1)</f>
        <v>Machine 2</v>
      </c>
      <c r="F860">
        <f t="shared" ca="1" si="90"/>
        <v>3</v>
      </c>
      <c r="G860">
        <f t="shared" ca="1" si="91"/>
        <v>1</v>
      </c>
      <c r="H860">
        <f ca="1">RANDBETWEEN(1,J860-2)</f>
        <v>1</v>
      </c>
      <c r="I860">
        <f t="shared" ca="1" si="92"/>
        <v>43</v>
      </c>
      <c r="J860">
        <f t="shared" ca="1" si="93"/>
        <v>6</v>
      </c>
    </row>
    <row r="861" spans="1:10" x14ac:dyDescent="0.25">
      <c r="A861" t="s">
        <v>868</v>
      </c>
      <c r="B861" t="s">
        <v>1</v>
      </c>
      <c r="C861" t="str">
        <f t="shared" si="88"/>
        <v>061551</v>
      </c>
      <c r="D861" t="str">
        <f t="shared" si="89"/>
        <v>TOR</v>
      </c>
      <c r="E861" t="str" cm="1">
        <f t="array" ref="E861">INDEX($E$2:$E$4, MOD(ROW()-1,3)+1)</f>
        <v>Machine 3</v>
      </c>
      <c r="F861">
        <f t="shared" ca="1" si="90"/>
        <v>3</v>
      </c>
      <c r="G861">
        <f t="shared" ca="1" si="91"/>
        <v>0</v>
      </c>
      <c r="H861">
        <f ca="1">RANDBETWEEN(1,J861-2)</f>
        <v>8</v>
      </c>
      <c r="I861">
        <f t="shared" ca="1" si="92"/>
        <v>32</v>
      </c>
      <c r="J861">
        <f t="shared" ca="1" si="93"/>
        <v>12</v>
      </c>
    </row>
    <row r="862" spans="1:10" x14ac:dyDescent="0.25">
      <c r="A862" t="s">
        <v>869</v>
      </c>
      <c r="B862" t="s">
        <v>1</v>
      </c>
      <c r="C862" t="str">
        <f t="shared" si="88"/>
        <v>061554</v>
      </c>
      <c r="D862" t="str">
        <f t="shared" si="89"/>
        <v>TOR</v>
      </c>
      <c r="E862" t="str" cm="1">
        <f t="array" ref="E862">INDEX($E$2:$E$4, MOD(ROW()-1,3)+1)</f>
        <v>Machine 1</v>
      </c>
      <c r="F862">
        <f t="shared" ca="1" si="90"/>
        <v>2</v>
      </c>
      <c r="G862">
        <f t="shared" ca="1" si="91"/>
        <v>0</v>
      </c>
      <c r="H862">
        <f ca="1">RANDBETWEEN(1,J862-2)</f>
        <v>10</v>
      </c>
      <c r="I862">
        <f t="shared" ca="1" si="92"/>
        <v>37</v>
      </c>
      <c r="J862">
        <f t="shared" ca="1" si="93"/>
        <v>12</v>
      </c>
    </row>
    <row r="863" spans="1:10" x14ac:dyDescent="0.25">
      <c r="A863" t="s">
        <v>870</v>
      </c>
      <c r="B863" t="s">
        <v>1</v>
      </c>
      <c r="C863" t="str">
        <f t="shared" si="88"/>
        <v>061571</v>
      </c>
      <c r="D863" t="str">
        <f t="shared" si="89"/>
        <v>TOR</v>
      </c>
      <c r="E863" t="str" cm="1">
        <f t="array" ref="E863">INDEX($E$2:$E$4, MOD(ROW()-1,3)+1)</f>
        <v>Machine 2</v>
      </c>
      <c r="F863">
        <f t="shared" ca="1" si="90"/>
        <v>2</v>
      </c>
      <c r="G863">
        <f t="shared" ca="1" si="91"/>
        <v>0</v>
      </c>
      <c r="H863">
        <f ca="1">RANDBETWEEN(1,J863-2)</f>
        <v>1</v>
      </c>
      <c r="I863">
        <f t="shared" ca="1" si="92"/>
        <v>33</v>
      </c>
      <c r="J863">
        <f t="shared" ca="1" si="93"/>
        <v>14</v>
      </c>
    </row>
    <row r="864" spans="1:10" x14ac:dyDescent="0.25">
      <c r="A864" t="s">
        <v>871</v>
      </c>
      <c r="B864" t="s">
        <v>1</v>
      </c>
      <c r="C864" t="str">
        <f t="shared" si="88"/>
        <v>061574</v>
      </c>
      <c r="D864" t="str">
        <f t="shared" si="89"/>
        <v>TOR</v>
      </c>
      <c r="E864" t="str" cm="1">
        <f t="array" ref="E864">INDEX($E$2:$E$4, MOD(ROW()-1,3)+1)</f>
        <v>Machine 3</v>
      </c>
      <c r="F864">
        <f t="shared" ca="1" si="90"/>
        <v>2</v>
      </c>
      <c r="G864">
        <f t="shared" ca="1" si="91"/>
        <v>1</v>
      </c>
      <c r="H864">
        <f ca="1">RANDBETWEEN(1,J864-2)</f>
        <v>4</v>
      </c>
      <c r="I864">
        <f t="shared" ca="1" si="92"/>
        <v>42</v>
      </c>
      <c r="J864">
        <f t="shared" ca="1" si="93"/>
        <v>14</v>
      </c>
    </row>
    <row r="865" spans="1:10" x14ac:dyDescent="0.25">
      <c r="A865" t="s">
        <v>872</v>
      </c>
      <c r="B865" t="s">
        <v>1</v>
      </c>
      <c r="C865" t="str">
        <f t="shared" si="88"/>
        <v>061577</v>
      </c>
      <c r="D865" t="str">
        <f t="shared" si="89"/>
        <v>TOR</v>
      </c>
      <c r="E865" t="str" cm="1">
        <f t="array" ref="E865">INDEX($E$2:$E$4, MOD(ROW()-1,3)+1)</f>
        <v>Machine 1</v>
      </c>
      <c r="F865">
        <f t="shared" ca="1" si="90"/>
        <v>3</v>
      </c>
      <c r="G865">
        <f t="shared" ca="1" si="91"/>
        <v>0</v>
      </c>
      <c r="H865">
        <f ca="1">RANDBETWEEN(1,J865-2)</f>
        <v>6</v>
      </c>
      <c r="I865">
        <f t="shared" ca="1" si="92"/>
        <v>36</v>
      </c>
      <c r="J865">
        <f t="shared" ca="1" si="93"/>
        <v>12</v>
      </c>
    </row>
    <row r="866" spans="1:10" x14ac:dyDescent="0.25">
      <c r="A866" t="s">
        <v>873</v>
      </c>
      <c r="B866" t="s">
        <v>1</v>
      </c>
      <c r="C866" t="str">
        <f t="shared" si="88"/>
        <v>061581</v>
      </c>
      <c r="D866" t="str">
        <f t="shared" si="89"/>
        <v>TOR</v>
      </c>
      <c r="E866" t="str" cm="1">
        <f t="array" ref="E866">INDEX($E$2:$E$4, MOD(ROW()-1,3)+1)</f>
        <v>Machine 2</v>
      </c>
      <c r="F866">
        <f t="shared" ca="1" si="90"/>
        <v>2</v>
      </c>
      <c r="G866">
        <f t="shared" ca="1" si="91"/>
        <v>0</v>
      </c>
      <c r="H866">
        <f ca="1">RANDBETWEEN(1,J866-2)</f>
        <v>1</v>
      </c>
      <c r="I866">
        <f t="shared" ca="1" si="92"/>
        <v>43</v>
      </c>
      <c r="J866">
        <f t="shared" ca="1" si="93"/>
        <v>5</v>
      </c>
    </row>
    <row r="867" spans="1:10" x14ac:dyDescent="0.25">
      <c r="A867" t="s">
        <v>874</v>
      </c>
      <c r="B867" t="s">
        <v>1</v>
      </c>
      <c r="C867" t="str">
        <f t="shared" si="88"/>
        <v>061585</v>
      </c>
      <c r="D867" t="str">
        <f t="shared" si="89"/>
        <v>TOR</v>
      </c>
      <c r="E867" t="str" cm="1">
        <f t="array" ref="E867">INDEX($E$2:$E$4, MOD(ROW()-1,3)+1)</f>
        <v>Machine 3</v>
      </c>
      <c r="F867">
        <f t="shared" ca="1" si="90"/>
        <v>3</v>
      </c>
      <c r="G867">
        <f t="shared" ca="1" si="91"/>
        <v>1</v>
      </c>
      <c r="H867">
        <f ca="1">RANDBETWEEN(1,J867-2)</f>
        <v>2</v>
      </c>
      <c r="I867">
        <f t="shared" ca="1" si="92"/>
        <v>26</v>
      </c>
      <c r="J867">
        <f t="shared" ca="1" si="93"/>
        <v>5</v>
      </c>
    </row>
    <row r="868" spans="1:10" x14ac:dyDescent="0.25">
      <c r="A868" t="s">
        <v>875</v>
      </c>
      <c r="B868" t="s">
        <v>1</v>
      </c>
      <c r="C868" t="str">
        <f t="shared" si="88"/>
        <v>061591</v>
      </c>
      <c r="D868" t="str">
        <f t="shared" si="89"/>
        <v>TOR</v>
      </c>
      <c r="E868" t="str" cm="1">
        <f t="array" ref="E868">INDEX($E$2:$E$4, MOD(ROW()-1,3)+1)</f>
        <v>Machine 1</v>
      </c>
      <c r="F868">
        <f t="shared" ca="1" si="90"/>
        <v>2</v>
      </c>
      <c r="G868">
        <f t="shared" ca="1" si="91"/>
        <v>0</v>
      </c>
      <c r="H868">
        <f ca="1">RANDBETWEEN(1,J868-2)</f>
        <v>6</v>
      </c>
      <c r="I868">
        <f t="shared" ca="1" si="92"/>
        <v>32</v>
      </c>
      <c r="J868">
        <f t="shared" ca="1" si="93"/>
        <v>11</v>
      </c>
    </row>
    <row r="869" spans="1:10" x14ac:dyDescent="0.25">
      <c r="A869" t="s">
        <v>876</v>
      </c>
      <c r="B869" t="s">
        <v>1</v>
      </c>
      <c r="C869" t="str">
        <f t="shared" si="88"/>
        <v>061614</v>
      </c>
      <c r="D869" t="str">
        <f t="shared" si="89"/>
        <v>TOR</v>
      </c>
      <c r="E869" t="str" cm="1">
        <f t="array" ref="E869">INDEX($E$2:$E$4, MOD(ROW()-1,3)+1)</f>
        <v>Machine 2</v>
      </c>
      <c r="F869">
        <f t="shared" ca="1" si="90"/>
        <v>3</v>
      </c>
      <c r="G869">
        <f t="shared" ca="1" si="91"/>
        <v>0</v>
      </c>
      <c r="H869">
        <f ca="1">RANDBETWEEN(1,J869-2)</f>
        <v>2</v>
      </c>
      <c r="I869">
        <f t="shared" ca="1" si="92"/>
        <v>30</v>
      </c>
      <c r="J869">
        <f t="shared" ca="1" si="93"/>
        <v>9</v>
      </c>
    </row>
    <row r="870" spans="1:10" x14ac:dyDescent="0.25">
      <c r="A870" t="s">
        <v>877</v>
      </c>
      <c r="B870" t="s">
        <v>1</v>
      </c>
      <c r="C870" t="str">
        <f t="shared" si="88"/>
        <v>061619</v>
      </c>
      <c r="D870" t="str">
        <f t="shared" si="89"/>
        <v>TOR</v>
      </c>
      <c r="E870" t="str" cm="1">
        <f t="array" ref="E870">INDEX($E$2:$E$4, MOD(ROW()-1,3)+1)</f>
        <v>Machine 3</v>
      </c>
      <c r="F870">
        <f t="shared" ca="1" si="90"/>
        <v>3</v>
      </c>
      <c r="G870">
        <f t="shared" ca="1" si="91"/>
        <v>1</v>
      </c>
      <c r="H870">
        <f ca="1">RANDBETWEEN(1,J870-2)</f>
        <v>8</v>
      </c>
      <c r="I870">
        <f t="shared" ca="1" si="92"/>
        <v>31</v>
      </c>
      <c r="J870">
        <f t="shared" ca="1" si="93"/>
        <v>10</v>
      </c>
    </row>
    <row r="871" spans="1:10" x14ac:dyDescent="0.25">
      <c r="A871" t="s">
        <v>878</v>
      </c>
      <c r="B871" t="s">
        <v>1</v>
      </c>
      <c r="C871" t="str">
        <f t="shared" si="88"/>
        <v>061642</v>
      </c>
      <c r="D871" t="str">
        <f t="shared" si="89"/>
        <v>TOR</v>
      </c>
      <c r="E871" t="str" cm="1">
        <f t="array" ref="E871">INDEX($E$2:$E$4, MOD(ROW()-1,3)+1)</f>
        <v>Machine 1</v>
      </c>
      <c r="F871">
        <f t="shared" ca="1" si="90"/>
        <v>2</v>
      </c>
      <c r="G871">
        <f t="shared" ca="1" si="91"/>
        <v>0</v>
      </c>
      <c r="H871">
        <f ca="1">RANDBETWEEN(1,J871-2)</f>
        <v>1</v>
      </c>
      <c r="I871">
        <f t="shared" ca="1" si="92"/>
        <v>25</v>
      </c>
      <c r="J871">
        <f t="shared" ca="1" si="93"/>
        <v>5</v>
      </c>
    </row>
    <row r="872" spans="1:10" x14ac:dyDescent="0.25">
      <c r="A872" t="s">
        <v>879</v>
      </c>
      <c r="B872" t="s">
        <v>1</v>
      </c>
      <c r="C872" t="str">
        <f t="shared" si="88"/>
        <v>061646</v>
      </c>
      <c r="D872" t="str">
        <f t="shared" si="89"/>
        <v>TOR</v>
      </c>
      <c r="E872" t="str" cm="1">
        <f t="array" ref="E872">INDEX($E$2:$E$4, MOD(ROW()-1,3)+1)</f>
        <v>Machine 2</v>
      </c>
      <c r="F872">
        <f t="shared" ca="1" si="90"/>
        <v>2</v>
      </c>
      <c r="G872">
        <f t="shared" ca="1" si="91"/>
        <v>1</v>
      </c>
      <c r="H872">
        <f ca="1">RANDBETWEEN(1,J872-2)</f>
        <v>1</v>
      </c>
      <c r="I872">
        <f t="shared" ca="1" si="92"/>
        <v>33</v>
      </c>
      <c r="J872">
        <f t="shared" ca="1" si="93"/>
        <v>5</v>
      </c>
    </row>
    <row r="873" spans="1:10" x14ac:dyDescent="0.25">
      <c r="A873" t="s">
        <v>880</v>
      </c>
      <c r="B873" t="s">
        <v>1</v>
      </c>
      <c r="C873" t="str">
        <f t="shared" si="88"/>
        <v>061649</v>
      </c>
      <c r="D873" t="str">
        <f t="shared" si="89"/>
        <v>TOR</v>
      </c>
      <c r="E873" t="str" cm="1">
        <f t="array" ref="E873">INDEX($E$2:$E$4, MOD(ROW()-1,3)+1)</f>
        <v>Machine 3</v>
      </c>
      <c r="F873">
        <f t="shared" ca="1" si="90"/>
        <v>2</v>
      </c>
      <c r="G873">
        <f t="shared" ca="1" si="91"/>
        <v>1</v>
      </c>
      <c r="H873">
        <f ca="1">RANDBETWEEN(1,J873-2)</f>
        <v>2</v>
      </c>
      <c r="I873">
        <f t="shared" ca="1" si="92"/>
        <v>37</v>
      </c>
      <c r="J873">
        <f t="shared" ca="1" si="93"/>
        <v>5</v>
      </c>
    </row>
    <row r="874" spans="1:10" x14ac:dyDescent="0.25">
      <c r="A874" t="s">
        <v>881</v>
      </c>
      <c r="B874" t="s">
        <v>1</v>
      </c>
      <c r="C874" t="str">
        <f t="shared" si="88"/>
        <v>061652</v>
      </c>
      <c r="D874" t="str">
        <f t="shared" si="89"/>
        <v>TOR</v>
      </c>
      <c r="E874" t="str" cm="1">
        <f t="array" ref="E874">INDEX($E$2:$E$4, MOD(ROW()-1,3)+1)</f>
        <v>Machine 1</v>
      </c>
      <c r="F874">
        <f t="shared" ca="1" si="90"/>
        <v>3</v>
      </c>
      <c r="G874">
        <f t="shared" ca="1" si="91"/>
        <v>0</v>
      </c>
      <c r="H874">
        <f ca="1">RANDBETWEEN(1,J874-2)</f>
        <v>1</v>
      </c>
      <c r="I874">
        <f t="shared" ca="1" si="92"/>
        <v>48</v>
      </c>
      <c r="J874">
        <f t="shared" ca="1" si="93"/>
        <v>11</v>
      </c>
    </row>
    <row r="875" spans="1:10" x14ac:dyDescent="0.25">
      <c r="A875" t="s">
        <v>882</v>
      </c>
      <c r="B875" t="s">
        <v>1</v>
      </c>
      <c r="C875" t="str">
        <f t="shared" si="88"/>
        <v>061655</v>
      </c>
      <c r="D875" t="str">
        <f t="shared" si="89"/>
        <v>TOR</v>
      </c>
      <c r="E875" t="str" cm="1">
        <f t="array" ref="E875">INDEX($E$2:$E$4, MOD(ROW()-1,3)+1)</f>
        <v>Machine 2</v>
      </c>
      <c r="F875">
        <f t="shared" ca="1" si="90"/>
        <v>3</v>
      </c>
      <c r="G875">
        <f t="shared" ca="1" si="91"/>
        <v>1</v>
      </c>
      <c r="H875">
        <f ca="1">RANDBETWEEN(1,J875-2)</f>
        <v>5</v>
      </c>
      <c r="I875">
        <f t="shared" ca="1" si="92"/>
        <v>39</v>
      </c>
      <c r="J875">
        <f t="shared" ca="1" si="93"/>
        <v>8</v>
      </c>
    </row>
    <row r="876" spans="1:10" x14ac:dyDescent="0.25">
      <c r="A876" t="s">
        <v>883</v>
      </c>
      <c r="B876" t="s">
        <v>1</v>
      </c>
      <c r="C876" t="str">
        <f t="shared" si="88"/>
        <v>061671</v>
      </c>
      <c r="D876" t="str">
        <f t="shared" si="89"/>
        <v>TOR</v>
      </c>
      <c r="E876" t="str" cm="1">
        <f t="array" ref="E876">INDEX($E$2:$E$4, MOD(ROW()-1,3)+1)</f>
        <v>Machine 3</v>
      </c>
      <c r="F876">
        <f t="shared" ca="1" si="90"/>
        <v>3</v>
      </c>
      <c r="G876">
        <f t="shared" ca="1" si="91"/>
        <v>1</v>
      </c>
      <c r="H876">
        <f ca="1">RANDBETWEEN(1,J876-2)</f>
        <v>6</v>
      </c>
      <c r="I876">
        <f t="shared" ca="1" si="92"/>
        <v>27</v>
      </c>
      <c r="J876">
        <f t="shared" ca="1" si="93"/>
        <v>15</v>
      </c>
    </row>
    <row r="877" spans="1:10" x14ac:dyDescent="0.25">
      <c r="A877" t="s">
        <v>884</v>
      </c>
      <c r="B877" t="s">
        <v>1</v>
      </c>
      <c r="C877" t="str">
        <f t="shared" si="88"/>
        <v>061673</v>
      </c>
      <c r="D877" t="str">
        <f t="shared" si="89"/>
        <v>TOR</v>
      </c>
      <c r="E877" t="str" cm="1">
        <f t="array" ref="E877">INDEX($E$2:$E$4, MOD(ROW()-1,3)+1)</f>
        <v>Machine 1</v>
      </c>
      <c r="F877">
        <f t="shared" ca="1" si="90"/>
        <v>3</v>
      </c>
      <c r="G877">
        <f t="shared" ca="1" si="91"/>
        <v>1</v>
      </c>
      <c r="H877">
        <f ca="1">RANDBETWEEN(1,J877-2)</f>
        <v>3</v>
      </c>
      <c r="I877">
        <f t="shared" ca="1" si="92"/>
        <v>30</v>
      </c>
      <c r="J877">
        <f t="shared" ca="1" si="93"/>
        <v>5</v>
      </c>
    </row>
    <row r="878" spans="1:10" x14ac:dyDescent="0.25">
      <c r="A878" t="s">
        <v>885</v>
      </c>
      <c r="B878" t="s">
        <v>1</v>
      </c>
      <c r="C878" t="str">
        <f t="shared" si="88"/>
        <v>061676</v>
      </c>
      <c r="D878" t="str">
        <f t="shared" si="89"/>
        <v>TOR</v>
      </c>
      <c r="E878" t="str" cm="1">
        <f t="array" ref="E878">INDEX($E$2:$E$4, MOD(ROW()-1,3)+1)</f>
        <v>Machine 2</v>
      </c>
      <c r="F878">
        <f t="shared" ca="1" si="90"/>
        <v>2</v>
      </c>
      <c r="G878">
        <f t="shared" ca="1" si="91"/>
        <v>1</v>
      </c>
      <c r="H878">
        <f ca="1">RANDBETWEEN(1,J878-2)</f>
        <v>1</v>
      </c>
      <c r="I878">
        <f t="shared" ca="1" si="92"/>
        <v>33</v>
      </c>
      <c r="J878">
        <f t="shared" ca="1" si="93"/>
        <v>8</v>
      </c>
    </row>
    <row r="879" spans="1:10" x14ac:dyDescent="0.25">
      <c r="A879" t="s">
        <v>886</v>
      </c>
      <c r="B879" t="s">
        <v>1</v>
      </c>
      <c r="C879" t="str">
        <f t="shared" si="88"/>
        <v>061679</v>
      </c>
      <c r="D879" t="str">
        <f t="shared" si="89"/>
        <v>TOR</v>
      </c>
      <c r="E879" t="str" cm="1">
        <f t="array" ref="E879">INDEX($E$2:$E$4, MOD(ROW()-1,3)+1)</f>
        <v>Machine 3</v>
      </c>
      <c r="F879">
        <f t="shared" ca="1" si="90"/>
        <v>2</v>
      </c>
      <c r="G879">
        <f t="shared" ca="1" si="91"/>
        <v>0</v>
      </c>
      <c r="H879">
        <f ca="1">RANDBETWEEN(1,J879-2)</f>
        <v>4</v>
      </c>
      <c r="I879">
        <f t="shared" ca="1" si="92"/>
        <v>36</v>
      </c>
      <c r="J879">
        <f t="shared" ca="1" si="93"/>
        <v>8</v>
      </c>
    </row>
    <row r="880" spans="1:10" x14ac:dyDescent="0.25">
      <c r="A880" t="s">
        <v>887</v>
      </c>
      <c r="B880" t="s">
        <v>1</v>
      </c>
      <c r="C880" t="str">
        <f t="shared" si="88"/>
        <v>061687</v>
      </c>
      <c r="D880" t="str">
        <f t="shared" si="89"/>
        <v>TOR</v>
      </c>
      <c r="E880" t="str" cm="1">
        <f t="array" ref="E880">INDEX($E$2:$E$4, MOD(ROW()-1,3)+1)</f>
        <v>Machine 1</v>
      </c>
      <c r="F880">
        <f t="shared" ca="1" si="90"/>
        <v>2</v>
      </c>
      <c r="G880">
        <f t="shared" ca="1" si="91"/>
        <v>1</v>
      </c>
      <c r="H880">
        <f ca="1">RANDBETWEEN(1,J880-2)</f>
        <v>2</v>
      </c>
      <c r="I880">
        <f t="shared" ca="1" si="92"/>
        <v>32</v>
      </c>
      <c r="J880">
        <f t="shared" ca="1" si="93"/>
        <v>6</v>
      </c>
    </row>
    <row r="881" spans="1:10" x14ac:dyDescent="0.25">
      <c r="A881" t="s">
        <v>888</v>
      </c>
      <c r="B881" t="s">
        <v>1</v>
      </c>
      <c r="C881" t="str">
        <f t="shared" si="88"/>
        <v>061696</v>
      </c>
      <c r="D881" t="str">
        <f t="shared" si="89"/>
        <v>TOR</v>
      </c>
      <c r="E881" t="str" cm="1">
        <f t="array" ref="E881">INDEX($E$2:$E$4, MOD(ROW()-1,3)+1)</f>
        <v>Machine 2</v>
      </c>
      <c r="F881">
        <f t="shared" ca="1" si="90"/>
        <v>2</v>
      </c>
      <c r="G881">
        <f t="shared" ca="1" si="91"/>
        <v>1</v>
      </c>
      <c r="H881">
        <f ca="1">RANDBETWEEN(1,J881-2)</f>
        <v>4</v>
      </c>
      <c r="I881">
        <f t="shared" ca="1" si="92"/>
        <v>43</v>
      </c>
      <c r="J881">
        <f t="shared" ca="1" si="93"/>
        <v>8</v>
      </c>
    </row>
    <row r="882" spans="1:10" x14ac:dyDescent="0.25">
      <c r="A882" t="s">
        <v>889</v>
      </c>
      <c r="B882" t="s">
        <v>1</v>
      </c>
      <c r="C882" t="str">
        <f t="shared" si="88"/>
        <v>061700</v>
      </c>
      <c r="D882" t="str">
        <f t="shared" si="89"/>
        <v>TOR</v>
      </c>
      <c r="E882" t="str" cm="1">
        <f t="array" ref="E882">INDEX($E$2:$E$4, MOD(ROW()-1,3)+1)</f>
        <v>Machine 3</v>
      </c>
      <c r="F882">
        <f t="shared" ca="1" si="90"/>
        <v>2</v>
      </c>
      <c r="G882">
        <f t="shared" ca="1" si="91"/>
        <v>0</v>
      </c>
      <c r="H882">
        <f ca="1">RANDBETWEEN(1,J882-2)</f>
        <v>7</v>
      </c>
      <c r="I882">
        <f t="shared" ca="1" si="92"/>
        <v>38</v>
      </c>
      <c r="J882">
        <f t="shared" ca="1" si="93"/>
        <v>13</v>
      </c>
    </row>
    <row r="883" spans="1:10" x14ac:dyDescent="0.25">
      <c r="A883" t="s">
        <v>890</v>
      </c>
      <c r="B883" t="s">
        <v>1</v>
      </c>
      <c r="C883" t="str">
        <f t="shared" si="88"/>
        <v>061710</v>
      </c>
      <c r="D883" t="str">
        <f t="shared" si="89"/>
        <v>TOR</v>
      </c>
      <c r="E883" t="str" cm="1">
        <f t="array" ref="E883">INDEX($E$2:$E$4, MOD(ROW()-1,3)+1)</f>
        <v>Machine 1</v>
      </c>
      <c r="F883">
        <f t="shared" ca="1" si="90"/>
        <v>3</v>
      </c>
      <c r="G883">
        <f t="shared" ca="1" si="91"/>
        <v>1</v>
      </c>
      <c r="H883">
        <f ca="1">RANDBETWEEN(1,J883-2)</f>
        <v>9</v>
      </c>
      <c r="I883">
        <f t="shared" ca="1" si="92"/>
        <v>25</v>
      </c>
      <c r="J883">
        <f t="shared" ca="1" si="93"/>
        <v>13</v>
      </c>
    </row>
    <row r="884" spans="1:10" x14ac:dyDescent="0.25">
      <c r="A884" t="s">
        <v>891</v>
      </c>
      <c r="B884" t="s">
        <v>1</v>
      </c>
      <c r="C884" t="str">
        <f t="shared" si="88"/>
        <v>061714</v>
      </c>
      <c r="D884" t="str">
        <f t="shared" si="89"/>
        <v>TOR</v>
      </c>
      <c r="E884" t="str" cm="1">
        <f t="array" ref="E884">INDEX($E$2:$E$4, MOD(ROW()-1,3)+1)</f>
        <v>Machine 2</v>
      </c>
      <c r="F884">
        <f t="shared" ca="1" si="90"/>
        <v>3</v>
      </c>
      <c r="G884">
        <f t="shared" ca="1" si="91"/>
        <v>0</v>
      </c>
      <c r="H884">
        <f ca="1">RANDBETWEEN(1,J884-2)</f>
        <v>10</v>
      </c>
      <c r="I884">
        <f t="shared" ca="1" si="92"/>
        <v>42</v>
      </c>
      <c r="J884">
        <f t="shared" ca="1" si="93"/>
        <v>13</v>
      </c>
    </row>
    <row r="885" spans="1:10" x14ac:dyDescent="0.25">
      <c r="A885" t="s">
        <v>892</v>
      </c>
      <c r="B885" t="s">
        <v>1</v>
      </c>
      <c r="C885" t="str">
        <f t="shared" si="88"/>
        <v>061717</v>
      </c>
      <c r="D885" t="str">
        <f t="shared" si="89"/>
        <v>TOR</v>
      </c>
      <c r="E885" t="str" cm="1">
        <f t="array" ref="E885">INDEX($E$2:$E$4, MOD(ROW()-1,3)+1)</f>
        <v>Machine 3</v>
      </c>
      <c r="F885">
        <f t="shared" ca="1" si="90"/>
        <v>2</v>
      </c>
      <c r="G885">
        <f t="shared" ca="1" si="91"/>
        <v>0</v>
      </c>
      <c r="H885">
        <f ca="1">RANDBETWEEN(1,J885-2)</f>
        <v>13</v>
      </c>
      <c r="I885">
        <f t="shared" ca="1" si="92"/>
        <v>25</v>
      </c>
      <c r="J885">
        <f t="shared" ca="1" si="93"/>
        <v>15</v>
      </c>
    </row>
    <row r="886" spans="1:10" x14ac:dyDescent="0.25">
      <c r="A886" t="s">
        <v>893</v>
      </c>
      <c r="B886" t="s">
        <v>1</v>
      </c>
      <c r="C886" t="str">
        <f t="shared" si="88"/>
        <v>061725</v>
      </c>
      <c r="D886" t="str">
        <f t="shared" si="89"/>
        <v>TOR</v>
      </c>
      <c r="E886" t="str" cm="1">
        <f t="array" ref="E886">INDEX($E$2:$E$4, MOD(ROW()-1,3)+1)</f>
        <v>Machine 1</v>
      </c>
      <c r="F886">
        <f t="shared" ca="1" si="90"/>
        <v>3</v>
      </c>
      <c r="G886">
        <f t="shared" ca="1" si="91"/>
        <v>0</v>
      </c>
      <c r="H886">
        <f ca="1">RANDBETWEEN(1,J886-2)</f>
        <v>2</v>
      </c>
      <c r="I886">
        <f t="shared" ca="1" si="92"/>
        <v>45</v>
      </c>
      <c r="J886">
        <f t="shared" ca="1" si="93"/>
        <v>6</v>
      </c>
    </row>
    <row r="887" spans="1:10" x14ac:dyDescent="0.25">
      <c r="A887" t="s">
        <v>894</v>
      </c>
      <c r="B887" t="s">
        <v>1</v>
      </c>
      <c r="C887" t="str">
        <f t="shared" si="88"/>
        <v>061728</v>
      </c>
      <c r="D887" t="str">
        <f t="shared" si="89"/>
        <v>TOR</v>
      </c>
      <c r="E887" t="str" cm="1">
        <f t="array" ref="E887">INDEX($E$2:$E$4, MOD(ROW()-1,3)+1)</f>
        <v>Machine 2</v>
      </c>
      <c r="F887">
        <f t="shared" ca="1" si="90"/>
        <v>3</v>
      </c>
      <c r="G887">
        <f t="shared" ca="1" si="91"/>
        <v>1</v>
      </c>
      <c r="H887">
        <f ca="1">RANDBETWEEN(1,J887-2)</f>
        <v>7</v>
      </c>
      <c r="I887">
        <f t="shared" ca="1" si="92"/>
        <v>28</v>
      </c>
      <c r="J887">
        <f t="shared" ca="1" si="93"/>
        <v>14</v>
      </c>
    </row>
    <row r="888" spans="1:10" x14ac:dyDescent="0.25">
      <c r="A888" t="s">
        <v>895</v>
      </c>
      <c r="B888" t="s">
        <v>1</v>
      </c>
      <c r="C888" t="str">
        <f t="shared" si="88"/>
        <v>061730</v>
      </c>
      <c r="D888" t="str">
        <f t="shared" si="89"/>
        <v>TOR</v>
      </c>
      <c r="E888" t="str" cm="1">
        <f t="array" ref="E888">INDEX($E$2:$E$4, MOD(ROW()-1,3)+1)</f>
        <v>Machine 3</v>
      </c>
      <c r="F888">
        <f t="shared" ca="1" si="90"/>
        <v>2</v>
      </c>
      <c r="G888">
        <f t="shared" ca="1" si="91"/>
        <v>0</v>
      </c>
      <c r="H888">
        <f ca="1">RANDBETWEEN(1,J888-2)</f>
        <v>7</v>
      </c>
      <c r="I888">
        <f t="shared" ca="1" si="92"/>
        <v>37</v>
      </c>
      <c r="J888">
        <f t="shared" ca="1" si="93"/>
        <v>13</v>
      </c>
    </row>
    <row r="889" spans="1:10" x14ac:dyDescent="0.25">
      <c r="A889" t="s">
        <v>896</v>
      </c>
      <c r="B889" t="s">
        <v>1</v>
      </c>
      <c r="C889" t="str">
        <f t="shared" si="88"/>
        <v>061732</v>
      </c>
      <c r="D889" t="str">
        <f t="shared" si="89"/>
        <v>TOR</v>
      </c>
      <c r="E889" t="str" cm="1">
        <f t="array" ref="E889">INDEX($E$2:$E$4, MOD(ROW()-1,3)+1)</f>
        <v>Machine 1</v>
      </c>
      <c r="F889">
        <f t="shared" ca="1" si="90"/>
        <v>2</v>
      </c>
      <c r="G889">
        <f t="shared" ca="1" si="91"/>
        <v>1</v>
      </c>
      <c r="H889">
        <f ca="1">RANDBETWEEN(1,J889-2)</f>
        <v>3</v>
      </c>
      <c r="I889">
        <f t="shared" ca="1" si="92"/>
        <v>46</v>
      </c>
      <c r="J889">
        <f t="shared" ca="1" si="93"/>
        <v>6</v>
      </c>
    </row>
    <row r="890" spans="1:10" x14ac:dyDescent="0.25">
      <c r="A890" t="s">
        <v>897</v>
      </c>
      <c r="B890" t="s">
        <v>1</v>
      </c>
      <c r="C890" t="str">
        <f t="shared" si="88"/>
        <v>061734</v>
      </c>
      <c r="D890" t="str">
        <f t="shared" si="89"/>
        <v>TOR</v>
      </c>
      <c r="E890" t="str" cm="1">
        <f t="array" ref="E890">INDEX($E$2:$E$4, MOD(ROW()-1,3)+1)</f>
        <v>Machine 2</v>
      </c>
      <c r="F890">
        <f t="shared" ca="1" si="90"/>
        <v>3</v>
      </c>
      <c r="G890">
        <f t="shared" ca="1" si="91"/>
        <v>0</v>
      </c>
      <c r="H890">
        <f ca="1">RANDBETWEEN(1,J890-2)</f>
        <v>5</v>
      </c>
      <c r="I890">
        <f t="shared" ca="1" si="92"/>
        <v>24</v>
      </c>
      <c r="J890">
        <f t="shared" ca="1" si="93"/>
        <v>10</v>
      </c>
    </row>
    <row r="891" spans="1:10" x14ac:dyDescent="0.25">
      <c r="A891" t="s">
        <v>898</v>
      </c>
      <c r="B891" t="s">
        <v>1</v>
      </c>
      <c r="C891" t="str">
        <f t="shared" si="88"/>
        <v>061736</v>
      </c>
      <c r="D891" t="str">
        <f t="shared" si="89"/>
        <v>TOR</v>
      </c>
      <c r="E891" t="str" cm="1">
        <f t="array" ref="E891">INDEX($E$2:$E$4, MOD(ROW()-1,3)+1)</f>
        <v>Machine 3</v>
      </c>
      <c r="F891">
        <f t="shared" ca="1" si="90"/>
        <v>2</v>
      </c>
      <c r="G891">
        <f t="shared" ca="1" si="91"/>
        <v>0</v>
      </c>
      <c r="H891">
        <f ca="1">RANDBETWEEN(1,J891-2)</f>
        <v>2</v>
      </c>
      <c r="I891">
        <f t="shared" ca="1" si="92"/>
        <v>25</v>
      </c>
      <c r="J891">
        <f t="shared" ca="1" si="93"/>
        <v>5</v>
      </c>
    </row>
    <row r="892" spans="1:10" x14ac:dyDescent="0.25">
      <c r="A892" t="s">
        <v>899</v>
      </c>
      <c r="B892" t="s">
        <v>1</v>
      </c>
      <c r="C892" t="str">
        <f t="shared" si="88"/>
        <v>061738</v>
      </c>
      <c r="D892" t="str">
        <f t="shared" si="89"/>
        <v>TOR</v>
      </c>
      <c r="E892" t="str" cm="1">
        <f t="array" ref="E892">INDEX($E$2:$E$4, MOD(ROW()-1,3)+1)</f>
        <v>Machine 1</v>
      </c>
      <c r="F892">
        <f t="shared" ca="1" si="90"/>
        <v>3</v>
      </c>
      <c r="G892">
        <f t="shared" ca="1" si="91"/>
        <v>0</v>
      </c>
      <c r="H892">
        <f ca="1">RANDBETWEEN(1,J892-2)</f>
        <v>2</v>
      </c>
      <c r="I892">
        <f t="shared" ca="1" si="92"/>
        <v>27</v>
      </c>
      <c r="J892">
        <f t="shared" ca="1" si="93"/>
        <v>5</v>
      </c>
    </row>
    <row r="893" spans="1:10" x14ac:dyDescent="0.25">
      <c r="A893" t="s">
        <v>900</v>
      </c>
      <c r="B893" t="s">
        <v>1</v>
      </c>
      <c r="C893" t="str">
        <f t="shared" si="88"/>
        <v>061740</v>
      </c>
      <c r="D893" t="str">
        <f t="shared" si="89"/>
        <v>TOR</v>
      </c>
      <c r="E893" t="str" cm="1">
        <f t="array" ref="E893">INDEX($E$2:$E$4, MOD(ROW()-1,3)+1)</f>
        <v>Machine 2</v>
      </c>
      <c r="F893">
        <f t="shared" ca="1" si="90"/>
        <v>2</v>
      </c>
      <c r="G893">
        <f t="shared" ca="1" si="91"/>
        <v>0</v>
      </c>
      <c r="H893">
        <f ca="1">RANDBETWEEN(1,J893-2)</f>
        <v>1</v>
      </c>
      <c r="I893">
        <f t="shared" ca="1" si="92"/>
        <v>31</v>
      </c>
      <c r="J893">
        <f t="shared" ca="1" si="93"/>
        <v>5</v>
      </c>
    </row>
    <row r="894" spans="1:10" x14ac:dyDescent="0.25">
      <c r="A894" t="s">
        <v>901</v>
      </c>
      <c r="B894" t="s">
        <v>1</v>
      </c>
      <c r="C894" t="str">
        <f t="shared" si="88"/>
        <v>061742</v>
      </c>
      <c r="D894" t="str">
        <f t="shared" si="89"/>
        <v>TOR</v>
      </c>
      <c r="E894" t="str" cm="1">
        <f t="array" ref="E894">INDEX($E$2:$E$4, MOD(ROW()-1,3)+1)</f>
        <v>Machine 3</v>
      </c>
      <c r="F894">
        <f t="shared" ca="1" si="90"/>
        <v>2</v>
      </c>
      <c r="G894">
        <f t="shared" ca="1" si="91"/>
        <v>0</v>
      </c>
      <c r="H894">
        <f ca="1">RANDBETWEEN(1,J894-2)</f>
        <v>2</v>
      </c>
      <c r="I894">
        <f t="shared" ca="1" si="92"/>
        <v>43</v>
      </c>
      <c r="J894">
        <f t="shared" ca="1" si="93"/>
        <v>9</v>
      </c>
    </row>
    <row r="895" spans="1:10" x14ac:dyDescent="0.25">
      <c r="A895" t="s">
        <v>902</v>
      </c>
      <c r="B895" t="s">
        <v>1</v>
      </c>
      <c r="C895" t="str">
        <f t="shared" si="88"/>
        <v>061744</v>
      </c>
      <c r="D895" t="str">
        <f t="shared" si="89"/>
        <v>TOR</v>
      </c>
      <c r="E895" t="str" cm="1">
        <f t="array" ref="E895">INDEX($E$2:$E$4, MOD(ROW()-1,3)+1)</f>
        <v>Machine 1</v>
      </c>
      <c r="F895">
        <f t="shared" ca="1" si="90"/>
        <v>3</v>
      </c>
      <c r="G895">
        <f t="shared" ca="1" si="91"/>
        <v>1</v>
      </c>
      <c r="H895">
        <f ca="1">RANDBETWEEN(1,J895-2)</f>
        <v>1</v>
      </c>
      <c r="I895">
        <f t="shared" ca="1" si="92"/>
        <v>45</v>
      </c>
      <c r="J895">
        <f t="shared" ca="1" si="93"/>
        <v>8</v>
      </c>
    </row>
    <row r="896" spans="1:10" x14ac:dyDescent="0.25">
      <c r="A896" t="s">
        <v>903</v>
      </c>
      <c r="B896" t="s">
        <v>1</v>
      </c>
      <c r="C896" t="str">
        <f t="shared" si="88"/>
        <v>061746</v>
      </c>
      <c r="D896" t="str">
        <f t="shared" si="89"/>
        <v>TOR</v>
      </c>
      <c r="E896" t="str" cm="1">
        <f t="array" ref="E896">INDEX($E$2:$E$4, MOD(ROW()-1,3)+1)</f>
        <v>Machine 2</v>
      </c>
      <c r="F896">
        <f t="shared" ca="1" si="90"/>
        <v>3</v>
      </c>
      <c r="G896">
        <f t="shared" ca="1" si="91"/>
        <v>1</v>
      </c>
      <c r="H896">
        <f ca="1">RANDBETWEEN(1,J896-2)</f>
        <v>7</v>
      </c>
      <c r="I896">
        <f t="shared" ca="1" si="92"/>
        <v>42</v>
      </c>
      <c r="J896">
        <f t="shared" ca="1" si="93"/>
        <v>14</v>
      </c>
    </row>
    <row r="897" spans="1:10" x14ac:dyDescent="0.25">
      <c r="A897" t="s">
        <v>904</v>
      </c>
      <c r="B897" t="s">
        <v>1</v>
      </c>
      <c r="C897" t="str">
        <f t="shared" si="88"/>
        <v>061748</v>
      </c>
      <c r="D897" t="str">
        <f t="shared" si="89"/>
        <v>TOR</v>
      </c>
      <c r="E897" t="str" cm="1">
        <f t="array" ref="E897">INDEX($E$2:$E$4, MOD(ROW()-1,3)+1)</f>
        <v>Machine 3</v>
      </c>
      <c r="F897">
        <f t="shared" ca="1" si="90"/>
        <v>3</v>
      </c>
      <c r="G897">
        <f t="shared" ca="1" si="91"/>
        <v>0</v>
      </c>
      <c r="H897">
        <f ca="1">RANDBETWEEN(1,J897-2)</f>
        <v>3</v>
      </c>
      <c r="I897">
        <f t="shared" ca="1" si="92"/>
        <v>48</v>
      </c>
      <c r="J897">
        <f t="shared" ca="1" si="93"/>
        <v>7</v>
      </c>
    </row>
    <row r="898" spans="1:10" x14ac:dyDescent="0.25">
      <c r="A898" t="s">
        <v>905</v>
      </c>
      <c r="B898" t="s">
        <v>1</v>
      </c>
      <c r="C898" t="str">
        <f t="shared" si="88"/>
        <v>061750</v>
      </c>
      <c r="D898" t="str">
        <f t="shared" si="89"/>
        <v>TOR</v>
      </c>
      <c r="E898" t="str" cm="1">
        <f t="array" ref="E898">INDEX($E$2:$E$4, MOD(ROW()-1,3)+1)</f>
        <v>Machine 1</v>
      </c>
      <c r="F898">
        <f t="shared" ca="1" si="90"/>
        <v>2</v>
      </c>
      <c r="G898">
        <f t="shared" ca="1" si="91"/>
        <v>0</v>
      </c>
      <c r="H898">
        <f ca="1">RANDBETWEEN(1,J898-2)</f>
        <v>1</v>
      </c>
      <c r="I898">
        <f t="shared" ca="1" si="92"/>
        <v>26</v>
      </c>
      <c r="J898">
        <f t="shared" ca="1" si="93"/>
        <v>7</v>
      </c>
    </row>
    <row r="899" spans="1:10" x14ac:dyDescent="0.25">
      <c r="A899" t="s">
        <v>906</v>
      </c>
      <c r="B899" t="s">
        <v>1</v>
      </c>
      <c r="C899" t="str">
        <f t="shared" ref="C899:C962" si="94">RIGHT(A899,6)</f>
        <v>061752</v>
      </c>
      <c r="D899" t="str">
        <f t="shared" ref="D899:D962" si="95">RIGHT(B899,3)</f>
        <v>TOR</v>
      </c>
      <c r="E899" t="str" cm="1">
        <f t="array" ref="E899">INDEX($E$2:$E$4, MOD(ROW()-1,3)+1)</f>
        <v>Machine 2</v>
      </c>
      <c r="F899">
        <f t="shared" ref="F899:F962" ca="1" si="96">RANDBETWEEN(2,3)</f>
        <v>2</v>
      </c>
      <c r="G899">
        <f t="shared" ref="G899:G962" ca="1" si="97">RANDBETWEEN(0,1)</f>
        <v>0</v>
      </c>
      <c r="H899">
        <f ca="1">RANDBETWEEN(1,J899-2)</f>
        <v>5</v>
      </c>
      <c r="I899">
        <f t="shared" ref="I899:I962" ca="1" si="98">RANDBETWEEN(24,48)</f>
        <v>41</v>
      </c>
      <c r="J899">
        <f t="shared" ref="J899:J962" ca="1" si="99">RANDBETWEEN(5,15)</f>
        <v>10</v>
      </c>
    </row>
    <row r="900" spans="1:10" x14ac:dyDescent="0.25">
      <c r="A900" t="s">
        <v>907</v>
      </c>
      <c r="B900" t="s">
        <v>1</v>
      </c>
      <c r="C900" t="str">
        <f t="shared" si="94"/>
        <v>061754</v>
      </c>
      <c r="D900" t="str">
        <f t="shared" si="95"/>
        <v>TOR</v>
      </c>
      <c r="E900" t="str" cm="1">
        <f t="array" ref="E900">INDEX($E$2:$E$4, MOD(ROW()-1,3)+1)</f>
        <v>Machine 3</v>
      </c>
      <c r="F900">
        <f t="shared" ca="1" si="96"/>
        <v>3</v>
      </c>
      <c r="G900">
        <f t="shared" ca="1" si="97"/>
        <v>0</v>
      </c>
      <c r="H900">
        <f ca="1">RANDBETWEEN(1,J900-2)</f>
        <v>4</v>
      </c>
      <c r="I900">
        <f t="shared" ca="1" si="98"/>
        <v>48</v>
      </c>
      <c r="J900">
        <f t="shared" ca="1" si="99"/>
        <v>6</v>
      </c>
    </row>
    <row r="901" spans="1:10" x14ac:dyDescent="0.25">
      <c r="A901" t="s">
        <v>908</v>
      </c>
      <c r="B901" t="s">
        <v>1</v>
      </c>
      <c r="C901" t="str">
        <f t="shared" si="94"/>
        <v>061756</v>
      </c>
      <c r="D901" t="str">
        <f t="shared" si="95"/>
        <v>TOR</v>
      </c>
      <c r="E901" t="str" cm="1">
        <f t="array" ref="E901">INDEX($E$2:$E$4, MOD(ROW()-1,3)+1)</f>
        <v>Machine 1</v>
      </c>
      <c r="F901">
        <f t="shared" ca="1" si="96"/>
        <v>2</v>
      </c>
      <c r="G901">
        <f t="shared" ca="1" si="97"/>
        <v>1</v>
      </c>
      <c r="H901">
        <f ca="1">RANDBETWEEN(1,J901-2)</f>
        <v>2</v>
      </c>
      <c r="I901">
        <f t="shared" ca="1" si="98"/>
        <v>47</v>
      </c>
      <c r="J901">
        <f t="shared" ca="1" si="99"/>
        <v>15</v>
      </c>
    </row>
    <row r="902" spans="1:10" x14ac:dyDescent="0.25">
      <c r="A902" t="s">
        <v>909</v>
      </c>
      <c r="B902" t="s">
        <v>1</v>
      </c>
      <c r="C902" t="str">
        <f t="shared" si="94"/>
        <v>061758</v>
      </c>
      <c r="D902" t="str">
        <f t="shared" si="95"/>
        <v>TOR</v>
      </c>
      <c r="E902" t="str" cm="1">
        <f t="array" ref="E902">INDEX($E$2:$E$4, MOD(ROW()-1,3)+1)</f>
        <v>Machine 2</v>
      </c>
      <c r="F902">
        <f t="shared" ca="1" si="96"/>
        <v>3</v>
      </c>
      <c r="G902">
        <f t="shared" ca="1" si="97"/>
        <v>0</v>
      </c>
      <c r="H902">
        <f ca="1">RANDBETWEEN(1,J902-2)</f>
        <v>10</v>
      </c>
      <c r="I902">
        <f t="shared" ca="1" si="98"/>
        <v>38</v>
      </c>
      <c r="J902">
        <f t="shared" ca="1" si="99"/>
        <v>14</v>
      </c>
    </row>
    <row r="903" spans="1:10" x14ac:dyDescent="0.25">
      <c r="A903" t="s">
        <v>910</v>
      </c>
      <c r="B903" t="s">
        <v>1</v>
      </c>
      <c r="C903" t="str">
        <f t="shared" si="94"/>
        <v>061760</v>
      </c>
      <c r="D903" t="str">
        <f t="shared" si="95"/>
        <v>TOR</v>
      </c>
      <c r="E903" t="str" cm="1">
        <f t="array" ref="E903">INDEX($E$2:$E$4, MOD(ROW()-1,3)+1)</f>
        <v>Machine 3</v>
      </c>
      <c r="F903">
        <f t="shared" ca="1" si="96"/>
        <v>3</v>
      </c>
      <c r="G903">
        <f t="shared" ca="1" si="97"/>
        <v>1</v>
      </c>
      <c r="H903">
        <f ca="1">RANDBETWEEN(1,J903-2)</f>
        <v>5</v>
      </c>
      <c r="I903">
        <f t="shared" ca="1" si="98"/>
        <v>47</v>
      </c>
      <c r="J903">
        <f t="shared" ca="1" si="99"/>
        <v>13</v>
      </c>
    </row>
    <row r="904" spans="1:10" x14ac:dyDescent="0.25">
      <c r="A904" t="s">
        <v>911</v>
      </c>
      <c r="B904" t="s">
        <v>1</v>
      </c>
      <c r="C904" t="str">
        <f t="shared" si="94"/>
        <v>061762</v>
      </c>
      <c r="D904" t="str">
        <f t="shared" si="95"/>
        <v>TOR</v>
      </c>
      <c r="E904" t="str" cm="1">
        <f t="array" ref="E904">INDEX($E$2:$E$4, MOD(ROW()-1,3)+1)</f>
        <v>Machine 1</v>
      </c>
      <c r="F904">
        <f t="shared" ca="1" si="96"/>
        <v>2</v>
      </c>
      <c r="G904">
        <f t="shared" ca="1" si="97"/>
        <v>0</v>
      </c>
      <c r="H904">
        <f ca="1">RANDBETWEEN(1,J904-2)</f>
        <v>3</v>
      </c>
      <c r="I904">
        <f t="shared" ca="1" si="98"/>
        <v>32</v>
      </c>
      <c r="J904">
        <f t="shared" ca="1" si="99"/>
        <v>6</v>
      </c>
    </row>
    <row r="905" spans="1:10" x14ac:dyDescent="0.25">
      <c r="A905" t="s">
        <v>912</v>
      </c>
      <c r="B905" t="s">
        <v>1</v>
      </c>
      <c r="C905" t="str">
        <f t="shared" si="94"/>
        <v>061764</v>
      </c>
      <c r="D905" t="str">
        <f t="shared" si="95"/>
        <v>TOR</v>
      </c>
      <c r="E905" t="str" cm="1">
        <f t="array" ref="E905">INDEX($E$2:$E$4, MOD(ROW()-1,3)+1)</f>
        <v>Machine 2</v>
      </c>
      <c r="F905">
        <f t="shared" ca="1" si="96"/>
        <v>3</v>
      </c>
      <c r="G905">
        <f t="shared" ca="1" si="97"/>
        <v>0</v>
      </c>
      <c r="H905">
        <f ca="1">RANDBETWEEN(1,J905-2)</f>
        <v>2</v>
      </c>
      <c r="I905">
        <f t="shared" ca="1" si="98"/>
        <v>44</v>
      </c>
      <c r="J905">
        <f t="shared" ca="1" si="99"/>
        <v>9</v>
      </c>
    </row>
    <row r="906" spans="1:10" x14ac:dyDescent="0.25">
      <c r="A906" t="s">
        <v>913</v>
      </c>
      <c r="B906" t="s">
        <v>1</v>
      </c>
      <c r="C906" t="str">
        <f t="shared" si="94"/>
        <v>061768</v>
      </c>
      <c r="D906" t="str">
        <f t="shared" si="95"/>
        <v>TOR</v>
      </c>
      <c r="E906" t="str" cm="1">
        <f t="array" ref="E906">INDEX($E$2:$E$4, MOD(ROW()-1,3)+1)</f>
        <v>Machine 3</v>
      </c>
      <c r="F906">
        <f t="shared" ca="1" si="96"/>
        <v>3</v>
      </c>
      <c r="G906">
        <f t="shared" ca="1" si="97"/>
        <v>1</v>
      </c>
      <c r="H906">
        <f ca="1">RANDBETWEEN(1,J906-2)</f>
        <v>2</v>
      </c>
      <c r="I906">
        <f t="shared" ca="1" si="98"/>
        <v>29</v>
      </c>
      <c r="J906">
        <f t="shared" ca="1" si="99"/>
        <v>10</v>
      </c>
    </row>
    <row r="907" spans="1:10" x14ac:dyDescent="0.25">
      <c r="A907" t="s">
        <v>914</v>
      </c>
      <c r="B907" t="s">
        <v>1</v>
      </c>
      <c r="C907" t="str">
        <f t="shared" si="94"/>
        <v>061770</v>
      </c>
      <c r="D907" t="str">
        <f t="shared" si="95"/>
        <v>TOR</v>
      </c>
      <c r="E907" t="str" cm="1">
        <f t="array" ref="E907">INDEX($E$2:$E$4, MOD(ROW()-1,3)+1)</f>
        <v>Machine 1</v>
      </c>
      <c r="F907">
        <f t="shared" ca="1" si="96"/>
        <v>2</v>
      </c>
      <c r="G907">
        <f t="shared" ca="1" si="97"/>
        <v>0</v>
      </c>
      <c r="H907">
        <f ca="1">RANDBETWEEN(1,J907-2)</f>
        <v>1</v>
      </c>
      <c r="I907">
        <f t="shared" ca="1" si="98"/>
        <v>46</v>
      </c>
      <c r="J907">
        <f t="shared" ca="1" si="99"/>
        <v>5</v>
      </c>
    </row>
    <row r="908" spans="1:10" x14ac:dyDescent="0.25">
      <c r="A908" t="s">
        <v>915</v>
      </c>
      <c r="B908" t="s">
        <v>1</v>
      </c>
      <c r="C908" t="str">
        <f t="shared" si="94"/>
        <v>061772</v>
      </c>
      <c r="D908" t="str">
        <f t="shared" si="95"/>
        <v>TOR</v>
      </c>
      <c r="E908" t="str" cm="1">
        <f t="array" ref="E908">INDEX($E$2:$E$4, MOD(ROW()-1,3)+1)</f>
        <v>Machine 2</v>
      </c>
      <c r="F908">
        <f t="shared" ca="1" si="96"/>
        <v>2</v>
      </c>
      <c r="G908">
        <f t="shared" ca="1" si="97"/>
        <v>0</v>
      </c>
      <c r="H908">
        <f ca="1">RANDBETWEEN(1,J908-2)</f>
        <v>2</v>
      </c>
      <c r="I908">
        <f t="shared" ca="1" si="98"/>
        <v>36</v>
      </c>
      <c r="J908">
        <f t="shared" ca="1" si="99"/>
        <v>15</v>
      </c>
    </row>
    <row r="909" spans="1:10" x14ac:dyDescent="0.25">
      <c r="A909" t="s">
        <v>916</v>
      </c>
      <c r="B909" t="s">
        <v>1</v>
      </c>
      <c r="C909" t="str">
        <f t="shared" si="94"/>
        <v>061774</v>
      </c>
      <c r="D909" t="str">
        <f t="shared" si="95"/>
        <v>TOR</v>
      </c>
      <c r="E909" t="str" cm="1">
        <f t="array" ref="E909">INDEX($E$2:$E$4, MOD(ROW()-1,3)+1)</f>
        <v>Machine 3</v>
      </c>
      <c r="F909">
        <f t="shared" ca="1" si="96"/>
        <v>2</v>
      </c>
      <c r="G909">
        <f t="shared" ca="1" si="97"/>
        <v>1</v>
      </c>
      <c r="H909">
        <f ca="1">RANDBETWEEN(1,J909-2)</f>
        <v>6</v>
      </c>
      <c r="I909">
        <f t="shared" ca="1" si="98"/>
        <v>26</v>
      </c>
      <c r="J909">
        <f t="shared" ca="1" si="99"/>
        <v>15</v>
      </c>
    </row>
    <row r="910" spans="1:10" x14ac:dyDescent="0.25">
      <c r="A910" t="s">
        <v>917</v>
      </c>
      <c r="B910" t="s">
        <v>1</v>
      </c>
      <c r="C910" t="str">
        <f t="shared" si="94"/>
        <v>061776</v>
      </c>
      <c r="D910" t="str">
        <f t="shared" si="95"/>
        <v>TOR</v>
      </c>
      <c r="E910" t="str" cm="1">
        <f t="array" ref="E910">INDEX($E$2:$E$4, MOD(ROW()-1,3)+1)</f>
        <v>Machine 1</v>
      </c>
      <c r="F910">
        <f t="shared" ca="1" si="96"/>
        <v>2</v>
      </c>
      <c r="G910">
        <f t="shared" ca="1" si="97"/>
        <v>0</v>
      </c>
      <c r="H910">
        <f ca="1">RANDBETWEEN(1,J910-2)</f>
        <v>6</v>
      </c>
      <c r="I910">
        <f t="shared" ca="1" si="98"/>
        <v>24</v>
      </c>
      <c r="J910">
        <f t="shared" ca="1" si="99"/>
        <v>9</v>
      </c>
    </row>
    <row r="911" spans="1:10" x14ac:dyDescent="0.25">
      <c r="A911" t="s">
        <v>918</v>
      </c>
      <c r="B911" t="s">
        <v>1</v>
      </c>
      <c r="C911" t="str">
        <f t="shared" si="94"/>
        <v>061778</v>
      </c>
      <c r="D911" t="str">
        <f t="shared" si="95"/>
        <v>TOR</v>
      </c>
      <c r="E911" t="str" cm="1">
        <f t="array" ref="E911">INDEX($E$2:$E$4, MOD(ROW()-1,3)+1)</f>
        <v>Machine 2</v>
      </c>
      <c r="F911">
        <f t="shared" ca="1" si="96"/>
        <v>2</v>
      </c>
      <c r="G911">
        <f t="shared" ca="1" si="97"/>
        <v>1</v>
      </c>
      <c r="H911">
        <f ca="1">RANDBETWEEN(1,J911-2)</f>
        <v>3</v>
      </c>
      <c r="I911">
        <f t="shared" ca="1" si="98"/>
        <v>41</v>
      </c>
      <c r="J911">
        <f t="shared" ca="1" si="99"/>
        <v>5</v>
      </c>
    </row>
    <row r="912" spans="1:10" x14ac:dyDescent="0.25">
      <c r="A912" t="s">
        <v>919</v>
      </c>
      <c r="B912" t="s">
        <v>1</v>
      </c>
      <c r="C912" t="str">
        <f t="shared" si="94"/>
        <v>061780</v>
      </c>
      <c r="D912" t="str">
        <f t="shared" si="95"/>
        <v>TOR</v>
      </c>
      <c r="E912" t="str" cm="1">
        <f t="array" ref="E912">INDEX($E$2:$E$4, MOD(ROW()-1,3)+1)</f>
        <v>Machine 3</v>
      </c>
      <c r="F912">
        <f t="shared" ca="1" si="96"/>
        <v>3</v>
      </c>
      <c r="G912">
        <f t="shared" ca="1" si="97"/>
        <v>1</v>
      </c>
      <c r="H912">
        <f ca="1">RANDBETWEEN(1,J912-2)</f>
        <v>2</v>
      </c>
      <c r="I912">
        <f t="shared" ca="1" si="98"/>
        <v>40</v>
      </c>
      <c r="J912">
        <f t="shared" ca="1" si="99"/>
        <v>5</v>
      </c>
    </row>
    <row r="913" spans="1:10" x14ac:dyDescent="0.25">
      <c r="A913" t="s">
        <v>920</v>
      </c>
      <c r="B913" t="s">
        <v>1</v>
      </c>
      <c r="C913" t="str">
        <f t="shared" si="94"/>
        <v>061782</v>
      </c>
      <c r="D913" t="str">
        <f t="shared" si="95"/>
        <v>TOR</v>
      </c>
      <c r="E913" t="str" cm="1">
        <f t="array" ref="E913">INDEX($E$2:$E$4, MOD(ROW()-1,3)+1)</f>
        <v>Machine 1</v>
      </c>
      <c r="F913">
        <f t="shared" ca="1" si="96"/>
        <v>2</v>
      </c>
      <c r="G913">
        <f t="shared" ca="1" si="97"/>
        <v>0</v>
      </c>
      <c r="H913">
        <f ca="1">RANDBETWEEN(1,J913-2)</f>
        <v>4</v>
      </c>
      <c r="I913">
        <f t="shared" ca="1" si="98"/>
        <v>24</v>
      </c>
      <c r="J913">
        <f t="shared" ca="1" si="99"/>
        <v>7</v>
      </c>
    </row>
    <row r="914" spans="1:10" x14ac:dyDescent="0.25">
      <c r="A914" t="s">
        <v>921</v>
      </c>
      <c r="B914" t="s">
        <v>1</v>
      </c>
      <c r="C914" t="str">
        <f t="shared" si="94"/>
        <v>061784</v>
      </c>
      <c r="D914" t="str">
        <f t="shared" si="95"/>
        <v>TOR</v>
      </c>
      <c r="E914" t="str" cm="1">
        <f t="array" ref="E914">INDEX($E$2:$E$4, MOD(ROW()-1,3)+1)</f>
        <v>Machine 2</v>
      </c>
      <c r="F914">
        <f t="shared" ca="1" si="96"/>
        <v>3</v>
      </c>
      <c r="G914">
        <f t="shared" ca="1" si="97"/>
        <v>0</v>
      </c>
      <c r="H914">
        <f ca="1">RANDBETWEEN(1,J914-2)</f>
        <v>13</v>
      </c>
      <c r="I914">
        <f t="shared" ca="1" si="98"/>
        <v>40</v>
      </c>
      <c r="J914">
        <f t="shared" ca="1" si="99"/>
        <v>15</v>
      </c>
    </row>
    <row r="915" spans="1:10" x14ac:dyDescent="0.25">
      <c r="A915" t="s">
        <v>922</v>
      </c>
      <c r="B915" t="s">
        <v>1</v>
      </c>
      <c r="C915" t="str">
        <f t="shared" si="94"/>
        <v>061792</v>
      </c>
      <c r="D915" t="str">
        <f t="shared" si="95"/>
        <v>TOR</v>
      </c>
      <c r="E915" t="str" cm="1">
        <f t="array" ref="E915">INDEX($E$2:$E$4, MOD(ROW()-1,3)+1)</f>
        <v>Machine 3</v>
      </c>
      <c r="F915">
        <f t="shared" ca="1" si="96"/>
        <v>3</v>
      </c>
      <c r="G915">
        <f t="shared" ca="1" si="97"/>
        <v>1</v>
      </c>
      <c r="H915">
        <f ca="1">RANDBETWEEN(1,J915-2)</f>
        <v>5</v>
      </c>
      <c r="I915">
        <f t="shared" ca="1" si="98"/>
        <v>34</v>
      </c>
      <c r="J915">
        <f t="shared" ca="1" si="99"/>
        <v>8</v>
      </c>
    </row>
    <row r="916" spans="1:10" x14ac:dyDescent="0.25">
      <c r="A916" t="s">
        <v>923</v>
      </c>
      <c r="B916" t="s">
        <v>1</v>
      </c>
      <c r="C916" t="str">
        <f t="shared" si="94"/>
        <v>061795</v>
      </c>
      <c r="D916" t="str">
        <f t="shared" si="95"/>
        <v>TOR</v>
      </c>
      <c r="E916" t="str" cm="1">
        <f t="array" ref="E916">INDEX($E$2:$E$4, MOD(ROW()-1,3)+1)</f>
        <v>Machine 1</v>
      </c>
      <c r="F916">
        <f t="shared" ca="1" si="96"/>
        <v>3</v>
      </c>
      <c r="G916">
        <f t="shared" ca="1" si="97"/>
        <v>0</v>
      </c>
      <c r="H916">
        <f ca="1">RANDBETWEEN(1,J916-2)</f>
        <v>3</v>
      </c>
      <c r="I916">
        <f t="shared" ca="1" si="98"/>
        <v>34</v>
      </c>
      <c r="J916">
        <f t="shared" ca="1" si="99"/>
        <v>10</v>
      </c>
    </row>
    <row r="917" spans="1:10" x14ac:dyDescent="0.25">
      <c r="A917" t="s">
        <v>924</v>
      </c>
      <c r="B917" t="s">
        <v>1</v>
      </c>
      <c r="C917" t="str">
        <f t="shared" si="94"/>
        <v>061797</v>
      </c>
      <c r="D917" t="str">
        <f t="shared" si="95"/>
        <v>TOR</v>
      </c>
      <c r="E917" t="str" cm="1">
        <f t="array" ref="E917">INDEX($E$2:$E$4, MOD(ROW()-1,3)+1)</f>
        <v>Machine 2</v>
      </c>
      <c r="F917">
        <f t="shared" ca="1" si="96"/>
        <v>2</v>
      </c>
      <c r="G917">
        <f t="shared" ca="1" si="97"/>
        <v>0</v>
      </c>
      <c r="H917">
        <f ca="1">RANDBETWEEN(1,J917-2)</f>
        <v>3</v>
      </c>
      <c r="I917">
        <f t="shared" ca="1" si="98"/>
        <v>24</v>
      </c>
      <c r="J917">
        <f t="shared" ca="1" si="99"/>
        <v>13</v>
      </c>
    </row>
    <row r="918" spans="1:10" x14ac:dyDescent="0.25">
      <c r="A918" t="s">
        <v>925</v>
      </c>
      <c r="B918" t="s">
        <v>1</v>
      </c>
      <c r="C918" t="str">
        <f t="shared" si="94"/>
        <v>061799</v>
      </c>
      <c r="D918" t="str">
        <f t="shared" si="95"/>
        <v>TOR</v>
      </c>
      <c r="E918" t="str" cm="1">
        <f t="array" ref="E918">INDEX($E$2:$E$4, MOD(ROW()-1,3)+1)</f>
        <v>Machine 3</v>
      </c>
      <c r="F918">
        <f t="shared" ca="1" si="96"/>
        <v>3</v>
      </c>
      <c r="G918">
        <f t="shared" ca="1" si="97"/>
        <v>1</v>
      </c>
      <c r="H918">
        <f ca="1">RANDBETWEEN(1,J918-2)</f>
        <v>1</v>
      </c>
      <c r="I918">
        <f t="shared" ca="1" si="98"/>
        <v>44</v>
      </c>
      <c r="J918">
        <f t="shared" ca="1" si="99"/>
        <v>8</v>
      </c>
    </row>
    <row r="919" spans="1:10" x14ac:dyDescent="0.25">
      <c r="A919" t="s">
        <v>926</v>
      </c>
      <c r="B919" t="s">
        <v>1</v>
      </c>
      <c r="C919" t="str">
        <f t="shared" si="94"/>
        <v>061802</v>
      </c>
      <c r="D919" t="str">
        <f t="shared" si="95"/>
        <v>TOR</v>
      </c>
      <c r="E919" t="str" cm="1">
        <f t="array" ref="E919">INDEX($E$2:$E$4, MOD(ROW()-1,3)+1)</f>
        <v>Machine 1</v>
      </c>
      <c r="F919">
        <f t="shared" ca="1" si="96"/>
        <v>3</v>
      </c>
      <c r="G919">
        <f t="shared" ca="1" si="97"/>
        <v>1</v>
      </c>
      <c r="H919">
        <f ca="1">RANDBETWEEN(1,J919-2)</f>
        <v>7</v>
      </c>
      <c r="I919">
        <f t="shared" ca="1" si="98"/>
        <v>46</v>
      </c>
      <c r="J919">
        <f t="shared" ca="1" si="99"/>
        <v>12</v>
      </c>
    </row>
    <row r="920" spans="1:10" x14ac:dyDescent="0.25">
      <c r="A920" t="s">
        <v>927</v>
      </c>
      <c r="B920" t="s">
        <v>1</v>
      </c>
      <c r="C920" t="str">
        <f t="shared" si="94"/>
        <v>061805</v>
      </c>
      <c r="D920" t="str">
        <f t="shared" si="95"/>
        <v>TOR</v>
      </c>
      <c r="E920" t="str" cm="1">
        <f t="array" ref="E920">INDEX($E$2:$E$4, MOD(ROW()-1,3)+1)</f>
        <v>Machine 2</v>
      </c>
      <c r="F920">
        <f t="shared" ca="1" si="96"/>
        <v>3</v>
      </c>
      <c r="G920">
        <f t="shared" ca="1" si="97"/>
        <v>1</v>
      </c>
      <c r="H920">
        <f ca="1">RANDBETWEEN(1,J920-2)</f>
        <v>3</v>
      </c>
      <c r="I920">
        <f t="shared" ca="1" si="98"/>
        <v>30</v>
      </c>
      <c r="J920">
        <f t="shared" ca="1" si="99"/>
        <v>9</v>
      </c>
    </row>
    <row r="921" spans="1:10" x14ac:dyDescent="0.25">
      <c r="A921" t="s">
        <v>928</v>
      </c>
      <c r="B921" t="s">
        <v>1</v>
      </c>
      <c r="C921" t="str">
        <f t="shared" si="94"/>
        <v>061808</v>
      </c>
      <c r="D921" t="str">
        <f t="shared" si="95"/>
        <v>TOR</v>
      </c>
      <c r="E921" t="str" cm="1">
        <f t="array" ref="E921">INDEX($E$2:$E$4, MOD(ROW()-1,3)+1)</f>
        <v>Machine 3</v>
      </c>
      <c r="F921">
        <f t="shared" ca="1" si="96"/>
        <v>3</v>
      </c>
      <c r="G921">
        <f t="shared" ca="1" si="97"/>
        <v>0</v>
      </c>
      <c r="H921">
        <f ca="1">RANDBETWEEN(1,J921-2)</f>
        <v>1</v>
      </c>
      <c r="I921">
        <f t="shared" ca="1" si="98"/>
        <v>36</v>
      </c>
      <c r="J921">
        <f t="shared" ca="1" si="99"/>
        <v>7</v>
      </c>
    </row>
    <row r="922" spans="1:10" x14ac:dyDescent="0.25">
      <c r="A922" t="s">
        <v>929</v>
      </c>
      <c r="B922" t="s">
        <v>1</v>
      </c>
      <c r="C922" t="str">
        <f t="shared" si="94"/>
        <v>061810</v>
      </c>
      <c r="D922" t="str">
        <f t="shared" si="95"/>
        <v>TOR</v>
      </c>
      <c r="E922" t="str" cm="1">
        <f t="array" ref="E922">INDEX($E$2:$E$4, MOD(ROW()-1,3)+1)</f>
        <v>Machine 1</v>
      </c>
      <c r="F922">
        <f t="shared" ca="1" si="96"/>
        <v>3</v>
      </c>
      <c r="G922">
        <f t="shared" ca="1" si="97"/>
        <v>0</v>
      </c>
      <c r="H922">
        <f ca="1">RANDBETWEEN(1,J922-2)</f>
        <v>2</v>
      </c>
      <c r="I922">
        <f t="shared" ca="1" si="98"/>
        <v>43</v>
      </c>
      <c r="J922">
        <f t="shared" ca="1" si="99"/>
        <v>12</v>
      </c>
    </row>
    <row r="923" spans="1:10" x14ac:dyDescent="0.25">
      <c r="A923" t="s">
        <v>930</v>
      </c>
      <c r="B923" t="s">
        <v>1</v>
      </c>
      <c r="C923" t="str">
        <f t="shared" si="94"/>
        <v>061812</v>
      </c>
      <c r="D923" t="str">
        <f t="shared" si="95"/>
        <v>TOR</v>
      </c>
      <c r="E923" t="str" cm="1">
        <f t="array" ref="E923">INDEX($E$2:$E$4, MOD(ROW()-1,3)+1)</f>
        <v>Machine 2</v>
      </c>
      <c r="F923">
        <f t="shared" ca="1" si="96"/>
        <v>2</v>
      </c>
      <c r="G923">
        <f t="shared" ca="1" si="97"/>
        <v>1</v>
      </c>
      <c r="H923">
        <f ca="1">RANDBETWEEN(1,J923-2)</f>
        <v>3</v>
      </c>
      <c r="I923">
        <f t="shared" ca="1" si="98"/>
        <v>44</v>
      </c>
      <c r="J923">
        <f t="shared" ca="1" si="99"/>
        <v>13</v>
      </c>
    </row>
    <row r="924" spans="1:10" x14ac:dyDescent="0.25">
      <c r="A924" t="s">
        <v>931</v>
      </c>
      <c r="B924" t="s">
        <v>1</v>
      </c>
      <c r="C924" t="str">
        <f t="shared" si="94"/>
        <v>061815</v>
      </c>
      <c r="D924" t="str">
        <f t="shared" si="95"/>
        <v>TOR</v>
      </c>
      <c r="E924" t="str" cm="1">
        <f t="array" ref="E924">INDEX($E$2:$E$4, MOD(ROW()-1,3)+1)</f>
        <v>Machine 3</v>
      </c>
      <c r="F924">
        <f t="shared" ca="1" si="96"/>
        <v>3</v>
      </c>
      <c r="G924">
        <f t="shared" ca="1" si="97"/>
        <v>1</v>
      </c>
      <c r="H924">
        <f ca="1">RANDBETWEEN(1,J924-2)</f>
        <v>4</v>
      </c>
      <c r="I924">
        <f t="shared" ca="1" si="98"/>
        <v>28</v>
      </c>
      <c r="J924">
        <f t="shared" ca="1" si="99"/>
        <v>13</v>
      </c>
    </row>
    <row r="925" spans="1:10" x14ac:dyDescent="0.25">
      <c r="A925" t="s">
        <v>932</v>
      </c>
      <c r="B925" t="s">
        <v>1</v>
      </c>
      <c r="C925" t="str">
        <f t="shared" si="94"/>
        <v>061817</v>
      </c>
      <c r="D925" t="str">
        <f t="shared" si="95"/>
        <v>TOR</v>
      </c>
      <c r="E925" t="str" cm="1">
        <f t="array" ref="E925">INDEX($E$2:$E$4, MOD(ROW()-1,3)+1)</f>
        <v>Machine 1</v>
      </c>
      <c r="F925">
        <f t="shared" ca="1" si="96"/>
        <v>2</v>
      </c>
      <c r="G925">
        <f t="shared" ca="1" si="97"/>
        <v>1</v>
      </c>
      <c r="H925">
        <f ca="1">RANDBETWEEN(1,J925-2)</f>
        <v>4</v>
      </c>
      <c r="I925">
        <f t="shared" ca="1" si="98"/>
        <v>37</v>
      </c>
      <c r="J925">
        <f t="shared" ca="1" si="99"/>
        <v>7</v>
      </c>
    </row>
    <row r="926" spans="1:10" x14ac:dyDescent="0.25">
      <c r="A926" t="s">
        <v>933</v>
      </c>
      <c r="B926" t="s">
        <v>1</v>
      </c>
      <c r="C926" t="str">
        <f t="shared" si="94"/>
        <v>061819</v>
      </c>
      <c r="D926" t="str">
        <f t="shared" si="95"/>
        <v>TOR</v>
      </c>
      <c r="E926" t="str" cm="1">
        <f t="array" ref="E926">INDEX($E$2:$E$4, MOD(ROW()-1,3)+1)</f>
        <v>Machine 2</v>
      </c>
      <c r="F926">
        <f t="shared" ca="1" si="96"/>
        <v>3</v>
      </c>
      <c r="G926">
        <f t="shared" ca="1" si="97"/>
        <v>1</v>
      </c>
      <c r="H926">
        <f ca="1">RANDBETWEEN(1,J926-2)</f>
        <v>1</v>
      </c>
      <c r="I926">
        <f t="shared" ca="1" si="98"/>
        <v>47</v>
      </c>
      <c r="J926">
        <f t="shared" ca="1" si="99"/>
        <v>12</v>
      </c>
    </row>
    <row r="927" spans="1:10" x14ac:dyDescent="0.25">
      <c r="A927" t="s">
        <v>934</v>
      </c>
      <c r="B927" t="s">
        <v>1</v>
      </c>
      <c r="C927" t="str">
        <f t="shared" si="94"/>
        <v>061822</v>
      </c>
      <c r="D927" t="str">
        <f t="shared" si="95"/>
        <v>TOR</v>
      </c>
      <c r="E927" t="str" cm="1">
        <f t="array" ref="E927">INDEX($E$2:$E$4, MOD(ROW()-1,3)+1)</f>
        <v>Machine 3</v>
      </c>
      <c r="F927">
        <f t="shared" ca="1" si="96"/>
        <v>2</v>
      </c>
      <c r="G927">
        <f t="shared" ca="1" si="97"/>
        <v>1</v>
      </c>
      <c r="H927">
        <f ca="1">RANDBETWEEN(1,J927-2)</f>
        <v>5</v>
      </c>
      <c r="I927">
        <f t="shared" ca="1" si="98"/>
        <v>46</v>
      </c>
      <c r="J927">
        <f t="shared" ca="1" si="99"/>
        <v>12</v>
      </c>
    </row>
    <row r="928" spans="1:10" x14ac:dyDescent="0.25">
      <c r="A928" t="s">
        <v>935</v>
      </c>
      <c r="B928" t="s">
        <v>1</v>
      </c>
      <c r="C928" t="str">
        <f t="shared" si="94"/>
        <v>061825</v>
      </c>
      <c r="D928" t="str">
        <f t="shared" si="95"/>
        <v>TOR</v>
      </c>
      <c r="E928" t="str" cm="1">
        <f t="array" ref="E928">INDEX($E$2:$E$4, MOD(ROW()-1,3)+1)</f>
        <v>Machine 1</v>
      </c>
      <c r="F928">
        <f t="shared" ca="1" si="96"/>
        <v>3</v>
      </c>
      <c r="G928">
        <f t="shared" ca="1" si="97"/>
        <v>0</v>
      </c>
      <c r="H928">
        <f ca="1">RANDBETWEEN(1,J928-2)</f>
        <v>4</v>
      </c>
      <c r="I928">
        <f t="shared" ca="1" si="98"/>
        <v>38</v>
      </c>
      <c r="J928">
        <f t="shared" ca="1" si="99"/>
        <v>9</v>
      </c>
    </row>
    <row r="929" spans="1:10" x14ac:dyDescent="0.25">
      <c r="A929" t="s">
        <v>936</v>
      </c>
      <c r="B929" t="s">
        <v>1</v>
      </c>
      <c r="C929" t="str">
        <f t="shared" si="94"/>
        <v>061828</v>
      </c>
      <c r="D929" t="str">
        <f t="shared" si="95"/>
        <v>TOR</v>
      </c>
      <c r="E929" t="str" cm="1">
        <f t="array" ref="E929">INDEX($E$2:$E$4, MOD(ROW()-1,3)+1)</f>
        <v>Machine 2</v>
      </c>
      <c r="F929">
        <f t="shared" ca="1" si="96"/>
        <v>3</v>
      </c>
      <c r="G929">
        <f t="shared" ca="1" si="97"/>
        <v>0</v>
      </c>
      <c r="H929">
        <f ca="1">RANDBETWEEN(1,J929-2)</f>
        <v>5</v>
      </c>
      <c r="I929">
        <f t="shared" ca="1" si="98"/>
        <v>39</v>
      </c>
      <c r="J929">
        <f t="shared" ca="1" si="99"/>
        <v>10</v>
      </c>
    </row>
    <row r="930" spans="1:10" x14ac:dyDescent="0.25">
      <c r="A930" t="s">
        <v>937</v>
      </c>
      <c r="B930" t="s">
        <v>1</v>
      </c>
      <c r="C930" t="str">
        <f t="shared" si="94"/>
        <v>061833</v>
      </c>
      <c r="D930" t="str">
        <f t="shared" si="95"/>
        <v>TOR</v>
      </c>
      <c r="E930" t="str" cm="1">
        <f t="array" ref="E930">INDEX($E$2:$E$4, MOD(ROW()-1,3)+1)</f>
        <v>Machine 3</v>
      </c>
      <c r="F930">
        <f t="shared" ca="1" si="96"/>
        <v>3</v>
      </c>
      <c r="G930">
        <f t="shared" ca="1" si="97"/>
        <v>0</v>
      </c>
      <c r="H930">
        <f ca="1">RANDBETWEEN(1,J930-2)</f>
        <v>4</v>
      </c>
      <c r="I930">
        <f t="shared" ca="1" si="98"/>
        <v>42</v>
      </c>
      <c r="J930">
        <f t="shared" ca="1" si="99"/>
        <v>8</v>
      </c>
    </row>
    <row r="931" spans="1:10" x14ac:dyDescent="0.25">
      <c r="A931" t="s">
        <v>938</v>
      </c>
      <c r="B931" t="s">
        <v>1</v>
      </c>
      <c r="C931" t="str">
        <f t="shared" si="94"/>
        <v>061836</v>
      </c>
      <c r="D931" t="str">
        <f t="shared" si="95"/>
        <v>TOR</v>
      </c>
      <c r="E931" t="str" cm="1">
        <f t="array" ref="E931">INDEX($E$2:$E$4, MOD(ROW()-1,3)+1)</f>
        <v>Machine 1</v>
      </c>
      <c r="F931">
        <f t="shared" ca="1" si="96"/>
        <v>3</v>
      </c>
      <c r="G931">
        <f t="shared" ca="1" si="97"/>
        <v>0</v>
      </c>
      <c r="H931">
        <f ca="1">RANDBETWEEN(1,J931-2)</f>
        <v>4</v>
      </c>
      <c r="I931">
        <f t="shared" ca="1" si="98"/>
        <v>38</v>
      </c>
      <c r="J931">
        <f t="shared" ca="1" si="99"/>
        <v>12</v>
      </c>
    </row>
    <row r="932" spans="1:10" x14ac:dyDescent="0.25">
      <c r="A932" t="s">
        <v>939</v>
      </c>
      <c r="B932" t="s">
        <v>1</v>
      </c>
      <c r="C932" t="str">
        <f t="shared" si="94"/>
        <v>061838</v>
      </c>
      <c r="D932" t="str">
        <f t="shared" si="95"/>
        <v>TOR</v>
      </c>
      <c r="E932" t="str" cm="1">
        <f t="array" ref="E932">INDEX($E$2:$E$4, MOD(ROW()-1,3)+1)</f>
        <v>Machine 2</v>
      </c>
      <c r="F932">
        <f t="shared" ca="1" si="96"/>
        <v>2</v>
      </c>
      <c r="G932">
        <f t="shared" ca="1" si="97"/>
        <v>0</v>
      </c>
      <c r="H932">
        <f ca="1">RANDBETWEEN(1,J932-2)</f>
        <v>3</v>
      </c>
      <c r="I932">
        <f t="shared" ca="1" si="98"/>
        <v>39</v>
      </c>
      <c r="J932">
        <f t="shared" ca="1" si="99"/>
        <v>5</v>
      </c>
    </row>
    <row r="933" spans="1:10" x14ac:dyDescent="0.25">
      <c r="A933" t="s">
        <v>940</v>
      </c>
      <c r="B933" t="s">
        <v>1</v>
      </c>
      <c r="C933" t="str">
        <f t="shared" si="94"/>
        <v>061840</v>
      </c>
      <c r="D933" t="str">
        <f t="shared" si="95"/>
        <v>TOR</v>
      </c>
      <c r="E933" t="str" cm="1">
        <f t="array" ref="E933">INDEX($E$2:$E$4, MOD(ROW()-1,3)+1)</f>
        <v>Machine 3</v>
      </c>
      <c r="F933">
        <f t="shared" ca="1" si="96"/>
        <v>2</v>
      </c>
      <c r="G933">
        <f t="shared" ca="1" si="97"/>
        <v>1</v>
      </c>
      <c r="H933">
        <f ca="1">RANDBETWEEN(1,J933-2)</f>
        <v>1</v>
      </c>
      <c r="I933">
        <f t="shared" ca="1" si="98"/>
        <v>41</v>
      </c>
      <c r="J933">
        <f t="shared" ca="1" si="99"/>
        <v>5</v>
      </c>
    </row>
    <row r="934" spans="1:10" x14ac:dyDescent="0.25">
      <c r="A934" t="s">
        <v>941</v>
      </c>
      <c r="B934" t="s">
        <v>1</v>
      </c>
      <c r="C934" t="str">
        <f t="shared" si="94"/>
        <v>061842</v>
      </c>
      <c r="D934" t="str">
        <f t="shared" si="95"/>
        <v>TOR</v>
      </c>
      <c r="E934" t="str" cm="1">
        <f t="array" ref="E934">INDEX($E$2:$E$4, MOD(ROW()-1,3)+1)</f>
        <v>Machine 1</v>
      </c>
      <c r="F934">
        <f t="shared" ca="1" si="96"/>
        <v>2</v>
      </c>
      <c r="G934">
        <f t="shared" ca="1" si="97"/>
        <v>1</v>
      </c>
      <c r="H934">
        <f ca="1">RANDBETWEEN(1,J934-2)</f>
        <v>3</v>
      </c>
      <c r="I934">
        <f t="shared" ca="1" si="98"/>
        <v>29</v>
      </c>
      <c r="J934">
        <f t="shared" ca="1" si="99"/>
        <v>7</v>
      </c>
    </row>
    <row r="935" spans="1:10" x14ac:dyDescent="0.25">
      <c r="A935" t="s">
        <v>942</v>
      </c>
      <c r="B935" t="s">
        <v>1</v>
      </c>
      <c r="C935" t="str">
        <f t="shared" si="94"/>
        <v>061844</v>
      </c>
      <c r="D935" t="str">
        <f t="shared" si="95"/>
        <v>TOR</v>
      </c>
      <c r="E935" t="str" cm="1">
        <f t="array" ref="E935">INDEX($E$2:$E$4, MOD(ROW()-1,3)+1)</f>
        <v>Machine 2</v>
      </c>
      <c r="F935">
        <f t="shared" ca="1" si="96"/>
        <v>3</v>
      </c>
      <c r="G935">
        <f t="shared" ca="1" si="97"/>
        <v>1</v>
      </c>
      <c r="H935">
        <f ca="1">RANDBETWEEN(1,J935-2)</f>
        <v>6</v>
      </c>
      <c r="I935">
        <f t="shared" ca="1" si="98"/>
        <v>44</v>
      </c>
      <c r="J935">
        <f t="shared" ca="1" si="99"/>
        <v>8</v>
      </c>
    </row>
    <row r="936" spans="1:10" x14ac:dyDescent="0.25">
      <c r="A936" t="s">
        <v>943</v>
      </c>
      <c r="B936" t="s">
        <v>1</v>
      </c>
      <c r="C936" t="str">
        <f t="shared" si="94"/>
        <v>061848</v>
      </c>
      <c r="D936" t="str">
        <f t="shared" si="95"/>
        <v>TOR</v>
      </c>
      <c r="E936" t="str" cm="1">
        <f t="array" ref="E936">INDEX($E$2:$E$4, MOD(ROW()-1,3)+1)</f>
        <v>Machine 3</v>
      </c>
      <c r="F936">
        <f t="shared" ca="1" si="96"/>
        <v>3</v>
      </c>
      <c r="G936">
        <f t="shared" ca="1" si="97"/>
        <v>0</v>
      </c>
      <c r="H936">
        <f ca="1">RANDBETWEEN(1,J936-2)</f>
        <v>5</v>
      </c>
      <c r="I936">
        <f t="shared" ca="1" si="98"/>
        <v>39</v>
      </c>
      <c r="J936">
        <f t="shared" ca="1" si="99"/>
        <v>11</v>
      </c>
    </row>
    <row r="937" spans="1:10" x14ac:dyDescent="0.25">
      <c r="A937" t="s">
        <v>944</v>
      </c>
      <c r="B937" t="s">
        <v>1</v>
      </c>
      <c r="C937" t="str">
        <f t="shared" si="94"/>
        <v>061850</v>
      </c>
      <c r="D937" t="str">
        <f t="shared" si="95"/>
        <v>TOR</v>
      </c>
      <c r="E937" t="str" cm="1">
        <f t="array" ref="E937">INDEX($E$2:$E$4, MOD(ROW()-1,3)+1)</f>
        <v>Machine 1</v>
      </c>
      <c r="F937">
        <f t="shared" ca="1" si="96"/>
        <v>2</v>
      </c>
      <c r="G937">
        <f t="shared" ca="1" si="97"/>
        <v>0</v>
      </c>
      <c r="H937">
        <f ca="1">RANDBETWEEN(1,J937-2)</f>
        <v>1</v>
      </c>
      <c r="I937">
        <f t="shared" ca="1" si="98"/>
        <v>46</v>
      </c>
      <c r="J937">
        <f t="shared" ca="1" si="99"/>
        <v>8</v>
      </c>
    </row>
    <row r="938" spans="1:10" x14ac:dyDescent="0.25">
      <c r="A938" t="s">
        <v>945</v>
      </c>
      <c r="B938" t="s">
        <v>1</v>
      </c>
      <c r="C938" t="str">
        <f t="shared" si="94"/>
        <v>061852</v>
      </c>
      <c r="D938" t="str">
        <f t="shared" si="95"/>
        <v>TOR</v>
      </c>
      <c r="E938" t="str" cm="1">
        <f t="array" ref="E938">INDEX($E$2:$E$4, MOD(ROW()-1,3)+1)</f>
        <v>Machine 2</v>
      </c>
      <c r="F938">
        <f t="shared" ca="1" si="96"/>
        <v>3</v>
      </c>
      <c r="G938">
        <f t="shared" ca="1" si="97"/>
        <v>0</v>
      </c>
      <c r="H938">
        <f ca="1">RANDBETWEEN(1,J938-2)</f>
        <v>2</v>
      </c>
      <c r="I938">
        <f t="shared" ca="1" si="98"/>
        <v>44</v>
      </c>
      <c r="J938">
        <f t="shared" ca="1" si="99"/>
        <v>6</v>
      </c>
    </row>
    <row r="939" spans="1:10" x14ac:dyDescent="0.25">
      <c r="A939" t="s">
        <v>946</v>
      </c>
      <c r="B939" t="s">
        <v>1</v>
      </c>
      <c r="C939" t="str">
        <f t="shared" si="94"/>
        <v>061856</v>
      </c>
      <c r="D939" t="str">
        <f t="shared" si="95"/>
        <v>TOR</v>
      </c>
      <c r="E939" t="str" cm="1">
        <f t="array" ref="E939">INDEX($E$2:$E$4, MOD(ROW()-1,3)+1)</f>
        <v>Machine 3</v>
      </c>
      <c r="F939">
        <f t="shared" ca="1" si="96"/>
        <v>2</v>
      </c>
      <c r="G939">
        <f t="shared" ca="1" si="97"/>
        <v>0</v>
      </c>
      <c r="H939">
        <f ca="1">RANDBETWEEN(1,J939-2)</f>
        <v>2</v>
      </c>
      <c r="I939">
        <f t="shared" ca="1" si="98"/>
        <v>30</v>
      </c>
      <c r="J939">
        <f t="shared" ca="1" si="99"/>
        <v>11</v>
      </c>
    </row>
    <row r="940" spans="1:10" x14ac:dyDescent="0.25">
      <c r="A940" t="s">
        <v>947</v>
      </c>
      <c r="B940" t="s">
        <v>1</v>
      </c>
      <c r="C940" t="str">
        <f t="shared" si="94"/>
        <v>061858</v>
      </c>
      <c r="D940" t="str">
        <f t="shared" si="95"/>
        <v>TOR</v>
      </c>
      <c r="E940" t="str" cm="1">
        <f t="array" ref="E940">INDEX($E$2:$E$4, MOD(ROW()-1,3)+1)</f>
        <v>Machine 1</v>
      </c>
      <c r="F940">
        <f t="shared" ca="1" si="96"/>
        <v>2</v>
      </c>
      <c r="G940">
        <f t="shared" ca="1" si="97"/>
        <v>0</v>
      </c>
      <c r="H940">
        <f ca="1">RANDBETWEEN(1,J940-2)</f>
        <v>10</v>
      </c>
      <c r="I940">
        <f t="shared" ca="1" si="98"/>
        <v>42</v>
      </c>
      <c r="J940">
        <f t="shared" ca="1" si="99"/>
        <v>13</v>
      </c>
    </row>
    <row r="941" spans="1:10" x14ac:dyDescent="0.25">
      <c r="A941" t="s">
        <v>948</v>
      </c>
      <c r="B941" t="s">
        <v>1</v>
      </c>
      <c r="C941" t="str">
        <f t="shared" si="94"/>
        <v>061860</v>
      </c>
      <c r="D941" t="str">
        <f t="shared" si="95"/>
        <v>TOR</v>
      </c>
      <c r="E941" t="str" cm="1">
        <f t="array" ref="E941">INDEX($E$2:$E$4, MOD(ROW()-1,3)+1)</f>
        <v>Machine 2</v>
      </c>
      <c r="F941">
        <f t="shared" ca="1" si="96"/>
        <v>2</v>
      </c>
      <c r="G941">
        <f t="shared" ca="1" si="97"/>
        <v>0</v>
      </c>
      <c r="H941">
        <f ca="1">RANDBETWEEN(1,J941-2)</f>
        <v>3</v>
      </c>
      <c r="I941">
        <f t="shared" ca="1" si="98"/>
        <v>38</v>
      </c>
      <c r="J941">
        <f t="shared" ca="1" si="99"/>
        <v>6</v>
      </c>
    </row>
    <row r="942" spans="1:10" x14ac:dyDescent="0.25">
      <c r="A942" t="s">
        <v>949</v>
      </c>
      <c r="B942" t="s">
        <v>1</v>
      </c>
      <c r="C942" t="str">
        <f t="shared" si="94"/>
        <v>061862</v>
      </c>
      <c r="D942" t="str">
        <f t="shared" si="95"/>
        <v>TOR</v>
      </c>
      <c r="E942" t="str" cm="1">
        <f t="array" ref="E942">INDEX($E$2:$E$4, MOD(ROW()-1,3)+1)</f>
        <v>Machine 3</v>
      </c>
      <c r="F942">
        <f t="shared" ca="1" si="96"/>
        <v>3</v>
      </c>
      <c r="G942">
        <f t="shared" ca="1" si="97"/>
        <v>0</v>
      </c>
      <c r="H942">
        <f ca="1">RANDBETWEEN(1,J942-2)</f>
        <v>2</v>
      </c>
      <c r="I942">
        <f t="shared" ca="1" si="98"/>
        <v>32</v>
      </c>
      <c r="J942">
        <f t="shared" ca="1" si="99"/>
        <v>5</v>
      </c>
    </row>
    <row r="943" spans="1:10" x14ac:dyDescent="0.25">
      <c r="A943" t="s">
        <v>950</v>
      </c>
      <c r="B943" t="s">
        <v>1</v>
      </c>
      <c r="C943" t="str">
        <f t="shared" si="94"/>
        <v>061864</v>
      </c>
      <c r="D943" t="str">
        <f t="shared" si="95"/>
        <v>TOR</v>
      </c>
      <c r="E943" t="str" cm="1">
        <f t="array" ref="E943">INDEX($E$2:$E$4, MOD(ROW()-1,3)+1)</f>
        <v>Machine 1</v>
      </c>
      <c r="F943">
        <f t="shared" ca="1" si="96"/>
        <v>3</v>
      </c>
      <c r="G943">
        <f t="shared" ca="1" si="97"/>
        <v>1</v>
      </c>
      <c r="H943">
        <f ca="1">RANDBETWEEN(1,J943-2)</f>
        <v>5</v>
      </c>
      <c r="I943">
        <f t="shared" ca="1" si="98"/>
        <v>24</v>
      </c>
      <c r="J943">
        <f t="shared" ca="1" si="99"/>
        <v>8</v>
      </c>
    </row>
    <row r="944" spans="1:10" x14ac:dyDescent="0.25">
      <c r="A944" t="s">
        <v>951</v>
      </c>
      <c r="B944" t="s">
        <v>1</v>
      </c>
      <c r="C944" t="str">
        <f t="shared" si="94"/>
        <v>061866</v>
      </c>
      <c r="D944" t="str">
        <f t="shared" si="95"/>
        <v>TOR</v>
      </c>
      <c r="E944" t="str" cm="1">
        <f t="array" ref="E944">INDEX($E$2:$E$4, MOD(ROW()-1,3)+1)</f>
        <v>Machine 2</v>
      </c>
      <c r="F944">
        <f t="shared" ca="1" si="96"/>
        <v>3</v>
      </c>
      <c r="G944">
        <f t="shared" ca="1" si="97"/>
        <v>0</v>
      </c>
      <c r="H944">
        <f ca="1">RANDBETWEEN(1,J944-2)</f>
        <v>7</v>
      </c>
      <c r="I944">
        <f t="shared" ca="1" si="98"/>
        <v>28</v>
      </c>
      <c r="J944">
        <f t="shared" ca="1" si="99"/>
        <v>9</v>
      </c>
    </row>
    <row r="945" spans="1:10" x14ac:dyDescent="0.25">
      <c r="A945" t="s">
        <v>952</v>
      </c>
      <c r="B945" t="s">
        <v>1</v>
      </c>
      <c r="C945" t="str">
        <f t="shared" si="94"/>
        <v>061868</v>
      </c>
      <c r="D945" t="str">
        <f t="shared" si="95"/>
        <v>TOR</v>
      </c>
      <c r="E945" t="str" cm="1">
        <f t="array" ref="E945">INDEX($E$2:$E$4, MOD(ROW()-1,3)+1)</f>
        <v>Machine 3</v>
      </c>
      <c r="F945">
        <f t="shared" ca="1" si="96"/>
        <v>3</v>
      </c>
      <c r="G945">
        <f t="shared" ca="1" si="97"/>
        <v>0</v>
      </c>
      <c r="H945">
        <f ca="1">RANDBETWEEN(1,J945-2)</f>
        <v>8</v>
      </c>
      <c r="I945">
        <f t="shared" ca="1" si="98"/>
        <v>31</v>
      </c>
      <c r="J945">
        <f t="shared" ca="1" si="99"/>
        <v>15</v>
      </c>
    </row>
    <row r="946" spans="1:10" x14ac:dyDescent="0.25">
      <c r="A946" t="s">
        <v>953</v>
      </c>
      <c r="B946" t="s">
        <v>1</v>
      </c>
      <c r="C946" t="str">
        <f t="shared" si="94"/>
        <v>061870</v>
      </c>
      <c r="D946" t="str">
        <f t="shared" si="95"/>
        <v>TOR</v>
      </c>
      <c r="E946" t="str" cm="1">
        <f t="array" ref="E946">INDEX($E$2:$E$4, MOD(ROW()-1,3)+1)</f>
        <v>Machine 1</v>
      </c>
      <c r="F946">
        <f t="shared" ca="1" si="96"/>
        <v>3</v>
      </c>
      <c r="G946">
        <f t="shared" ca="1" si="97"/>
        <v>1</v>
      </c>
      <c r="H946">
        <f ca="1">RANDBETWEEN(1,J946-2)</f>
        <v>3</v>
      </c>
      <c r="I946">
        <f t="shared" ca="1" si="98"/>
        <v>38</v>
      </c>
      <c r="J946">
        <f t="shared" ca="1" si="99"/>
        <v>11</v>
      </c>
    </row>
    <row r="947" spans="1:10" x14ac:dyDescent="0.25">
      <c r="A947" t="s">
        <v>954</v>
      </c>
      <c r="B947" t="s">
        <v>1</v>
      </c>
      <c r="C947" t="str">
        <f t="shared" si="94"/>
        <v>061873</v>
      </c>
      <c r="D947" t="str">
        <f t="shared" si="95"/>
        <v>TOR</v>
      </c>
      <c r="E947" t="str" cm="1">
        <f t="array" ref="E947">INDEX($E$2:$E$4, MOD(ROW()-1,3)+1)</f>
        <v>Machine 2</v>
      </c>
      <c r="F947">
        <f t="shared" ca="1" si="96"/>
        <v>3</v>
      </c>
      <c r="G947">
        <f t="shared" ca="1" si="97"/>
        <v>1</v>
      </c>
      <c r="H947">
        <f ca="1">RANDBETWEEN(1,J947-2)</f>
        <v>4</v>
      </c>
      <c r="I947">
        <f t="shared" ca="1" si="98"/>
        <v>33</v>
      </c>
      <c r="J947">
        <f t="shared" ca="1" si="99"/>
        <v>13</v>
      </c>
    </row>
    <row r="948" spans="1:10" x14ac:dyDescent="0.25">
      <c r="A948" t="s">
        <v>955</v>
      </c>
      <c r="B948" t="s">
        <v>1</v>
      </c>
      <c r="C948" t="str">
        <f t="shared" si="94"/>
        <v>061875</v>
      </c>
      <c r="D948" t="str">
        <f t="shared" si="95"/>
        <v>TOR</v>
      </c>
      <c r="E948" t="str" cm="1">
        <f t="array" ref="E948">INDEX($E$2:$E$4, MOD(ROW()-1,3)+1)</f>
        <v>Machine 3</v>
      </c>
      <c r="F948">
        <f t="shared" ca="1" si="96"/>
        <v>3</v>
      </c>
      <c r="G948">
        <f t="shared" ca="1" si="97"/>
        <v>1</v>
      </c>
      <c r="H948">
        <f ca="1">RANDBETWEEN(1,J948-2)</f>
        <v>1</v>
      </c>
      <c r="I948">
        <f t="shared" ca="1" si="98"/>
        <v>34</v>
      </c>
      <c r="J948">
        <f t="shared" ca="1" si="99"/>
        <v>7</v>
      </c>
    </row>
    <row r="949" spans="1:10" x14ac:dyDescent="0.25">
      <c r="A949" t="s">
        <v>956</v>
      </c>
      <c r="B949" t="s">
        <v>1</v>
      </c>
      <c r="C949" t="str">
        <f t="shared" si="94"/>
        <v>061877</v>
      </c>
      <c r="D949" t="str">
        <f t="shared" si="95"/>
        <v>TOR</v>
      </c>
      <c r="E949" t="str" cm="1">
        <f t="array" ref="E949">INDEX($E$2:$E$4, MOD(ROW()-1,3)+1)</f>
        <v>Machine 1</v>
      </c>
      <c r="F949">
        <f t="shared" ca="1" si="96"/>
        <v>2</v>
      </c>
      <c r="G949">
        <f t="shared" ca="1" si="97"/>
        <v>0</v>
      </c>
      <c r="H949">
        <f ca="1">RANDBETWEEN(1,J949-2)</f>
        <v>5</v>
      </c>
      <c r="I949">
        <f t="shared" ca="1" si="98"/>
        <v>40</v>
      </c>
      <c r="J949">
        <f t="shared" ca="1" si="99"/>
        <v>8</v>
      </c>
    </row>
    <row r="950" spans="1:10" x14ac:dyDescent="0.25">
      <c r="A950" t="s">
        <v>957</v>
      </c>
      <c r="B950" t="s">
        <v>1</v>
      </c>
      <c r="C950" t="str">
        <f t="shared" si="94"/>
        <v>061893</v>
      </c>
      <c r="D950" t="str">
        <f t="shared" si="95"/>
        <v>TOR</v>
      </c>
      <c r="E950" t="str" cm="1">
        <f t="array" ref="E950">INDEX($E$2:$E$4, MOD(ROW()-1,3)+1)</f>
        <v>Machine 2</v>
      </c>
      <c r="F950">
        <f t="shared" ca="1" si="96"/>
        <v>2</v>
      </c>
      <c r="G950">
        <f t="shared" ca="1" si="97"/>
        <v>0</v>
      </c>
      <c r="H950">
        <f ca="1">RANDBETWEEN(1,J950-2)</f>
        <v>3</v>
      </c>
      <c r="I950">
        <f t="shared" ca="1" si="98"/>
        <v>25</v>
      </c>
      <c r="J950">
        <f t="shared" ca="1" si="99"/>
        <v>15</v>
      </c>
    </row>
    <row r="951" spans="1:10" x14ac:dyDescent="0.25">
      <c r="A951" t="s">
        <v>958</v>
      </c>
      <c r="B951" t="s">
        <v>1</v>
      </c>
      <c r="C951" t="str">
        <f t="shared" si="94"/>
        <v>061896</v>
      </c>
      <c r="D951" t="str">
        <f t="shared" si="95"/>
        <v>TOR</v>
      </c>
      <c r="E951" t="str" cm="1">
        <f t="array" ref="E951">INDEX($E$2:$E$4, MOD(ROW()-1,3)+1)</f>
        <v>Machine 3</v>
      </c>
      <c r="F951">
        <f t="shared" ca="1" si="96"/>
        <v>2</v>
      </c>
      <c r="G951">
        <f t="shared" ca="1" si="97"/>
        <v>1</v>
      </c>
      <c r="H951">
        <f ca="1">RANDBETWEEN(1,J951-2)</f>
        <v>1</v>
      </c>
      <c r="I951">
        <f t="shared" ca="1" si="98"/>
        <v>42</v>
      </c>
      <c r="J951">
        <f t="shared" ca="1" si="99"/>
        <v>5</v>
      </c>
    </row>
    <row r="952" spans="1:10" x14ac:dyDescent="0.25">
      <c r="A952" t="s">
        <v>959</v>
      </c>
      <c r="B952" t="s">
        <v>1</v>
      </c>
      <c r="C952" t="str">
        <f t="shared" si="94"/>
        <v>061898</v>
      </c>
      <c r="D952" t="str">
        <f t="shared" si="95"/>
        <v>TOR</v>
      </c>
      <c r="E952" t="str" cm="1">
        <f t="array" ref="E952">INDEX($E$2:$E$4, MOD(ROW()-1,3)+1)</f>
        <v>Machine 1</v>
      </c>
      <c r="F952">
        <f t="shared" ca="1" si="96"/>
        <v>2</v>
      </c>
      <c r="G952">
        <f t="shared" ca="1" si="97"/>
        <v>0</v>
      </c>
      <c r="H952">
        <f ca="1">RANDBETWEEN(1,J952-2)</f>
        <v>1</v>
      </c>
      <c r="I952">
        <f t="shared" ca="1" si="98"/>
        <v>25</v>
      </c>
      <c r="J952">
        <f t="shared" ca="1" si="99"/>
        <v>12</v>
      </c>
    </row>
    <row r="953" spans="1:10" x14ac:dyDescent="0.25">
      <c r="A953" t="s">
        <v>960</v>
      </c>
      <c r="B953" t="s">
        <v>1</v>
      </c>
      <c r="C953" t="str">
        <f t="shared" si="94"/>
        <v>061901</v>
      </c>
      <c r="D953" t="str">
        <f t="shared" si="95"/>
        <v>TOR</v>
      </c>
      <c r="E953" t="str" cm="1">
        <f t="array" ref="E953">INDEX($E$2:$E$4, MOD(ROW()-1,3)+1)</f>
        <v>Machine 2</v>
      </c>
      <c r="F953">
        <f t="shared" ca="1" si="96"/>
        <v>2</v>
      </c>
      <c r="G953">
        <f t="shared" ca="1" si="97"/>
        <v>0</v>
      </c>
      <c r="H953">
        <f ca="1">RANDBETWEEN(1,J953-2)</f>
        <v>4</v>
      </c>
      <c r="I953">
        <f t="shared" ca="1" si="98"/>
        <v>39</v>
      </c>
      <c r="J953">
        <f t="shared" ca="1" si="99"/>
        <v>7</v>
      </c>
    </row>
    <row r="954" spans="1:10" x14ac:dyDescent="0.25">
      <c r="A954" t="s">
        <v>961</v>
      </c>
      <c r="B954" t="s">
        <v>1</v>
      </c>
      <c r="C954" t="str">
        <f t="shared" si="94"/>
        <v>061903</v>
      </c>
      <c r="D954" t="str">
        <f t="shared" si="95"/>
        <v>TOR</v>
      </c>
      <c r="E954" t="str" cm="1">
        <f t="array" ref="E954">INDEX($E$2:$E$4, MOD(ROW()-1,3)+1)</f>
        <v>Machine 3</v>
      </c>
      <c r="F954">
        <f t="shared" ca="1" si="96"/>
        <v>3</v>
      </c>
      <c r="G954">
        <f t="shared" ca="1" si="97"/>
        <v>0</v>
      </c>
      <c r="H954">
        <f ca="1">RANDBETWEEN(1,J954-2)</f>
        <v>2</v>
      </c>
      <c r="I954">
        <f t="shared" ca="1" si="98"/>
        <v>38</v>
      </c>
      <c r="J954">
        <f t="shared" ca="1" si="99"/>
        <v>6</v>
      </c>
    </row>
    <row r="955" spans="1:10" x14ac:dyDescent="0.25">
      <c r="A955" t="s">
        <v>962</v>
      </c>
      <c r="B955" t="s">
        <v>1</v>
      </c>
      <c r="C955" t="str">
        <f t="shared" si="94"/>
        <v>061905</v>
      </c>
      <c r="D955" t="str">
        <f t="shared" si="95"/>
        <v>TOR</v>
      </c>
      <c r="E955" t="str" cm="1">
        <f t="array" ref="E955">INDEX($E$2:$E$4, MOD(ROW()-1,3)+1)</f>
        <v>Machine 1</v>
      </c>
      <c r="F955">
        <f t="shared" ca="1" si="96"/>
        <v>2</v>
      </c>
      <c r="G955">
        <f t="shared" ca="1" si="97"/>
        <v>0</v>
      </c>
      <c r="H955">
        <f ca="1">RANDBETWEEN(1,J955-2)</f>
        <v>5</v>
      </c>
      <c r="I955">
        <f t="shared" ca="1" si="98"/>
        <v>35</v>
      </c>
      <c r="J955">
        <f t="shared" ca="1" si="99"/>
        <v>10</v>
      </c>
    </row>
    <row r="956" spans="1:10" x14ac:dyDescent="0.25">
      <c r="A956" t="s">
        <v>963</v>
      </c>
      <c r="B956" t="s">
        <v>1</v>
      </c>
      <c r="C956" t="str">
        <f t="shared" si="94"/>
        <v>061908</v>
      </c>
      <c r="D956" t="str">
        <f t="shared" si="95"/>
        <v>TOR</v>
      </c>
      <c r="E956" t="str" cm="1">
        <f t="array" ref="E956">INDEX($E$2:$E$4, MOD(ROW()-1,3)+1)</f>
        <v>Machine 2</v>
      </c>
      <c r="F956">
        <f t="shared" ca="1" si="96"/>
        <v>3</v>
      </c>
      <c r="G956">
        <f t="shared" ca="1" si="97"/>
        <v>1</v>
      </c>
      <c r="H956">
        <f ca="1">RANDBETWEEN(1,J956-2)</f>
        <v>10</v>
      </c>
      <c r="I956">
        <f t="shared" ca="1" si="98"/>
        <v>25</v>
      </c>
      <c r="J956">
        <f t="shared" ca="1" si="99"/>
        <v>14</v>
      </c>
    </row>
    <row r="957" spans="1:10" x14ac:dyDescent="0.25">
      <c r="A957" t="s">
        <v>964</v>
      </c>
      <c r="B957" t="s">
        <v>1</v>
      </c>
      <c r="C957" t="str">
        <f t="shared" si="94"/>
        <v>061911</v>
      </c>
      <c r="D957" t="str">
        <f t="shared" si="95"/>
        <v>TOR</v>
      </c>
      <c r="E957" t="str" cm="1">
        <f t="array" ref="E957">INDEX($E$2:$E$4, MOD(ROW()-1,3)+1)</f>
        <v>Machine 3</v>
      </c>
      <c r="F957">
        <f t="shared" ca="1" si="96"/>
        <v>2</v>
      </c>
      <c r="G957">
        <f t="shared" ca="1" si="97"/>
        <v>1</v>
      </c>
      <c r="H957">
        <f ca="1">RANDBETWEEN(1,J957-2)</f>
        <v>7</v>
      </c>
      <c r="I957">
        <f t="shared" ca="1" si="98"/>
        <v>25</v>
      </c>
      <c r="J957">
        <f t="shared" ca="1" si="99"/>
        <v>10</v>
      </c>
    </row>
    <row r="958" spans="1:10" x14ac:dyDescent="0.25">
      <c r="A958" t="s">
        <v>965</v>
      </c>
      <c r="B958" t="s">
        <v>1</v>
      </c>
      <c r="C958" t="str">
        <f t="shared" si="94"/>
        <v>061914</v>
      </c>
      <c r="D958" t="str">
        <f t="shared" si="95"/>
        <v>TOR</v>
      </c>
      <c r="E958" t="str" cm="1">
        <f t="array" ref="E958">INDEX($E$2:$E$4, MOD(ROW()-1,3)+1)</f>
        <v>Machine 1</v>
      </c>
      <c r="F958">
        <f t="shared" ca="1" si="96"/>
        <v>3</v>
      </c>
      <c r="G958">
        <f t="shared" ca="1" si="97"/>
        <v>1</v>
      </c>
      <c r="H958">
        <f ca="1">RANDBETWEEN(1,J958-2)</f>
        <v>4</v>
      </c>
      <c r="I958">
        <f t="shared" ca="1" si="98"/>
        <v>26</v>
      </c>
      <c r="J958">
        <f t="shared" ca="1" si="99"/>
        <v>8</v>
      </c>
    </row>
    <row r="959" spans="1:10" x14ac:dyDescent="0.25">
      <c r="A959" t="s">
        <v>966</v>
      </c>
      <c r="B959" t="s">
        <v>1</v>
      </c>
      <c r="C959" t="str">
        <f t="shared" si="94"/>
        <v>061917</v>
      </c>
      <c r="D959" t="str">
        <f t="shared" si="95"/>
        <v>TOR</v>
      </c>
      <c r="E959" t="str" cm="1">
        <f t="array" ref="E959">INDEX($E$2:$E$4, MOD(ROW()-1,3)+1)</f>
        <v>Machine 2</v>
      </c>
      <c r="F959">
        <f t="shared" ca="1" si="96"/>
        <v>2</v>
      </c>
      <c r="G959">
        <f t="shared" ca="1" si="97"/>
        <v>1</v>
      </c>
      <c r="H959">
        <f ca="1">RANDBETWEEN(1,J959-2)</f>
        <v>8</v>
      </c>
      <c r="I959">
        <f t="shared" ca="1" si="98"/>
        <v>33</v>
      </c>
      <c r="J959">
        <f t="shared" ca="1" si="99"/>
        <v>14</v>
      </c>
    </row>
    <row r="960" spans="1:10" x14ac:dyDescent="0.25">
      <c r="A960" t="s">
        <v>967</v>
      </c>
      <c r="B960" t="s">
        <v>1</v>
      </c>
      <c r="C960" t="str">
        <f t="shared" si="94"/>
        <v>061919</v>
      </c>
      <c r="D960" t="str">
        <f t="shared" si="95"/>
        <v>TOR</v>
      </c>
      <c r="E960" t="str" cm="1">
        <f t="array" ref="E960">INDEX($E$2:$E$4, MOD(ROW()-1,3)+1)</f>
        <v>Machine 3</v>
      </c>
      <c r="F960">
        <f t="shared" ca="1" si="96"/>
        <v>2</v>
      </c>
      <c r="G960">
        <f t="shared" ca="1" si="97"/>
        <v>0</v>
      </c>
      <c r="H960">
        <f ca="1">RANDBETWEEN(1,J960-2)</f>
        <v>5</v>
      </c>
      <c r="I960">
        <f t="shared" ca="1" si="98"/>
        <v>30</v>
      </c>
      <c r="J960">
        <f t="shared" ca="1" si="99"/>
        <v>15</v>
      </c>
    </row>
    <row r="961" spans="1:10" x14ac:dyDescent="0.25">
      <c r="A961" t="s">
        <v>968</v>
      </c>
      <c r="B961" t="s">
        <v>1</v>
      </c>
      <c r="C961" t="str">
        <f t="shared" si="94"/>
        <v>061922</v>
      </c>
      <c r="D961" t="str">
        <f t="shared" si="95"/>
        <v>TOR</v>
      </c>
      <c r="E961" t="str" cm="1">
        <f t="array" ref="E961">INDEX($E$2:$E$4, MOD(ROW()-1,3)+1)</f>
        <v>Machine 1</v>
      </c>
      <c r="F961">
        <f t="shared" ca="1" si="96"/>
        <v>3</v>
      </c>
      <c r="G961">
        <f t="shared" ca="1" si="97"/>
        <v>1</v>
      </c>
      <c r="H961">
        <f ca="1">RANDBETWEEN(1,J961-2)</f>
        <v>3</v>
      </c>
      <c r="I961">
        <f t="shared" ca="1" si="98"/>
        <v>27</v>
      </c>
      <c r="J961">
        <f t="shared" ca="1" si="99"/>
        <v>9</v>
      </c>
    </row>
    <row r="962" spans="1:10" x14ac:dyDescent="0.25">
      <c r="A962" t="s">
        <v>969</v>
      </c>
      <c r="B962" t="s">
        <v>1</v>
      </c>
      <c r="C962" t="str">
        <f t="shared" si="94"/>
        <v>061924</v>
      </c>
      <c r="D962" t="str">
        <f t="shared" si="95"/>
        <v>TOR</v>
      </c>
      <c r="E962" t="str" cm="1">
        <f t="array" ref="E962">INDEX($E$2:$E$4, MOD(ROW()-1,3)+1)</f>
        <v>Machine 2</v>
      </c>
      <c r="F962">
        <f t="shared" ca="1" si="96"/>
        <v>2</v>
      </c>
      <c r="G962">
        <f t="shared" ca="1" si="97"/>
        <v>0</v>
      </c>
      <c r="H962">
        <f ca="1">RANDBETWEEN(1,J962-2)</f>
        <v>7</v>
      </c>
      <c r="I962">
        <f t="shared" ca="1" si="98"/>
        <v>43</v>
      </c>
      <c r="J962">
        <f t="shared" ca="1" si="99"/>
        <v>9</v>
      </c>
    </row>
    <row r="963" spans="1:10" x14ac:dyDescent="0.25">
      <c r="A963" t="s">
        <v>970</v>
      </c>
      <c r="B963" t="s">
        <v>1</v>
      </c>
      <c r="C963" t="str">
        <f t="shared" ref="C963:C1026" si="100">RIGHT(A963,6)</f>
        <v>061929</v>
      </c>
      <c r="D963" t="str">
        <f t="shared" ref="D963:D1026" si="101">RIGHT(B963,3)</f>
        <v>TOR</v>
      </c>
      <c r="E963" t="str" cm="1">
        <f t="array" ref="E963">INDEX($E$2:$E$4, MOD(ROW()-1,3)+1)</f>
        <v>Machine 3</v>
      </c>
      <c r="F963">
        <f t="shared" ref="F963:F1026" ca="1" si="102">RANDBETWEEN(2,3)</f>
        <v>3</v>
      </c>
      <c r="G963">
        <f t="shared" ref="G963:G1026" ca="1" si="103">RANDBETWEEN(0,1)</f>
        <v>0</v>
      </c>
      <c r="H963">
        <f ca="1">RANDBETWEEN(1,J963-2)</f>
        <v>4</v>
      </c>
      <c r="I963">
        <f t="shared" ref="I963:I1026" ca="1" si="104">RANDBETWEEN(24,48)</f>
        <v>37</v>
      </c>
      <c r="J963">
        <f t="shared" ref="J963:J1026" ca="1" si="105">RANDBETWEEN(5,15)</f>
        <v>6</v>
      </c>
    </row>
    <row r="964" spans="1:10" x14ac:dyDescent="0.25">
      <c r="A964" t="s">
        <v>971</v>
      </c>
      <c r="B964" t="s">
        <v>1</v>
      </c>
      <c r="C964" t="str">
        <f t="shared" si="100"/>
        <v>061931</v>
      </c>
      <c r="D964" t="str">
        <f t="shared" si="101"/>
        <v>TOR</v>
      </c>
      <c r="E964" t="str" cm="1">
        <f t="array" ref="E964">INDEX($E$2:$E$4, MOD(ROW()-1,3)+1)</f>
        <v>Machine 1</v>
      </c>
      <c r="F964">
        <f t="shared" ca="1" si="102"/>
        <v>3</v>
      </c>
      <c r="G964">
        <f t="shared" ca="1" si="103"/>
        <v>1</v>
      </c>
      <c r="H964">
        <f ca="1">RANDBETWEEN(1,J964-2)</f>
        <v>2</v>
      </c>
      <c r="I964">
        <f t="shared" ca="1" si="104"/>
        <v>46</v>
      </c>
      <c r="J964">
        <f t="shared" ca="1" si="105"/>
        <v>8</v>
      </c>
    </row>
    <row r="965" spans="1:10" x14ac:dyDescent="0.25">
      <c r="A965" t="s">
        <v>972</v>
      </c>
      <c r="B965" t="s">
        <v>1</v>
      </c>
      <c r="C965" t="str">
        <f t="shared" si="100"/>
        <v>061936</v>
      </c>
      <c r="D965" t="str">
        <f t="shared" si="101"/>
        <v>TOR</v>
      </c>
      <c r="E965" t="str" cm="1">
        <f t="array" ref="E965">INDEX($E$2:$E$4, MOD(ROW()-1,3)+1)</f>
        <v>Machine 2</v>
      </c>
      <c r="F965">
        <f t="shared" ca="1" si="102"/>
        <v>3</v>
      </c>
      <c r="G965">
        <f t="shared" ca="1" si="103"/>
        <v>1</v>
      </c>
      <c r="H965">
        <f ca="1">RANDBETWEEN(1,J965-2)</f>
        <v>3</v>
      </c>
      <c r="I965">
        <f t="shared" ca="1" si="104"/>
        <v>36</v>
      </c>
      <c r="J965">
        <f t="shared" ca="1" si="105"/>
        <v>12</v>
      </c>
    </row>
    <row r="966" spans="1:10" x14ac:dyDescent="0.25">
      <c r="A966" t="s">
        <v>973</v>
      </c>
      <c r="B966" t="s">
        <v>1</v>
      </c>
      <c r="C966" t="str">
        <f t="shared" si="100"/>
        <v>061939</v>
      </c>
      <c r="D966" t="str">
        <f t="shared" si="101"/>
        <v>TOR</v>
      </c>
      <c r="E966" t="str" cm="1">
        <f t="array" ref="E966">INDEX($E$2:$E$4, MOD(ROW()-1,3)+1)</f>
        <v>Machine 3</v>
      </c>
      <c r="F966">
        <f t="shared" ca="1" si="102"/>
        <v>2</v>
      </c>
      <c r="G966">
        <f t="shared" ca="1" si="103"/>
        <v>0</v>
      </c>
      <c r="H966">
        <f ca="1">RANDBETWEEN(1,J966-2)</f>
        <v>1</v>
      </c>
      <c r="I966">
        <f t="shared" ca="1" si="104"/>
        <v>43</v>
      </c>
      <c r="J966">
        <f t="shared" ca="1" si="105"/>
        <v>9</v>
      </c>
    </row>
    <row r="967" spans="1:10" x14ac:dyDescent="0.25">
      <c r="A967" t="s">
        <v>974</v>
      </c>
      <c r="B967" t="s">
        <v>1</v>
      </c>
      <c r="C967" t="str">
        <f t="shared" si="100"/>
        <v>061953</v>
      </c>
      <c r="D967" t="str">
        <f t="shared" si="101"/>
        <v>TOR</v>
      </c>
      <c r="E967" t="str" cm="1">
        <f t="array" ref="E967">INDEX($E$2:$E$4, MOD(ROW()-1,3)+1)</f>
        <v>Machine 1</v>
      </c>
      <c r="F967">
        <f t="shared" ca="1" si="102"/>
        <v>2</v>
      </c>
      <c r="G967">
        <f t="shared" ca="1" si="103"/>
        <v>1</v>
      </c>
      <c r="H967">
        <f ca="1">RANDBETWEEN(1,J967-2)</f>
        <v>5</v>
      </c>
      <c r="I967">
        <f t="shared" ca="1" si="104"/>
        <v>44</v>
      </c>
      <c r="J967">
        <f t="shared" ca="1" si="105"/>
        <v>13</v>
      </c>
    </row>
    <row r="968" spans="1:10" x14ac:dyDescent="0.25">
      <c r="A968" t="s">
        <v>975</v>
      </c>
      <c r="B968" t="s">
        <v>1</v>
      </c>
      <c r="C968" t="str">
        <f t="shared" si="100"/>
        <v>061955</v>
      </c>
      <c r="D968" t="str">
        <f t="shared" si="101"/>
        <v>TOR</v>
      </c>
      <c r="E968" t="str" cm="1">
        <f t="array" ref="E968">INDEX($E$2:$E$4, MOD(ROW()-1,3)+1)</f>
        <v>Machine 2</v>
      </c>
      <c r="F968">
        <f t="shared" ca="1" si="102"/>
        <v>2</v>
      </c>
      <c r="G968">
        <f t="shared" ca="1" si="103"/>
        <v>1</v>
      </c>
      <c r="H968">
        <f ca="1">RANDBETWEEN(1,J968-2)</f>
        <v>6</v>
      </c>
      <c r="I968">
        <f t="shared" ca="1" si="104"/>
        <v>46</v>
      </c>
      <c r="J968">
        <f t="shared" ca="1" si="105"/>
        <v>8</v>
      </c>
    </row>
    <row r="969" spans="1:10" x14ac:dyDescent="0.25">
      <c r="A969" t="s">
        <v>976</v>
      </c>
      <c r="B969" t="s">
        <v>1</v>
      </c>
      <c r="C969" t="str">
        <f t="shared" si="100"/>
        <v>061957</v>
      </c>
      <c r="D969" t="str">
        <f t="shared" si="101"/>
        <v>TOR</v>
      </c>
      <c r="E969" t="str" cm="1">
        <f t="array" ref="E969">INDEX($E$2:$E$4, MOD(ROW()-1,3)+1)</f>
        <v>Machine 3</v>
      </c>
      <c r="F969">
        <f t="shared" ca="1" si="102"/>
        <v>3</v>
      </c>
      <c r="G969">
        <f t="shared" ca="1" si="103"/>
        <v>0</v>
      </c>
      <c r="H969">
        <f ca="1">RANDBETWEEN(1,J969-2)</f>
        <v>4</v>
      </c>
      <c r="I969">
        <f t="shared" ca="1" si="104"/>
        <v>34</v>
      </c>
      <c r="J969">
        <f t="shared" ca="1" si="105"/>
        <v>8</v>
      </c>
    </row>
    <row r="970" spans="1:10" x14ac:dyDescent="0.25">
      <c r="A970" t="s">
        <v>977</v>
      </c>
      <c r="B970" t="s">
        <v>1</v>
      </c>
      <c r="C970" t="str">
        <f t="shared" si="100"/>
        <v>061960</v>
      </c>
      <c r="D970" t="str">
        <f t="shared" si="101"/>
        <v>TOR</v>
      </c>
      <c r="E970" t="str" cm="1">
        <f t="array" ref="E970">INDEX($E$2:$E$4, MOD(ROW()-1,3)+1)</f>
        <v>Machine 1</v>
      </c>
      <c r="F970">
        <f t="shared" ca="1" si="102"/>
        <v>3</v>
      </c>
      <c r="G970">
        <f t="shared" ca="1" si="103"/>
        <v>0</v>
      </c>
      <c r="H970">
        <f ca="1">RANDBETWEEN(1,J970-2)</f>
        <v>4</v>
      </c>
      <c r="I970">
        <f t="shared" ca="1" si="104"/>
        <v>44</v>
      </c>
      <c r="J970">
        <f t="shared" ca="1" si="105"/>
        <v>6</v>
      </c>
    </row>
    <row r="971" spans="1:10" x14ac:dyDescent="0.25">
      <c r="A971" t="s">
        <v>978</v>
      </c>
      <c r="B971" t="s">
        <v>1</v>
      </c>
      <c r="C971" t="str">
        <f t="shared" si="100"/>
        <v>061964</v>
      </c>
      <c r="D971" t="str">
        <f t="shared" si="101"/>
        <v>TOR</v>
      </c>
      <c r="E971" t="str" cm="1">
        <f t="array" ref="E971">INDEX($E$2:$E$4, MOD(ROW()-1,3)+1)</f>
        <v>Machine 2</v>
      </c>
      <c r="F971">
        <f t="shared" ca="1" si="102"/>
        <v>2</v>
      </c>
      <c r="G971">
        <f t="shared" ca="1" si="103"/>
        <v>0</v>
      </c>
      <c r="H971">
        <f ca="1">RANDBETWEEN(1,J971-2)</f>
        <v>1</v>
      </c>
      <c r="I971">
        <f t="shared" ca="1" si="104"/>
        <v>34</v>
      </c>
      <c r="J971">
        <f t="shared" ca="1" si="105"/>
        <v>5</v>
      </c>
    </row>
    <row r="972" spans="1:10" x14ac:dyDescent="0.25">
      <c r="A972" t="s">
        <v>979</v>
      </c>
      <c r="B972" t="s">
        <v>1</v>
      </c>
      <c r="C972" t="str">
        <f t="shared" si="100"/>
        <v>061966</v>
      </c>
      <c r="D972" t="str">
        <f t="shared" si="101"/>
        <v>TOR</v>
      </c>
      <c r="E972" t="str" cm="1">
        <f t="array" ref="E972">INDEX($E$2:$E$4, MOD(ROW()-1,3)+1)</f>
        <v>Machine 3</v>
      </c>
      <c r="F972">
        <f t="shared" ca="1" si="102"/>
        <v>3</v>
      </c>
      <c r="G972">
        <f t="shared" ca="1" si="103"/>
        <v>0</v>
      </c>
      <c r="H972">
        <f ca="1">RANDBETWEEN(1,J972-2)</f>
        <v>3</v>
      </c>
      <c r="I972">
        <f t="shared" ca="1" si="104"/>
        <v>42</v>
      </c>
      <c r="J972">
        <f t="shared" ca="1" si="105"/>
        <v>13</v>
      </c>
    </row>
    <row r="973" spans="1:10" x14ac:dyDescent="0.25">
      <c r="A973" t="s">
        <v>980</v>
      </c>
      <c r="B973" t="s">
        <v>1</v>
      </c>
      <c r="C973" t="str">
        <f t="shared" si="100"/>
        <v>061968</v>
      </c>
      <c r="D973" t="str">
        <f t="shared" si="101"/>
        <v>TOR</v>
      </c>
      <c r="E973" t="str" cm="1">
        <f t="array" ref="E973">INDEX($E$2:$E$4, MOD(ROW()-1,3)+1)</f>
        <v>Machine 1</v>
      </c>
      <c r="F973">
        <f t="shared" ca="1" si="102"/>
        <v>3</v>
      </c>
      <c r="G973">
        <f t="shared" ca="1" si="103"/>
        <v>0</v>
      </c>
      <c r="H973">
        <f ca="1">RANDBETWEEN(1,J973-2)</f>
        <v>9</v>
      </c>
      <c r="I973">
        <f t="shared" ca="1" si="104"/>
        <v>40</v>
      </c>
      <c r="J973">
        <f t="shared" ca="1" si="105"/>
        <v>13</v>
      </c>
    </row>
    <row r="974" spans="1:10" x14ac:dyDescent="0.25">
      <c r="A974" t="s">
        <v>981</v>
      </c>
      <c r="B974" t="s">
        <v>1</v>
      </c>
      <c r="C974" t="str">
        <f t="shared" si="100"/>
        <v>061984</v>
      </c>
      <c r="D974" t="str">
        <f t="shared" si="101"/>
        <v>TOR</v>
      </c>
      <c r="E974" t="str" cm="1">
        <f t="array" ref="E974">INDEX($E$2:$E$4, MOD(ROW()-1,3)+1)</f>
        <v>Machine 2</v>
      </c>
      <c r="F974">
        <f t="shared" ca="1" si="102"/>
        <v>2</v>
      </c>
      <c r="G974">
        <f t="shared" ca="1" si="103"/>
        <v>1</v>
      </c>
      <c r="H974">
        <f ca="1">RANDBETWEEN(1,J974-2)</f>
        <v>9</v>
      </c>
      <c r="I974">
        <f t="shared" ca="1" si="104"/>
        <v>46</v>
      </c>
      <c r="J974">
        <f t="shared" ca="1" si="105"/>
        <v>14</v>
      </c>
    </row>
    <row r="975" spans="1:10" x14ac:dyDescent="0.25">
      <c r="A975" t="s">
        <v>982</v>
      </c>
      <c r="B975" t="s">
        <v>1</v>
      </c>
      <c r="C975" t="str">
        <f t="shared" si="100"/>
        <v>061986</v>
      </c>
      <c r="D975" t="str">
        <f t="shared" si="101"/>
        <v>TOR</v>
      </c>
      <c r="E975" t="str" cm="1">
        <f t="array" ref="E975">INDEX($E$2:$E$4, MOD(ROW()-1,3)+1)</f>
        <v>Machine 3</v>
      </c>
      <c r="F975">
        <f t="shared" ca="1" si="102"/>
        <v>3</v>
      </c>
      <c r="G975">
        <f t="shared" ca="1" si="103"/>
        <v>0</v>
      </c>
      <c r="H975">
        <f ca="1">RANDBETWEEN(1,J975-2)</f>
        <v>1</v>
      </c>
      <c r="I975">
        <f t="shared" ca="1" si="104"/>
        <v>42</v>
      </c>
      <c r="J975">
        <f t="shared" ca="1" si="105"/>
        <v>7</v>
      </c>
    </row>
    <row r="976" spans="1:10" x14ac:dyDescent="0.25">
      <c r="A976" t="s">
        <v>983</v>
      </c>
      <c r="B976" t="s">
        <v>1</v>
      </c>
      <c r="C976" t="str">
        <f t="shared" si="100"/>
        <v>061988</v>
      </c>
      <c r="D976" t="str">
        <f t="shared" si="101"/>
        <v>TOR</v>
      </c>
      <c r="E976" t="str" cm="1">
        <f t="array" ref="E976">INDEX($E$2:$E$4, MOD(ROW()-1,3)+1)</f>
        <v>Machine 1</v>
      </c>
      <c r="F976">
        <f t="shared" ca="1" si="102"/>
        <v>3</v>
      </c>
      <c r="G976">
        <f t="shared" ca="1" si="103"/>
        <v>0</v>
      </c>
      <c r="H976">
        <f ca="1">RANDBETWEEN(1,J976-2)</f>
        <v>2</v>
      </c>
      <c r="I976">
        <f t="shared" ca="1" si="104"/>
        <v>46</v>
      </c>
      <c r="J976">
        <f t="shared" ca="1" si="105"/>
        <v>5</v>
      </c>
    </row>
    <row r="977" spans="1:10" x14ac:dyDescent="0.25">
      <c r="A977" t="s">
        <v>984</v>
      </c>
      <c r="B977" t="s">
        <v>1</v>
      </c>
      <c r="C977" t="str">
        <f t="shared" si="100"/>
        <v>061990</v>
      </c>
      <c r="D977" t="str">
        <f t="shared" si="101"/>
        <v>TOR</v>
      </c>
      <c r="E977" t="str" cm="1">
        <f t="array" ref="E977">INDEX($E$2:$E$4, MOD(ROW()-1,3)+1)</f>
        <v>Machine 2</v>
      </c>
      <c r="F977">
        <f t="shared" ca="1" si="102"/>
        <v>2</v>
      </c>
      <c r="G977">
        <f t="shared" ca="1" si="103"/>
        <v>1</v>
      </c>
      <c r="H977">
        <f ca="1">RANDBETWEEN(1,J977-2)</f>
        <v>1</v>
      </c>
      <c r="I977">
        <f t="shared" ca="1" si="104"/>
        <v>28</v>
      </c>
      <c r="J977">
        <f t="shared" ca="1" si="105"/>
        <v>5</v>
      </c>
    </row>
    <row r="978" spans="1:10" x14ac:dyDescent="0.25">
      <c r="A978" t="s">
        <v>985</v>
      </c>
      <c r="B978" t="s">
        <v>1</v>
      </c>
      <c r="C978" t="str">
        <f t="shared" si="100"/>
        <v>061992</v>
      </c>
      <c r="D978" t="str">
        <f t="shared" si="101"/>
        <v>TOR</v>
      </c>
      <c r="E978" t="str" cm="1">
        <f t="array" ref="E978">INDEX($E$2:$E$4, MOD(ROW()-1,3)+1)</f>
        <v>Machine 3</v>
      </c>
      <c r="F978">
        <f t="shared" ca="1" si="102"/>
        <v>3</v>
      </c>
      <c r="G978">
        <f t="shared" ca="1" si="103"/>
        <v>0</v>
      </c>
      <c r="H978">
        <f ca="1">RANDBETWEEN(1,J978-2)</f>
        <v>4</v>
      </c>
      <c r="I978">
        <f t="shared" ca="1" si="104"/>
        <v>42</v>
      </c>
      <c r="J978">
        <f t="shared" ca="1" si="105"/>
        <v>15</v>
      </c>
    </row>
    <row r="979" spans="1:10" x14ac:dyDescent="0.25">
      <c r="A979" t="s">
        <v>986</v>
      </c>
      <c r="B979" t="s">
        <v>1</v>
      </c>
      <c r="C979" t="str">
        <f t="shared" si="100"/>
        <v>061994</v>
      </c>
      <c r="D979" t="str">
        <f t="shared" si="101"/>
        <v>TOR</v>
      </c>
      <c r="E979" t="str" cm="1">
        <f t="array" ref="E979">INDEX($E$2:$E$4, MOD(ROW()-1,3)+1)</f>
        <v>Machine 1</v>
      </c>
      <c r="F979">
        <f t="shared" ca="1" si="102"/>
        <v>2</v>
      </c>
      <c r="G979">
        <f t="shared" ca="1" si="103"/>
        <v>0</v>
      </c>
      <c r="H979">
        <f ca="1">RANDBETWEEN(1,J979-2)</f>
        <v>5</v>
      </c>
      <c r="I979">
        <f t="shared" ca="1" si="104"/>
        <v>48</v>
      </c>
      <c r="J979">
        <f t="shared" ca="1" si="105"/>
        <v>8</v>
      </c>
    </row>
    <row r="980" spans="1:10" x14ac:dyDescent="0.25">
      <c r="A980" t="s">
        <v>987</v>
      </c>
      <c r="B980" t="s">
        <v>1</v>
      </c>
      <c r="C980" t="str">
        <f t="shared" si="100"/>
        <v>061996</v>
      </c>
      <c r="D980" t="str">
        <f t="shared" si="101"/>
        <v>TOR</v>
      </c>
      <c r="E980" t="str" cm="1">
        <f t="array" ref="E980">INDEX($E$2:$E$4, MOD(ROW()-1,3)+1)</f>
        <v>Machine 2</v>
      </c>
      <c r="F980">
        <f t="shared" ca="1" si="102"/>
        <v>3</v>
      </c>
      <c r="G980">
        <f t="shared" ca="1" si="103"/>
        <v>0</v>
      </c>
      <c r="H980">
        <f ca="1">RANDBETWEEN(1,J980-2)</f>
        <v>2</v>
      </c>
      <c r="I980">
        <f t="shared" ca="1" si="104"/>
        <v>37</v>
      </c>
      <c r="J980">
        <f t="shared" ca="1" si="105"/>
        <v>14</v>
      </c>
    </row>
    <row r="981" spans="1:10" x14ac:dyDescent="0.25">
      <c r="A981" t="s">
        <v>988</v>
      </c>
      <c r="B981" t="s">
        <v>1</v>
      </c>
      <c r="C981" t="str">
        <f t="shared" si="100"/>
        <v>061998</v>
      </c>
      <c r="D981" t="str">
        <f t="shared" si="101"/>
        <v>TOR</v>
      </c>
      <c r="E981" t="str" cm="1">
        <f t="array" ref="E981">INDEX($E$2:$E$4, MOD(ROW()-1,3)+1)</f>
        <v>Machine 3</v>
      </c>
      <c r="F981">
        <f t="shared" ca="1" si="102"/>
        <v>2</v>
      </c>
      <c r="G981">
        <f t="shared" ca="1" si="103"/>
        <v>1</v>
      </c>
      <c r="H981">
        <f ca="1">RANDBETWEEN(1,J981-2)</f>
        <v>3</v>
      </c>
      <c r="I981">
        <f t="shared" ca="1" si="104"/>
        <v>39</v>
      </c>
      <c r="J981">
        <f t="shared" ca="1" si="105"/>
        <v>6</v>
      </c>
    </row>
    <row r="982" spans="1:10" x14ac:dyDescent="0.25">
      <c r="A982" t="s">
        <v>989</v>
      </c>
      <c r="B982" t="s">
        <v>1</v>
      </c>
      <c r="C982" t="str">
        <f t="shared" si="100"/>
        <v>062000</v>
      </c>
      <c r="D982" t="str">
        <f t="shared" si="101"/>
        <v>TOR</v>
      </c>
      <c r="E982" t="str" cm="1">
        <f t="array" ref="E982">INDEX($E$2:$E$4, MOD(ROW()-1,3)+1)</f>
        <v>Machine 1</v>
      </c>
      <c r="F982">
        <f t="shared" ca="1" si="102"/>
        <v>2</v>
      </c>
      <c r="G982">
        <f t="shared" ca="1" si="103"/>
        <v>1</v>
      </c>
      <c r="H982">
        <f ca="1">RANDBETWEEN(1,J982-2)</f>
        <v>8</v>
      </c>
      <c r="I982">
        <f t="shared" ca="1" si="104"/>
        <v>27</v>
      </c>
      <c r="J982">
        <f t="shared" ca="1" si="105"/>
        <v>13</v>
      </c>
    </row>
    <row r="983" spans="1:10" x14ac:dyDescent="0.25">
      <c r="A983" t="s">
        <v>990</v>
      </c>
      <c r="B983" t="s">
        <v>1</v>
      </c>
      <c r="C983" t="str">
        <f t="shared" si="100"/>
        <v>062002</v>
      </c>
      <c r="D983" t="str">
        <f t="shared" si="101"/>
        <v>TOR</v>
      </c>
      <c r="E983" t="str" cm="1">
        <f t="array" ref="E983">INDEX($E$2:$E$4, MOD(ROW()-1,3)+1)</f>
        <v>Machine 2</v>
      </c>
      <c r="F983">
        <f t="shared" ca="1" si="102"/>
        <v>3</v>
      </c>
      <c r="G983">
        <f t="shared" ca="1" si="103"/>
        <v>1</v>
      </c>
      <c r="H983">
        <f ca="1">RANDBETWEEN(1,J983-2)</f>
        <v>4</v>
      </c>
      <c r="I983">
        <f t="shared" ca="1" si="104"/>
        <v>43</v>
      </c>
      <c r="J983">
        <f t="shared" ca="1" si="105"/>
        <v>9</v>
      </c>
    </row>
    <row r="984" spans="1:10" x14ac:dyDescent="0.25">
      <c r="A984" t="s">
        <v>991</v>
      </c>
      <c r="B984" t="s">
        <v>1</v>
      </c>
      <c r="C984" t="str">
        <f t="shared" si="100"/>
        <v>062004</v>
      </c>
      <c r="D984" t="str">
        <f t="shared" si="101"/>
        <v>TOR</v>
      </c>
      <c r="E984" t="str" cm="1">
        <f t="array" ref="E984">INDEX($E$2:$E$4, MOD(ROW()-1,3)+1)</f>
        <v>Machine 3</v>
      </c>
      <c r="F984">
        <f t="shared" ca="1" si="102"/>
        <v>2</v>
      </c>
      <c r="G984">
        <f t="shared" ca="1" si="103"/>
        <v>1</v>
      </c>
      <c r="H984">
        <f ca="1">RANDBETWEEN(1,J984-2)</f>
        <v>6</v>
      </c>
      <c r="I984">
        <f t="shared" ca="1" si="104"/>
        <v>35</v>
      </c>
      <c r="J984">
        <f t="shared" ca="1" si="105"/>
        <v>10</v>
      </c>
    </row>
    <row r="985" spans="1:10" x14ac:dyDescent="0.25">
      <c r="A985" t="s">
        <v>992</v>
      </c>
      <c r="B985" t="s">
        <v>1</v>
      </c>
      <c r="C985" t="str">
        <f t="shared" si="100"/>
        <v>062006</v>
      </c>
      <c r="D985" t="str">
        <f t="shared" si="101"/>
        <v>TOR</v>
      </c>
      <c r="E985" t="str" cm="1">
        <f t="array" ref="E985">INDEX($E$2:$E$4, MOD(ROW()-1,3)+1)</f>
        <v>Machine 1</v>
      </c>
      <c r="F985">
        <f t="shared" ca="1" si="102"/>
        <v>3</v>
      </c>
      <c r="G985">
        <f t="shared" ca="1" si="103"/>
        <v>0</v>
      </c>
      <c r="H985">
        <f ca="1">RANDBETWEEN(1,J985-2)</f>
        <v>2</v>
      </c>
      <c r="I985">
        <f t="shared" ca="1" si="104"/>
        <v>26</v>
      </c>
      <c r="J985">
        <f t="shared" ca="1" si="105"/>
        <v>14</v>
      </c>
    </row>
    <row r="986" spans="1:10" x14ac:dyDescent="0.25">
      <c r="A986" t="s">
        <v>993</v>
      </c>
      <c r="B986" t="s">
        <v>1</v>
      </c>
      <c r="C986" t="str">
        <f t="shared" si="100"/>
        <v>062008</v>
      </c>
      <c r="D986" t="str">
        <f t="shared" si="101"/>
        <v>TOR</v>
      </c>
      <c r="E986" t="str" cm="1">
        <f t="array" ref="E986">INDEX($E$2:$E$4, MOD(ROW()-1,3)+1)</f>
        <v>Machine 2</v>
      </c>
      <c r="F986">
        <f t="shared" ca="1" si="102"/>
        <v>3</v>
      </c>
      <c r="G986">
        <f t="shared" ca="1" si="103"/>
        <v>0</v>
      </c>
      <c r="H986">
        <f ca="1">RANDBETWEEN(1,J986-2)</f>
        <v>2</v>
      </c>
      <c r="I986">
        <f t="shared" ca="1" si="104"/>
        <v>36</v>
      </c>
      <c r="J986">
        <f t="shared" ca="1" si="105"/>
        <v>12</v>
      </c>
    </row>
    <row r="987" spans="1:10" x14ac:dyDescent="0.25">
      <c r="A987" t="s">
        <v>994</v>
      </c>
      <c r="B987" t="s">
        <v>1</v>
      </c>
      <c r="C987" t="str">
        <f t="shared" si="100"/>
        <v>062010</v>
      </c>
      <c r="D987" t="str">
        <f t="shared" si="101"/>
        <v>TOR</v>
      </c>
      <c r="E987" t="str" cm="1">
        <f t="array" ref="E987">INDEX($E$2:$E$4, MOD(ROW()-1,3)+1)</f>
        <v>Machine 3</v>
      </c>
      <c r="F987">
        <f t="shared" ca="1" si="102"/>
        <v>2</v>
      </c>
      <c r="G987">
        <f t="shared" ca="1" si="103"/>
        <v>0</v>
      </c>
      <c r="H987">
        <f ca="1">RANDBETWEEN(1,J987-2)</f>
        <v>7</v>
      </c>
      <c r="I987">
        <f t="shared" ca="1" si="104"/>
        <v>47</v>
      </c>
      <c r="J987">
        <f t="shared" ca="1" si="105"/>
        <v>11</v>
      </c>
    </row>
    <row r="988" spans="1:10" x14ac:dyDescent="0.25">
      <c r="A988" t="s">
        <v>995</v>
      </c>
      <c r="B988" t="s">
        <v>1</v>
      </c>
      <c r="C988" t="str">
        <f t="shared" si="100"/>
        <v>062012</v>
      </c>
      <c r="D988" t="str">
        <f t="shared" si="101"/>
        <v>TOR</v>
      </c>
      <c r="E988" t="str" cm="1">
        <f t="array" ref="E988">INDEX($E$2:$E$4, MOD(ROW()-1,3)+1)</f>
        <v>Machine 1</v>
      </c>
      <c r="F988">
        <f t="shared" ca="1" si="102"/>
        <v>3</v>
      </c>
      <c r="G988">
        <f t="shared" ca="1" si="103"/>
        <v>1</v>
      </c>
      <c r="H988">
        <f ca="1">RANDBETWEEN(1,J988-2)</f>
        <v>1</v>
      </c>
      <c r="I988">
        <f t="shared" ca="1" si="104"/>
        <v>28</v>
      </c>
      <c r="J988">
        <f t="shared" ca="1" si="105"/>
        <v>8</v>
      </c>
    </row>
    <row r="989" spans="1:10" x14ac:dyDescent="0.25">
      <c r="A989" t="s">
        <v>996</v>
      </c>
      <c r="B989" t="s">
        <v>1</v>
      </c>
      <c r="C989" t="str">
        <f t="shared" si="100"/>
        <v>062014</v>
      </c>
      <c r="D989" t="str">
        <f t="shared" si="101"/>
        <v>TOR</v>
      </c>
      <c r="E989" t="str" cm="1">
        <f t="array" ref="E989">INDEX($E$2:$E$4, MOD(ROW()-1,3)+1)</f>
        <v>Machine 2</v>
      </c>
      <c r="F989">
        <f t="shared" ca="1" si="102"/>
        <v>2</v>
      </c>
      <c r="G989">
        <f t="shared" ca="1" si="103"/>
        <v>1</v>
      </c>
      <c r="H989">
        <f ca="1">RANDBETWEEN(1,J989-2)</f>
        <v>3</v>
      </c>
      <c r="I989">
        <f t="shared" ca="1" si="104"/>
        <v>42</v>
      </c>
      <c r="J989">
        <f t="shared" ca="1" si="105"/>
        <v>10</v>
      </c>
    </row>
    <row r="990" spans="1:10" x14ac:dyDescent="0.25">
      <c r="A990" t="s">
        <v>997</v>
      </c>
      <c r="B990" t="s">
        <v>1</v>
      </c>
      <c r="C990" t="str">
        <f t="shared" si="100"/>
        <v>062017</v>
      </c>
      <c r="D990" t="str">
        <f t="shared" si="101"/>
        <v>TOR</v>
      </c>
      <c r="E990" t="str" cm="1">
        <f t="array" ref="E990">INDEX($E$2:$E$4, MOD(ROW()-1,3)+1)</f>
        <v>Machine 3</v>
      </c>
      <c r="F990">
        <f t="shared" ca="1" si="102"/>
        <v>3</v>
      </c>
      <c r="G990">
        <f t="shared" ca="1" si="103"/>
        <v>1</v>
      </c>
      <c r="H990">
        <f ca="1">RANDBETWEEN(1,J990-2)</f>
        <v>2</v>
      </c>
      <c r="I990">
        <f t="shared" ca="1" si="104"/>
        <v>46</v>
      </c>
      <c r="J990">
        <f t="shared" ca="1" si="105"/>
        <v>9</v>
      </c>
    </row>
    <row r="991" spans="1:10" x14ac:dyDescent="0.25">
      <c r="A991" t="s">
        <v>998</v>
      </c>
      <c r="B991" t="s">
        <v>1</v>
      </c>
      <c r="C991" t="str">
        <f t="shared" si="100"/>
        <v>062038</v>
      </c>
      <c r="D991" t="str">
        <f t="shared" si="101"/>
        <v>TOR</v>
      </c>
      <c r="E991" t="str" cm="1">
        <f t="array" ref="E991">INDEX($E$2:$E$4, MOD(ROW()-1,3)+1)</f>
        <v>Machine 1</v>
      </c>
      <c r="F991">
        <f t="shared" ca="1" si="102"/>
        <v>2</v>
      </c>
      <c r="G991">
        <f t="shared" ca="1" si="103"/>
        <v>0</v>
      </c>
      <c r="H991">
        <f ca="1">RANDBETWEEN(1,J991-2)</f>
        <v>7</v>
      </c>
      <c r="I991">
        <f t="shared" ca="1" si="104"/>
        <v>26</v>
      </c>
      <c r="J991">
        <f t="shared" ca="1" si="105"/>
        <v>9</v>
      </c>
    </row>
    <row r="992" spans="1:10" x14ac:dyDescent="0.25">
      <c r="A992" t="s">
        <v>999</v>
      </c>
      <c r="B992" t="s">
        <v>1</v>
      </c>
      <c r="C992" t="str">
        <f t="shared" si="100"/>
        <v>062040</v>
      </c>
      <c r="D992" t="str">
        <f t="shared" si="101"/>
        <v>TOR</v>
      </c>
      <c r="E992" t="str" cm="1">
        <f t="array" ref="E992">INDEX($E$2:$E$4, MOD(ROW()-1,3)+1)</f>
        <v>Machine 2</v>
      </c>
      <c r="F992">
        <f t="shared" ca="1" si="102"/>
        <v>2</v>
      </c>
      <c r="G992">
        <f t="shared" ca="1" si="103"/>
        <v>0</v>
      </c>
      <c r="H992">
        <f ca="1">RANDBETWEEN(1,J992-2)</f>
        <v>2</v>
      </c>
      <c r="I992">
        <f t="shared" ca="1" si="104"/>
        <v>44</v>
      </c>
      <c r="J992">
        <f t="shared" ca="1" si="105"/>
        <v>7</v>
      </c>
    </row>
    <row r="993" spans="1:10" x14ac:dyDescent="0.25">
      <c r="A993" t="s">
        <v>1000</v>
      </c>
      <c r="B993" t="s">
        <v>1</v>
      </c>
      <c r="C993" t="str">
        <f t="shared" si="100"/>
        <v>062044</v>
      </c>
      <c r="D993" t="str">
        <f t="shared" si="101"/>
        <v>TOR</v>
      </c>
      <c r="E993" t="str" cm="1">
        <f t="array" ref="E993">INDEX($E$2:$E$4, MOD(ROW()-1,3)+1)</f>
        <v>Machine 3</v>
      </c>
      <c r="F993">
        <f t="shared" ca="1" si="102"/>
        <v>2</v>
      </c>
      <c r="G993">
        <f t="shared" ca="1" si="103"/>
        <v>1</v>
      </c>
      <c r="H993">
        <f ca="1">RANDBETWEEN(1,J993-2)</f>
        <v>10</v>
      </c>
      <c r="I993">
        <f t="shared" ca="1" si="104"/>
        <v>42</v>
      </c>
      <c r="J993">
        <f t="shared" ca="1" si="105"/>
        <v>15</v>
      </c>
    </row>
    <row r="994" spans="1:10" x14ac:dyDescent="0.25">
      <c r="A994" t="s">
        <v>1001</v>
      </c>
      <c r="B994" t="s">
        <v>1</v>
      </c>
      <c r="C994" t="str">
        <f t="shared" si="100"/>
        <v>062046</v>
      </c>
      <c r="D994" t="str">
        <f t="shared" si="101"/>
        <v>TOR</v>
      </c>
      <c r="E994" t="str" cm="1">
        <f t="array" ref="E994">INDEX($E$2:$E$4, MOD(ROW()-1,3)+1)</f>
        <v>Machine 1</v>
      </c>
      <c r="F994">
        <f t="shared" ca="1" si="102"/>
        <v>3</v>
      </c>
      <c r="G994">
        <f t="shared" ca="1" si="103"/>
        <v>1</v>
      </c>
      <c r="H994">
        <f ca="1">RANDBETWEEN(1,J994-2)</f>
        <v>6</v>
      </c>
      <c r="I994">
        <f t="shared" ca="1" si="104"/>
        <v>44</v>
      </c>
      <c r="J994">
        <f t="shared" ca="1" si="105"/>
        <v>14</v>
      </c>
    </row>
    <row r="995" spans="1:10" x14ac:dyDescent="0.25">
      <c r="A995" t="s">
        <v>1002</v>
      </c>
      <c r="B995" t="s">
        <v>1</v>
      </c>
      <c r="C995" t="str">
        <f t="shared" si="100"/>
        <v>062048</v>
      </c>
      <c r="D995" t="str">
        <f t="shared" si="101"/>
        <v>TOR</v>
      </c>
      <c r="E995" t="str" cm="1">
        <f t="array" ref="E995">INDEX($E$2:$E$4, MOD(ROW()-1,3)+1)</f>
        <v>Machine 2</v>
      </c>
      <c r="F995">
        <f t="shared" ca="1" si="102"/>
        <v>3</v>
      </c>
      <c r="G995">
        <f t="shared" ca="1" si="103"/>
        <v>1</v>
      </c>
      <c r="H995">
        <f ca="1">RANDBETWEEN(1,J995-2)</f>
        <v>2</v>
      </c>
      <c r="I995">
        <f t="shared" ca="1" si="104"/>
        <v>24</v>
      </c>
      <c r="J995">
        <f t="shared" ca="1" si="105"/>
        <v>7</v>
      </c>
    </row>
    <row r="996" spans="1:10" x14ac:dyDescent="0.25">
      <c r="A996" t="s">
        <v>1003</v>
      </c>
      <c r="B996" t="s">
        <v>1</v>
      </c>
      <c r="C996" t="str">
        <f t="shared" si="100"/>
        <v>062050</v>
      </c>
      <c r="D996" t="str">
        <f t="shared" si="101"/>
        <v>TOR</v>
      </c>
      <c r="E996" t="str" cm="1">
        <f t="array" ref="E996">INDEX($E$2:$E$4, MOD(ROW()-1,3)+1)</f>
        <v>Machine 3</v>
      </c>
      <c r="F996">
        <f t="shared" ca="1" si="102"/>
        <v>2</v>
      </c>
      <c r="G996">
        <f t="shared" ca="1" si="103"/>
        <v>1</v>
      </c>
      <c r="H996">
        <f ca="1">RANDBETWEEN(1,J996-2)</f>
        <v>3</v>
      </c>
      <c r="I996">
        <f t="shared" ca="1" si="104"/>
        <v>29</v>
      </c>
      <c r="J996">
        <f t="shared" ca="1" si="105"/>
        <v>6</v>
      </c>
    </row>
    <row r="997" spans="1:10" x14ac:dyDescent="0.25">
      <c r="A997" t="s">
        <v>1004</v>
      </c>
      <c r="B997" t="s">
        <v>1</v>
      </c>
      <c r="C997" t="str">
        <f t="shared" si="100"/>
        <v>062052</v>
      </c>
      <c r="D997" t="str">
        <f t="shared" si="101"/>
        <v>TOR</v>
      </c>
      <c r="E997" t="str" cm="1">
        <f t="array" ref="E997">INDEX($E$2:$E$4, MOD(ROW()-1,3)+1)</f>
        <v>Machine 1</v>
      </c>
      <c r="F997">
        <f t="shared" ca="1" si="102"/>
        <v>3</v>
      </c>
      <c r="G997">
        <f t="shared" ca="1" si="103"/>
        <v>1</v>
      </c>
      <c r="H997">
        <f ca="1">RANDBETWEEN(1,J997-2)</f>
        <v>2</v>
      </c>
      <c r="I997">
        <f t="shared" ca="1" si="104"/>
        <v>42</v>
      </c>
      <c r="J997">
        <f t="shared" ca="1" si="105"/>
        <v>7</v>
      </c>
    </row>
    <row r="998" spans="1:10" x14ac:dyDescent="0.25">
      <c r="A998" t="s">
        <v>1005</v>
      </c>
      <c r="B998" t="s">
        <v>1</v>
      </c>
      <c r="C998" t="str">
        <f t="shared" si="100"/>
        <v>062054</v>
      </c>
      <c r="D998" t="str">
        <f t="shared" si="101"/>
        <v>TOR</v>
      </c>
      <c r="E998" t="str" cm="1">
        <f t="array" ref="E998">INDEX($E$2:$E$4, MOD(ROW()-1,3)+1)</f>
        <v>Machine 2</v>
      </c>
      <c r="F998">
        <f t="shared" ca="1" si="102"/>
        <v>2</v>
      </c>
      <c r="G998">
        <f t="shared" ca="1" si="103"/>
        <v>1</v>
      </c>
      <c r="H998">
        <f ca="1">RANDBETWEEN(1,J998-2)</f>
        <v>10</v>
      </c>
      <c r="I998">
        <f t="shared" ca="1" si="104"/>
        <v>37</v>
      </c>
      <c r="J998">
        <f t="shared" ca="1" si="105"/>
        <v>12</v>
      </c>
    </row>
    <row r="999" spans="1:10" x14ac:dyDescent="0.25">
      <c r="A999" t="s">
        <v>1006</v>
      </c>
      <c r="B999" t="s">
        <v>1</v>
      </c>
      <c r="C999" t="str">
        <f t="shared" si="100"/>
        <v>062056</v>
      </c>
      <c r="D999" t="str">
        <f t="shared" si="101"/>
        <v>TOR</v>
      </c>
      <c r="E999" t="str" cm="1">
        <f t="array" ref="E999">INDEX($E$2:$E$4, MOD(ROW()-1,3)+1)</f>
        <v>Machine 3</v>
      </c>
      <c r="F999">
        <f t="shared" ca="1" si="102"/>
        <v>2</v>
      </c>
      <c r="G999">
        <f t="shared" ca="1" si="103"/>
        <v>0</v>
      </c>
      <c r="H999">
        <f ca="1">RANDBETWEEN(1,J999-2)</f>
        <v>4</v>
      </c>
      <c r="I999">
        <f t="shared" ca="1" si="104"/>
        <v>32</v>
      </c>
      <c r="J999">
        <f t="shared" ca="1" si="105"/>
        <v>15</v>
      </c>
    </row>
    <row r="1000" spans="1:10" x14ac:dyDescent="0.25">
      <c r="A1000" t="s">
        <v>1007</v>
      </c>
      <c r="B1000" t="s">
        <v>1</v>
      </c>
      <c r="C1000" t="str">
        <f t="shared" si="100"/>
        <v>062058</v>
      </c>
      <c r="D1000" t="str">
        <f t="shared" si="101"/>
        <v>TOR</v>
      </c>
      <c r="E1000" t="str" cm="1">
        <f t="array" ref="E1000">INDEX($E$2:$E$4, MOD(ROW()-1,3)+1)</f>
        <v>Machine 1</v>
      </c>
      <c r="F1000">
        <f t="shared" ca="1" si="102"/>
        <v>3</v>
      </c>
      <c r="G1000">
        <f t="shared" ca="1" si="103"/>
        <v>0</v>
      </c>
      <c r="H1000">
        <f ca="1">RANDBETWEEN(1,J1000-2)</f>
        <v>9</v>
      </c>
      <c r="I1000">
        <f t="shared" ca="1" si="104"/>
        <v>28</v>
      </c>
      <c r="J1000">
        <f t="shared" ca="1" si="105"/>
        <v>14</v>
      </c>
    </row>
    <row r="1001" spans="1:10" x14ac:dyDescent="0.25">
      <c r="A1001" t="s">
        <v>1008</v>
      </c>
      <c r="B1001" t="s">
        <v>1</v>
      </c>
      <c r="C1001" t="str">
        <f t="shared" si="100"/>
        <v>062060</v>
      </c>
      <c r="D1001" t="str">
        <f t="shared" si="101"/>
        <v>TOR</v>
      </c>
      <c r="E1001" t="str" cm="1">
        <f t="array" ref="E1001">INDEX($E$2:$E$4, MOD(ROW()-1,3)+1)</f>
        <v>Machine 2</v>
      </c>
      <c r="F1001">
        <f t="shared" ca="1" si="102"/>
        <v>2</v>
      </c>
      <c r="G1001">
        <f t="shared" ca="1" si="103"/>
        <v>0</v>
      </c>
      <c r="H1001">
        <f ca="1">RANDBETWEEN(1,J1001-2)</f>
        <v>5</v>
      </c>
      <c r="I1001">
        <f t="shared" ca="1" si="104"/>
        <v>34</v>
      </c>
      <c r="J1001">
        <f t="shared" ca="1" si="105"/>
        <v>7</v>
      </c>
    </row>
    <row r="1002" spans="1:10" x14ac:dyDescent="0.25">
      <c r="A1002" t="s">
        <v>1009</v>
      </c>
      <c r="B1002" t="s">
        <v>1</v>
      </c>
      <c r="C1002" t="str">
        <f t="shared" si="100"/>
        <v>062062</v>
      </c>
      <c r="D1002" t="str">
        <f t="shared" si="101"/>
        <v>TOR</v>
      </c>
      <c r="E1002" t="str" cm="1">
        <f t="array" ref="E1002">INDEX($E$2:$E$4, MOD(ROW()-1,3)+1)</f>
        <v>Machine 3</v>
      </c>
      <c r="F1002">
        <f t="shared" ca="1" si="102"/>
        <v>3</v>
      </c>
      <c r="G1002">
        <f t="shared" ca="1" si="103"/>
        <v>0</v>
      </c>
      <c r="H1002">
        <f ca="1">RANDBETWEEN(1,J1002-2)</f>
        <v>2</v>
      </c>
      <c r="I1002">
        <f t="shared" ca="1" si="104"/>
        <v>37</v>
      </c>
      <c r="J1002">
        <f t="shared" ca="1" si="105"/>
        <v>10</v>
      </c>
    </row>
    <row r="1003" spans="1:10" x14ac:dyDescent="0.25">
      <c r="A1003" t="s">
        <v>1010</v>
      </c>
      <c r="B1003" t="s">
        <v>1</v>
      </c>
      <c r="C1003" t="str">
        <f t="shared" si="100"/>
        <v>062064</v>
      </c>
      <c r="D1003" t="str">
        <f t="shared" si="101"/>
        <v>TOR</v>
      </c>
      <c r="E1003" t="str" cm="1">
        <f t="array" ref="E1003">INDEX($E$2:$E$4, MOD(ROW()-1,3)+1)</f>
        <v>Machine 1</v>
      </c>
      <c r="F1003">
        <f t="shared" ca="1" si="102"/>
        <v>2</v>
      </c>
      <c r="G1003">
        <f t="shared" ca="1" si="103"/>
        <v>1</v>
      </c>
      <c r="H1003">
        <f ca="1">RANDBETWEEN(1,J1003-2)</f>
        <v>2</v>
      </c>
      <c r="I1003">
        <f t="shared" ca="1" si="104"/>
        <v>32</v>
      </c>
      <c r="J1003">
        <f t="shared" ca="1" si="105"/>
        <v>7</v>
      </c>
    </row>
    <row r="1004" spans="1:10" x14ac:dyDescent="0.25">
      <c r="A1004" t="s">
        <v>1011</v>
      </c>
      <c r="B1004" t="s">
        <v>1</v>
      </c>
      <c r="C1004" t="str">
        <f t="shared" si="100"/>
        <v>062066</v>
      </c>
      <c r="D1004" t="str">
        <f t="shared" si="101"/>
        <v>TOR</v>
      </c>
      <c r="E1004" t="str" cm="1">
        <f t="array" ref="E1004">INDEX($E$2:$E$4, MOD(ROW()-1,3)+1)</f>
        <v>Machine 2</v>
      </c>
      <c r="F1004">
        <f t="shared" ca="1" si="102"/>
        <v>3</v>
      </c>
      <c r="G1004">
        <f t="shared" ca="1" si="103"/>
        <v>0</v>
      </c>
      <c r="H1004">
        <f ca="1">RANDBETWEEN(1,J1004-2)</f>
        <v>10</v>
      </c>
      <c r="I1004">
        <f t="shared" ca="1" si="104"/>
        <v>47</v>
      </c>
      <c r="J1004">
        <f t="shared" ca="1" si="105"/>
        <v>13</v>
      </c>
    </row>
    <row r="1005" spans="1:10" x14ac:dyDescent="0.25">
      <c r="A1005" t="s">
        <v>1012</v>
      </c>
      <c r="B1005" t="s">
        <v>1</v>
      </c>
      <c r="C1005" t="str">
        <f t="shared" si="100"/>
        <v>062068</v>
      </c>
      <c r="D1005" t="str">
        <f t="shared" si="101"/>
        <v>TOR</v>
      </c>
      <c r="E1005" t="str" cm="1">
        <f t="array" ref="E1005">INDEX($E$2:$E$4, MOD(ROW()-1,3)+1)</f>
        <v>Machine 3</v>
      </c>
      <c r="F1005">
        <f t="shared" ca="1" si="102"/>
        <v>3</v>
      </c>
      <c r="G1005">
        <f t="shared" ca="1" si="103"/>
        <v>0</v>
      </c>
      <c r="H1005">
        <f ca="1">RANDBETWEEN(1,J1005-2)</f>
        <v>2</v>
      </c>
      <c r="I1005">
        <f t="shared" ca="1" si="104"/>
        <v>46</v>
      </c>
      <c r="J1005">
        <f t="shared" ca="1" si="105"/>
        <v>11</v>
      </c>
    </row>
    <row r="1006" spans="1:10" x14ac:dyDescent="0.25">
      <c r="A1006" t="s">
        <v>1013</v>
      </c>
      <c r="B1006" t="s">
        <v>1</v>
      </c>
      <c r="C1006" t="str">
        <f t="shared" si="100"/>
        <v>062070</v>
      </c>
      <c r="D1006" t="str">
        <f t="shared" si="101"/>
        <v>TOR</v>
      </c>
      <c r="E1006" t="str" cm="1">
        <f t="array" ref="E1006">INDEX($E$2:$E$4, MOD(ROW()-1,3)+1)</f>
        <v>Machine 1</v>
      </c>
      <c r="F1006">
        <f t="shared" ca="1" si="102"/>
        <v>3</v>
      </c>
      <c r="G1006">
        <f t="shared" ca="1" si="103"/>
        <v>1</v>
      </c>
      <c r="H1006">
        <f ca="1">RANDBETWEEN(1,J1006-2)</f>
        <v>1</v>
      </c>
      <c r="I1006">
        <f t="shared" ca="1" si="104"/>
        <v>37</v>
      </c>
      <c r="J1006">
        <f t="shared" ca="1" si="105"/>
        <v>10</v>
      </c>
    </row>
    <row r="1007" spans="1:10" x14ac:dyDescent="0.25">
      <c r="A1007" t="s">
        <v>1014</v>
      </c>
      <c r="B1007" t="s">
        <v>1</v>
      </c>
      <c r="C1007" t="str">
        <f t="shared" si="100"/>
        <v>062072</v>
      </c>
      <c r="D1007" t="str">
        <f t="shared" si="101"/>
        <v>TOR</v>
      </c>
      <c r="E1007" t="str" cm="1">
        <f t="array" ref="E1007">INDEX($E$2:$E$4, MOD(ROW()-1,3)+1)</f>
        <v>Machine 2</v>
      </c>
      <c r="F1007">
        <f t="shared" ca="1" si="102"/>
        <v>3</v>
      </c>
      <c r="G1007">
        <f t="shared" ca="1" si="103"/>
        <v>1</v>
      </c>
      <c r="H1007">
        <f ca="1">RANDBETWEEN(1,J1007-2)</f>
        <v>1</v>
      </c>
      <c r="I1007">
        <f t="shared" ca="1" si="104"/>
        <v>28</v>
      </c>
      <c r="J1007">
        <f t="shared" ca="1" si="105"/>
        <v>12</v>
      </c>
    </row>
    <row r="1008" spans="1:10" x14ac:dyDescent="0.25">
      <c r="A1008" t="s">
        <v>1015</v>
      </c>
      <c r="B1008" t="s">
        <v>1</v>
      </c>
      <c r="C1008" t="str">
        <f t="shared" si="100"/>
        <v>062076</v>
      </c>
      <c r="D1008" t="str">
        <f t="shared" si="101"/>
        <v>TOR</v>
      </c>
      <c r="E1008" t="str" cm="1">
        <f t="array" ref="E1008">INDEX($E$2:$E$4, MOD(ROW()-1,3)+1)</f>
        <v>Machine 3</v>
      </c>
      <c r="F1008">
        <f t="shared" ca="1" si="102"/>
        <v>3</v>
      </c>
      <c r="G1008">
        <f t="shared" ca="1" si="103"/>
        <v>0</v>
      </c>
      <c r="H1008">
        <f ca="1">RANDBETWEEN(1,J1008-2)</f>
        <v>1</v>
      </c>
      <c r="I1008">
        <f t="shared" ca="1" si="104"/>
        <v>37</v>
      </c>
      <c r="J1008">
        <f t="shared" ca="1" si="105"/>
        <v>7</v>
      </c>
    </row>
    <row r="1009" spans="1:10" x14ac:dyDescent="0.25">
      <c r="A1009" t="s">
        <v>1016</v>
      </c>
      <c r="B1009" t="s">
        <v>1</v>
      </c>
      <c r="C1009" t="str">
        <f t="shared" si="100"/>
        <v>062078</v>
      </c>
      <c r="D1009" t="str">
        <f t="shared" si="101"/>
        <v>TOR</v>
      </c>
      <c r="E1009" t="str" cm="1">
        <f t="array" ref="E1009">INDEX($E$2:$E$4, MOD(ROW()-1,3)+1)</f>
        <v>Machine 1</v>
      </c>
      <c r="F1009">
        <f t="shared" ca="1" si="102"/>
        <v>2</v>
      </c>
      <c r="G1009">
        <f t="shared" ca="1" si="103"/>
        <v>0</v>
      </c>
      <c r="H1009">
        <f ca="1">RANDBETWEEN(1,J1009-2)</f>
        <v>2</v>
      </c>
      <c r="I1009">
        <f t="shared" ca="1" si="104"/>
        <v>26</v>
      </c>
      <c r="J1009">
        <f t="shared" ca="1" si="105"/>
        <v>6</v>
      </c>
    </row>
    <row r="1010" spans="1:10" x14ac:dyDescent="0.25">
      <c r="A1010" t="s">
        <v>1017</v>
      </c>
      <c r="B1010" t="s">
        <v>1</v>
      </c>
      <c r="C1010" t="str">
        <f t="shared" si="100"/>
        <v>062081</v>
      </c>
      <c r="D1010" t="str">
        <f t="shared" si="101"/>
        <v>TOR</v>
      </c>
      <c r="E1010" t="str" cm="1">
        <f t="array" ref="E1010">INDEX($E$2:$E$4, MOD(ROW()-1,3)+1)</f>
        <v>Machine 2</v>
      </c>
      <c r="F1010">
        <f t="shared" ca="1" si="102"/>
        <v>3</v>
      </c>
      <c r="G1010">
        <f t="shared" ca="1" si="103"/>
        <v>0</v>
      </c>
      <c r="H1010">
        <f ca="1">RANDBETWEEN(1,J1010-2)</f>
        <v>3</v>
      </c>
      <c r="I1010">
        <f t="shared" ca="1" si="104"/>
        <v>44</v>
      </c>
      <c r="J1010">
        <f t="shared" ca="1" si="105"/>
        <v>6</v>
      </c>
    </row>
    <row r="1011" spans="1:10" x14ac:dyDescent="0.25">
      <c r="A1011" t="s">
        <v>1018</v>
      </c>
      <c r="B1011" t="s">
        <v>1</v>
      </c>
      <c r="C1011" t="str">
        <f t="shared" si="100"/>
        <v>062083</v>
      </c>
      <c r="D1011" t="str">
        <f t="shared" si="101"/>
        <v>TOR</v>
      </c>
      <c r="E1011" t="str" cm="1">
        <f t="array" ref="E1011">INDEX($E$2:$E$4, MOD(ROW()-1,3)+1)</f>
        <v>Machine 3</v>
      </c>
      <c r="F1011">
        <f t="shared" ca="1" si="102"/>
        <v>2</v>
      </c>
      <c r="G1011">
        <f t="shared" ca="1" si="103"/>
        <v>0</v>
      </c>
      <c r="H1011">
        <f ca="1">RANDBETWEEN(1,J1011-2)</f>
        <v>3</v>
      </c>
      <c r="I1011">
        <f t="shared" ca="1" si="104"/>
        <v>30</v>
      </c>
      <c r="J1011">
        <f t="shared" ca="1" si="105"/>
        <v>7</v>
      </c>
    </row>
    <row r="1012" spans="1:10" x14ac:dyDescent="0.25">
      <c r="A1012" t="s">
        <v>1019</v>
      </c>
      <c r="B1012" t="s">
        <v>1</v>
      </c>
      <c r="C1012" t="str">
        <f t="shared" si="100"/>
        <v>062086</v>
      </c>
      <c r="D1012" t="str">
        <f t="shared" si="101"/>
        <v>TOR</v>
      </c>
      <c r="E1012" t="str" cm="1">
        <f t="array" ref="E1012">INDEX($E$2:$E$4, MOD(ROW()-1,3)+1)</f>
        <v>Machine 1</v>
      </c>
      <c r="F1012">
        <f t="shared" ca="1" si="102"/>
        <v>3</v>
      </c>
      <c r="G1012">
        <f t="shared" ca="1" si="103"/>
        <v>1</v>
      </c>
      <c r="H1012">
        <f ca="1">RANDBETWEEN(1,J1012-2)</f>
        <v>3</v>
      </c>
      <c r="I1012">
        <f t="shared" ca="1" si="104"/>
        <v>34</v>
      </c>
      <c r="J1012">
        <f t="shared" ca="1" si="105"/>
        <v>5</v>
      </c>
    </row>
    <row r="1013" spans="1:10" x14ac:dyDescent="0.25">
      <c r="A1013" t="s">
        <v>1020</v>
      </c>
      <c r="B1013" t="s">
        <v>1</v>
      </c>
      <c r="C1013" t="str">
        <f t="shared" si="100"/>
        <v>062088</v>
      </c>
      <c r="D1013" t="str">
        <f t="shared" si="101"/>
        <v>TOR</v>
      </c>
      <c r="E1013" t="str" cm="1">
        <f t="array" ref="E1013">INDEX($E$2:$E$4, MOD(ROW()-1,3)+1)</f>
        <v>Machine 2</v>
      </c>
      <c r="F1013">
        <f t="shared" ca="1" si="102"/>
        <v>3</v>
      </c>
      <c r="G1013">
        <f t="shared" ca="1" si="103"/>
        <v>0</v>
      </c>
      <c r="H1013">
        <f ca="1">RANDBETWEEN(1,J1013-2)</f>
        <v>2</v>
      </c>
      <c r="I1013">
        <f t="shared" ca="1" si="104"/>
        <v>31</v>
      </c>
      <c r="J1013">
        <f t="shared" ca="1" si="105"/>
        <v>10</v>
      </c>
    </row>
    <row r="1014" spans="1:10" x14ac:dyDescent="0.25">
      <c r="A1014" t="s">
        <v>1021</v>
      </c>
      <c r="B1014" t="s">
        <v>1</v>
      </c>
      <c r="C1014" t="str">
        <f t="shared" si="100"/>
        <v>062091</v>
      </c>
      <c r="D1014" t="str">
        <f t="shared" si="101"/>
        <v>TOR</v>
      </c>
      <c r="E1014" t="str" cm="1">
        <f t="array" ref="E1014">INDEX($E$2:$E$4, MOD(ROW()-1,3)+1)</f>
        <v>Machine 3</v>
      </c>
      <c r="F1014">
        <f t="shared" ca="1" si="102"/>
        <v>2</v>
      </c>
      <c r="G1014">
        <f t="shared" ca="1" si="103"/>
        <v>1</v>
      </c>
      <c r="H1014">
        <f ca="1">RANDBETWEEN(1,J1014-2)</f>
        <v>1</v>
      </c>
      <c r="I1014">
        <f t="shared" ca="1" si="104"/>
        <v>40</v>
      </c>
      <c r="J1014">
        <f t="shared" ca="1" si="105"/>
        <v>5</v>
      </c>
    </row>
    <row r="1015" spans="1:10" x14ac:dyDescent="0.25">
      <c r="A1015" t="s">
        <v>1022</v>
      </c>
      <c r="B1015" t="s">
        <v>1</v>
      </c>
      <c r="C1015" t="str">
        <f t="shared" si="100"/>
        <v>062095</v>
      </c>
      <c r="D1015" t="str">
        <f t="shared" si="101"/>
        <v>TOR</v>
      </c>
      <c r="E1015" t="str" cm="1">
        <f t="array" ref="E1015">INDEX($E$2:$E$4, MOD(ROW()-1,3)+1)</f>
        <v>Machine 1</v>
      </c>
      <c r="F1015">
        <f t="shared" ca="1" si="102"/>
        <v>2</v>
      </c>
      <c r="G1015">
        <f t="shared" ca="1" si="103"/>
        <v>0</v>
      </c>
      <c r="H1015">
        <f ca="1">RANDBETWEEN(1,J1015-2)</f>
        <v>2</v>
      </c>
      <c r="I1015">
        <f t="shared" ca="1" si="104"/>
        <v>42</v>
      </c>
      <c r="J1015">
        <f t="shared" ca="1" si="105"/>
        <v>8</v>
      </c>
    </row>
    <row r="1016" spans="1:10" x14ac:dyDescent="0.25">
      <c r="A1016" t="s">
        <v>1023</v>
      </c>
      <c r="B1016" t="s">
        <v>1</v>
      </c>
      <c r="C1016" t="str">
        <f t="shared" si="100"/>
        <v>062097</v>
      </c>
      <c r="D1016" t="str">
        <f t="shared" si="101"/>
        <v>TOR</v>
      </c>
      <c r="E1016" t="str" cm="1">
        <f t="array" ref="E1016">INDEX($E$2:$E$4, MOD(ROW()-1,3)+1)</f>
        <v>Machine 2</v>
      </c>
      <c r="F1016">
        <f t="shared" ca="1" si="102"/>
        <v>3</v>
      </c>
      <c r="G1016">
        <f t="shared" ca="1" si="103"/>
        <v>0</v>
      </c>
      <c r="H1016">
        <f ca="1">RANDBETWEEN(1,J1016-2)</f>
        <v>5</v>
      </c>
      <c r="I1016">
        <f t="shared" ca="1" si="104"/>
        <v>25</v>
      </c>
      <c r="J1016">
        <f t="shared" ca="1" si="105"/>
        <v>8</v>
      </c>
    </row>
    <row r="1017" spans="1:10" x14ac:dyDescent="0.25">
      <c r="A1017" t="s">
        <v>1024</v>
      </c>
      <c r="B1017" t="s">
        <v>1</v>
      </c>
      <c r="C1017" t="str">
        <f t="shared" si="100"/>
        <v>062099</v>
      </c>
      <c r="D1017" t="str">
        <f t="shared" si="101"/>
        <v>TOR</v>
      </c>
      <c r="E1017" t="str" cm="1">
        <f t="array" ref="E1017">INDEX($E$2:$E$4, MOD(ROW()-1,3)+1)</f>
        <v>Machine 3</v>
      </c>
      <c r="F1017">
        <f t="shared" ca="1" si="102"/>
        <v>2</v>
      </c>
      <c r="G1017">
        <f t="shared" ca="1" si="103"/>
        <v>0</v>
      </c>
      <c r="H1017">
        <f ca="1">RANDBETWEEN(1,J1017-2)</f>
        <v>1</v>
      </c>
      <c r="I1017">
        <f t="shared" ca="1" si="104"/>
        <v>40</v>
      </c>
      <c r="J1017">
        <f t="shared" ca="1" si="105"/>
        <v>7</v>
      </c>
    </row>
    <row r="1018" spans="1:10" x14ac:dyDescent="0.25">
      <c r="A1018" t="s">
        <v>1025</v>
      </c>
      <c r="B1018" t="s">
        <v>1</v>
      </c>
      <c r="C1018" t="str">
        <f t="shared" si="100"/>
        <v>062101</v>
      </c>
      <c r="D1018" t="str">
        <f t="shared" si="101"/>
        <v>TOR</v>
      </c>
      <c r="E1018" t="str" cm="1">
        <f t="array" ref="E1018">INDEX($E$2:$E$4, MOD(ROW()-1,3)+1)</f>
        <v>Machine 1</v>
      </c>
      <c r="F1018">
        <f t="shared" ca="1" si="102"/>
        <v>3</v>
      </c>
      <c r="G1018">
        <f t="shared" ca="1" si="103"/>
        <v>0</v>
      </c>
      <c r="H1018">
        <f ca="1">RANDBETWEEN(1,J1018-2)</f>
        <v>2</v>
      </c>
      <c r="I1018">
        <f t="shared" ca="1" si="104"/>
        <v>44</v>
      </c>
      <c r="J1018">
        <f t="shared" ca="1" si="105"/>
        <v>14</v>
      </c>
    </row>
    <row r="1019" spans="1:10" x14ac:dyDescent="0.25">
      <c r="A1019" t="s">
        <v>1026</v>
      </c>
      <c r="B1019" t="s">
        <v>1</v>
      </c>
      <c r="C1019" t="str">
        <f t="shared" si="100"/>
        <v>062103</v>
      </c>
      <c r="D1019" t="str">
        <f t="shared" si="101"/>
        <v>TOR</v>
      </c>
      <c r="E1019" t="str" cm="1">
        <f t="array" ref="E1019">INDEX($E$2:$E$4, MOD(ROW()-1,3)+1)</f>
        <v>Machine 2</v>
      </c>
      <c r="F1019">
        <f t="shared" ca="1" si="102"/>
        <v>3</v>
      </c>
      <c r="G1019">
        <f t="shared" ca="1" si="103"/>
        <v>0</v>
      </c>
      <c r="H1019">
        <f ca="1">RANDBETWEEN(1,J1019-2)</f>
        <v>10</v>
      </c>
      <c r="I1019">
        <f t="shared" ca="1" si="104"/>
        <v>34</v>
      </c>
      <c r="J1019">
        <f t="shared" ca="1" si="105"/>
        <v>12</v>
      </c>
    </row>
    <row r="1020" spans="1:10" x14ac:dyDescent="0.25">
      <c r="A1020" t="s">
        <v>1027</v>
      </c>
      <c r="B1020" t="s">
        <v>1</v>
      </c>
      <c r="C1020" t="str">
        <f t="shared" si="100"/>
        <v>062105</v>
      </c>
      <c r="D1020" t="str">
        <f t="shared" si="101"/>
        <v>TOR</v>
      </c>
      <c r="E1020" t="str" cm="1">
        <f t="array" ref="E1020">INDEX($E$2:$E$4, MOD(ROW()-1,3)+1)</f>
        <v>Machine 3</v>
      </c>
      <c r="F1020">
        <f t="shared" ca="1" si="102"/>
        <v>3</v>
      </c>
      <c r="G1020">
        <f t="shared" ca="1" si="103"/>
        <v>1</v>
      </c>
      <c r="H1020">
        <f ca="1">RANDBETWEEN(1,J1020-2)</f>
        <v>8</v>
      </c>
      <c r="I1020">
        <f t="shared" ca="1" si="104"/>
        <v>46</v>
      </c>
      <c r="J1020">
        <f t="shared" ca="1" si="105"/>
        <v>13</v>
      </c>
    </row>
    <row r="1021" spans="1:10" x14ac:dyDescent="0.25">
      <c r="A1021" t="s">
        <v>1028</v>
      </c>
      <c r="B1021" t="s">
        <v>1</v>
      </c>
      <c r="C1021" t="str">
        <f t="shared" si="100"/>
        <v>062107</v>
      </c>
      <c r="D1021" t="str">
        <f t="shared" si="101"/>
        <v>TOR</v>
      </c>
      <c r="E1021" t="str" cm="1">
        <f t="array" ref="E1021">INDEX($E$2:$E$4, MOD(ROW()-1,3)+1)</f>
        <v>Machine 1</v>
      </c>
      <c r="F1021">
        <f t="shared" ca="1" si="102"/>
        <v>3</v>
      </c>
      <c r="G1021">
        <f t="shared" ca="1" si="103"/>
        <v>1</v>
      </c>
      <c r="H1021">
        <f ca="1">RANDBETWEEN(1,J1021-2)</f>
        <v>8</v>
      </c>
      <c r="I1021">
        <f t="shared" ca="1" si="104"/>
        <v>29</v>
      </c>
      <c r="J1021">
        <f t="shared" ca="1" si="105"/>
        <v>13</v>
      </c>
    </row>
    <row r="1022" spans="1:10" x14ac:dyDescent="0.25">
      <c r="A1022" t="s">
        <v>1029</v>
      </c>
      <c r="B1022" t="s">
        <v>1</v>
      </c>
      <c r="C1022" t="str">
        <f t="shared" si="100"/>
        <v>062110</v>
      </c>
      <c r="D1022" t="str">
        <f t="shared" si="101"/>
        <v>TOR</v>
      </c>
      <c r="E1022" t="str" cm="1">
        <f t="array" ref="E1022">INDEX($E$2:$E$4, MOD(ROW()-1,3)+1)</f>
        <v>Machine 2</v>
      </c>
      <c r="F1022">
        <f t="shared" ca="1" si="102"/>
        <v>3</v>
      </c>
      <c r="G1022">
        <f t="shared" ca="1" si="103"/>
        <v>0</v>
      </c>
      <c r="H1022">
        <f ca="1">RANDBETWEEN(1,J1022-2)</f>
        <v>12</v>
      </c>
      <c r="I1022">
        <f t="shared" ca="1" si="104"/>
        <v>46</v>
      </c>
      <c r="J1022">
        <f t="shared" ca="1" si="105"/>
        <v>14</v>
      </c>
    </row>
    <row r="1023" spans="1:10" x14ac:dyDescent="0.25">
      <c r="A1023" t="s">
        <v>1030</v>
      </c>
      <c r="B1023" t="s">
        <v>1</v>
      </c>
      <c r="C1023" t="str">
        <f t="shared" si="100"/>
        <v>062112</v>
      </c>
      <c r="D1023" t="str">
        <f t="shared" si="101"/>
        <v>TOR</v>
      </c>
      <c r="E1023" t="str" cm="1">
        <f t="array" ref="E1023">INDEX($E$2:$E$4, MOD(ROW()-1,3)+1)</f>
        <v>Machine 3</v>
      </c>
      <c r="F1023">
        <f t="shared" ca="1" si="102"/>
        <v>2</v>
      </c>
      <c r="G1023">
        <f t="shared" ca="1" si="103"/>
        <v>1</v>
      </c>
      <c r="H1023">
        <f ca="1">RANDBETWEEN(1,J1023-2)</f>
        <v>1</v>
      </c>
      <c r="I1023">
        <f t="shared" ca="1" si="104"/>
        <v>46</v>
      </c>
      <c r="J1023">
        <f t="shared" ca="1" si="105"/>
        <v>9</v>
      </c>
    </row>
    <row r="1024" spans="1:10" x14ac:dyDescent="0.25">
      <c r="A1024" t="s">
        <v>1031</v>
      </c>
      <c r="B1024" t="s">
        <v>1</v>
      </c>
      <c r="C1024" t="str">
        <f t="shared" si="100"/>
        <v>062115</v>
      </c>
      <c r="D1024" t="str">
        <f t="shared" si="101"/>
        <v>TOR</v>
      </c>
      <c r="E1024" t="str" cm="1">
        <f t="array" ref="E1024">INDEX($E$2:$E$4, MOD(ROW()-1,3)+1)</f>
        <v>Machine 1</v>
      </c>
      <c r="F1024">
        <f t="shared" ca="1" si="102"/>
        <v>3</v>
      </c>
      <c r="G1024">
        <f t="shared" ca="1" si="103"/>
        <v>1</v>
      </c>
      <c r="H1024">
        <f ca="1">RANDBETWEEN(1,J1024-2)</f>
        <v>1</v>
      </c>
      <c r="I1024">
        <f t="shared" ca="1" si="104"/>
        <v>24</v>
      </c>
      <c r="J1024">
        <f t="shared" ca="1" si="105"/>
        <v>8</v>
      </c>
    </row>
    <row r="1025" spans="1:10" x14ac:dyDescent="0.25">
      <c r="A1025" t="s">
        <v>1032</v>
      </c>
      <c r="B1025" t="s">
        <v>1</v>
      </c>
      <c r="C1025" t="str">
        <f t="shared" si="100"/>
        <v>062123</v>
      </c>
      <c r="D1025" t="str">
        <f t="shared" si="101"/>
        <v>TOR</v>
      </c>
      <c r="E1025" t="str" cm="1">
        <f t="array" ref="E1025">INDEX($E$2:$E$4, MOD(ROW()-1,3)+1)</f>
        <v>Machine 2</v>
      </c>
      <c r="F1025">
        <f t="shared" ca="1" si="102"/>
        <v>2</v>
      </c>
      <c r="G1025">
        <f t="shared" ca="1" si="103"/>
        <v>0</v>
      </c>
      <c r="H1025">
        <f ca="1">RANDBETWEEN(1,J1025-2)</f>
        <v>2</v>
      </c>
      <c r="I1025">
        <f t="shared" ca="1" si="104"/>
        <v>24</v>
      </c>
      <c r="J1025">
        <f t="shared" ca="1" si="105"/>
        <v>5</v>
      </c>
    </row>
    <row r="1026" spans="1:10" x14ac:dyDescent="0.25">
      <c r="A1026" t="s">
        <v>1033</v>
      </c>
      <c r="B1026" t="s">
        <v>1</v>
      </c>
      <c r="C1026" t="str">
        <f t="shared" si="100"/>
        <v>062138</v>
      </c>
      <c r="D1026" t="str">
        <f t="shared" si="101"/>
        <v>TOR</v>
      </c>
      <c r="E1026" t="str" cm="1">
        <f t="array" ref="E1026">INDEX($E$2:$E$4, MOD(ROW()-1,3)+1)</f>
        <v>Machine 3</v>
      </c>
      <c r="F1026">
        <f t="shared" ca="1" si="102"/>
        <v>2</v>
      </c>
      <c r="G1026">
        <f t="shared" ca="1" si="103"/>
        <v>0</v>
      </c>
      <c r="H1026">
        <f ca="1">RANDBETWEEN(1,J1026-2)</f>
        <v>3</v>
      </c>
      <c r="I1026">
        <f t="shared" ca="1" si="104"/>
        <v>46</v>
      </c>
      <c r="J1026">
        <f t="shared" ca="1" si="105"/>
        <v>8</v>
      </c>
    </row>
    <row r="1027" spans="1:10" x14ac:dyDescent="0.25">
      <c r="A1027" t="s">
        <v>1034</v>
      </c>
      <c r="B1027" t="s">
        <v>1</v>
      </c>
      <c r="C1027" t="str">
        <f t="shared" ref="C1027:C1087" si="106">RIGHT(A1027,6)</f>
        <v>062141</v>
      </c>
      <c r="D1027" t="str">
        <f t="shared" ref="D1027:D1087" si="107">RIGHT(B1027,3)</f>
        <v>TOR</v>
      </c>
      <c r="E1027" t="str" cm="1">
        <f t="array" ref="E1027">INDEX($E$2:$E$4, MOD(ROW()-1,3)+1)</f>
        <v>Machine 1</v>
      </c>
      <c r="F1027">
        <f t="shared" ref="F1027:F1087" ca="1" si="108">RANDBETWEEN(2,3)</f>
        <v>3</v>
      </c>
      <c r="G1027">
        <f t="shared" ref="G1027:G1087" ca="1" si="109">RANDBETWEEN(0,1)</f>
        <v>1</v>
      </c>
      <c r="H1027">
        <f ca="1">RANDBETWEEN(1,J1027-2)</f>
        <v>3</v>
      </c>
      <c r="I1027">
        <f t="shared" ref="I1027:I1087" ca="1" si="110">RANDBETWEEN(24,48)</f>
        <v>39</v>
      </c>
      <c r="J1027">
        <f t="shared" ref="J1027:J1087" ca="1" si="111">RANDBETWEEN(5,15)</f>
        <v>10</v>
      </c>
    </row>
    <row r="1028" spans="1:10" x14ac:dyDescent="0.25">
      <c r="A1028" t="s">
        <v>1035</v>
      </c>
      <c r="B1028" t="s">
        <v>1</v>
      </c>
      <c r="C1028" t="str">
        <f t="shared" si="106"/>
        <v>062144</v>
      </c>
      <c r="D1028" t="str">
        <f t="shared" si="107"/>
        <v>TOR</v>
      </c>
      <c r="E1028" t="str" cm="1">
        <f t="array" ref="E1028">INDEX($E$2:$E$4, MOD(ROW()-1,3)+1)</f>
        <v>Machine 2</v>
      </c>
      <c r="F1028">
        <f t="shared" ca="1" si="108"/>
        <v>2</v>
      </c>
      <c r="G1028">
        <f t="shared" ca="1" si="109"/>
        <v>0</v>
      </c>
      <c r="H1028">
        <f ca="1">RANDBETWEEN(1,J1028-2)</f>
        <v>1</v>
      </c>
      <c r="I1028">
        <f t="shared" ca="1" si="110"/>
        <v>44</v>
      </c>
      <c r="J1028">
        <f t="shared" ca="1" si="111"/>
        <v>5</v>
      </c>
    </row>
    <row r="1029" spans="1:10" x14ac:dyDescent="0.25">
      <c r="A1029" t="s">
        <v>1036</v>
      </c>
      <c r="B1029" t="s">
        <v>1</v>
      </c>
      <c r="C1029" t="str">
        <f t="shared" si="106"/>
        <v>062147</v>
      </c>
      <c r="D1029" t="str">
        <f t="shared" si="107"/>
        <v>TOR</v>
      </c>
      <c r="E1029" t="str" cm="1">
        <f t="array" ref="E1029">INDEX($E$2:$E$4, MOD(ROW()-1,3)+1)</f>
        <v>Machine 3</v>
      </c>
      <c r="F1029">
        <f t="shared" ca="1" si="108"/>
        <v>3</v>
      </c>
      <c r="G1029">
        <f t="shared" ca="1" si="109"/>
        <v>1</v>
      </c>
      <c r="H1029">
        <f ca="1">RANDBETWEEN(1,J1029-2)</f>
        <v>11</v>
      </c>
      <c r="I1029">
        <f t="shared" ca="1" si="110"/>
        <v>31</v>
      </c>
      <c r="J1029">
        <f t="shared" ca="1" si="111"/>
        <v>15</v>
      </c>
    </row>
    <row r="1030" spans="1:10" x14ac:dyDescent="0.25">
      <c r="A1030" t="s">
        <v>1037</v>
      </c>
      <c r="B1030" t="s">
        <v>1</v>
      </c>
      <c r="C1030" t="str">
        <f t="shared" si="106"/>
        <v>062152</v>
      </c>
      <c r="D1030" t="str">
        <f t="shared" si="107"/>
        <v>TOR</v>
      </c>
      <c r="E1030" t="str" cm="1">
        <f t="array" ref="E1030">INDEX($E$2:$E$4, MOD(ROW()-1,3)+1)</f>
        <v>Machine 1</v>
      </c>
      <c r="F1030">
        <f t="shared" ca="1" si="108"/>
        <v>2</v>
      </c>
      <c r="G1030">
        <f t="shared" ca="1" si="109"/>
        <v>1</v>
      </c>
      <c r="H1030">
        <f ca="1">RANDBETWEEN(1,J1030-2)</f>
        <v>1</v>
      </c>
      <c r="I1030">
        <f t="shared" ca="1" si="110"/>
        <v>26</v>
      </c>
      <c r="J1030">
        <f t="shared" ca="1" si="111"/>
        <v>13</v>
      </c>
    </row>
    <row r="1031" spans="1:10" x14ac:dyDescent="0.25">
      <c r="A1031" t="s">
        <v>1038</v>
      </c>
      <c r="B1031" t="s">
        <v>1</v>
      </c>
      <c r="C1031" t="str">
        <f t="shared" si="106"/>
        <v>062188</v>
      </c>
      <c r="D1031" t="str">
        <f t="shared" si="107"/>
        <v>TOR</v>
      </c>
      <c r="E1031" t="str" cm="1">
        <f t="array" ref="E1031">INDEX($E$2:$E$4, MOD(ROW()-1,3)+1)</f>
        <v>Machine 2</v>
      </c>
      <c r="F1031">
        <f t="shared" ca="1" si="108"/>
        <v>3</v>
      </c>
      <c r="G1031">
        <f t="shared" ca="1" si="109"/>
        <v>0</v>
      </c>
      <c r="H1031">
        <f ca="1">RANDBETWEEN(1,J1031-2)</f>
        <v>3</v>
      </c>
      <c r="I1031">
        <f t="shared" ca="1" si="110"/>
        <v>24</v>
      </c>
      <c r="J1031">
        <f t="shared" ca="1" si="111"/>
        <v>14</v>
      </c>
    </row>
    <row r="1032" spans="1:10" x14ac:dyDescent="0.25">
      <c r="A1032" t="s">
        <v>1039</v>
      </c>
      <c r="B1032" t="s">
        <v>1</v>
      </c>
      <c r="C1032" t="str">
        <f t="shared" si="106"/>
        <v>062191</v>
      </c>
      <c r="D1032" t="str">
        <f t="shared" si="107"/>
        <v>TOR</v>
      </c>
      <c r="E1032" t="str" cm="1">
        <f t="array" ref="E1032">INDEX($E$2:$E$4, MOD(ROW()-1,3)+1)</f>
        <v>Machine 3</v>
      </c>
      <c r="F1032">
        <f t="shared" ca="1" si="108"/>
        <v>3</v>
      </c>
      <c r="G1032">
        <f t="shared" ca="1" si="109"/>
        <v>0</v>
      </c>
      <c r="H1032">
        <f ca="1">RANDBETWEEN(1,J1032-2)</f>
        <v>3</v>
      </c>
      <c r="I1032">
        <f t="shared" ca="1" si="110"/>
        <v>40</v>
      </c>
      <c r="J1032">
        <f t="shared" ca="1" si="111"/>
        <v>9</v>
      </c>
    </row>
    <row r="1033" spans="1:10" x14ac:dyDescent="0.25">
      <c r="A1033" t="s">
        <v>1040</v>
      </c>
      <c r="B1033" t="s">
        <v>1</v>
      </c>
      <c r="C1033" t="str">
        <f t="shared" si="106"/>
        <v>062193</v>
      </c>
      <c r="D1033" t="str">
        <f t="shared" si="107"/>
        <v>TOR</v>
      </c>
      <c r="E1033" t="str" cm="1">
        <f t="array" ref="E1033">INDEX($E$2:$E$4, MOD(ROW()-1,3)+1)</f>
        <v>Machine 1</v>
      </c>
      <c r="F1033">
        <f t="shared" ca="1" si="108"/>
        <v>2</v>
      </c>
      <c r="G1033">
        <f t="shared" ca="1" si="109"/>
        <v>1</v>
      </c>
      <c r="H1033">
        <f ca="1">RANDBETWEEN(1,J1033-2)</f>
        <v>9</v>
      </c>
      <c r="I1033">
        <f t="shared" ca="1" si="110"/>
        <v>42</v>
      </c>
      <c r="J1033">
        <f t="shared" ca="1" si="111"/>
        <v>13</v>
      </c>
    </row>
    <row r="1034" spans="1:10" x14ac:dyDescent="0.25">
      <c r="A1034" t="s">
        <v>1041</v>
      </c>
      <c r="B1034" t="s">
        <v>1</v>
      </c>
      <c r="C1034" t="str">
        <f t="shared" si="106"/>
        <v>062198</v>
      </c>
      <c r="D1034" t="str">
        <f t="shared" si="107"/>
        <v>TOR</v>
      </c>
      <c r="E1034" t="str" cm="1">
        <f t="array" ref="E1034">INDEX($E$2:$E$4, MOD(ROW()-1,3)+1)</f>
        <v>Machine 2</v>
      </c>
      <c r="F1034">
        <f t="shared" ca="1" si="108"/>
        <v>3</v>
      </c>
      <c r="G1034">
        <f t="shared" ca="1" si="109"/>
        <v>1</v>
      </c>
      <c r="H1034">
        <f ca="1">RANDBETWEEN(1,J1034-2)</f>
        <v>1</v>
      </c>
      <c r="I1034">
        <f t="shared" ca="1" si="110"/>
        <v>27</v>
      </c>
      <c r="J1034">
        <f t="shared" ca="1" si="111"/>
        <v>7</v>
      </c>
    </row>
    <row r="1035" spans="1:10" x14ac:dyDescent="0.25">
      <c r="A1035" t="s">
        <v>1042</v>
      </c>
      <c r="B1035" t="s">
        <v>1</v>
      </c>
      <c r="C1035" t="str">
        <f t="shared" si="106"/>
        <v>062201</v>
      </c>
      <c r="D1035" t="str">
        <f t="shared" si="107"/>
        <v>TOR</v>
      </c>
      <c r="E1035" t="str" cm="1">
        <f t="array" ref="E1035">INDEX($E$2:$E$4, MOD(ROW()-1,3)+1)</f>
        <v>Machine 3</v>
      </c>
      <c r="F1035">
        <f t="shared" ca="1" si="108"/>
        <v>2</v>
      </c>
      <c r="G1035">
        <f t="shared" ca="1" si="109"/>
        <v>1</v>
      </c>
      <c r="H1035">
        <f ca="1">RANDBETWEEN(1,J1035-2)</f>
        <v>12</v>
      </c>
      <c r="I1035">
        <f t="shared" ca="1" si="110"/>
        <v>38</v>
      </c>
      <c r="J1035">
        <f t="shared" ca="1" si="111"/>
        <v>15</v>
      </c>
    </row>
    <row r="1036" spans="1:10" x14ac:dyDescent="0.25">
      <c r="A1036" t="s">
        <v>1043</v>
      </c>
      <c r="B1036" t="s">
        <v>1</v>
      </c>
      <c r="C1036" t="str">
        <f t="shared" si="106"/>
        <v>062203</v>
      </c>
      <c r="D1036" t="str">
        <f t="shared" si="107"/>
        <v>TOR</v>
      </c>
      <c r="E1036" t="str" cm="1">
        <f t="array" ref="E1036">INDEX($E$2:$E$4, MOD(ROW()-1,3)+1)</f>
        <v>Machine 1</v>
      </c>
      <c r="F1036">
        <f t="shared" ca="1" si="108"/>
        <v>3</v>
      </c>
      <c r="G1036">
        <f t="shared" ca="1" si="109"/>
        <v>0</v>
      </c>
      <c r="H1036">
        <f ca="1">RANDBETWEEN(1,J1036-2)</f>
        <v>3</v>
      </c>
      <c r="I1036">
        <f t="shared" ca="1" si="110"/>
        <v>41</v>
      </c>
      <c r="J1036">
        <f t="shared" ca="1" si="111"/>
        <v>7</v>
      </c>
    </row>
    <row r="1037" spans="1:10" x14ac:dyDescent="0.25">
      <c r="A1037" t="s">
        <v>1044</v>
      </c>
      <c r="B1037" t="s">
        <v>1</v>
      </c>
      <c r="C1037" t="str">
        <f t="shared" si="106"/>
        <v>062208</v>
      </c>
      <c r="D1037" t="str">
        <f t="shared" si="107"/>
        <v>TOR</v>
      </c>
      <c r="E1037" t="str" cm="1">
        <f t="array" ref="E1037">INDEX($E$2:$E$4, MOD(ROW()-1,3)+1)</f>
        <v>Machine 2</v>
      </c>
      <c r="F1037">
        <f t="shared" ca="1" si="108"/>
        <v>2</v>
      </c>
      <c r="G1037">
        <f t="shared" ca="1" si="109"/>
        <v>0</v>
      </c>
      <c r="H1037">
        <f ca="1">RANDBETWEEN(1,J1037-2)</f>
        <v>2</v>
      </c>
      <c r="I1037">
        <f t="shared" ca="1" si="110"/>
        <v>43</v>
      </c>
      <c r="J1037">
        <f t="shared" ca="1" si="111"/>
        <v>6</v>
      </c>
    </row>
    <row r="1038" spans="1:10" x14ac:dyDescent="0.25">
      <c r="A1038" t="s">
        <v>1045</v>
      </c>
      <c r="B1038" t="s">
        <v>1</v>
      </c>
      <c r="C1038" t="str">
        <f t="shared" si="106"/>
        <v>062212</v>
      </c>
      <c r="D1038" t="str">
        <f t="shared" si="107"/>
        <v>TOR</v>
      </c>
      <c r="E1038" t="str" cm="1">
        <f t="array" ref="E1038">INDEX($E$2:$E$4, MOD(ROW()-1,3)+1)</f>
        <v>Machine 3</v>
      </c>
      <c r="F1038">
        <f t="shared" ca="1" si="108"/>
        <v>3</v>
      </c>
      <c r="G1038">
        <f t="shared" ca="1" si="109"/>
        <v>1</v>
      </c>
      <c r="H1038">
        <f ca="1">RANDBETWEEN(1,J1038-2)</f>
        <v>8</v>
      </c>
      <c r="I1038">
        <f t="shared" ca="1" si="110"/>
        <v>27</v>
      </c>
      <c r="J1038">
        <f t="shared" ca="1" si="111"/>
        <v>10</v>
      </c>
    </row>
    <row r="1039" spans="1:10" x14ac:dyDescent="0.25">
      <c r="A1039" t="s">
        <v>1046</v>
      </c>
      <c r="B1039" t="s">
        <v>1</v>
      </c>
      <c r="C1039" t="str">
        <f t="shared" si="106"/>
        <v>062215</v>
      </c>
      <c r="D1039" t="str">
        <f t="shared" si="107"/>
        <v>TOR</v>
      </c>
      <c r="E1039" t="str" cm="1">
        <f t="array" ref="E1039">INDEX($E$2:$E$4, MOD(ROW()-1,3)+1)</f>
        <v>Machine 1</v>
      </c>
      <c r="F1039">
        <f t="shared" ca="1" si="108"/>
        <v>2</v>
      </c>
      <c r="G1039">
        <f t="shared" ca="1" si="109"/>
        <v>0</v>
      </c>
      <c r="H1039">
        <f ca="1">RANDBETWEEN(1,J1039-2)</f>
        <v>4</v>
      </c>
      <c r="I1039">
        <f t="shared" ca="1" si="110"/>
        <v>47</v>
      </c>
      <c r="J1039">
        <f t="shared" ca="1" si="111"/>
        <v>6</v>
      </c>
    </row>
    <row r="1040" spans="1:10" x14ac:dyDescent="0.25">
      <c r="A1040" t="s">
        <v>1047</v>
      </c>
      <c r="B1040" t="s">
        <v>1</v>
      </c>
      <c r="C1040" t="str">
        <f t="shared" si="106"/>
        <v>062218</v>
      </c>
      <c r="D1040" t="str">
        <f t="shared" si="107"/>
        <v>TOR</v>
      </c>
      <c r="E1040" t="str" cm="1">
        <f t="array" ref="E1040">INDEX($E$2:$E$4, MOD(ROW()-1,3)+1)</f>
        <v>Machine 2</v>
      </c>
      <c r="F1040">
        <f t="shared" ca="1" si="108"/>
        <v>3</v>
      </c>
      <c r="G1040">
        <f t="shared" ca="1" si="109"/>
        <v>1</v>
      </c>
      <c r="H1040">
        <f ca="1">RANDBETWEEN(1,J1040-2)</f>
        <v>4</v>
      </c>
      <c r="I1040">
        <f t="shared" ca="1" si="110"/>
        <v>36</v>
      </c>
      <c r="J1040">
        <f t="shared" ca="1" si="111"/>
        <v>8</v>
      </c>
    </row>
    <row r="1041" spans="1:10" x14ac:dyDescent="0.25">
      <c r="A1041" t="s">
        <v>1048</v>
      </c>
      <c r="B1041" t="s">
        <v>1</v>
      </c>
      <c r="C1041" t="str">
        <f t="shared" si="106"/>
        <v>062222</v>
      </c>
      <c r="D1041" t="str">
        <f t="shared" si="107"/>
        <v>TOR</v>
      </c>
      <c r="E1041" t="str" cm="1">
        <f t="array" ref="E1041">INDEX($E$2:$E$4, MOD(ROW()-1,3)+1)</f>
        <v>Machine 3</v>
      </c>
      <c r="F1041">
        <f t="shared" ca="1" si="108"/>
        <v>3</v>
      </c>
      <c r="G1041">
        <f t="shared" ca="1" si="109"/>
        <v>0</v>
      </c>
      <c r="H1041">
        <f ca="1">RANDBETWEEN(1,J1041-2)</f>
        <v>2</v>
      </c>
      <c r="I1041">
        <f t="shared" ca="1" si="110"/>
        <v>38</v>
      </c>
      <c r="J1041">
        <f t="shared" ca="1" si="111"/>
        <v>6</v>
      </c>
    </row>
    <row r="1042" spans="1:10" x14ac:dyDescent="0.25">
      <c r="A1042" t="s">
        <v>1049</v>
      </c>
      <c r="B1042" t="s">
        <v>1</v>
      </c>
      <c r="C1042" t="str">
        <f t="shared" si="106"/>
        <v>062225</v>
      </c>
      <c r="D1042" t="str">
        <f t="shared" si="107"/>
        <v>TOR</v>
      </c>
      <c r="E1042" t="str" cm="1">
        <f t="array" ref="E1042">INDEX($E$2:$E$4, MOD(ROW()-1,3)+1)</f>
        <v>Machine 1</v>
      </c>
      <c r="F1042">
        <f t="shared" ca="1" si="108"/>
        <v>2</v>
      </c>
      <c r="G1042">
        <f t="shared" ca="1" si="109"/>
        <v>1</v>
      </c>
      <c r="H1042">
        <f ca="1">RANDBETWEEN(1,J1042-2)</f>
        <v>2</v>
      </c>
      <c r="I1042">
        <f t="shared" ca="1" si="110"/>
        <v>27</v>
      </c>
      <c r="J1042">
        <f t="shared" ca="1" si="111"/>
        <v>6</v>
      </c>
    </row>
    <row r="1043" spans="1:10" x14ac:dyDescent="0.25">
      <c r="A1043" t="s">
        <v>1050</v>
      </c>
      <c r="B1043" t="s">
        <v>1</v>
      </c>
      <c r="C1043" t="str">
        <f t="shared" si="106"/>
        <v>062227</v>
      </c>
      <c r="D1043" t="str">
        <f t="shared" si="107"/>
        <v>TOR</v>
      </c>
      <c r="E1043" t="str" cm="1">
        <f t="array" ref="E1043">INDEX($E$2:$E$4, MOD(ROW()-1,3)+1)</f>
        <v>Machine 2</v>
      </c>
      <c r="F1043">
        <f t="shared" ca="1" si="108"/>
        <v>2</v>
      </c>
      <c r="G1043">
        <f t="shared" ca="1" si="109"/>
        <v>1</v>
      </c>
      <c r="H1043">
        <f ca="1">RANDBETWEEN(1,J1043-2)</f>
        <v>11</v>
      </c>
      <c r="I1043">
        <f t="shared" ca="1" si="110"/>
        <v>24</v>
      </c>
      <c r="J1043">
        <f t="shared" ca="1" si="111"/>
        <v>13</v>
      </c>
    </row>
    <row r="1044" spans="1:10" x14ac:dyDescent="0.25">
      <c r="A1044" t="s">
        <v>1051</v>
      </c>
      <c r="B1044" t="s">
        <v>1</v>
      </c>
      <c r="C1044" t="str">
        <f t="shared" si="106"/>
        <v>062229</v>
      </c>
      <c r="D1044" t="str">
        <f t="shared" si="107"/>
        <v>TOR</v>
      </c>
      <c r="E1044" t="str" cm="1">
        <f t="array" ref="E1044">INDEX($E$2:$E$4, MOD(ROW()-1,3)+1)</f>
        <v>Machine 3</v>
      </c>
      <c r="F1044">
        <f t="shared" ca="1" si="108"/>
        <v>2</v>
      </c>
      <c r="G1044">
        <f t="shared" ca="1" si="109"/>
        <v>0</v>
      </c>
      <c r="H1044">
        <f ca="1">RANDBETWEEN(1,J1044-2)</f>
        <v>4</v>
      </c>
      <c r="I1044">
        <f t="shared" ca="1" si="110"/>
        <v>40</v>
      </c>
      <c r="J1044">
        <f t="shared" ca="1" si="111"/>
        <v>12</v>
      </c>
    </row>
    <row r="1045" spans="1:10" x14ac:dyDescent="0.25">
      <c r="A1045" t="s">
        <v>1052</v>
      </c>
      <c r="B1045" t="s">
        <v>1</v>
      </c>
      <c r="C1045" t="str">
        <f t="shared" si="106"/>
        <v>062231</v>
      </c>
      <c r="D1045" t="str">
        <f t="shared" si="107"/>
        <v>TOR</v>
      </c>
      <c r="E1045" t="str" cm="1">
        <f t="array" ref="E1045">INDEX($E$2:$E$4, MOD(ROW()-1,3)+1)</f>
        <v>Machine 1</v>
      </c>
      <c r="F1045">
        <f t="shared" ca="1" si="108"/>
        <v>3</v>
      </c>
      <c r="G1045">
        <f t="shared" ca="1" si="109"/>
        <v>1</v>
      </c>
      <c r="H1045">
        <f ca="1">RANDBETWEEN(1,J1045-2)</f>
        <v>7</v>
      </c>
      <c r="I1045">
        <f t="shared" ca="1" si="110"/>
        <v>29</v>
      </c>
      <c r="J1045">
        <f t="shared" ca="1" si="111"/>
        <v>10</v>
      </c>
    </row>
    <row r="1046" spans="1:10" x14ac:dyDescent="0.25">
      <c r="A1046" t="s">
        <v>1053</v>
      </c>
      <c r="B1046" t="s">
        <v>1</v>
      </c>
      <c r="C1046" t="str">
        <f t="shared" si="106"/>
        <v>062233</v>
      </c>
      <c r="D1046" t="str">
        <f t="shared" si="107"/>
        <v>TOR</v>
      </c>
      <c r="E1046" t="str" cm="1">
        <f t="array" ref="E1046">INDEX($E$2:$E$4, MOD(ROW()-1,3)+1)</f>
        <v>Machine 2</v>
      </c>
      <c r="F1046">
        <f t="shared" ca="1" si="108"/>
        <v>3</v>
      </c>
      <c r="G1046">
        <f t="shared" ca="1" si="109"/>
        <v>0</v>
      </c>
      <c r="H1046">
        <f ca="1">RANDBETWEEN(1,J1046-2)</f>
        <v>1</v>
      </c>
      <c r="I1046">
        <f t="shared" ca="1" si="110"/>
        <v>27</v>
      </c>
      <c r="J1046">
        <f t="shared" ca="1" si="111"/>
        <v>7</v>
      </c>
    </row>
    <row r="1047" spans="1:10" x14ac:dyDescent="0.25">
      <c r="A1047" t="s">
        <v>1054</v>
      </c>
      <c r="B1047" t="s">
        <v>1</v>
      </c>
      <c r="C1047" t="str">
        <f t="shared" si="106"/>
        <v>062235</v>
      </c>
      <c r="D1047" t="str">
        <f t="shared" si="107"/>
        <v>TOR</v>
      </c>
      <c r="E1047" t="str" cm="1">
        <f t="array" ref="E1047">INDEX($E$2:$E$4, MOD(ROW()-1,3)+1)</f>
        <v>Machine 3</v>
      </c>
      <c r="F1047">
        <f t="shared" ca="1" si="108"/>
        <v>2</v>
      </c>
      <c r="G1047">
        <f t="shared" ca="1" si="109"/>
        <v>1</v>
      </c>
      <c r="H1047">
        <f ca="1">RANDBETWEEN(1,J1047-2)</f>
        <v>2</v>
      </c>
      <c r="I1047">
        <f t="shared" ca="1" si="110"/>
        <v>37</v>
      </c>
      <c r="J1047">
        <f t="shared" ca="1" si="111"/>
        <v>12</v>
      </c>
    </row>
    <row r="1048" spans="1:10" x14ac:dyDescent="0.25">
      <c r="A1048" t="s">
        <v>1055</v>
      </c>
      <c r="B1048" t="s">
        <v>1</v>
      </c>
      <c r="C1048" t="str">
        <f t="shared" si="106"/>
        <v>062237</v>
      </c>
      <c r="D1048" t="str">
        <f t="shared" si="107"/>
        <v>TOR</v>
      </c>
      <c r="E1048" t="str" cm="1">
        <f t="array" ref="E1048">INDEX($E$2:$E$4, MOD(ROW()-1,3)+1)</f>
        <v>Machine 1</v>
      </c>
      <c r="F1048">
        <f t="shared" ca="1" si="108"/>
        <v>2</v>
      </c>
      <c r="G1048">
        <f t="shared" ca="1" si="109"/>
        <v>1</v>
      </c>
      <c r="H1048">
        <f ca="1">RANDBETWEEN(1,J1048-2)</f>
        <v>4</v>
      </c>
      <c r="I1048">
        <f t="shared" ca="1" si="110"/>
        <v>39</v>
      </c>
      <c r="J1048">
        <f t="shared" ca="1" si="111"/>
        <v>6</v>
      </c>
    </row>
    <row r="1049" spans="1:10" x14ac:dyDescent="0.25">
      <c r="A1049" t="s">
        <v>1056</v>
      </c>
      <c r="B1049" t="s">
        <v>1</v>
      </c>
      <c r="C1049" t="str">
        <f t="shared" si="106"/>
        <v>062239</v>
      </c>
      <c r="D1049" t="str">
        <f t="shared" si="107"/>
        <v>TOR</v>
      </c>
      <c r="E1049" t="str" cm="1">
        <f t="array" ref="E1049">INDEX($E$2:$E$4, MOD(ROW()-1,3)+1)</f>
        <v>Machine 2</v>
      </c>
      <c r="F1049">
        <f t="shared" ca="1" si="108"/>
        <v>3</v>
      </c>
      <c r="G1049">
        <f t="shared" ca="1" si="109"/>
        <v>0</v>
      </c>
      <c r="H1049">
        <f ca="1">RANDBETWEEN(1,J1049-2)</f>
        <v>6</v>
      </c>
      <c r="I1049">
        <f t="shared" ca="1" si="110"/>
        <v>45</v>
      </c>
      <c r="J1049">
        <f t="shared" ca="1" si="111"/>
        <v>11</v>
      </c>
    </row>
    <row r="1050" spans="1:10" x14ac:dyDescent="0.25">
      <c r="A1050" t="s">
        <v>1057</v>
      </c>
      <c r="B1050" t="s">
        <v>1</v>
      </c>
      <c r="C1050" t="str">
        <f t="shared" si="106"/>
        <v>062462</v>
      </c>
      <c r="D1050" t="str">
        <f t="shared" si="107"/>
        <v>TOR</v>
      </c>
      <c r="E1050" t="str" cm="1">
        <f t="array" ref="E1050">INDEX($E$2:$E$4, MOD(ROW()-1,3)+1)</f>
        <v>Machine 3</v>
      </c>
      <c r="F1050">
        <f t="shared" ca="1" si="108"/>
        <v>2</v>
      </c>
      <c r="G1050">
        <f t="shared" ca="1" si="109"/>
        <v>0</v>
      </c>
      <c r="H1050">
        <f ca="1">RANDBETWEEN(1,J1050-2)</f>
        <v>3</v>
      </c>
      <c r="I1050">
        <f t="shared" ca="1" si="110"/>
        <v>31</v>
      </c>
      <c r="J1050">
        <f t="shared" ca="1" si="111"/>
        <v>5</v>
      </c>
    </row>
    <row r="1051" spans="1:10" x14ac:dyDescent="0.25">
      <c r="A1051" t="s">
        <v>1058</v>
      </c>
      <c r="B1051" t="s">
        <v>1</v>
      </c>
      <c r="C1051" t="str">
        <f t="shared" si="106"/>
        <v>062538</v>
      </c>
      <c r="D1051" t="str">
        <f t="shared" si="107"/>
        <v>TOR</v>
      </c>
      <c r="E1051" t="str" cm="1">
        <f t="array" ref="E1051">INDEX($E$2:$E$4, MOD(ROW()-1,3)+1)</f>
        <v>Machine 1</v>
      </c>
      <c r="F1051">
        <f t="shared" ca="1" si="108"/>
        <v>2</v>
      </c>
      <c r="G1051">
        <f t="shared" ca="1" si="109"/>
        <v>0</v>
      </c>
      <c r="H1051">
        <f ca="1">RANDBETWEEN(1,J1051-2)</f>
        <v>12</v>
      </c>
      <c r="I1051">
        <f t="shared" ca="1" si="110"/>
        <v>29</v>
      </c>
      <c r="J1051">
        <f t="shared" ca="1" si="111"/>
        <v>15</v>
      </c>
    </row>
    <row r="1052" spans="1:10" x14ac:dyDescent="0.25">
      <c r="A1052" t="s">
        <v>1059</v>
      </c>
      <c r="B1052" t="s">
        <v>1</v>
      </c>
      <c r="C1052" t="str">
        <f t="shared" si="106"/>
        <v>062540</v>
      </c>
      <c r="D1052" t="str">
        <f t="shared" si="107"/>
        <v>TOR</v>
      </c>
      <c r="E1052" t="str" cm="1">
        <f t="array" ref="E1052">INDEX($E$2:$E$4, MOD(ROW()-1,3)+1)</f>
        <v>Machine 2</v>
      </c>
      <c r="F1052">
        <f t="shared" ca="1" si="108"/>
        <v>2</v>
      </c>
      <c r="G1052">
        <f t="shared" ca="1" si="109"/>
        <v>0</v>
      </c>
      <c r="H1052">
        <f ca="1">RANDBETWEEN(1,J1052-2)</f>
        <v>4</v>
      </c>
      <c r="I1052">
        <f t="shared" ca="1" si="110"/>
        <v>27</v>
      </c>
      <c r="J1052">
        <f t="shared" ca="1" si="111"/>
        <v>11</v>
      </c>
    </row>
    <row r="1053" spans="1:10" x14ac:dyDescent="0.25">
      <c r="A1053" t="s">
        <v>1060</v>
      </c>
      <c r="B1053" t="s">
        <v>1</v>
      </c>
      <c r="C1053" t="str">
        <f t="shared" si="106"/>
        <v>062542</v>
      </c>
      <c r="D1053" t="str">
        <f t="shared" si="107"/>
        <v>TOR</v>
      </c>
      <c r="E1053" t="str" cm="1">
        <f t="array" ref="E1053">INDEX($E$2:$E$4, MOD(ROW()-1,3)+1)</f>
        <v>Machine 3</v>
      </c>
      <c r="F1053">
        <f t="shared" ca="1" si="108"/>
        <v>3</v>
      </c>
      <c r="G1053">
        <f t="shared" ca="1" si="109"/>
        <v>0</v>
      </c>
      <c r="H1053">
        <f ca="1">RANDBETWEEN(1,J1053-2)</f>
        <v>10</v>
      </c>
      <c r="I1053">
        <f t="shared" ca="1" si="110"/>
        <v>30</v>
      </c>
      <c r="J1053">
        <f t="shared" ca="1" si="111"/>
        <v>12</v>
      </c>
    </row>
    <row r="1054" spans="1:10" x14ac:dyDescent="0.25">
      <c r="A1054" t="s">
        <v>1061</v>
      </c>
      <c r="B1054" t="s">
        <v>1</v>
      </c>
      <c r="C1054" t="str">
        <f t="shared" si="106"/>
        <v>062544</v>
      </c>
      <c r="D1054" t="str">
        <f t="shared" si="107"/>
        <v>TOR</v>
      </c>
      <c r="E1054" t="str" cm="1">
        <f t="array" ref="E1054">INDEX($E$2:$E$4, MOD(ROW()-1,3)+1)</f>
        <v>Machine 1</v>
      </c>
      <c r="F1054">
        <f t="shared" ca="1" si="108"/>
        <v>3</v>
      </c>
      <c r="G1054">
        <f t="shared" ca="1" si="109"/>
        <v>1</v>
      </c>
      <c r="H1054">
        <f ca="1">RANDBETWEEN(1,J1054-2)</f>
        <v>5</v>
      </c>
      <c r="I1054">
        <f t="shared" ca="1" si="110"/>
        <v>43</v>
      </c>
      <c r="J1054">
        <f t="shared" ca="1" si="111"/>
        <v>7</v>
      </c>
    </row>
    <row r="1055" spans="1:10" x14ac:dyDescent="0.25">
      <c r="A1055" t="s">
        <v>1062</v>
      </c>
      <c r="B1055" t="s">
        <v>1</v>
      </c>
      <c r="C1055" t="str">
        <f t="shared" si="106"/>
        <v>062546</v>
      </c>
      <c r="D1055" t="str">
        <f t="shared" si="107"/>
        <v>TOR</v>
      </c>
      <c r="E1055" t="str" cm="1">
        <f t="array" ref="E1055">INDEX($E$2:$E$4, MOD(ROW()-1,3)+1)</f>
        <v>Machine 2</v>
      </c>
      <c r="F1055">
        <f t="shared" ca="1" si="108"/>
        <v>2</v>
      </c>
      <c r="G1055">
        <f t="shared" ca="1" si="109"/>
        <v>1</v>
      </c>
      <c r="H1055">
        <f ca="1">RANDBETWEEN(1,J1055-2)</f>
        <v>8</v>
      </c>
      <c r="I1055">
        <f t="shared" ca="1" si="110"/>
        <v>39</v>
      </c>
      <c r="J1055">
        <f t="shared" ca="1" si="111"/>
        <v>10</v>
      </c>
    </row>
    <row r="1056" spans="1:10" x14ac:dyDescent="0.25">
      <c r="A1056" t="s">
        <v>1063</v>
      </c>
      <c r="B1056" t="s">
        <v>1</v>
      </c>
      <c r="C1056" t="str">
        <f t="shared" si="106"/>
        <v>062548</v>
      </c>
      <c r="D1056" t="str">
        <f t="shared" si="107"/>
        <v>TOR</v>
      </c>
      <c r="E1056" t="str" cm="1">
        <f t="array" ref="E1056">INDEX($E$2:$E$4, MOD(ROW()-1,3)+1)</f>
        <v>Machine 3</v>
      </c>
      <c r="F1056">
        <f t="shared" ca="1" si="108"/>
        <v>2</v>
      </c>
      <c r="G1056">
        <f t="shared" ca="1" si="109"/>
        <v>0</v>
      </c>
      <c r="H1056">
        <f ca="1">RANDBETWEEN(1,J1056-2)</f>
        <v>5</v>
      </c>
      <c r="I1056">
        <f t="shared" ca="1" si="110"/>
        <v>42</v>
      </c>
      <c r="J1056">
        <f t="shared" ca="1" si="111"/>
        <v>9</v>
      </c>
    </row>
    <row r="1057" spans="1:10" x14ac:dyDescent="0.25">
      <c r="A1057" t="s">
        <v>1064</v>
      </c>
      <c r="B1057" t="s">
        <v>1</v>
      </c>
      <c r="C1057" t="str">
        <f t="shared" si="106"/>
        <v>062550</v>
      </c>
      <c r="D1057" t="str">
        <f t="shared" si="107"/>
        <v>TOR</v>
      </c>
      <c r="E1057" t="str" cm="1">
        <f t="array" ref="E1057">INDEX($E$2:$E$4, MOD(ROW()-1,3)+1)</f>
        <v>Machine 1</v>
      </c>
      <c r="F1057">
        <f t="shared" ca="1" si="108"/>
        <v>3</v>
      </c>
      <c r="G1057">
        <f t="shared" ca="1" si="109"/>
        <v>0</v>
      </c>
      <c r="H1057">
        <f ca="1">RANDBETWEEN(1,J1057-2)</f>
        <v>1</v>
      </c>
      <c r="I1057">
        <f t="shared" ca="1" si="110"/>
        <v>38</v>
      </c>
      <c r="J1057">
        <f t="shared" ca="1" si="111"/>
        <v>5</v>
      </c>
    </row>
    <row r="1058" spans="1:10" x14ac:dyDescent="0.25">
      <c r="A1058" t="s">
        <v>1065</v>
      </c>
      <c r="B1058" t="s">
        <v>1</v>
      </c>
      <c r="C1058" t="str">
        <f t="shared" si="106"/>
        <v>062552</v>
      </c>
      <c r="D1058" t="str">
        <f t="shared" si="107"/>
        <v>TOR</v>
      </c>
      <c r="E1058" t="str" cm="1">
        <f t="array" ref="E1058">INDEX($E$2:$E$4, MOD(ROW()-1,3)+1)</f>
        <v>Machine 2</v>
      </c>
      <c r="F1058">
        <f t="shared" ca="1" si="108"/>
        <v>2</v>
      </c>
      <c r="G1058">
        <f t="shared" ca="1" si="109"/>
        <v>1</v>
      </c>
      <c r="H1058">
        <f ca="1">RANDBETWEEN(1,J1058-2)</f>
        <v>1</v>
      </c>
      <c r="I1058">
        <f t="shared" ca="1" si="110"/>
        <v>40</v>
      </c>
      <c r="J1058">
        <f t="shared" ca="1" si="111"/>
        <v>7</v>
      </c>
    </row>
    <row r="1059" spans="1:10" x14ac:dyDescent="0.25">
      <c r="A1059" t="s">
        <v>1066</v>
      </c>
      <c r="B1059" t="s">
        <v>1</v>
      </c>
      <c r="C1059" t="str">
        <f t="shared" si="106"/>
        <v>062554</v>
      </c>
      <c r="D1059" t="str">
        <f t="shared" si="107"/>
        <v>TOR</v>
      </c>
      <c r="E1059" t="str" cm="1">
        <f t="array" ref="E1059">INDEX($E$2:$E$4, MOD(ROW()-1,3)+1)</f>
        <v>Machine 3</v>
      </c>
      <c r="F1059">
        <f t="shared" ca="1" si="108"/>
        <v>3</v>
      </c>
      <c r="G1059">
        <f t="shared" ca="1" si="109"/>
        <v>1</v>
      </c>
      <c r="H1059">
        <f ca="1">RANDBETWEEN(1,J1059-2)</f>
        <v>8</v>
      </c>
      <c r="I1059">
        <f t="shared" ca="1" si="110"/>
        <v>32</v>
      </c>
      <c r="J1059">
        <f t="shared" ca="1" si="111"/>
        <v>14</v>
      </c>
    </row>
    <row r="1060" spans="1:10" x14ac:dyDescent="0.25">
      <c r="A1060" t="s">
        <v>1067</v>
      </c>
      <c r="B1060" t="s">
        <v>1</v>
      </c>
      <c r="C1060" t="str">
        <f t="shared" si="106"/>
        <v>062556</v>
      </c>
      <c r="D1060" t="str">
        <f t="shared" si="107"/>
        <v>TOR</v>
      </c>
      <c r="E1060" t="str" cm="1">
        <f t="array" ref="E1060">INDEX($E$2:$E$4, MOD(ROW()-1,3)+1)</f>
        <v>Machine 1</v>
      </c>
      <c r="F1060">
        <f t="shared" ca="1" si="108"/>
        <v>3</v>
      </c>
      <c r="G1060">
        <f t="shared" ca="1" si="109"/>
        <v>1</v>
      </c>
      <c r="H1060">
        <f ca="1">RANDBETWEEN(1,J1060-2)</f>
        <v>3</v>
      </c>
      <c r="I1060">
        <f t="shared" ca="1" si="110"/>
        <v>35</v>
      </c>
      <c r="J1060">
        <f t="shared" ca="1" si="111"/>
        <v>9</v>
      </c>
    </row>
    <row r="1061" spans="1:10" x14ac:dyDescent="0.25">
      <c r="A1061" t="s">
        <v>1068</v>
      </c>
      <c r="B1061" t="s">
        <v>1</v>
      </c>
      <c r="C1061" t="str">
        <f t="shared" si="106"/>
        <v>062558</v>
      </c>
      <c r="D1061" t="str">
        <f t="shared" si="107"/>
        <v>TOR</v>
      </c>
      <c r="E1061" t="str" cm="1">
        <f t="array" ref="E1061">INDEX($E$2:$E$4, MOD(ROW()-1,3)+1)</f>
        <v>Machine 2</v>
      </c>
      <c r="F1061">
        <f t="shared" ca="1" si="108"/>
        <v>2</v>
      </c>
      <c r="G1061">
        <f t="shared" ca="1" si="109"/>
        <v>1</v>
      </c>
      <c r="H1061">
        <f ca="1">RANDBETWEEN(1,J1061-2)</f>
        <v>11</v>
      </c>
      <c r="I1061">
        <f t="shared" ca="1" si="110"/>
        <v>36</v>
      </c>
      <c r="J1061">
        <f t="shared" ca="1" si="111"/>
        <v>15</v>
      </c>
    </row>
    <row r="1062" spans="1:10" x14ac:dyDescent="0.25">
      <c r="A1062" t="s">
        <v>1069</v>
      </c>
      <c r="B1062" t="s">
        <v>1</v>
      </c>
      <c r="C1062" t="str">
        <f t="shared" si="106"/>
        <v>062560</v>
      </c>
      <c r="D1062" t="str">
        <f t="shared" si="107"/>
        <v>TOR</v>
      </c>
      <c r="E1062" t="str" cm="1">
        <f t="array" ref="E1062">INDEX($E$2:$E$4, MOD(ROW()-1,3)+1)</f>
        <v>Machine 3</v>
      </c>
      <c r="F1062">
        <f t="shared" ca="1" si="108"/>
        <v>3</v>
      </c>
      <c r="G1062">
        <f t="shared" ca="1" si="109"/>
        <v>0</v>
      </c>
      <c r="H1062">
        <f ca="1">RANDBETWEEN(1,J1062-2)</f>
        <v>1</v>
      </c>
      <c r="I1062">
        <f t="shared" ca="1" si="110"/>
        <v>32</v>
      </c>
      <c r="J1062">
        <f t="shared" ca="1" si="111"/>
        <v>9</v>
      </c>
    </row>
    <row r="1063" spans="1:10" x14ac:dyDescent="0.25">
      <c r="A1063" t="s">
        <v>1070</v>
      </c>
      <c r="B1063" t="s">
        <v>1</v>
      </c>
      <c r="C1063" t="str">
        <f t="shared" si="106"/>
        <v>062562</v>
      </c>
      <c r="D1063" t="str">
        <f t="shared" si="107"/>
        <v>TOR</v>
      </c>
      <c r="E1063" t="str" cm="1">
        <f t="array" ref="E1063">INDEX($E$2:$E$4, MOD(ROW()-1,3)+1)</f>
        <v>Machine 1</v>
      </c>
      <c r="F1063">
        <f t="shared" ca="1" si="108"/>
        <v>3</v>
      </c>
      <c r="G1063">
        <f t="shared" ca="1" si="109"/>
        <v>1</v>
      </c>
      <c r="H1063">
        <f ca="1">RANDBETWEEN(1,J1063-2)</f>
        <v>3</v>
      </c>
      <c r="I1063">
        <f t="shared" ca="1" si="110"/>
        <v>36</v>
      </c>
      <c r="J1063">
        <f t="shared" ca="1" si="111"/>
        <v>8</v>
      </c>
    </row>
    <row r="1064" spans="1:10" x14ac:dyDescent="0.25">
      <c r="A1064" t="s">
        <v>1071</v>
      </c>
      <c r="B1064" t="s">
        <v>1</v>
      </c>
      <c r="C1064" t="str">
        <f t="shared" si="106"/>
        <v>062564</v>
      </c>
      <c r="D1064" t="str">
        <f t="shared" si="107"/>
        <v>TOR</v>
      </c>
      <c r="E1064" t="str" cm="1">
        <f t="array" ref="E1064">INDEX($E$2:$E$4, MOD(ROW()-1,3)+1)</f>
        <v>Machine 2</v>
      </c>
      <c r="F1064">
        <f t="shared" ca="1" si="108"/>
        <v>2</v>
      </c>
      <c r="G1064">
        <f t="shared" ca="1" si="109"/>
        <v>1</v>
      </c>
      <c r="H1064">
        <f ca="1">RANDBETWEEN(1,J1064-2)</f>
        <v>11</v>
      </c>
      <c r="I1064">
        <f t="shared" ca="1" si="110"/>
        <v>29</v>
      </c>
      <c r="J1064">
        <f t="shared" ca="1" si="111"/>
        <v>15</v>
      </c>
    </row>
    <row r="1065" spans="1:10" x14ac:dyDescent="0.25">
      <c r="A1065" t="s">
        <v>1072</v>
      </c>
      <c r="B1065" t="s">
        <v>1</v>
      </c>
      <c r="C1065" t="str">
        <f t="shared" si="106"/>
        <v>062566</v>
      </c>
      <c r="D1065" t="str">
        <f t="shared" si="107"/>
        <v>TOR</v>
      </c>
      <c r="E1065" t="str" cm="1">
        <f t="array" ref="E1065">INDEX($E$2:$E$4, MOD(ROW()-1,3)+1)</f>
        <v>Machine 3</v>
      </c>
      <c r="F1065">
        <f t="shared" ca="1" si="108"/>
        <v>3</v>
      </c>
      <c r="G1065">
        <f t="shared" ca="1" si="109"/>
        <v>0</v>
      </c>
      <c r="H1065">
        <f ca="1">RANDBETWEEN(1,J1065-2)</f>
        <v>4</v>
      </c>
      <c r="I1065">
        <f t="shared" ca="1" si="110"/>
        <v>34</v>
      </c>
      <c r="J1065">
        <f t="shared" ca="1" si="111"/>
        <v>6</v>
      </c>
    </row>
    <row r="1066" spans="1:10" x14ac:dyDescent="0.25">
      <c r="A1066" t="s">
        <v>1073</v>
      </c>
      <c r="B1066" t="s">
        <v>1</v>
      </c>
      <c r="C1066" t="str">
        <f t="shared" si="106"/>
        <v>062568</v>
      </c>
      <c r="D1066" t="str">
        <f t="shared" si="107"/>
        <v>TOR</v>
      </c>
      <c r="E1066" t="str" cm="1">
        <f t="array" ref="E1066">INDEX($E$2:$E$4, MOD(ROW()-1,3)+1)</f>
        <v>Machine 1</v>
      </c>
      <c r="F1066">
        <f t="shared" ca="1" si="108"/>
        <v>2</v>
      </c>
      <c r="G1066">
        <f t="shared" ca="1" si="109"/>
        <v>0</v>
      </c>
      <c r="H1066">
        <f ca="1">RANDBETWEEN(1,J1066-2)</f>
        <v>7</v>
      </c>
      <c r="I1066">
        <f t="shared" ca="1" si="110"/>
        <v>33</v>
      </c>
      <c r="J1066">
        <f t="shared" ca="1" si="111"/>
        <v>9</v>
      </c>
    </row>
    <row r="1067" spans="1:10" x14ac:dyDescent="0.25">
      <c r="A1067" t="s">
        <v>1074</v>
      </c>
      <c r="B1067" t="s">
        <v>1</v>
      </c>
      <c r="C1067" t="str">
        <f t="shared" si="106"/>
        <v>062570</v>
      </c>
      <c r="D1067" t="str">
        <f t="shared" si="107"/>
        <v>TOR</v>
      </c>
      <c r="E1067" t="str" cm="1">
        <f t="array" ref="E1067">INDEX($E$2:$E$4, MOD(ROW()-1,3)+1)</f>
        <v>Machine 2</v>
      </c>
      <c r="F1067">
        <f t="shared" ca="1" si="108"/>
        <v>3</v>
      </c>
      <c r="G1067">
        <f t="shared" ca="1" si="109"/>
        <v>1</v>
      </c>
      <c r="H1067">
        <f ca="1">RANDBETWEEN(1,J1067-2)</f>
        <v>1</v>
      </c>
      <c r="I1067">
        <f t="shared" ca="1" si="110"/>
        <v>47</v>
      </c>
      <c r="J1067">
        <f t="shared" ca="1" si="111"/>
        <v>10</v>
      </c>
    </row>
    <row r="1068" spans="1:10" x14ac:dyDescent="0.25">
      <c r="A1068" t="s">
        <v>1075</v>
      </c>
      <c r="B1068" t="s">
        <v>1</v>
      </c>
      <c r="C1068" t="str">
        <f t="shared" si="106"/>
        <v>062572</v>
      </c>
      <c r="D1068" t="str">
        <f t="shared" si="107"/>
        <v>TOR</v>
      </c>
      <c r="E1068" t="str" cm="1">
        <f t="array" ref="E1068">INDEX($E$2:$E$4, MOD(ROW()-1,3)+1)</f>
        <v>Machine 3</v>
      </c>
      <c r="F1068">
        <f t="shared" ca="1" si="108"/>
        <v>2</v>
      </c>
      <c r="G1068">
        <f t="shared" ca="1" si="109"/>
        <v>0</v>
      </c>
      <c r="H1068">
        <f ca="1">RANDBETWEEN(1,J1068-2)</f>
        <v>9</v>
      </c>
      <c r="I1068">
        <f t="shared" ca="1" si="110"/>
        <v>30</v>
      </c>
      <c r="J1068">
        <f t="shared" ca="1" si="111"/>
        <v>11</v>
      </c>
    </row>
    <row r="1069" spans="1:10" x14ac:dyDescent="0.25">
      <c r="A1069" t="s">
        <v>1076</v>
      </c>
      <c r="B1069" t="s">
        <v>1</v>
      </c>
      <c r="C1069" t="str">
        <f t="shared" si="106"/>
        <v>062574</v>
      </c>
      <c r="D1069" t="str">
        <f t="shared" si="107"/>
        <v>TOR</v>
      </c>
      <c r="E1069" t="str" cm="1">
        <f t="array" ref="E1069">INDEX($E$2:$E$4, MOD(ROW()-1,3)+1)</f>
        <v>Machine 1</v>
      </c>
      <c r="F1069">
        <f t="shared" ca="1" si="108"/>
        <v>3</v>
      </c>
      <c r="G1069">
        <f t="shared" ca="1" si="109"/>
        <v>1</v>
      </c>
      <c r="H1069">
        <f ca="1">RANDBETWEEN(1,J1069-2)</f>
        <v>2</v>
      </c>
      <c r="I1069">
        <f t="shared" ca="1" si="110"/>
        <v>48</v>
      </c>
      <c r="J1069">
        <f t="shared" ca="1" si="111"/>
        <v>12</v>
      </c>
    </row>
    <row r="1070" spans="1:10" x14ac:dyDescent="0.25">
      <c r="A1070" t="s">
        <v>1077</v>
      </c>
      <c r="B1070" t="s">
        <v>1</v>
      </c>
      <c r="C1070" t="str">
        <f t="shared" si="106"/>
        <v>062576</v>
      </c>
      <c r="D1070" t="str">
        <f t="shared" si="107"/>
        <v>TOR</v>
      </c>
      <c r="E1070" t="str" cm="1">
        <f t="array" ref="E1070">INDEX($E$2:$E$4, MOD(ROW()-1,3)+1)</f>
        <v>Machine 2</v>
      </c>
      <c r="F1070">
        <f t="shared" ca="1" si="108"/>
        <v>2</v>
      </c>
      <c r="G1070">
        <f t="shared" ca="1" si="109"/>
        <v>1</v>
      </c>
      <c r="H1070">
        <f ca="1">RANDBETWEEN(1,J1070-2)</f>
        <v>1</v>
      </c>
      <c r="I1070">
        <f t="shared" ca="1" si="110"/>
        <v>36</v>
      </c>
      <c r="J1070">
        <f t="shared" ca="1" si="111"/>
        <v>10</v>
      </c>
    </row>
    <row r="1071" spans="1:10" x14ac:dyDescent="0.25">
      <c r="A1071" t="s">
        <v>1078</v>
      </c>
      <c r="B1071" t="s">
        <v>1</v>
      </c>
      <c r="C1071" t="str">
        <f t="shared" si="106"/>
        <v>062578</v>
      </c>
      <c r="D1071" t="str">
        <f t="shared" si="107"/>
        <v>TOR</v>
      </c>
      <c r="E1071" t="str" cm="1">
        <f t="array" ref="E1071">INDEX($E$2:$E$4, MOD(ROW()-1,3)+1)</f>
        <v>Machine 3</v>
      </c>
      <c r="F1071">
        <f t="shared" ca="1" si="108"/>
        <v>3</v>
      </c>
      <c r="G1071">
        <f t="shared" ca="1" si="109"/>
        <v>1</v>
      </c>
      <c r="H1071">
        <f ca="1">RANDBETWEEN(1,J1071-2)</f>
        <v>9</v>
      </c>
      <c r="I1071">
        <f t="shared" ca="1" si="110"/>
        <v>44</v>
      </c>
      <c r="J1071">
        <f t="shared" ca="1" si="111"/>
        <v>14</v>
      </c>
    </row>
    <row r="1072" spans="1:10" x14ac:dyDescent="0.25">
      <c r="A1072" t="s">
        <v>1079</v>
      </c>
      <c r="B1072" t="s">
        <v>1</v>
      </c>
      <c r="C1072" t="str">
        <f t="shared" si="106"/>
        <v>062580</v>
      </c>
      <c r="D1072" t="str">
        <f t="shared" si="107"/>
        <v>TOR</v>
      </c>
      <c r="E1072" t="str" cm="1">
        <f t="array" ref="E1072">INDEX($E$2:$E$4, MOD(ROW()-1,3)+1)</f>
        <v>Machine 1</v>
      </c>
      <c r="F1072">
        <f t="shared" ca="1" si="108"/>
        <v>3</v>
      </c>
      <c r="G1072">
        <f t="shared" ca="1" si="109"/>
        <v>1</v>
      </c>
      <c r="H1072">
        <f ca="1">RANDBETWEEN(1,J1072-2)</f>
        <v>7</v>
      </c>
      <c r="I1072">
        <f t="shared" ca="1" si="110"/>
        <v>29</v>
      </c>
      <c r="J1072">
        <f t="shared" ca="1" si="111"/>
        <v>14</v>
      </c>
    </row>
    <row r="1073" spans="1:10" x14ac:dyDescent="0.25">
      <c r="A1073" t="s">
        <v>1080</v>
      </c>
      <c r="B1073" t="s">
        <v>1</v>
      </c>
      <c r="C1073" t="str">
        <f t="shared" si="106"/>
        <v>062582</v>
      </c>
      <c r="D1073" t="str">
        <f t="shared" si="107"/>
        <v>TOR</v>
      </c>
      <c r="E1073" t="str" cm="1">
        <f t="array" ref="E1073">INDEX($E$2:$E$4, MOD(ROW()-1,3)+1)</f>
        <v>Machine 2</v>
      </c>
      <c r="F1073">
        <f t="shared" ca="1" si="108"/>
        <v>2</v>
      </c>
      <c r="G1073">
        <f t="shared" ca="1" si="109"/>
        <v>0</v>
      </c>
      <c r="H1073">
        <f ca="1">RANDBETWEEN(1,J1073-2)</f>
        <v>3</v>
      </c>
      <c r="I1073">
        <f t="shared" ca="1" si="110"/>
        <v>31</v>
      </c>
      <c r="J1073">
        <f t="shared" ca="1" si="111"/>
        <v>6</v>
      </c>
    </row>
    <row r="1074" spans="1:10" x14ac:dyDescent="0.25">
      <c r="A1074" t="s">
        <v>1081</v>
      </c>
      <c r="B1074" t="s">
        <v>1</v>
      </c>
      <c r="C1074" t="str">
        <f t="shared" si="106"/>
        <v>062584</v>
      </c>
      <c r="D1074" t="str">
        <f t="shared" si="107"/>
        <v>TOR</v>
      </c>
      <c r="E1074" t="str" cm="1">
        <f t="array" ref="E1074">INDEX($E$2:$E$4, MOD(ROW()-1,3)+1)</f>
        <v>Machine 3</v>
      </c>
      <c r="F1074">
        <f t="shared" ca="1" si="108"/>
        <v>3</v>
      </c>
      <c r="G1074">
        <f t="shared" ca="1" si="109"/>
        <v>0</v>
      </c>
      <c r="H1074">
        <f ca="1">RANDBETWEEN(1,J1074-2)</f>
        <v>1</v>
      </c>
      <c r="I1074">
        <f t="shared" ca="1" si="110"/>
        <v>39</v>
      </c>
      <c r="J1074">
        <f t="shared" ca="1" si="111"/>
        <v>5</v>
      </c>
    </row>
    <row r="1075" spans="1:10" x14ac:dyDescent="0.25">
      <c r="A1075" t="s">
        <v>1082</v>
      </c>
      <c r="B1075" t="s">
        <v>1</v>
      </c>
      <c r="C1075" t="str">
        <f t="shared" si="106"/>
        <v>062587</v>
      </c>
      <c r="D1075" t="str">
        <f t="shared" si="107"/>
        <v>TOR</v>
      </c>
      <c r="E1075" t="str" cm="1">
        <f t="array" ref="E1075">INDEX($E$2:$E$4, MOD(ROW()-1,3)+1)</f>
        <v>Machine 1</v>
      </c>
      <c r="F1075">
        <f t="shared" ca="1" si="108"/>
        <v>2</v>
      </c>
      <c r="G1075">
        <f t="shared" ca="1" si="109"/>
        <v>1</v>
      </c>
      <c r="H1075">
        <f ca="1">RANDBETWEEN(1,J1075-2)</f>
        <v>2</v>
      </c>
      <c r="I1075">
        <f t="shared" ca="1" si="110"/>
        <v>24</v>
      </c>
      <c r="J1075">
        <f t="shared" ca="1" si="111"/>
        <v>9</v>
      </c>
    </row>
    <row r="1076" spans="1:10" x14ac:dyDescent="0.25">
      <c r="A1076" t="s">
        <v>1083</v>
      </c>
      <c r="B1076" t="s">
        <v>1</v>
      </c>
      <c r="C1076" t="str">
        <f t="shared" si="106"/>
        <v>062590</v>
      </c>
      <c r="D1076" t="str">
        <f t="shared" si="107"/>
        <v>TOR</v>
      </c>
      <c r="E1076" t="str" cm="1">
        <f t="array" ref="E1076">INDEX($E$2:$E$4, MOD(ROW()-1,3)+1)</f>
        <v>Machine 2</v>
      </c>
      <c r="F1076">
        <f t="shared" ca="1" si="108"/>
        <v>3</v>
      </c>
      <c r="G1076">
        <f t="shared" ca="1" si="109"/>
        <v>1</v>
      </c>
      <c r="H1076">
        <f ca="1">RANDBETWEEN(1,J1076-2)</f>
        <v>4</v>
      </c>
      <c r="I1076">
        <f t="shared" ca="1" si="110"/>
        <v>48</v>
      </c>
      <c r="J1076">
        <f t="shared" ca="1" si="111"/>
        <v>9</v>
      </c>
    </row>
    <row r="1077" spans="1:10" x14ac:dyDescent="0.25">
      <c r="A1077" t="s">
        <v>1084</v>
      </c>
      <c r="B1077" t="s">
        <v>1</v>
      </c>
      <c r="C1077" t="str">
        <f t="shared" si="106"/>
        <v>062592</v>
      </c>
      <c r="D1077" t="str">
        <f t="shared" si="107"/>
        <v>TOR</v>
      </c>
      <c r="E1077" t="str" cm="1">
        <f t="array" ref="E1077">INDEX($E$2:$E$4, MOD(ROW()-1,3)+1)</f>
        <v>Machine 3</v>
      </c>
      <c r="F1077">
        <f t="shared" ca="1" si="108"/>
        <v>3</v>
      </c>
      <c r="G1077">
        <f t="shared" ca="1" si="109"/>
        <v>1</v>
      </c>
      <c r="H1077">
        <f ca="1">RANDBETWEEN(1,J1077-2)</f>
        <v>5</v>
      </c>
      <c r="I1077">
        <f t="shared" ca="1" si="110"/>
        <v>32</v>
      </c>
      <c r="J1077">
        <f t="shared" ca="1" si="111"/>
        <v>10</v>
      </c>
    </row>
    <row r="1078" spans="1:10" x14ac:dyDescent="0.25">
      <c r="A1078" t="s">
        <v>1085</v>
      </c>
      <c r="B1078" t="s">
        <v>1</v>
      </c>
      <c r="C1078" t="str">
        <f t="shared" si="106"/>
        <v>062594</v>
      </c>
      <c r="D1078" t="str">
        <f t="shared" si="107"/>
        <v>TOR</v>
      </c>
      <c r="E1078" t="str" cm="1">
        <f t="array" ref="E1078">INDEX($E$2:$E$4, MOD(ROW()-1,3)+1)</f>
        <v>Machine 1</v>
      </c>
      <c r="F1078">
        <f t="shared" ca="1" si="108"/>
        <v>3</v>
      </c>
      <c r="G1078">
        <f t="shared" ca="1" si="109"/>
        <v>0</v>
      </c>
      <c r="H1078">
        <f ca="1">RANDBETWEEN(1,J1078-2)</f>
        <v>1</v>
      </c>
      <c r="I1078">
        <f t="shared" ca="1" si="110"/>
        <v>43</v>
      </c>
      <c r="J1078">
        <f t="shared" ca="1" si="111"/>
        <v>12</v>
      </c>
    </row>
    <row r="1079" spans="1:10" x14ac:dyDescent="0.25">
      <c r="A1079" t="s">
        <v>1086</v>
      </c>
      <c r="B1079" t="s">
        <v>1</v>
      </c>
      <c r="C1079" t="str">
        <f t="shared" si="106"/>
        <v>062596</v>
      </c>
      <c r="D1079" t="str">
        <f t="shared" si="107"/>
        <v>TOR</v>
      </c>
      <c r="E1079" t="str" cm="1">
        <f t="array" ref="E1079">INDEX($E$2:$E$4, MOD(ROW()-1,3)+1)</f>
        <v>Machine 2</v>
      </c>
      <c r="F1079">
        <f t="shared" ca="1" si="108"/>
        <v>2</v>
      </c>
      <c r="G1079">
        <f t="shared" ca="1" si="109"/>
        <v>1</v>
      </c>
      <c r="H1079">
        <f ca="1">RANDBETWEEN(1,J1079-2)</f>
        <v>2</v>
      </c>
      <c r="I1079">
        <f t="shared" ca="1" si="110"/>
        <v>40</v>
      </c>
      <c r="J1079">
        <f t="shared" ca="1" si="111"/>
        <v>5</v>
      </c>
    </row>
    <row r="1080" spans="1:10" x14ac:dyDescent="0.25">
      <c r="A1080" t="s">
        <v>1087</v>
      </c>
      <c r="B1080" t="s">
        <v>1</v>
      </c>
      <c r="C1080" t="str">
        <f t="shared" si="106"/>
        <v>062600</v>
      </c>
      <c r="D1080" t="str">
        <f t="shared" si="107"/>
        <v>TOR</v>
      </c>
      <c r="E1080" t="str" cm="1">
        <f t="array" ref="E1080">INDEX($E$2:$E$4, MOD(ROW()-1,3)+1)</f>
        <v>Machine 3</v>
      </c>
      <c r="F1080">
        <f t="shared" ca="1" si="108"/>
        <v>3</v>
      </c>
      <c r="G1080">
        <f t="shared" ca="1" si="109"/>
        <v>0</v>
      </c>
      <c r="H1080">
        <f ca="1">RANDBETWEEN(1,J1080-2)</f>
        <v>6</v>
      </c>
      <c r="I1080">
        <f t="shared" ca="1" si="110"/>
        <v>24</v>
      </c>
      <c r="J1080">
        <f t="shared" ca="1" si="111"/>
        <v>9</v>
      </c>
    </row>
    <row r="1081" spans="1:10" x14ac:dyDescent="0.25">
      <c r="A1081" t="s">
        <v>1088</v>
      </c>
      <c r="B1081" t="s">
        <v>1</v>
      </c>
      <c r="C1081" t="str">
        <f t="shared" si="106"/>
        <v>062602</v>
      </c>
      <c r="D1081" t="str">
        <f t="shared" si="107"/>
        <v>TOR</v>
      </c>
      <c r="E1081" t="str" cm="1">
        <f t="array" ref="E1081">INDEX($E$2:$E$4, MOD(ROW()-1,3)+1)</f>
        <v>Machine 1</v>
      </c>
      <c r="F1081">
        <f t="shared" ca="1" si="108"/>
        <v>3</v>
      </c>
      <c r="G1081">
        <f t="shared" ca="1" si="109"/>
        <v>0</v>
      </c>
      <c r="H1081">
        <f ca="1">RANDBETWEEN(1,J1081-2)</f>
        <v>4</v>
      </c>
      <c r="I1081">
        <f t="shared" ca="1" si="110"/>
        <v>41</v>
      </c>
      <c r="J1081">
        <f t="shared" ca="1" si="111"/>
        <v>8</v>
      </c>
    </row>
    <row r="1082" spans="1:10" x14ac:dyDescent="0.25">
      <c r="A1082" t="s">
        <v>1089</v>
      </c>
      <c r="B1082" t="s">
        <v>0</v>
      </c>
      <c r="C1082" t="str">
        <f t="shared" si="106"/>
        <v>WO5927</v>
      </c>
      <c r="D1082" t="str">
        <f t="shared" si="107"/>
        <v>CRD</v>
      </c>
      <c r="E1082" t="str" cm="1">
        <f t="array" ref="E1082">INDEX($E$2:$E$4, MOD(ROW()-1,3)+1)</f>
        <v>Machine 2</v>
      </c>
      <c r="F1082">
        <f t="shared" ca="1" si="108"/>
        <v>3</v>
      </c>
      <c r="G1082">
        <f t="shared" ca="1" si="109"/>
        <v>1</v>
      </c>
      <c r="H1082">
        <f ca="1">RANDBETWEEN(1,J1082-2)</f>
        <v>2</v>
      </c>
      <c r="I1082">
        <f t="shared" ca="1" si="110"/>
        <v>29</v>
      </c>
      <c r="J1082">
        <f t="shared" ca="1" si="111"/>
        <v>11</v>
      </c>
    </row>
    <row r="1083" spans="1:10" x14ac:dyDescent="0.25">
      <c r="A1083" t="s">
        <v>1090</v>
      </c>
      <c r="B1083" t="s">
        <v>0</v>
      </c>
      <c r="C1083" t="str">
        <f t="shared" si="106"/>
        <v>WO5948</v>
      </c>
      <c r="D1083" t="str">
        <f t="shared" si="107"/>
        <v>CRD</v>
      </c>
      <c r="E1083" t="str" cm="1">
        <f t="array" ref="E1083">INDEX($E$2:$E$4, MOD(ROW()-1,3)+1)</f>
        <v>Machine 3</v>
      </c>
      <c r="F1083">
        <f t="shared" ca="1" si="108"/>
        <v>2</v>
      </c>
      <c r="G1083">
        <f t="shared" ca="1" si="109"/>
        <v>1</v>
      </c>
      <c r="H1083">
        <f ca="1">RANDBETWEEN(1,J1083-2)</f>
        <v>1</v>
      </c>
      <c r="I1083">
        <f t="shared" ca="1" si="110"/>
        <v>36</v>
      </c>
      <c r="J1083">
        <f t="shared" ca="1" si="111"/>
        <v>10</v>
      </c>
    </row>
    <row r="1084" spans="1:10" x14ac:dyDescent="0.25">
      <c r="A1084" t="s">
        <v>1091</v>
      </c>
      <c r="B1084" t="s">
        <v>0</v>
      </c>
      <c r="C1084" t="str">
        <f t="shared" si="106"/>
        <v>WO5962</v>
      </c>
      <c r="D1084" t="str">
        <f t="shared" si="107"/>
        <v>CRD</v>
      </c>
      <c r="E1084" t="str" cm="1">
        <f t="array" ref="E1084">INDEX($E$2:$E$4, MOD(ROW()-1,3)+1)</f>
        <v>Machine 1</v>
      </c>
      <c r="F1084">
        <f t="shared" ca="1" si="108"/>
        <v>3</v>
      </c>
      <c r="G1084">
        <f t="shared" ca="1" si="109"/>
        <v>0</v>
      </c>
      <c r="H1084">
        <f ca="1">RANDBETWEEN(1,J1084-2)</f>
        <v>5</v>
      </c>
      <c r="I1084">
        <f t="shared" ca="1" si="110"/>
        <v>41</v>
      </c>
      <c r="J1084">
        <f t="shared" ca="1" si="111"/>
        <v>10</v>
      </c>
    </row>
    <row r="1085" spans="1:10" x14ac:dyDescent="0.25">
      <c r="A1085" t="s">
        <v>1092</v>
      </c>
      <c r="B1085" t="s">
        <v>0</v>
      </c>
      <c r="C1085" t="str">
        <f t="shared" si="106"/>
        <v>WO5975</v>
      </c>
      <c r="D1085" t="str">
        <f t="shared" si="107"/>
        <v>CRD</v>
      </c>
      <c r="E1085" t="str" cm="1">
        <f t="array" ref="E1085">INDEX($E$2:$E$4, MOD(ROW()-1,3)+1)</f>
        <v>Machine 2</v>
      </c>
      <c r="F1085">
        <f t="shared" ca="1" si="108"/>
        <v>3</v>
      </c>
      <c r="G1085">
        <f t="shared" ca="1" si="109"/>
        <v>0</v>
      </c>
      <c r="H1085">
        <f ca="1">RANDBETWEEN(1,J1085-2)</f>
        <v>1</v>
      </c>
      <c r="I1085">
        <f t="shared" ca="1" si="110"/>
        <v>27</v>
      </c>
      <c r="J1085">
        <f t="shared" ca="1" si="111"/>
        <v>14</v>
      </c>
    </row>
    <row r="1086" spans="1:10" x14ac:dyDescent="0.25">
      <c r="A1086" t="s">
        <v>1093</v>
      </c>
      <c r="B1086" t="s">
        <v>0</v>
      </c>
      <c r="C1086" t="str">
        <f t="shared" si="106"/>
        <v>WO5994</v>
      </c>
      <c r="D1086" t="str">
        <f t="shared" si="107"/>
        <v>CRD</v>
      </c>
      <c r="E1086" t="str" cm="1">
        <f t="array" ref="E1086">INDEX($E$2:$E$4, MOD(ROW()-1,3)+1)</f>
        <v>Machine 3</v>
      </c>
      <c r="F1086">
        <f t="shared" ca="1" si="108"/>
        <v>2</v>
      </c>
      <c r="G1086">
        <f t="shared" ca="1" si="109"/>
        <v>0</v>
      </c>
      <c r="H1086">
        <f ca="1">RANDBETWEEN(1,J1086-2)</f>
        <v>3</v>
      </c>
      <c r="I1086">
        <f t="shared" ca="1" si="110"/>
        <v>29</v>
      </c>
      <c r="J1086">
        <f t="shared" ca="1" si="111"/>
        <v>11</v>
      </c>
    </row>
    <row r="1087" spans="1:10" x14ac:dyDescent="0.25">
      <c r="A1087" t="s">
        <v>1094</v>
      </c>
      <c r="B1087" t="s">
        <v>0</v>
      </c>
      <c r="C1087" t="str">
        <f t="shared" si="106"/>
        <v>WO6005</v>
      </c>
      <c r="D1087" t="str">
        <f t="shared" si="107"/>
        <v>CRD</v>
      </c>
      <c r="E1087" t="str" cm="1">
        <f t="array" ref="E1087">INDEX($E$2:$E$4, MOD(ROW()-1,3)+1)</f>
        <v>Machine 1</v>
      </c>
      <c r="F1087">
        <f t="shared" ca="1" si="108"/>
        <v>2</v>
      </c>
      <c r="G1087">
        <f t="shared" ca="1" si="109"/>
        <v>1</v>
      </c>
      <c r="H1087">
        <f ca="1">RANDBETWEEN(1,J1087-2)</f>
        <v>6</v>
      </c>
      <c r="I1087">
        <f t="shared" ca="1" si="110"/>
        <v>48</v>
      </c>
      <c r="J1087">
        <f t="shared" ca="1" si="111"/>
        <v>13</v>
      </c>
    </row>
  </sheetData>
  <autoFilter ref="A1:U1087" xr:uid="{A4DAB522-4A5B-4778-944A-8676BC0416A5}"/>
  <mergeCells count="2">
    <mergeCell ref="U1:U101"/>
    <mergeCell ref="AE3:AM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7137D-17C2-40AF-A0BC-3DBBC8D5272D}">
  <sheetPr codeName="Sheet2"/>
  <dimension ref="A1:AJ2890"/>
  <sheetViews>
    <sheetView showGridLines="0" tabSelected="1" topLeftCell="M1" workbookViewId="0">
      <selection activeCell="AE13" sqref="AE13"/>
    </sheetView>
  </sheetViews>
  <sheetFormatPr defaultRowHeight="15" x14ac:dyDescent="0.25"/>
  <cols>
    <col min="1" max="1" width="14" bestFit="1" customWidth="1"/>
    <col min="2" max="2" width="15.85546875" bestFit="1" customWidth="1"/>
    <col min="3" max="3" width="12.28515625" bestFit="1" customWidth="1"/>
    <col min="4" max="4" width="9" bestFit="1" customWidth="1"/>
    <col min="5" max="5" width="9.42578125" bestFit="1" customWidth="1"/>
    <col min="6" max="6" width="9.7109375" bestFit="1" customWidth="1"/>
    <col min="7" max="7" width="9" bestFit="1" customWidth="1"/>
    <col min="8" max="8" width="20.28515625" bestFit="1" customWidth="1"/>
    <col min="9" max="9" width="18.140625" bestFit="1" customWidth="1"/>
    <col min="10" max="10" width="13.140625" bestFit="1" customWidth="1"/>
    <col min="11" max="11" width="10.5703125" bestFit="1" customWidth="1"/>
    <col min="12" max="12" width="28.7109375" bestFit="1" customWidth="1"/>
    <col min="13" max="13" width="20.85546875" bestFit="1" customWidth="1"/>
    <col min="14" max="14" width="11" bestFit="1" customWidth="1"/>
    <col min="15" max="15" width="21.85546875" bestFit="1" customWidth="1"/>
    <col min="16" max="16" width="14" bestFit="1" customWidth="1"/>
    <col min="17" max="17" width="17.5703125" bestFit="1" customWidth="1"/>
    <col min="18" max="18" width="23" bestFit="1" customWidth="1"/>
    <col min="19" max="19" width="10.42578125" bestFit="1" customWidth="1"/>
    <col min="20" max="20" width="17.5703125" bestFit="1" customWidth="1"/>
    <col min="22" max="22" width="23.42578125" bestFit="1" customWidth="1"/>
    <col min="23" max="23" width="20.5703125" bestFit="1" customWidth="1"/>
  </cols>
  <sheetData>
    <row r="1" spans="1:36" x14ac:dyDescent="0.25">
      <c r="A1" s="2" t="s">
        <v>1095</v>
      </c>
      <c r="B1" s="2" t="s">
        <v>1096</v>
      </c>
      <c r="C1" s="2" t="s">
        <v>1097</v>
      </c>
      <c r="D1" s="2" t="s">
        <v>1098</v>
      </c>
      <c r="E1" s="2" t="s">
        <v>1099</v>
      </c>
      <c r="F1" s="2" t="s">
        <v>1100</v>
      </c>
      <c r="G1" s="2" t="s">
        <v>1101</v>
      </c>
      <c r="H1" s="2" t="s">
        <v>1102</v>
      </c>
      <c r="I1" s="2" t="s">
        <v>1103</v>
      </c>
      <c r="J1" s="2" t="s">
        <v>1104</v>
      </c>
      <c r="K1" s="2" t="s">
        <v>1105</v>
      </c>
      <c r="L1" s="2" t="s">
        <v>1106</v>
      </c>
      <c r="M1" s="2" t="s">
        <v>1107</v>
      </c>
      <c r="N1" s="2" t="s">
        <v>1108</v>
      </c>
      <c r="O1" s="2" t="s">
        <v>1109</v>
      </c>
      <c r="P1" s="2" t="s">
        <v>1110</v>
      </c>
      <c r="Q1" s="2" t="s">
        <v>1111</v>
      </c>
      <c r="R1" s="4" t="s">
        <v>4060</v>
      </c>
      <c r="S1" s="4" t="s">
        <v>4057</v>
      </c>
      <c r="T1" s="2" t="s">
        <v>4058</v>
      </c>
    </row>
    <row r="2" spans="1:36" x14ac:dyDescent="0.25">
      <c r="A2" t="s">
        <v>1112</v>
      </c>
      <c r="B2" t="s">
        <v>4026</v>
      </c>
      <c r="C2">
        <v>5.5</v>
      </c>
      <c r="D2">
        <v>5.5</v>
      </c>
      <c r="E2">
        <v>0</v>
      </c>
      <c r="F2">
        <v>50</v>
      </c>
      <c r="G2">
        <v>50</v>
      </c>
      <c r="H2" t="s">
        <v>1113</v>
      </c>
      <c r="I2" s="1">
        <v>37225</v>
      </c>
      <c r="J2" s="1">
        <v>37315</v>
      </c>
      <c r="K2" s="1">
        <v>37315</v>
      </c>
      <c r="L2" s="1">
        <v>37315</v>
      </c>
      <c r="M2" s="1">
        <v>37317</v>
      </c>
      <c r="N2" s="1">
        <v>37336</v>
      </c>
      <c r="O2" t="s">
        <v>1114</v>
      </c>
      <c r="P2">
        <v>4</v>
      </c>
      <c r="Q2" t="s">
        <v>1115</v>
      </c>
      <c r="R2">
        <f>WEEKNUM(N2,1)</f>
        <v>12</v>
      </c>
      <c r="S2">
        <f>IF(AND(F2=G2, M2&lt;=N2), 1,0)</f>
        <v>1</v>
      </c>
      <c r="T2">
        <f>AVERAGE(S2:S2890)</f>
        <v>0.83523710626514369</v>
      </c>
    </row>
    <row r="3" spans="1:36" x14ac:dyDescent="0.25">
      <c r="A3" t="s">
        <v>1116</v>
      </c>
      <c r="B3" t="s">
        <v>3601</v>
      </c>
      <c r="C3">
        <v>5.5</v>
      </c>
      <c r="D3">
        <v>5.5</v>
      </c>
      <c r="E3">
        <v>0</v>
      </c>
      <c r="F3">
        <v>25</v>
      </c>
      <c r="G3">
        <v>25</v>
      </c>
      <c r="H3" t="s">
        <v>1113</v>
      </c>
      <c r="I3" s="1">
        <v>37225</v>
      </c>
      <c r="J3" s="1">
        <v>37320</v>
      </c>
      <c r="K3" s="1">
        <v>37325</v>
      </c>
      <c r="L3" s="1">
        <v>37325</v>
      </c>
      <c r="M3" s="1">
        <v>37327</v>
      </c>
      <c r="N3" s="1">
        <v>37334</v>
      </c>
      <c r="O3" t="s">
        <v>1117</v>
      </c>
      <c r="P3">
        <v>1</v>
      </c>
      <c r="Q3" t="s">
        <v>1115</v>
      </c>
      <c r="R3">
        <f t="shared" ref="R3:R66" si="0">WEEKNUM(N3,1)</f>
        <v>12</v>
      </c>
      <c r="S3">
        <f t="shared" ref="S3:S66" si="1">IF(AND(F3=G3, M3&lt;=N3), 1,0)</f>
        <v>1</v>
      </c>
    </row>
    <row r="4" spans="1:36" x14ac:dyDescent="0.25">
      <c r="A4" t="s">
        <v>1118</v>
      </c>
      <c r="B4" t="s">
        <v>4027</v>
      </c>
      <c r="C4">
        <v>5.5</v>
      </c>
      <c r="D4">
        <v>5.5</v>
      </c>
      <c r="E4">
        <v>0</v>
      </c>
      <c r="F4">
        <v>50</v>
      </c>
      <c r="G4">
        <v>50</v>
      </c>
      <c r="H4" t="s">
        <v>1113</v>
      </c>
      <c r="I4" s="1">
        <v>37225</v>
      </c>
      <c r="J4" s="1">
        <v>37323</v>
      </c>
      <c r="K4" s="1">
        <v>37329</v>
      </c>
      <c r="L4" s="1">
        <v>37329</v>
      </c>
      <c r="M4" s="1">
        <v>37329</v>
      </c>
      <c r="N4" s="1">
        <v>37336</v>
      </c>
      <c r="O4" t="s">
        <v>1117</v>
      </c>
      <c r="P4">
        <v>9</v>
      </c>
      <c r="Q4" t="s">
        <v>1115</v>
      </c>
      <c r="R4">
        <f t="shared" si="0"/>
        <v>12</v>
      </c>
      <c r="S4">
        <f t="shared" si="1"/>
        <v>1</v>
      </c>
    </row>
    <row r="5" spans="1:36" x14ac:dyDescent="0.25">
      <c r="A5" t="s">
        <v>1119</v>
      </c>
      <c r="B5" t="s">
        <v>1199</v>
      </c>
      <c r="C5">
        <v>5.5</v>
      </c>
      <c r="D5">
        <v>5.5</v>
      </c>
      <c r="E5">
        <v>0</v>
      </c>
      <c r="F5">
        <v>10</v>
      </c>
      <c r="G5">
        <v>10</v>
      </c>
      <c r="H5" t="s">
        <v>1113</v>
      </c>
      <c r="I5" s="1">
        <v>37225</v>
      </c>
      <c r="J5" s="1">
        <v>37328</v>
      </c>
      <c r="K5" s="1">
        <v>37332</v>
      </c>
      <c r="L5" s="1">
        <v>37332</v>
      </c>
      <c r="M5" s="1">
        <v>37333</v>
      </c>
      <c r="N5" s="1">
        <v>37333</v>
      </c>
      <c r="O5" t="s">
        <v>1117</v>
      </c>
      <c r="P5">
        <v>2</v>
      </c>
      <c r="Q5" t="s">
        <v>1115</v>
      </c>
      <c r="R5">
        <f t="shared" si="0"/>
        <v>12</v>
      </c>
      <c r="S5">
        <f t="shared" si="1"/>
        <v>1</v>
      </c>
    </row>
    <row r="6" spans="1:36" x14ac:dyDescent="0.25">
      <c r="A6" t="s">
        <v>1120</v>
      </c>
      <c r="B6" t="s">
        <v>4028</v>
      </c>
      <c r="C6">
        <v>8</v>
      </c>
      <c r="D6">
        <v>8</v>
      </c>
      <c r="E6">
        <v>0</v>
      </c>
      <c r="F6">
        <v>6.9</v>
      </c>
      <c r="G6">
        <v>6.9</v>
      </c>
      <c r="H6" t="s">
        <v>1113</v>
      </c>
      <c r="I6" s="1">
        <v>37225</v>
      </c>
      <c r="J6" s="1">
        <v>37315</v>
      </c>
      <c r="K6" s="1">
        <v>37320</v>
      </c>
      <c r="L6" s="1">
        <v>37320</v>
      </c>
      <c r="M6" s="1">
        <v>37321</v>
      </c>
      <c r="N6" s="1">
        <v>37321</v>
      </c>
      <c r="O6" t="s">
        <v>1117</v>
      </c>
      <c r="P6">
        <v>2</v>
      </c>
      <c r="Q6" t="s">
        <v>1115</v>
      </c>
      <c r="R6">
        <f t="shared" si="0"/>
        <v>10</v>
      </c>
      <c r="S6">
        <f t="shared" si="1"/>
        <v>1</v>
      </c>
    </row>
    <row r="7" spans="1:36" x14ac:dyDescent="0.25">
      <c r="A7" t="s">
        <v>1121</v>
      </c>
      <c r="B7" t="s">
        <v>1199</v>
      </c>
      <c r="C7">
        <v>5.5</v>
      </c>
      <c r="D7">
        <v>5.5</v>
      </c>
      <c r="E7">
        <v>0</v>
      </c>
      <c r="F7">
        <v>50</v>
      </c>
      <c r="G7">
        <v>50</v>
      </c>
      <c r="H7" t="s">
        <v>1113</v>
      </c>
      <c r="I7" s="1">
        <v>37225</v>
      </c>
      <c r="J7" s="1">
        <v>37322</v>
      </c>
      <c r="K7" s="1">
        <v>37323</v>
      </c>
      <c r="L7" s="1">
        <v>37323</v>
      </c>
      <c r="M7" s="1">
        <v>37324</v>
      </c>
      <c r="N7" s="1">
        <v>37336</v>
      </c>
      <c r="O7" t="s">
        <v>1117</v>
      </c>
      <c r="P7">
        <v>11</v>
      </c>
      <c r="Q7" t="s">
        <v>1115</v>
      </c>
      <c r="R7">
        <f t="shared" si="0"/>
        <v>12</v>
      </c>
      <c r="S7">
        <f t="shared" si="1"/>
        <v>1</v>
      </c>
      <c r="V7" s="10" t="s">
        <v>4061</v>
      </c>
      <c r="W7" t="s">
        <v>4059</v>
      </c>
      <c r="AB7" s="8" t="s">
        <v>4041</v>
      </c>
      <c r="AC7" s="8"/>
      <c r="AD7" s="8"/>
      <c r="AE7" s="8"/>
      <c r="AF7" s="8"/>
      <c r="AG7" s="8"/>
      <c r="AH7" s="8"/>
      <c r="AI7" s="8"/>
      <c r="AJ7" s="8"/>
    </row>
    <row r="8" spans="1:36" x14ac:dyDescent="0.25">
      <c r="A8" t="s">
        <v>1122</v>
      </c>
      <c r="B8" t="s">
        <v>1199</v>
      </c>
      <c r="C8">
        <v>5.5</v>
      </c>
      <c r="D8">
        <v>5.5</v>
      </c>
      <c r="E8">
        <v>0</v>
      </c>
      <c r="F8">
        <v>95</v>
      </c>
      <c r="G8">
        <v>86</v>
      </c>
      <c r="H8" t="s">
        <v>1113</v>
      </c>
      <c r="I8" s="1">
        <v>37225</v>
      </c>
      <c r="J8" s="1">
        <v>37317</v>
      </c>
      <c r="K8" s="1">
        <v>37318</v>
      </c>
      <c r="L8" s="1">
        <v>37318</v>
      </c>
      <c r="M8" s="1">
        <v>37320</v>
      </c>
      <c r="N8" s="1">
        <v>37335</v>
      </c>
      <c r="O8" t="s">
        <v>1117</v>
      </c>
      <c r="P8">
        <v>1</v>
      </c>
      <c r="Q8" t="s">
        <v>1115</v>
      </c>
      <c r="R8">
        <f t="shared" si="0"/>
        <v>12</v>
      </c>
      <c r="S8">
        <f t="shared" si="1"/>
        <v>0</v>
      </c>
      <c r="V8" s="11">
        <v>1</v>
      </c>
      <c r="W8" s="12">
        <v>0.5</v>
      </c>
      <c r="AB8" s="8"/>
      <c r="AC8" s="8"/>
      <c r="AD8" s="8"/>
      <c r="AE8" s="8"/>
      <c r="AF8" s="8"/>
      <c r="AG8" s="8"/>
      <c r="AH8" s="8"/>
      <c r="AI8" s="8"/>
      <c r="AJ8" s="8"/>
    </row>
    <row r="9" spans="1:36" x14ac:dyDescent="0.25">
      <c r="A9" t="s">
        <v>1123</v>
      </c>
      <c r="B9" t="s">
        <v>3521</v>
      </c>
      <c r="C9">
        <v>5.5</v>
      </c>
      <c r="D9">
        <v>5.5</v>
      </c>
      <c r="E9">
        <v>0</v>
      </c>
      <c r="F9">
        <v>10</v>
      </c>
      <c r="G9">
        <v>10</v>
      </c>
      <c r="H9" t="s">
        <v>1113</v>
      </c>
      <c r="I9" s="1">
        <v>37343</v>
      </c>
      <c r="J9" s="1">
        <v>37387</v>
      </c>
      <c r="K9" t="s">
        <v>1124</v>
      </c>
      <c r="L9" t="s">
        <v>1124</v>
      </c>
      <c r="M9" t="s">
        <v>1124</v>
      </c>
      <c r="N9" s="1">
        <v>37367</v>
      </c>
      <c r="O9" t="s">
        <v>1117</v>
      </c>
      <c r="P9">
        <v>1</v>
      </c>
      <c r="Q9" t="s">
        <v>1115</v>
      </c>
      <c r="R9">
        <f t="shared" si="0"/>
        <v>17</v>
      </c>
      <c r="S9">
        <f t="shared" si="1"/>
        <v>0</v>
      </c>
      <c r="V9" s="11">
        <v>2</v>
      </c>
      <c r="W9" s="12">
        <v>0.83333333333333337</v>
      </c>
    </row>
    <row r="10" spans="1:36" x14ac:dyDescent="0.25">
      <c r="A10" t="s">
        <v>1125</v>
      </c>
      <c r="B10" t="s">
        <v>1199</v>
      </c>
      <c r="C10">
        <v>5.5</v>
      </c>
      <c r="D10">
        <v>5.5</v>
      </c>
      <c r="E10">
        <v>0</v>
      </c>
      <c r="F10">
        <v>50</v>
      </c>
      <c r="G10">
        <v>48.5</v>
      </c>
      <c r="H10" t="s">
        <v>1113</v>
      </c>
      <c r="I10" s="1">
        <v>37225</v>
      </c>
      <c r="J10" s="1">
        <v>37321</v>
      </c>
      <c r="K10" s="1">
        <v>37326</v>
      </c>
      <c r="L10" s="1">
        <v>37326</v>
      </c>
      <c r="M10" s="1">
        <v>37327</v>
      </c>
      <c r="N10" s="1">
        <v>37336</v>
      </c>
      <c r="O10" t="s">
        <v>1117</v>
      </c>
      <c r="P10">
        <v>3</v>
      </c>
      <c r="Q10" t="s">
        <v>1115</v>
      </c>
      <c r="R10">
        <f t="shared" si="0"/>
        <v>12</v>
      </c>
      <c r="S10">
        <f t="shared" si="1"/>
        <v>0</v>
      </c>
      <c r="V10" s="11">
        <v>3</v>
      </c>
      <c r="W10" s="12">
        <v>0.83333333333333337</v>
      </c>
    </row>
    <row r="11" spans="1:36" x14ac:dyDescent="0.25">
      <c r="A11" t="s">
        <v>1126</v>
      </c>
      <c r="B11" t="s">
        <v>1199</v>
      </c>
      <c r="C11">
        <v>6.5</v>
      </c>
      <c r="D11">
        <v>6.5</v>
      </c>
      <c r="E11">
        <v>0</v>
      </c>
      <c r="F11">
        <v>5.0999999999999996</v>
      </c>
      <c r="G11">
        <v>5.0999999999999996</v>
      </c>
      <c r="H11" t="s">
        <v>1113</v>
      </c>
      <c r="I11" s="1">
        <v>37225</v>
      </c>
      <c r="J11" s="1">
        <v>37329</v>
      </c>
      <c r="K11" s="1">
        <v>37331</v>
      </c>
      <c r="L11" s="1">
        <v>37331</v>
      </c>
      <c r="M11" s="1">
        <v>37332</v>
      </c>
      <c r="N11" s="1">
        <v>37332</v>
      </c>
      <c r="O11" t="s">
        <v>1117</v>
      </c>
      <c r="P11">
        <v>1</v>
      </c>
      <c r="Q11" t="s">
        <v>1115</v>
      </c>
      <c r="R11">
        <f t="shared" si="0"/>
        <v>12</v>
      </c>
      <c r="S11">
        <f t="shared" si="1"/>
        <v>1</v>
      </c>
      <c r="V11" s="11">
        <v>4</v>
      </c>
      <c r="W11" s="12">
        <v>0.77777777777777779</v>
      </c>
    </row>
    <row r="12" spans="1:36" x14ac:dyDescent="0.25">
      <c r="A12" t="s">
        <v>1127</v>
      </c>
      <c r="B12" t="s">
        <v>4027</v>
      </c>
      <c r="C12">
        <v>7.5</v>
      </c>
      <c r="D12">
        <v>7.5</v>
      </c>
      <c r="E12">
        <v>0</v>
      </c>
      <c r="F12">
        <v>6</v>
      </c>
      <c r="G12">
        <v>6</v>
      </c>
      <c r="H12" t="s">
        <v>1113</v>
      </c>
      <c r="I12" s="1">
        <v>37225</v>
      </c>
      <c r="J12" s="1">
        <v>37324</v>
      </c>
      <c r="K12" s="1">
        <v>37327</v>
      </c>
      <c r="L12" s="1">
        <v>37327</v>
      </c>
      <c r="M12" s="1">
        <v>37329</v>
      </c>
      <c r="N12" s="1">
        <v>37329</v>
      </c>
      <c r="O12" t="s">
        <v>1117</v>
      </c>
      <c r="P12">
        <v>2</v>
      </c>
      <c r="Q12" t="s">
        <v>1115</v>
      </c>
      <c r="R12">
        <f t="shared" si="0"/>
        <v>11</v>
      </c>
      <c r="S12">
        <f t="shared" si="1"/>
        <v>1</v>
      </c>
      <c r="V12" s="11">
        <v>5</v>
      </c>
      <c r="W12" s="12">
        <v>0.92156862745098034</v>
      </c>
    </row>
    <row r="13" spans="1:36" x14ac:dyDescent="0.25">
      <c r="A13" t="s">
        <v>1128</v>
      </c>
      <c r="B13" t="s">
        <v>1199</v>
      </c>
      <c r="C13">
        <v>5.5</v>
      </c>
      <c r="D13">
        <v>5.5</v>
      </c>
      <c r="E13">
        <v>0</v>
      </c>
      <c r="F13">
        <v>400</v>
      </c>
      <c r="G13">
        <v>400</v>
      </c>
      <c r="H13" t="s">
        <v>1113</v>
      </c>
      <c r="I13" s="1">
        <v>37225</v>
      </c>
      <c r="J13" s="1">
        <v>37318</v>
      </c>
      <c r="K13" s="1">
        <v>37321</v>
      </c>
      <c r="L13" s="1">
        <v>37321</v>
      </c>
      <c r="M13" s="1">
        <v>37321</v>
      </c>
      <c r="N13" s="1">
        <v>37335</v>
      </c>
      <c r="O13" t="s">
        <v>1117</v>
      </c>
      <c r="P13">
        <v>1</v>
      </c>
      <c r="Q13" t="s">
        <v>1115</v>
      </c>
      <c r="R13">
        <f t="shared" si="0"/>
        <v>12</v>
      </c>
      <c r="S13">
        <f t="shared" si="1"/>
        <v>1</v>
      </c>
      <c r="V13" s="11">
        <v>6</v>
      </c>
      <c r="W13" s="12">
        <v>1</v>
      </c>
    </row>
    <row r="14" spans="1:36" x14ac:dyDescent="0.25">
      <c r="A14" t="s">
        <v>1129</v>
      </c>
      <c r="B14" t="s">
        <v>1199</v>
      </c>
      <c r="C14">
        <v>7</v>
      </c>
      <c r="D14">
        <v>7</v>
      </c>
      <c r="E14">
        <v>0</v>
      </c>
      <c r="F14">
        <v>60</v>
      </c>
      <c r="G14">
        <v>60</v>
      </c>
      <c r="H14" t="s">
        <v>1113</v>
      </c>
      <c r="I14" s="1">
        <v>37225</v>
      </c>
      <c r="J14" s="1">
        <v>37333</v>
      </c>
      <c r="K14" s="1">
        <v>37337</v>
      </c>
      <c r="L14" s="1">
        <v>37337</v>
      </c>
      <c r="M14" s="1">
        <v>37337</v>
      </c>
      <c r="N14" s="1">
        <v>37337</v>
      </c>
      <c r="O14" t="s">
        <v>1117</v>
      </c>
      <c r="P14">
        <v>2</v>
      </c>
      <c r="Q14" t="s">
        <v>1115</v>
      </c>
      <c r="R14">
        <f t="shared" si="0"/>
        <v>12</v>
      </c>
      <c r="S14">
        <f t="shared" si="1"/>
        <v>1</v>
      </c>
      <c r="V14" s="11">
        <v>8</v>
      </c>
      <c r="W14" s="12">
        <v>1</v>
      </c>
    </row>
    <row r="15" spans="1:36" x14ac:dyDescent="0.25">
      <c r="A15" t="s">
        <v>1130</v>
      </c>
      <c r="B15" t="s">
        <v>4028</v>
      </c>
      <c r="C15">
        <v>5.5</v>
      </c>
      <c r="D15">
        <v>5.5</v>
      </c>
      <c r="E15">
        <v>0</v>
      </c>
      <c r="F15">
        <v>50</v>
      </c>
      <c r="G15">
        <v>50</v>
      </c>
      <c r="H15" t="s">
        <v>1113</v>
      </c>
      <c r="I15" s="1">
        <v>37225</v>
      </c>
      <c r="J15" s="1">
        <v>37316</v>
      </c>
      <c r="K15" s="1">
        <v>37326</v>
      </c>
      <c r="L15" s="1">
        <v>37326</v>
      </c>
      <c r="M15" s="1">
        <v>37327</v>
      </c>
      <c r="N15" s="1">
        <v>37336</v>
      </c>
      <c r="O15" t="s">
        <v>1117</v>
      </c>
      <c r="P15">
        <v>12</v>
      </c>
      <c r="Q15" t="s">
        <v>1115</v>
      </c>
      <c r="R15">
        <f t="shared" si="0"/>
        <v>12</v>
      </c>
      <c r="S15">
        <f t="shared" si="1"/>
        <v>1</v>
      </c>
      <c r="V15" s="11">
        <v>9</v>
      </c>
      <c r="W15" s="12">
        <v>0.8571428571428571</v>
      </c>
    </row>
    <row r="16" spans="1:36" x14ac:dyDescent="0.25">
      <c r="A16" t="s">
        <v>1131</v>
      </c>
      <c r="B16" t="s">
        <v>1199</v>
      </c>
      <c r="C16">
        <v>7</v>
      </c>
      <c r="D16">
        <v>7</v>
      </c>
      <c r="E16">
        <v>0</v>
      </c>
      <c r="F16">
        <v>2.8</v>
      </c>
      <c r="G16">
        <v>2.8</v>
      </c>
      <c r="H16" t="s">
        <v>1113</v>
      </c>
      <c r="I16" s="1">
        <v>37225</v>
      </c>
      <c r="J16" s="1">
        <v>37325</v>
      </c>
      <c r="K16" s="1">
        <v>37329</v>
      </c>
      <c r="L16" s="1">
        <v>37329</v>
      </c>
      <c r="M16" s="1">
        <v>37329</v>
      </c>
      <c r="N16" s="1">
        <v>37329</v>
      </c>
      <c r="O16" t="s">
        <v>1117</v>
      </c>
      <c r="P16">
        <v>4</v>
      </c>
      <c r="Q16" t="s">
        <v>1115</v>
      </c>
      <c r="R16">
        <f t="shared" si="0"/>
        <v>11</v>
      </c>
      <c r="S16">
        <f t="shared" si="1"/>
        <v>1</v>
      </c>
      <c r="V16" s="11">
        <v>10</v>
      </c>
      <c r="W16" s="12">
        <v>0.88888888888888884</v>
      </c>
    </row>
    <row r="17" spans="1:23" x14ac:dyDescent="0.25">
      <c r="A17" t="s">
        <v>1132</v>
      </c>
      <c r="B17" t="s">
        <v>4026</v>
      </c>
      <c r="C17">
        <v>5.5</v>
      </c>
      <c r="D17">
        <v>5.5</v>
      </c>
      <c r="E17">
        <v>0</v>
      </c>
      <c r="F17">
        <v>50</v>
      </c>
      <c r="G17">
        <v>50</v>
      </c>
      <c r="H17" t="s">
        <v>1113</v>
      </c>
      <c r="I17" s="1">
        <v>37225</v>
      </c>
      <c r="J17" s="1">
        <v>37321</v>
      </c>
      <c r="K17" s="1">
        <v>37326</v>
      </c>
      <c r="L17" s="1">
        <v>37326</v>
      </c>
      <c r="M17" s="1">
        <v>37327</v>
      </c>
      <c r="N17" s="1">
        <v>37336</v>
      </c>
      <c r="O17" t="s">
        <v>1117</v>
      </c>
      <c r="P17">
        <v>8</v>
      </c>
      <c r="Q17" t="s">
        <v>1115</v>
      </c>
      <c r="R17">
        <f t="shared" si="0"/>
        <v>12</v>
      </c>
      <c r="S17">
        <f t="shared" si="1"/>
        <v>1</v>
      </c>
      <c r="V17" s="11">
        <v>11</v>
      </c>
      <c r="W17" s="12">
        <v>0.852112676056338</v>
      </c>
    </row>
    <row r="18" spans="1:23" x14ac:dyDescent="0.25">
      <c r="A18" t="s">
        <v>1133</v>
      </c>
      <c r="B18" t="s">
        <v>1199</v>
      </c>
      <c r="C18">
        <v>5.5</v>
      </c>
      <c r="D18">
        <v>5.5</v>
      </c>
      <c r="E18">
        <v>0</v>
      </c>
      <c r="F18">
        <v>19</v>
      </c>
      <c r="G18">
        <v>19</v>
      </c>
      <c r="H18" t="s">
        <v>1113</v>
      </c>
      <c r="I18" s="1">
        <v>37225</v>
      </c>
      <c r="J18" s="1">
        <v>37330</v>
      </c>
      <c r="K18" s="1">
        <v>37333</v>
      </c>
      <c r="L18" s="1">
        <v>37333</v>
      </c>
      <c r="M18" s="1">
        <v>37334</v>
      </c>
      <c r="N18" s="1">
        <v>37334</v>
      </c>
      <c r="O18" t="s">
        <v>1117</v>
      </c>
      <c r="P18">
        <v>2</v>
      </c>
      <c r="Q18" t="s">
        <v>1115</v>
      </c>
      <c r="R18">
        <f t="shared" si="0"/>
        <v>12</v>
      </c>
      <c r="S18">
        <f t="shared" si="1"/>
        <v>1</v>
      </c>
      <c r="V18" s="11">
        <v>12</v>
      </c>
      <c r="W18" s="12">
        <v>0.83495145631067957</v>
      </c>
    </row>
    <row r="19" spans="1:23" x14ac:dyDescent="0.25">
      <c r="A19" t="s">
        <v>1134</v>
      </c>
      <c r="B19" t="s">
        <v>1199</v>
      </c>
      <c r="C19">
        <v>5.5</v>
      </c>
      <c r="D19">
        <v>5.5</v>
      </c>
      <c r="E19">
        <v>0</v>
      </c>
      <c r="F19">
        <v>300</v>
      </c>
      <c r="G19">
        <v>300</v>
      </c>
      <c r="H19" t="s">
        <v>1113</v>
      </c>
      <c r="I19" s="1">
        <v>37225</v>
      </c>
      <c r="J19" s="1">
        <v>37330</v>
      </c>
      <c r="K19" s="1">
        <v>37334</v>
      </c>
      <c r="L19" s="1">
        <v>37334</v>
      </c>
      <c r="M19" s="1">
        <v>37335</v>
      </c>
      <c r="N19" s="1">
        <v>37335</v>
      </c>
      <c r="O19" t="s">
        <v>1117</v>
      </c>
      <c r="P19">
        <v>1</v>
      </c>
      <c r="Q19" t="s">
        <v>1115</v>
      </c>
      <c r="R19">
        <f t="shared" si="0"/>
        <v>12</v>
      </c>
      <c r="S19">
        <f t="shared" si="1"/>
        <v>1</v>
      </c>
      <c r="V19" s="11">
        <v>13</v>
      </c>
      <c r="W19" s="12">
        <v>0.86031746031746037</v>
      </c>
    </row>
    <row r="20" spans="1:23" x14ac:dyDescent="0.25">
      <c r="A20" t="s">
        <v>1135</v>
      </c>
      <c r="B20" t="s">
        <v>1199</v>
      </c>
      <c r="C20">
        <v>6</v>
      </c>
      <c r="D20">
        <v>6</v>
      </c>
      <c r="E20">
        <v>0</v>
      </c>
      <c r="F20">
        <v>5</v>
      </c>
      <c r="G20">
        <v>5</v>
      </c>
      <c r="H20" t="s">
        <v>1113</v>
      </c>
      <c r="I20" s="1">
        <v>37225</v>
      </c>
      <c r="J20" s="1">
        <v>37334</v>
      </c>
      <c r="K20" s="1">
        <v>37337</v>
      </c>
      <c r="L20" s="1">
        <v>37337</v>
      </c>
      <c r="M20" s="1">
        <v>37337</v>
      </c>
      <c r="N20" s="1">
        <v>37337</v>
      </c>
      <c r="O20" t="s">
        <v>1117</v>
      </c>
      <c r="P20">
        <v>1</v>
      </c>
      <c r="Q20" t="s">
        <v>1115</v>
      </c>
      <c r="R20">
        <f t="shared" si="0"/>
        <v>12</v>
      </c>
      <c r="S20">
        <f t="shared" si="1"/>
        <v>1</v>
      </c>
      <c r="V20" s="11">
        <v>14</v>
      </c>
      <c r="W20" s="12">
        <v>0.85365853658536583</v>
      </c>
    </row>
    <row r="21" spans="1:23" x14ac:dyDescent="0.25">
      <c r="A21" t="s">
        <v>1136</v>
      </c>
      <c r="B21" t="s">
        <v>4026</v>
      </c>
      <c r="C21">
        <v>5.5</v>
      </c>
      <c r="D21">
        <v>5.5</v>
      </c>
      <c r="E21">
        <v>0</v>
      </c>
      <c r="F21">
        <v>50</v>
      </c>
      <c r="G21">
        <v>50</v>
      </c>
      <c r="H21" t="s">
        <v>1113</v>
      </c>
      <c r="I21" s="1">
        <v>37225</v>
      </c>
      <c r="J21" s="1">
        <v>37334</v>
      </c>
      <c r="K21" s="1">
        <v>37336</v>
      </c>
      <c r="L21" s="1">
        <v>37336</v>
      </c>
      <c r="M21" s="1">
        <v>37336</v>
      </c>
      <c r="N21" s="1">
        <v>37336</v>
      </c>
      <c r="O21" t="s">
        <v>1117</v>
      </c>
      <c r="P21">
        <v>2</v>
      </c>
      <c r="Q21" t="s">
        <v>1115</v>
      </c>
      <c r="R21">
        <f t="shared" si="0"/>
        <v>12</v>
      </c>
      <c r="S21">
        <f t="shared" si="1"/>
        <v>1</v>
      </c>
      <c r="V21" s="11">
        <v>15</v>
      </c>
      <c r="W21" s="12">
        <v>0.86046511627906974</v>
      </c>
    </row>
    <row r="22" spans="1:23" x14ac:dyDescent="0.25">
      <c r="A22" t="s">
        <v>1137</v>
      </c>
      <c r="B22" t="s">
        <v>1199</v>
      </c>
      <c r="C22">
        <v>11</v>
      </c>
      <c r="D22">
        <v>11</v>
      </c>
      <c r="E22">
        <v>0</v>
      </c>
      <c r="F22">
        <v>5</v>
      </c>
      <c r="G22">
        <v>5</v>
      </c>
      <c r="H22" t="s">
        <v>1113</v>
      </c>
      <c r="I22" s="1">
        <v>37335</v>
      </c>
      <c r="J22" s="1">
        <v>37367</v>
      </c>
      <c r="K22" s="1">
        <v>37367</v>
      </c>
      <c r="L22" s="1">
        <v>37367</v>
      </c>
      <c r="M22" s="1">
        <v>37367</v>
      </c>
      <c r="N22" s="1">
        <v>37367</v>
      </c>
      <c r="O22" t="s">
        <v>1114</v>
      </c>
      <c r="P22">
        <v>3</v>
      </c>
      <c r="Q22" t="s">
        <v>1115</v>
      </c>
      <c r="R22">
        <f t="shared" si="0"/>
        <v>17</v>
      </c>
      <c r="S22">
        <f t="shared" si="1"/>
        <v>1</v>
      </c>
      <c r="V22" s="11">
        <v>16</v>
      </c>
      <c r="W22" s="12">
        <v>0.88269794721407624</v>
      </c>
    </row>
    <row r="23" spans="1:23" x14ac:dyDescent="0.25">
      <c r="A23" t="s">
        <v>1138</v>
      </c>
      <c r="B23" t="s">
        <v>4028</v>
      </c>
      <c r="C23">
        <v>10</v>
      </c>
      <c r="D23">
        <v>10</v>
      </c>
      <c r="E23">
        <v>0</v>
      </c>
      <c r="F23">
        <v>4</v>
      </c>
      <c r="G23">
        <v>4</v>
      </c>
      <c r="H23" t="s">
        <v>1113</v>
      </c>
      <c r="I23" s="1">
        <v>37335</v>
      </c>
      <c r="J23" s="1">
        <v>37367</v>
      </c>
      <c r="K23" s="1">
        <v>37367</v>
      </c>
      <c r="L23" s="1">
        <v>37367</v>
      </c>
      <c r="M23" s="1">
        <v>37367</v>
      </c>
      <c r="N23" s="1">
        <v>37367</v>
      </c>
      <c r="O23" t="s">
        <v>1114</v>
      </c>
      <c r="P23">
        <v>2</v>
      </c>
      <c r="Q23" t="s">
        <v>1115</v>
      </c>
      <c r="R23">
        <f t="shared" si="0"/>
        <v>17</v>
      </c>
      <c r="S23">
        <f t="shared" si="1"/>
        <v>1</v>
      </c>
      <c r="V23" s="11">
        <v>17</v>
      </c>
      <c r="W23" s="12">
        <v>0.69255663430420711</v>
      </c>
    </row>
    <row r="24" spans="1:23" x14ac:dyDescent="0.25">
      <c r="A24" t="s">
        <v>1139</v>
      </c>
      <c r="B24" t="s">
        <v>1199</v>
      </c>
      <c r="C24">
        <v>10</v>
      </c>
      <c r="D24">
        <v>10</v>
      </c>
      <c r="E24">
        <v>0</v>
      </c>
      <c r="F24">
        <v>4</v>
      </c>
      <c r="G24">
        <v>4</v>
      </c>
      <c r="H24" t="s">
        <v>1113</v>
      </c>
      <c r="I24" s="1">
        <v>37343</v>
      </c>
      <c r="J24" s="1">
        <v>37387</v>
      </c>
      <c r="K24" t="s">
        <v>1124</v>
      </c>
      <c r="L24" t="s">
        <v>1124</v>
      </c>
      <c r="M24" t="s">
        <v>1124</v>
      </c>
      <c r="N24" s="1">
        <v>37367</v>
      </c>
      <c r="O24" t="s">
        <v>1117</v>
      </c>
      <c r="P24">
        <v>2</v>
      </c>
      <c r="Q24" t="s">
        <v>1115</v>
      </c>
      <c r="R24">
        <f t="shared" si="0"/>
        <v>17</v>
      </c>
      <c r="S24">
        <f t="shared" si="1"/>
        <v>0</v>
      </c>
      <c r="V24" s="11">
        <v>18</v>
      </c>
      <c r="W24" s="12">
        <v>0.72222222222222221</v>
      </c>
    </row>
    <row r="25" spans="1:23" x14ac:dyDescent="0.25">
      <c r="A25" t="s">
        <v>1140</v>
      </c>
      <c r="B25" t="s">
        <v>1199</v>
      </c>
      <c r="C25">
        <v>6</v>
      </c>
      <c r="D25">
        <v>6</v>
      </c>
      <c r="E25">
        <v>0</v>
      </c>
      <c r="F25">
        <v>6</v>
      </c>
      <c r="G25">
        <v>6</v>
      </c>
      <c r="H25" t="s">
        <v>1113</v>
      </c>
      <c r="I25" s="1">
        <v>37225</v>
      </c>
      <c r="J25" s="1">
        <v>37329</v>
      </c>
      <c r="K25" s="1">
        <v>37330</v>
      </c>
      <c r="L25" s="1">
        <v>37330</v>
      </c>
      <c r="M25" s="1">
        <v>37332</v>
      </c>
      <c r="N25" s="1">
        <v>37337</v>
      </c>
      <c r="O25" t="s">
        <v>1117</v>
      </c>
      <c r="P25">
        <v>1</v>
      </c>
      <c r="Q25" t="s">
        <v>1115</v>
      </c>
      <c r="R25">
        <f t="shared" si="0"/>
        <v>12</v>
      </c>
      <c r="S25">
        <f t="shared" si="1"/>
        <v>1</v>
      </c>
      <c r="V25" s="11">
        <v>19</v>
      </c>
      <c r="W25" s="12">
        <v>0.8</v>
      </c>
    </row>
    <row r="26" spans="1:23" x14ac:dyDescent="0.25">
      <c r="A26" t="s">
        <v>1141</v>
      </c>
      <c r="B26" t="s">
        <v>1199</v>
      </c>
      <c r="C26">
        <v>5.5</v>
      </c>
      <c r="D26">
        <v>5.5</v>
      </c>
      <c r="E26">
        <v>0</v>
      </c>
      <c r="F26">
        <v>50</v>
      </c>
      <c r="G26">
        <v>50</v>
      </c>
      <c r="H26" t="s">
        <v>1113</v>
      </c>
      <c r="I26" s="1">
        <v>37225</v>
      </c>
      <c r="J26" s="1">
        <v>37327</v>
      </c>
      <c r="K26" s="1">
        <v>37331</v>
      </c>
      <c r="L26" s="1">
        <v>37331</v>
      </c>
      <c r="M26" s="1">
        <v>37332</v>
      </c>
      <c r="N26" s="1">
        <v>37336</v>
      </c>
      <c r="O26" t="s">
        <v>1117</v>
      </c>
      <c r="P26">
        <v>10</v>
      </c>
      <c r="Q26" t="s">
        <v>1115</v>
      </c>
      <c r="R26">
        <f t="shared" si="0"/>
        <v>12</v>
      </c>
      <c r="S26">
        <f t="shared" si="1"/>
        <v>1</v>
      </c>
      <c r="V26" s="11">
        <v>20</v>
      </c>
      <c r="W26" s="12">
        <v>0.81481481481481477</v>
      </c>
    </row>
    <row r="27" spans="1:23" x14ac:dyDescent="0.25">
      <c r="A27" t="s">
        <v>1142</v>
      </c>
      <c r="B27" t="s">
        <v>1199</v>
      </c>
      <c r="C27">
        <v>5.5</v>
      </c>
      <c r="D27">
        <v>5.5</v>
      </c>
      <c r="E27">
        <v>0</v>
      </c>
      <c r="F27">
        <v>150</v>
      </c>
      <c r="G27">
        <v>150</v>
      </c>
      <c r="H27" t="s">
        <v>1113</v>
      </c>
      <c r="I27" s="1">
        <v>37304</v>
      </c>
      <c r="J27" s="1">
        <v>37308</v>
      </c>
      <c r="K27" s="1">
        <v>37320</v>
      </c>
      <c r="L27" s="1">
        <v>37320</v>
      </c>
      <c r="M27" s="1">
        <v>37320</v>
      </c>
      <c r="N27" s="1">
        <v>37320</v>
      </c>
      <c r="O27" t="s">
        <v>1117</v>
      </c>
      <c r="P27">
        <v>2</v>
      </c>
      <c r="Q27" t="s">
        <v>1115</v>
      </c>
      <c r="R27">
        <f t="shared" si="0"/>
        <v>10</v>
      </c>
      <c r="S27">
        <f t="shared" si="1"/>
        <v>1</v>
      </c>
      <c r="V27" s="11">
        <v>44</v>
      </c>
      <c r="W27" s="12">
        <v>1</v>
      </c>
    </row>
    <row r="28" spans="1:23" x14ac:dyDescent="0.25">
      <c r="A28" t="s">
        <v>1144</v>
      </c>
      <c r="B28" t="s">
        <v>4027</v>
      </c>
      <c r="C28">
        <v>11</v>
      </c>
      <c r="D28">
        <v>11</v>
      </c>
      <c r="E28">
        <v>0</v>
      </c>
      <c r="F28">
        <v>5</v>
      </c>
      <c r="G28">
        <v>5</v>
      </c>
      <c r="H28" t="s">
        <v>1113</v>
      </c>
      <c r="I28" s="1">
        <v>37343</v>
      </c>
      <c r="J28" s="1">
        <v>37383</v>
      </c>
      <c r="K28" s="1">
        <v>37383</v>
      </c>
      <c r="L28" s="1">
        <v>37383</v>
      </c>
      <c r="M28" t="s">
        <v>1124</v>
      </c>
      <c r="N28" s="1">
        <v>37367</v>
      </c>
      <c r="O28" t="s">
        <v>1114</v>
      </c>
      <c r="P28">
        <v>3</v>
      </c>
      <c r="Q28" t="s">
        <v>1115</v>
      </c>
      <c r="R28">
        <f t="shared" si="0"/>
        <v>17</v>
      </c>
      <c r="S28">
        <f t="shared" si="1"/>
        <v>0</v>
      </c>
      <c r="V28" s="11">
        <v>45</v>
      </c>
      <c r="W28" s="12">
        <v>1</v>
      </c>
    </row>
    <row r="29" spans="1:23" x14ac:dyDescent="0.25">
      <c r="A29" t="s">
        <v>1145</v>
      </c>
      <c r="B29" t="s">
        <v>4026</v>
      </c>
      <c r="C29">
        <v>5.5</v>
      </c>
      <c r="D29">
        <v>5.5</v>
      </c>
      <c r="E29">
        <v>0</v>
      </c>
      <c r="F29">
        <v>30</v>
      </c>
      <c r="G29">
        <v>30</v>
      </c>
      <c r="H29" t="s">
        <v>1113</v>
      </c>
      <c r="I29" s="1">
        <v>37225</v>
      </c>
      <c r="J29" s="1">
        <v>37315</v>
      </c>
      <c r="K29" s="1">
        <v>37316</v>
      </c>
      <c r="L29" s="1">
        <v>37316</v>
      </c>
      <c r="M29" s="1">
        <v>37317</v>
      </c>
      <c r="N29" s="1">
        <v>37334</v>
      </c>
      <c r="O29" t="s">
        <v>1117</v>
      </c>
      <c r="P29">
        <v>1</v>
      </c>
      <c r="Q29" t="s">
        <v>1115</v>
      </c>
      <c r="R29">
        <f t="shared" si="0"/>
        <v>12</v>
      </c>
      <c r="S29">
        <f t="shared" si="1"/>
        <v>1</v>
      </c>
      <c r="V29" s="11">
        <v>46</v>
      </c>
      <c r="W29" s="12">
        <v>1</v>
      </c>
    </row>
    <row r="30" spans="1:23" x14ac:dyDescent="0.25">
      <c r="A30" t="s">
        <v>1146</v>
      </c>
      <c r="B30" t="s">
        <v>1199</v>
      </c>
      <c r="C30">
        <v>5.5</v>
      </c>
      <c r="D30">
        <v>5.5</v>
      </c>
      <c r="E30">
        <v>0</v>
      </c>
      <c r="F30">
        <v>40</v>
      </c>
      <c r="G30">
        <v>1</v>
      </c>
      <c r="H30" t="s">
        <v>1113</v>
      </c>
      <c r="I30" s="1">
        <v>37225</v>
      </c>
      <c r="J30" s="1">
        <v>37317</v>
      </c>
      <c r="K30" s="1">
        <v>37326</v>
      </c>
      <c r="L30" s="1">
        <v>37326</v>
      </c>
      <c r="M30" s="1">
        <v>37327</v>
      </c>
      <c r="N30" s="1">
        <v>37336</v>
      </c>
      <c r="O30" t="s">
        <v>1117</v>
      </c>
      <c r="P30">
        <v>1</v>
      </c>
      <c r="Q30" t="s">
        <v>1115</v>
      </c>
      <c r="R30">
        <f t="shared" si="0"/>
        <v>12</v>
      </c>
      <c r="S30">
        <f t="shared" si="1"/>
        <v>0</v>
      </c>
      <c r="V30" s="11">
        <v>47</v>
      </c>
      <c r="W30" s="12">
        <v>1</v>
      </c>
    </row>
    <row r="31" spans="1:23" x14ac:dyDescent="0.25">
      <c r="A31" t="s">
        <v>1147</v>
      </c>
      <c r="B31" t="s">
        <v>4028</v>
      </c>
      <c r="C31">
        <v>5.5</v>
      </c>
      <c r="D31">
        <v>5.5</v>
      </c>
      <c r="E31">
        <v>0</v>
      </c>
      <c r="F31">
        <v>150</v>
      </c>
      <c r="G31">
        <v>150</v>
      </c>
      <c r="H31" t="s">
        <v>1113</v>
      </c>
      <c r="I31" s="1">
        <v>37352</v>
      </c>
      <c r="J31" s="1">
        <v>37392</v>
      </c>
      <c r="K31" t="s">
        <v>1124</v>
      </c>
      <c r="L31" t="s">
        <v>1124</v>
      </c>
      <c r="M31" s="1">
        <v>37392</v>
      </c>
      <c r="N31" s="1">
        <v>37392</v>
      </c>
      <c r="O31" t="s">
        <v>1117</v>
      </c>
      <c r="P31">
        <v>2</v>
      </c>
      <c r="Q31" t="s">
        <v>1115</v>
      </c>
      <c r="R31">
        <f t="shared" si="0"/>
        <v>20</v>
      </c>
      <c r="S31">
        <f t="shared" si="1"/>
        <v>1</v>
      </c>
      <c r="V31" s="11">
        <v>48</v>
      </c>
      <c r="W31" s="12">
        <v>0.5</v>
      </c>
    </row>
    <row r="32" spans="1:23" x14ac:dyDescent="0.25">
      <c r="A32" t="s">
        <v>1148</v>
      </c>
      <c r="B32" t="s">
        <v>3631</v>
      </c>
      <c r="C32">
        <v>7</v>
      </c>
      <c r="D32">
        <v>7</v>
      </c>
      <c r="E32">
        <v>0</v>
      </c>
      <c r="F32">
        <v>10</v>
      </c>
      <c r="G32">
        <v>10</v>
      </c>
      <c r="H32" t="s">
        <v>1113</v>
      </c>
      <c r="I32" s="1">
        <v>37225</v>
      </c>
      <c r="J32" s="1">
        <v>37315</v>
      </c>
      <c r="K32" s="1">
        <v>37320</v>
      </c>
      <c r="L32" s="1">
        <v>37320</v>
      </c>
      <c r="M32" s="1">
        <v>37321</v>
      </c>
      <c r="N32" s="1">
        <v>37321</v>
      </c>
      <c r="O32" t="s">
        <v>1117</v>
      </c>
      <c r="P32">
        <v>4</v>
      </c>
      <c r="Q32" t="s">
        <v>1115</v>
      </c>
      <c r="R32">
        <f t="shared" si="0"/>
        <v>10</v>
      </c>
      <c r="S32">
        <f t="shared" si="1"/>
        <v>1</v>
      </c>
      <c r="V32" s="11">
        <v>50</v>
      </c>
      <c r="W32" s="12">
        <v>0</v>
      </c>
    </row>
    <row r="33" spans="1:23" x14ac:dyDescent="0.25">
      <c r="A33" t="s">
        <v>1149</v>
      </c>
      <c r="B33" t="s">
        <v>1199</v>
      </c>
      <c r="C33">
        <v>6</v>
      </c>
      <c r="D33">
        <v>6</v>
      </c>
      <c r="E33">
        <v>0</v>
      </c>
      <c r="F33">
        <v>5.76</v>
      </c>
      <c r="G33">
        <v>5.76</v>
      </c>
      <c r="H33" t="s">
        <v>1113</v>
      </c>
      <c r="I33" s="1">
        <v>37225</v>
      </c>
      <c r="J33" s="1">
        <v>37319</v>
      </c>
      <c r="K33" s="1">
        <v>37321</v>
      </c>
      <c r="L33" s="1">
        <v>37321</v>
      </c>
      <c r="M33" s="1">
        <v>37322</v>
      </c>
      <c r="N33" s="1">
        <v>37322</v>
      </c>
      <c r="O33" t="s">
        <v>1117</v>
      </c>
      <c r="P33">
        <v>1</v>
      </c>
      <c r="Q33" t="s">
        <v>1115</v>
      </c>
      <c r="R33">
        <f t="shared" si="0"/>
        <v>10</v>
      </c>
      <c r="S33">
        <f t="shared" si="1"/>
        <v>1</v>
      </c>
      <c r="V33" s="11" t="s">
        <v>4037</v>
      </c>
      <c r="W33" s="12">
        <v>0.83523710626514369</v>
      </c>
    </row>
    <row r="34" spans="1:23" x14ac:dyDescent="0.25">
      <c r="A34" t="s">
        <v>1150</v>
      </c>
      <c r="B34" t="s">
        <v>1199</v>
      </c>
      <c r="C34">
        <v>5.5</v>
      </c>
      <c r="D34">
        <v>5.5</v>
      </c>
      <c r="E34">
        <v>0</v>
      </c>
      <c r="F34">
        <v>250</v>
      </c>
      <c r="G34">
        <v>250</v>
      </c>
      <c r="H34" t="s">
        <v>1113</v>
      </c>
      <c r="I34" s="1">
        <v>37299</v>
      </c>
      <c r="J34" s="1">
        <v>37308</v>
      </c>
      <c r="K34" s="1">
        <v>37323</v>
      </c>
      <c r="L34" s="1">
        <v>37323</v>
      </c>
      <c r="M34" s="1">
        <v>37324</v>
      </c>
      <c r="N34" s="1">
        <v>37324</v>
      </c>
      <c r="O34" t="s">
        <v>1117</v>
      </c>
      <c r="P34">
        <v>1</v>
      </c>
      <c r="Q34" t="s">
        <v>1115</v>
      </c>
      <c r="R34">
        <f t="shared" si="0"/>
        <v>10</v>
      </c>
      <c r="S34">
        <f t="shared" si="1"/>
        <v>1</v>
      </c>
    </row>
    <row r="35" spans="1:23" x14ac:dyDescent="0.25">
      <c r="A35" t="s">
        <v>1151</v>
      </c>
      <c r="B35" t="s">
        <v>1199</v>
      </c>
      <c r="C35">
        <v>15</v>
      </c>
      <c r="D35">
        <v>15</v>
      </c>
      <c r="E35">
        <v>0</v>
      </c>
      <c r="F35">
        <v>1</v>
      </c>
      <c r="G35">
        <v>1</v>
      </c>
      <c r="H35" t="s">
        <v>1113</v>
      </c>
      <c r="I35" s="1">
        <v>37225</v>
      </c>
      <c r="J35" s="1">
        <v>37315</v>
      </c>
      <c r="K35" s="1">
        <v>37320</v>
      </c>
      <c r="L35" s="1">
        <v>37320</v>
      </c>
      <c r="M35" s="1">
        <v>37321</v>
      </c>
      <c r="N35" s="1">
        <v>37323</v>
      </c>
      <c r="O35" t="s">
        <v>1117</v>
      </c>
      <c r="P35">
        <v>1</v>
      </c>
      <c r="Q35" t="s">
        <v>1115</v>
      </c>
      <c r="R35">
        <f t="shared" si="0"/>
        <v>10</v>
      </c>
      <c r="S35">
        <f t="shared" si="1"/>
        <v>1</v>
      </c>
    </row>
    <row r="36" spans="1:23" x14ac:dyDescent="0.25">
      <c r="A36" t="s">
        <v>1152</v>
      </c>
      <c r="B36" t="s">
        <v>4026</v>
      </c>
      <c r="C36">
        <v>9</v>
      </c>
      <c r="D36">
        <v>9</v>
      </c>
      <c r="E36">
        <v>0</v>
      </c>
      <c r="F36">
        <v>15</v>
      </c>
      <c r="G36">
        <v>15</v>
      </c>
      <c r="H36" t="s">
        <v>1113</v>
      </c>
      <c r="I36" s="1">
        <v>37225</v>
      </c>
      <c r="J36" s="1">
        <v>37326</v>
      </c>
      <c r="K36" s="1">
        <v>37330</v>
      </c>
      <c r="L36" s="1">
        <v>37330</v>
      </c>
      <c r="M36" s="1">
        <v>37332</v>
      </c>
      <c r="N36" s="1">
        <v>37332</v>
      </c>
      <c r="O36" t="s">
        <v>1117</v>
      </c>
      <c r="P36">
        <v>3</v>
      </c>
      <c r="Q36" t="s">
        <v>1115</v>
      </c>
      <c r="R36">
        <f t="shared" si="0"/>
        <v>12</v>
      </c>
      <c r="S36">
        <f t="shared" si="1"/>
        <v>1</v>
      </c>
    </row>
    <row r="37" spans="1:23" x14ac:dyDescent="0.25">
      <c r="A37" t="s">
        <v>1153</v>
      </c>
      <c r="B37" t="s">
        <v>4027</v>
      </c>
      <c r="C37">
        <v>5.5</v>
      </c>
      <c r="D37">
        <v>5.5</v>
      </c>
      <c r="E37">
        <v>0</v>
      </c>
      <c r="F37">
        <v>6</v>
      </c>
      <c r="G37">
        <v>6</v>
      </c>
      <c r="H37" t="s">
        <v>1113</v>
      </c>
      <c r="I37" s="1">
        <v>37225</v>
      </c>
      <c r="J37" s="1">
        <v>37324</v>
      </c>
      <c r="K37" s="1">
        <v>37329</v>
      </c>
      <c r="L37" s="1">
        <v>37329</v>
      </c>
      <c r="M37" s="1">
        <v>37329</v>
      </c>
      <c r="N37" s="1">
        <v>37336</v>
      </c>
      <c r="O37" t="s">
        <v>1117</v>
      </c>
      <c r="P37">
        <v>4</v>
      </c>
      <c r="Q37" t="s">
        <v>1115</v>
      </c>
      <c r="R37">
        <f t="shared" si="0"/>
        <v>12</v>
      </c>
      <c r="S37">
        <f t="shared" si="1"/>
        <v>1</v>
      </c>
    </row>
    <row r="38" spans="1:23" x14ac:dyDescent="0.25">
      <c r="A38" t="s">
        <v>1154</v>
      </c>
      <c r="B38" t="s">
        <v>4027</v>
      </c>
      <c r="C38">
        <v>10</v>
      </c>
      <c r="D38">
        <v>10</v>
      </c>
      <c r="E38">
        <v>0</v>
      </c>
      <c r="F38">
        <v>4</v>
      </c>
      <c r="G38">
        <v>4</v>
      </c>
      <c r="H38" t="s">
        <v>1113</v>
      </c>
      <c r="I38" s="1">
        <v>37343</v>
      </c>
      <c r="J38" s="1">
        <v>37381</v>
      </c>
      <c r="K38" t="s">
        <v>1124</v>
      </c>
      <c r="L38" t="s">
        <v>1124</v>
      </c>
      <c r="M38" t="s">
        <v>1124</v>
      </c>
      <c r="N38" s="1">
        <v>37367</v>
      </c>
      <c r="O38" t="s">
        <v>1117</v>
      </c>
      <c r="P38">
        <v>2</v>
      </c>
      <c r="Q38" t="s">
        <v>1115</v>
      </c>
      <c r="R38">
        <f t="shared" si="0"/>
        <v>17</v>
      </c>
      <c r="S38">
        <f t="shared" si="1"/>
        <v>0</v>
      </c>
    </row>
    <row r="39" spans="1:23" x14ac:dyDescent="0.25">
      <c r="A39" t="s">
        <v>1155</v>
      </c>
      <c r="B39" t="s">
        <v>4026</v>
      </c>
      <c r="C39">
        <v>15</v>
      </c>
      <c r="D39">
        <v>15</v>
      </c>
      <c r="E39">
        <v>0</v>
      </c>
      <c r="F39">
        <v>3</v>
      </c>
      <c r="G39">
        <v>3</v>
      </c>
      <c r="H39" t="s">
        <v>1113</v>
      </c>
      <c r="I39" s="1">
        <v>37225</v>
      </c>
      <c r="J39" s="1">
        <v>37321</v>
      </c>
      <c r="K39" s="1">
        <v>37321</v>
      </c>
      <c r="L39" s="1">
        <v>37321</v>
      </c>
      <c r="M39" s="1">
        <v>37323</v>
      </c>
      <c r="N39" s="1">
        <v>37323</v>
      </c>
      <c r="O39" t="s">
        <v>1114</v>
      </c>
      <c r="P39">
        <v>1</v>
      </c>
      <c r="Q39" t="s">
        <v>1115</v>
      </c>
      <c r="R39">
        <f t="shared" si="0"/>
        <v>10</v>
      </c>
      <c r="S39">
        <f t="shared" si="1"/>
        <v>1</v>
      </c>
    </row>
    <row r="40" spans="1:23" x14ac:dyDescent="0.25">
      <c r="A40" t="s">
        <v>1156</v>
      </c>
      <c r="B40" t="s">
        <v>4027</v>
      </c>
      <c r="C40">
        <v>11</v>
      </c>
      <c r="D40">
        <v>11</v>
      </c>
      <c r="E40">
        <v>0</v>
      </c>
      <c r="F40">
        <v>5</v>
      </c>
      <c r="G40">
        <v>5</v>
      </c>
      <c r="H40" t="s">
        <v>1113</v>
      </c>
      <c r="I40" s="1">
        <v>37343</v>
      </c>
      <c r="J40" s="1">
        <v>37381</v>
      </c>
      <c r="K40" t="s">
        <v>1124</v>
      </c>
      <c r="L40" t="s">
        <v>1124</v>
      </c>
      <c r="M40" t="s">
        <v>1124</v>
      </c>
      <c r="N40" s="1">
        <v>37367</v>
      </c>
      <c r="O40" t="s">
        <v>1117</v>
      </c>
      <c r="P40">
        <v>3</v>
      </c>
      <c r="Q40" t="s">
        <v>1115</v>
      </c>
      <c r="R40">
        <f t="shared" si="0"/>
        <v>17</v>
      </c>
      <c r="S40">
        <f t="shared" si="1"/>
        <v>0</v>
      </c>
    </row>
    <row r="41" spans="1:23" x14ac:dyDescent="0.25">
      <c r="A41" t="s">
        <v>1157</v>
      </c>
      <c r="B41" t="s">
        <v>3601</v>
      </c>
      <c r="C41">
        <v>10</v>
      </c>
      <c r="D41">
        <v>10</v>
      </c>
      <c r="E41">
        <v>0</v>
      </c>
      <c r="F41">
        <v>2.4</v>
      </c>
      <c r="G41">
        <v>2.4</v>
      </c>
      <c r="H41" t="s">
        <v>1113</v>
      </c>
      <c r="I41" s="1">
        <v>37225</v>
      </c>
      <c r="J41" s="1">
        <v>37327</v>
      </c>
      <c r="K41" s="1">
        <v>37332</v>
      </c>
      <c r="L41" s="1">
        <v>37332</v>
      </c>
      <c r="M41" s="1">
        <v>37333</v>
      </c>
      <c r="N41" s="1">
        <v>37333</v>
      </c>
      <c r="O41" t="s">
        <v>1117</v>
      </c>
      <c r="P41">
        <v>1</v>
      </c>
      <c r="Q41" t="s">
        <v>1115</v>
      </c>
      <c r="R41">
        <f t="shared" si="0"/>
        <v>12</v>
      </c>
      <c r="S41">
        <f t="shared" si="1"/>
        <v>1</v>
      </c>
    </row>
    <row r="42" spans="1:23" x14ac:dyDescent="0.25">
      <c r="A42" t="s">
        <v>1158</v>
      </c>
      <c r="B42" t="s">
        <v>1199</v>
      </c>
      <c r="C42">
        <v>5.5</v>
      </c>
      <c r="D42">
        <v>5.5</v>
      </c>
      <c r="E42">
        <v>0</v>
      </c>
      <c r="F42">
        <v>50</v>
      </c>
      <c r="G42">
        <v>50</v>
      </c>
      <c r="H42" t="s">
        <v>1113</v>
      </c>
      <c r="I42" s="1">
        <v>37225</v>
      </c>
      <c r="J42" s="1">
        <v>37315</v>
      </c>
      <c r="K42" s="1">
        <v>37315</v>
      </c>
      <c r="L42" s="1">
        <v>37315</v>
      </c>
      <c r="M42" s="1">
        <v>37315</v>
      </c>
      <c r="N42" s="1">
        <v>37336</v>
      </c>
      <c r="O42" t="s">
        <v>1114</v>
      </c>
      <c r="P42">
        <v>7</v>
      </c>
      <c r="Q42" t="s">
        <v>1115</v>
      </c>
      <c r="R42">
        <f t="shared" si="0"/>
        <v>12</v>
      </c>
      <c r="S42">
        <f t="shared" si="1"/>
        <v>1</v>
      </c>
    </row>
    <row r="43" spans="1:23" x14ac:dyDescent="0.25">
      <c r="A43" t="s">
        <v>1159</v>
      </c>
      <c r="B43" t="s">
        <v>4027</v>
      </c>
      <c r="C43">
        <v>11</v>
      </c>
      <c r="D43">
        <v>11</v>
      </c>
      <c r="E43">
        <v>0</v>
      </c>
      <c r="F43">
        <v>10</v>
      </c>
      <c r="G43">
        <v>10</v>
      </c>
      <c r="H43" t="s">
        <v>1113</v>
      </c>
      <c r="I43" s="1">
        <v>37225</v>
      </c>
      <c r="J43" s="1">
        <v>37315</v>
      </c>
      <c r="K43" s="1">
        <v>37320</v>
      </c>
      <c r="L43" s="1">
        <v>37320</v>
      </c>
      <c r="M43" s="1">
        <v>37321</v>
      </c>
      <c r="N43" s="1">
        <v>37321</v>
      </c>
      <c r="O43" t="s">
        <v>1117</v>
      </c>
      <c r="P43">
        <v>1</v>
      </c>
      <c r="Q43" t="s">
        <v>1115</v>
      </c>
      <c r="R43">
        <f t="shared" si="0"/>
        <v>10</v>
      </c>
      <c r="S43">
        <f t="shared" si="1"/>
        <v>1</v>
      </c>
    </row>
    <row r="44" spans="1:23" x14ac:dyDescent="0.25">
      <c r="A44" t="s">
        <v>1160</v>
      </c>
      <c r="B44" t="s">
        <v>4028</v>
      </c>
      <c r="C44">
        <v>9</v>
      </c>
      <c r="D44">
        <v>9</v>
      </c>
      <c r="E44">
        <v>0</v>
      </c>
      <c r="F44">
        <v>83</v>
      </c>
      <c r="G44">
        <v>83</v>
      </c>
      <c r="H44" t="s">
        <v>1113</v>
      </c>
      <c r="I44" s="1">
        <v>37225</v>
      </c>
      <c r="J44" s="1">
        <v>37326</v>
      </c>
      <c r="K44" s="1">
        <v>37331</v>
      </c>
      <c r="L44" s="1">
        <v>37331</v>
      </c>
      <c r="M44" s="1">
        <v>37332</v>
      </c>
      <c r="N44" s="1">
        <v>37332</v>
      </c>
      <c r="O44" t="s">
        <v>1117</v>
      </c>
      <c r="P44">
        <v>2</v>
      </c>
      <c r="Q44" t="s">
        <v>1115</v>
      </c>
      <c r="R44">
        <f t="shared" si="0"/>
        <v>12</v>
      </c>
      <c r="S44">
        <f t="shared" si="1"/>
        <v>1</v>
      </c>
    </row>
    <row r="45" spans="1:23" x14ac:dyDescent="0.25">
      <c r="A45" t="s">
        <v>1161</v>
      </c>
      <c r="B45" t="s">
        <v>4028</v>
      </c>
      <c r="C45">
        <v>11</v>
      </c>
      <c r="D45">
        <v>11</v>
      </c>
      <c r="E45">
        <v>0</v>
      </c>
      <c r="F45">
        <v>5</v>
      </c>
      <c r="G45">
        <v>5</v>
      </c>
      <c r="H45" t="s">
        <v>1113</v>
      </c>
      <c r="I45" s="1">
        <v>37335</v>
      </c>
      <c r="J45" s="1">
        <v>37367</v>
      </c>
      <c r="K45" s="1">
        <v>37367</v>
      </c>
      <c r="L45" s="1">
        <v>37367</v>
      </c>
      <c r="M45" s="1">
        <v>37367</v>
      </c>
      <c r="N45" s="1">
        <v>37367</v>
      </c>
      <c r="O45" t="s">
        <v>1114</v>
      </c>
      <c r="P45">
        <v>3</v>
      </c>
      <c r="Q45" t="s">
        <v>1115</v>
      </c>
      <c r="R45">
        <f t="shared" si="0"/>
        <v>17</v>
      </c>
      <c r="S45">
        <f t="shared" si="1"/>
        <v>1</v>
      </c>
    </row>
    <row r="46" spans="1:23" x14ac:dyDescent="0.25">
      <c r="A46" t="s">
        <v>1162</v>
      </c>
      <c r="B46" t="s">
        <v>4028</v>
      </c>
      <c r="C46">
        <v>13</v>
      </c>
      <c r="D46">
        <v>13</v>
      </c>
      <c r="E46">
        <v>0</v>
      </c>
      <c r="F46">
        <v>6</v>
      </c>
      <c r="G46">
        <v>6</v>
      </c>
      <c r="H46" t="s">
        <v>1113</v>
      </c>
      <c r="I46" s="1">
        <v>37225</v>
      </c>
      <c r="J46" s="1">
        <v>37316</v>
      </c>
      <c r="K46" s="1">
        <v>37325</v>
      </c>
      <c r="L46" s="1">
        <v>37325</v>
      </c>
      <c r="M46" s="1">
        <v>37327</v>
      </c>
      <c r="N46" s="1">
        <v>37327</v>
      </c>
      <c r="O46" t="s">
        <v>1117</v>
      </c>
      <c r="P46">
        <v>3</v>
      </c>
      <c r="Q46" t="s">
        <v>1115</v>
      </c>
      <c r="R46">
        <f t="shared" si="0"/>
        <v>11</v>
      </c>
      <c r="S46">
        <f t="shared" si="1"/>
        <v>1</v>
      </c>
    </row>
    <row r="47" spans="1:23" x14ac:dyDescent="0.25">
      <c r="A47" t="s">
        <v>1163</v>
      </c>
      <c r="B47" t="s">
        <v>4026</v>
      </c>
      <c r="C47">
        <v>5.5</v>
      </c>
      <c r="D47">
        <v>5.5</v>
      </c>
      <c r="E47">
        <v>0</v>
      </c>
      <c r="F47">
        <v>25</v>
      </c>
      <c r="G47">
        <v>25</v>
      </c>
      <c r="H47" t="s">
        <v>1113</v>
      </c>
      <c r="I47" s="1">
        <v>37225</v>
      </c>
      <c r="J47" s="1">
        <v>37327</v>
      </c>
      <c r="K47" s="1">
        <v>37330</v>
      </c>
      <c r="L47" s="1">
        <v>37330</v>
      </c>
      <c r="M47" s="1">
        <v>37331</v>
      </c>
      <c r="N47" s="1">
        <v>37334</v>
      </c>
      <c r="O47" t="s">
        <v>1117</v>
      </c>
      <c r="P47">
        <v>1</v>
      </c>
      <c r="Q47" t="s">
        <v>1115</v>
      </c>
      <c r="R47">
        <f t="shared" si="0"/>
        <v>12</v>
      </c>
      <c r="S47">
        <f t="shared" si="1"/>
        <v>1</v>
      </c>
    </row>
    <row r="48" spans="1:23" x14ac:dyDescent="0.25">
      <c r="A48" t="s">
        <v>1164</v>
      </c>
      <c r="B48" t="s">
        <v>1199</v>
      </c>
      <c r="C48">
        <v>5.5</v>
      </c>
      <c r="D48">
        <v>5.5</v>
      </c>
      <c r="E48">
        <v>0</v>
      </c>
      <c r="F48">
        <v>250</v>
      </c>
      <c r="G48">
        <v>250</v>
      </c>
      <c r="H48" t="s">
        <v>1113</v>
      </c>
      <c r="I48" s="1">
        <v>37304</v>
      </c>
      <c r="J48" s="1">
        <v>37308</v>
      </c>
      <c r="K48" s="1">
        <v>37317</v>
      </c>
      <c r="L48" s="1">
        <v>37317</v>
      </c>
      <c r="M48" s="1">
        <v>37319</v>
      </c>
      <c r="N48" s="1">
        <v>37324</v>
      </c>
      <c r="O48" t="s">
        <v>1117</v>
      </c>
      <c r="P48">
        <v>1</v>
      </c>
      <c r="Q48" t="s">
        <v>1115</v>
      </c>
      <c r="R48">
        <f t="shared" si="0"/>
        <v>10</v>
      </c>
      <c r="S48">
        <f t="shared" si="1"/>
        <v>1</v>
      </c>
    </row>
    <row r="49" spans="1:19" x14ac:dyDescent="0.25">
      <c r="A49" t="s">
        <v>1165</v>
      </c>
      <c r="B49" t="s">
        <v>4027</v>
      </c>
      <c r="C49">
        <v>5.5</v>
      </c>
      <c r="D49">
        <v>5.5</v>
      </c>
      <c r="E49">
        <v>0</v>
      </c>
      <c r="F49">
        <v>150</v>
      </c>
      <c r="G49">
        <v>150</v>
      </c>
      <c r="H49" t="s">
        <v>1113</v>
      </c>
      <c r="I49" s="1">
        <v>37299</v>
      </c>
      <c r="J49" s="1">
        <v>37308</v>
      </c>
      <c r="K49" s="1">
        <v>37320</v>
      </c>
      <c r="L49" s="1">
        <v>37320</v>
      </c>
      <c r="M49" s="1">
        <v>37320</v>
      </c>
      <c r="N49" s="1">
        <v>37320</v>
      </c>
      <c r="O49" t="s">
        <v>1117</v>
      </c>
      <c r="P49">
        <v>2</v>
      </c>
      <c r="Q49" t="s">
        <v>1115</v>
      </c>
      <c r="R49">
        <f t="shared" si="0"/>
        <v>10</v>
      </c>
      <c r="S49">
        <f t="shared" si="1"/>
        <v>1</v>
      </c>
    </row>
    <row r="50" spans="1:19" x14ac:dyDescent="0.25">
      <c r="A50" t="s">
        <v>1166</v>
      </c>
      <c r="B50" t="s">
        <v>4028</v>
      </c>
      <c r="C50">
        <v>5.5</v>
      </c>
      <c r="D50">
        <v>5.5</v>
      </c>
      <c r="E50">
        <v>0</v>
      </c>
      <c r="F50">
        <v>250</v>
      </c>
      <c r="G50">
        <v>250</v>
      </c>
      <c r="H50" t="s">
        <v>1113</v>
      </c>
      <c r="I50" s="1">
        <v>37352</v>
      </c>
      <c r="J50" s="1">
        <v>37392</v>
      </c>
      <c r="K50" t="s">
        <v>1124</v>
      </c>
      <c r="L50" t="s">
        <v>1124</v>
      </c>
      <c r="M50" s="1">
        <v>37392</v>
      </c>
      <c r="N50" s="1">
        <v>37392</v>
      </c>
      <c r="O50" t="s">
        <v>1117</v>
      </c>
      <c r="P50">
        <v>1</v>
      </c>
      <c r="Q50" t="s">
        <v>1115</v>
      </c>
      <c r="R50">
        <f t="shared" si="0"/>
        <v>20</v>
      </c>
      <c r="S50">
        <f t="shared" si="1"/>
        <v>1</v>
      </c>
    </row>
    <row r="51" spans="1:19" x14ac:dyDescent="0.25">
      <c r="A51" t="s">
        <v>1167</v>
      </c>
      <c r="B51" t="s">
        <v>1199</v>
      </c>
      <c r="C51">
        <v>5.5</v>
      </c>
      <c r="D51">
        <v>5.5</v>
      </c>
      <c r="E51">
        <v>0</v>
      </c>
      <c r="F51">
        <v>200</v>
      </c>
      <c r="G51">
        <v>200</v>
      </c>
      <c r="H51" t="s">
        <v>1113</v>
      </c>
      <c r="I51" s="1">
        <v>37225</v>
      </c>
      <c r="J51" s="1">
        <v>37326</v>
      </c>
      <c r="K51" s="1">
        <v>37331</v>
      </c>
      <c r="L51" s="1">
        <v>37331</v>
      </c>
      <c r="M51" s="1">
        <v>37332</v>
      </c>
      <c r="N51" s="1">
        <v>37336</v>
      </c>
      <c r="O51" t="s">
        <v>1117</v>
      </c>
      <c r="P51">
        <v>2</v>
      </c>
      <c r="Q51" t="s">
        <v>1115</v>
      </c>
      <c r="R51">
        <f t="shared" si="0"/>
        <v>12</v>
      </c>
      <c r="S51">
        <f t="shared" si="1"/>
        <v>1</v>
      </c>
    </row>
    <row r="52" spans="1:19" x14ac:dyDescent="0.25">
      <c r="A52" t="s">
        <v>1168</v>
      </c>
      <c r="B52" t="s">
        <v>4028</v>
      </c>
      <c r="C52">
        <v>5.5</v>
      </c>
      <c r="D52">
        <v>5.5</v>
      </c>
      <c r="E52">
        <v>0</v>
      </c>
      <c r="F52">
        <v>25</v>
      </c>
      <c r="G52">
        <v>25</v>
      </c>
      <c r="H52" t="s">
        <v>1113</v>
      </c>
      <c r="I52" s="1">
        <v>37225</v>
      </c>
      <c r="J52" s="1">
        <v>37322</v>
      </c>
      <c r="K52" s="1">
        <v>37324</v>
      </c>
      <c r="L52" s="1">
        <v>37324</v>
      </c>
      <c r="M52" s="1">
        <v>37325</v>
      </c>
      <c r="N52" s="1">
        <v>37334</v>
      </c>
      <c r="O52" t="s">
        <v>1117</v>
      </c>
      <c r="P52">
        <v>1</v>
      </c>
      <c r="Q52" t="s">
        <v>1115</v>
      </c>
      <c r="R52">
        <f t="shared" si="0"/>
        <v>12</v>
      </c>
      <c r="S52">
        <f t="shared" si="1"/>
        <v>1</v>
      </c>
    </row>
    <row r="53" spans="1:19" x14ac:dyDescent="0.25">
      <c r="A53" t="s">
        <v>1169</v>
      </c>
      <c r="B53" t="s">
        <v>4028</v>
      </c>
      <c r="C53">
        <v>10</v>
      </c>
      <c r="D53">
        <v>10</v>
      </c>
      <c r="E53">
        <v>0</v>
      </c>
      <c r="F53">
        <v>83</v>
      </c>
      <c r="G53">
        <v>83</v>
      </c>
      <c r="H53" t="s">
        <v>1113</v>
      </c>
      <c r="I53" s="1">
        <v>37225</v>
      </c>
      <c r="J53" s="1">
        <v>37328</v>
      </c>
      <c r="K53" s="1">
        <v>37330</v>
      </c>
      <c r="L53" s="1">
        <v>37330</v>
      </c>
      <c r="M53" s="1">
        <v>37331</v>
      </c>
      <c r="N53" s="1">
        <v>37331</v>
      </c>
      <c r="O53" t="s">
        <v>1117</v>
      </c>
      <c r="P53">
        <v>1</v>
      </c>
      <c r="Q53" t="s">
        <v>1115</v>
      </c>
      <c r="R53">
        <f t="shared" si="0"/>
        <v>11</v>
      </c>
      <c r="S53">
        <f t="shared" si="1"/>
        <v>1</v>
      </c>
    </row>
    <row r="54" spans="1:19" x14ac:dyDescent="0.25">
      <c r="A54" t="s">
        <v>1170</v>
      </c>
      <c r="B54" t="s">
        <v>1199</v>
      </c>
      <c r="C54">
        <v>8</v>
      </c>
      <c r="D54">
        <v>8</v>
      </c>
      <c r="E54">
        <v>0</v>
      </c>
      <c r="F54">
        <v>5</v>
      </c>
      <c r="G54">
        <v>5</v>
      </c>
      <c r="H54" t="s">
        <v>1113</v>
      </c>
      <c r="I54" s="1">
        <v>37225</v>
      </c>
      <c r="J54" s="1">
        <v>37333</v>
      </c>
      <c r="K54" s="1">
        <v>37336</v>
      </c>
      <c r="L54" s="1">
        <v>37336</v>
      </c>
      <c r="M54" s="1">
        <v>37336</v>
      </c>
      <c r="N54" s="1">
        <v>37336</v>
      </c>
      <c r="O54" t="s">
        <v>1117</v>
      </c>
      <c r="P54">
        <v>3</v>
      </c>
      <c r="Q54" t="s">
        <v>1115</v>
      </c>
      <c r="R54">
        <f t="shared" si="0"/>
        <v>12</v>
      </c>
      <c r="S54">
        <f t="shared" si="1"/>
        <v>1</v>
      </c>
    </row>
    <row r="55" spans="1:19" x14ac:dyDescent="0.25">
      <c r="A55" t="s">
        <v>1171</v>
      </c>
      <c r="B55" t="s">
        <v>3521</v>
      </c>
      <c r="C55">
        <v>8</v>
      </c>
      <c r="D55">
        <v>8</v>
      </c>
      <c r="E55">
        <v>0</v>
      </c>
      <c r="F55">
        <v>12</v>
      </c>
      <c r="G55">
        <v>12</v>
      </c>
      <c r="H55" t="s">
        <v>1113</v>
      </c>
      <c r="I55" s="1">
        <v>37225</v>
      </c>
      <c r="J55" s="1">
        <v>37318</v>
      </c>
      <c r="K55" s="1">
        <v>37325</v>
      </c>
      <c r="L55" s="1">
        <v>37325</v>
      </c>
      <c r="M55" s="1">
        <v>37327</v>
      </c>
      <c r="N55" s="1">
        <v>37327</v>
      </c>
      <c r="O55" t="s">
        <v>1117</v>
      </c>
      <c r="P55">
        <v>2</v>
      </c>
      <c r="Q55" t="s">
        <v>1115</v>
      </c>
      <c r="R55">
        <f t="shared" si="0"/>
        <v>11</v>
      </c>
      <c r="S55">
        <f t="shared" si="1"/>
        <v>1</v>
      </c>
    </row>
    <row r="56" spans="1:19" x14ac:dyDescent="0.25">
      <c r="A56" t="s">
        <v>1172</v>
      </c>
      <c r="B56" t="s">
        <v>1199</v>
      </c>
      <c r="C56">
        <v>5.5</v>
      </c>
      <c r="D56">
        <v>5.5</v>
      </c>
      <c r="E56">
        <v>0</v>
      </c>
      <c r="F56">
        <v>10</v>
      </c>
      <c r="G56">
        <v>10</v>
      </c>
      <c r="H56" t="s">
        <v>1113</v>
      </c>
      <c r="I56" s="1">
        <v>37335</v>
      </c>
      <c r="J56" s="1">
        <v>37367</v>
      </c>
      <c r="K56" s="1">
        <v>37367</v>
      </c>
      <c r="L56" s="1">
        <v>37367</v>
      </c>
      <c r="M56" s="1">
        <v>37367</v>
      </c>
      <c r="N56" s="1">
        <v>37367</v>
      </c>
      <c r="O56" t="s">
        <v>1114</v>
      </c>
      <c r="P56">
        <v>1</v>
      </c>
      <c r="Q56" t="s">
        <v>1115</v>
      </c>
      <c r="R56">
        <f t="shared" si="0"/>
        <v>17</v>
      </c>
      <c r="S56">
        <f t="shared" si="1"/>
        <v>1</v>
      </c>
    </row>
    <row r="57" spans="1:19" x14ac:dyDescent="0.25">
      <c r="A57" t="s">
        <v>1173</v>
      </c>
      <c r="B57" t="s">
        <v>4026</v>
      </c>
      <c r="C57">
        <v>10</v>
      </c>
      <c r="D57">
        <v>10</v>
      </c>
      <c r="E57">
        <v>0</v>
      </c>
      <c r="F57">
        <v>4</v>
      </c>
      <c r="G57">
        <v>4</v>
      </c>
      <c r="H57" t="s">
        <v>1113</v>
      </c>
      <c r="I57" s="1">
        <v>37343</v>
      </c>
      <c r="J57" s="1">
        <v>37383</v>
      </c>
      <c r="K57" s="1">
        <v>37383</v>
      </c>
      <c r="L57" s="1">
        <v>37383</v>
      </c>
      <c r="M57" t="s">
        <v>1124</v>
      </c>
      <c r="N57" s="1">
        <v>37367</v>
      </c>
      <c r="O57" t="s">
        <v>1114</v>
      </c>
      <c r="P57">
        <v>2</v>
      </c>
      <c r="Q57" t="s">
        <v>1115</v>
      </c>
      <c r="R57">
        <f t="shared" si="0"/>
        <v>17</v>
      </c>
      <c r="S57">
        <f t="shared" si="1"/>
        <v>0</v>
      </c>
    </row>
    <row r="58" spans="1:19" x14ac:dyDescent="0.25">
      <c r="A58" t="s">
        <v>1174</v>
      </c>
      <c r="B58" t="s">
        <v>1199</v>
      </c>
      <c r="C58">
        <v>5.5</v>
      </c>
      <c r="D58">
        <v>5.5</v>
      </c>
      <c r="E58">
        <v>0</v>
      </c>
      <c r="F58">
        <v>10</v>
      </c>
      <c r="G58">
        <v>10</v>
      </c>
      <c r="H58" t="s">
        <v>1113</v>
      </c>
      <c r="I58" s="1">
        <v>37335</v>
      </c>
      <c r="J58" s="1">
        <v>37367</v>
      </c>
      <c r="K58" s="1">
        <v>37367</v>
      </c>
      <c r="L58" s="1">
        <v>37367</v>
      </c>
      <c r="M58" s="1">
        <v>37367</v>
      </c>
      <c r="N58" s="1">
        <v>37367</v>
      </c>
      <c r="O58" t="s">
        <v>1114</v>
      </c>
      <c r="P58">
        <v>1</v>
      </c>
      <c r="Q58" t="s">
        <v>1115</v>
      </c>
      <c r="R58">
        <f t="shared" si="0"/>
        <v>17</v>
      </c>
      <c r="S58">
        <f t="shared" si="1"/>
        <v>1</v>
      </c>
    </row>
    <row r="59" spans="1:19" x14ac:dyDescent="0.25">
      <c r="A59" t="s">
        <v>1175</v>
      </c>
      <c r="B59" t="s">
        <v>4028</v>
      </c>
      <c r="C59">
        <v>12</v>
      </c>
      <c r="D59">
        <v>12</v>
      </c>
      <c r="E59">
        <v>0</v>
      </c>
      <c r="F59">
        <v>20</v>
      </c>
      <c r="G59">
        <v>20</v>
      </c>
      <c r="H59" t="s">
        <v>1113</v>
      </c>
      <c r="I59" s="1">
        <v>37225</v>
      </c>
      <c r="J59" s="1">
        <v>37329</v>
      </c>
      <c r="K59" s="1">
        <v>37330</v>
      </c>
      <c r="L59" s="1">
        <v>37330</v>
      </c>
      <c r="M59" s="1">
        <v>37332</v>
      </c>
      <c r="N59" s="1">
        <v>37332</v>
      </c>
      <c r="O59" t="s">
        <v>1117</v>
      </c>
      <c r="P59">
        <v>2</v>
      </c>
      <c r="Q59" t="s">
        <v>1115</v>
      </c>
      <c r="R59">
        <f t="shared" si="0"/>
        <v>12</v>
      </c>
      <c r="S59">
        <f t="shared" si="1"/>
        <v>1</v>
      </c>
    </row>
    <row r="60" spans="1:19" x14ac:dyDescent="0.25">
      <c r="A60" t="s">
        <v>1176</v>
      </c>
      <c r="B60" t="s">
        <v>4028</v>
      </c>
      <c r="C60">
        <v>5.5</v>
      </c>
      <c r="D60">
        <v>5.5</v>
      </c>
      <c r="E60">
        <v>0</v>
      </c>
      <c r="F60">
        <v>25</v>
      </c>
      <c r="G60">
        <v>25</v>
      </c>
      <c r="H60" t="s">
        <v>1113</v>
      </c>
      <c r="I60" s="1">
        <v>37225</v>
      </c>
      <c r="J60" s="1">
        <v>37315</v>
      </c>
      <c r="K60" s="1">
        <v>37315</v>
      </c>
      <c r="L60" s="1">
        <v>37315</v>
      </c>
      <c r="M60" s="1">
        <v>37316</v>
      </c>
      <c r="N60" s="1">
        <v>37316</v>
      </c>
      <c r="O60" t="s">
        <v>1114</v>
      </c>
      <c r="P60">
        <v>1</v>
      </c>
      <c r="Q60" t="s">
        <v>1115</v>
      </c>
      <c r="R60">
        <f t="shared" si="0"/>
        <v>9</v>
      </c>
      <c r="S60">
        <f t="shared" si="1"/>
        <v>1</v>
      </c>
    </row>
    <row r="61" spans="1:19" x14ac:dyDescent="0.25">
      <c r="A61" t="s">
        <v>1177</v>
      </c>
      <c r="B61" t="s">
        <v>4028</v>
      </c>
      <c r="C61">
        <v>5.5</v>
      </c>
      <c r="D61">
        <v>5.5</v>
      </c>
      <c r="E61">
        <v>0</v>
      </c>
      <c r="F61">
        <v>10</v>
      </c>
      <c r="G61">
        <v>10</v>
      </c>
      <c r="H61" t="s">
        <v>1113</v>
      </c>
      <c r="I61" s="1">
        <v>37343</v>
      </c>
      <c r="J61" s="1">
        <v>37381</v>
      </c>
      <c r="K61" t="s">
        <v>1124</v>
      </c>
      <c r="L61" t="s">
        <v>1124</v>
      </c>
      <c r="M61" t="s">
        <v>1124</v>
      </c>
      <c r="N61" s="1">
        <v>37367</v>
      </c>
      <c r="O61" t="s">
        <v>1117</v>
      </c>
      <c r="P61">
        <v>1</v>
      </c>
      <c r="Q61" t="s">
        <v>1115</v>
      </c>
      <c r="R61">
        <f t="shared" si="0"/>
        <v>17</v>
      </c>
      <c r="S61">
        <f t="shared" si="1"/>
        <v>0</v>
      </c>
    </row>
    <row r="62" spans="1:19" x14ac:dyDescent="0.25">
      <c r="A62" t="s">
        <v>1178</v>
      </c>
      <c r="B62" t="s">
        <v>1199</v>
      </c>
      <c r="C62">
        <v>5.5</v>
      </c>
      <c r="D62">
        <v>5.5</v>
      </c>
      <c r="E62">
        <v>0</v>
      </c>
      <c r="F62">
        <v>50</v>
      </c>
      <c r="G62">
        <v>50</v>
      </c>
      <c r="H62" t="s">
        <v>1113</v>
      </c>
      <c r="I62" s="1">
        <v>37225</v>
      </c>
      <c r="J62" s="1">
        <v>37320</v>
      </c>
      <c r="K62" s="1">
        <v>37321</v>
      </c>
      <c r="L62" s="1">
        <v>37321</v>
      </c>
      <c r="M62" s="1">
        <v>37322</v>
      </c>
      <c r="N62" s="1">
        <v>37336</v>
      </c>
      <c r="O62" t="s">
        <v>1117</v>
      </c>
      <c r="P62">
        <v>6</v>
      </c>
      <c r="Q62" t="s">
        <v>1115</v>
      </c>
      <c r="R62">
        <f t="shared" si="0"/>
        <v>12</v>
      </c>
      <c r="S62">
        <f t="shared" si="1"/>
        <v>1</v>
      </c>
    </row>
    <row r="63" spans="1:19" x14ac:dyDescent="0.25">
      <c r="A63" t="s">
        <v>1179</v>
      </c>
      <c r="B63" t="s">
        <v>1199</v>
      </c>
      <c r="C63">
        <v>5.5</v>
      </c>
      <c r="D63">
        <v>5.5</v>
      </c>
      <c r="E63">
        <v>0</v>
      </c>
      <c r="F63">
        <v>75</v>
      </c>
      <c r="G63">
        <v>75</v>
      </c>
      <c r="H63" t="s">
        <v>1113</v>
      </c>
      <c r="I63" s="1">
        <v>37225</v>
      </c>
      <c r="J63" s="1">
        <v>37315</v>
      </c>
      <c r="K63" s="1">
        <v>37317</v>
      </c>
      <c r="L63" s="1">
        <v>37317</v>
      </c>
      <c r="M63" s="1">
        <v>37318</v>
      </c>
      <c r="N63" s="1">
        <v>37318</v>
      </c>
      <c r="O63" t="s">
        <v>1117</v>
      </c>
      <c r="P63">
        <v>1</v>
      </c>
      <c r="Q63" t="s">
        <v>1115</v>
      </c>
      <c r="R63">
        <f t="shared" si="0"/>
        <v>10</v>
      </c>
      <c r="S63">
        <f t="shared" si="1"/>
        <v>1</v>
      </c>
    </row>
    <row r="64" spans="1:19" x14ac:dyDescent="0.25">
      <c r="A64" t="s">
        <v>1180</v>
      </c>
      <c r="B64" t="s">
        <v>1199</v>
      </c>
      <c r="C64">
        <v>6</v>
      </c>
      <c r="D64">
        <v>6</v>
      </c>
      <c r="E64">
        <v>0</v>
      </c>
      <c r="F64">
        <v>6</v>
      </c>
      <c r="G64">
        <v>6</v>
      </c>
      <c r="H64" t="s">
        <v>1113</v>
      </c>
      <c r="I64" s="1">
        <v>37225</v>
      </c>
      <c r="J64" s="1">
        <v>37332</v>
      </c>
      <c r="K64" s="1">
        <v>37336</v>
      </c>
      <c r="L64" s="1">
        <v>37336</v>
      </c>
      <c r="M64" s="1">
        <v>37336</v>
      </c>
      <c r="N64" s="1">
        <v>37336</v>
      </c>
      <c r="O64" t="s">
        <v>1117</v>
      </c>
      <c r="P64">
        <v>2</v>
      </c>
      <c r="Q64" t="s">
        <v>1115</v>
      </c>
      <c r="R64">
        <f t="shared" si="0"/>
        <v>12</v>
      </c>
      <c r="S64">
        <f t="shared" si="1"/>
        <v>1</v>
      </c>
    </row>
    <row r="65" spans="1:19" x14ac:dyDescent="0.25">
      <c r="A65" t="s">
        <v>1181</v>
      </c>
      <c r="B65" t="s">
        <v>1199</v>
      </c>
      <c r="C65">
        <v>5.5</v>
      </c>
      <c r="D65">
        <v>5.5</v>
      </c>
      <c r="E65">
        <v>0</v>
      </c>
      <c r="F65">
        <v>100</v>
      </c>
      <c r="G65">
        <v>100</v>
      </c>
      <c r="H65" t="s">
        <v>1113</v>
      </c>
      <c r="I65" s="1">
        <v>37225</v>
      </c>
      <c r="J65" s="1">
        <v>37331</v>
      </c>
      <c r="K65" s="1">
        <v>37336</v>
      </c>
      <c r="L65" s="1">
        <v>37336</v>
      </c>
      <c r="M65" s="1">
        <v>37336</v>
      </c>
      <c r="N65" s="1">
        <v>37336</v>
      </c>
      <c r="O65" t="s">
        <v>1117</v>
      </c>
      <c r="P65">
        <v>1</v>
      </c>
      <c r="Q65" t="s">
        <v>1115</v>
      </c>
      <c r="R65">
        <f t="shared" si="0"/>
        <v>12</v>
      </c>
      <c r="S65">
        <f t="shared" si="1"/>
        <v>1</v>
      </c>
    </row>
    <row r="66" spans="1:19" x14ac:dyDescent="0.25">
      <c r="A66" t="s">
        <v>1182</v>
      </c>
      <c r="B66" t="s">
        <v>4028</v>
      </c>
      <c r="C66">
        <v>11</v>
      </c>
      <c r="D66">
        <v>11</v>
      </c>
      <c r="E66">
        <v>0</v>
      </c>
      <c r="F66">
        <v>5</v>
      </c>
      <c r="G66">
        <v>5</v>
      </c>
      <c r="H66" t="s">
        <v>1113</v>
      </c>
      <c r="I66" s="1">
        <v>37343</v>
      </c>
      <c r="J66" s="1">
        <v>37387</v>
      </c>
      <c r="K66" t="s">
        <v>1124</v>
      </c>
      <c r="L66" t="s">
        <v>1124</v>
      </c>
      <c r="M66" t="s">
        <v>1124</v>
      </c>
      <c r="N66" s="1">
        <v>37367</v>
      </c>
      <c r="O66" t="s">
        <v>1117</v>
      </c>
      <c r="P66">
        <v>3</v>
      </c>
      <c r="Q66" t="s">
        <v>1115</v>
      </c>
      <c r="R66">
        <f t="shared" si="0"/>
        <v>17</v>
      </c>
      <c r="S66">
        <f t="shared" si="1"/>
        <v>0</v>
      </c>
    </row>
    <row r="67" spans="1:19" x14ac:dyDescent="0.25">
      <c r="A67" t="s">
        <v>1183</v>
      </c>
      <c r="B67" t="s">
        <v>3521</v>
      </c>
      <c r="C67">
        <v>11</v>
      </c>
      <c r="D67">
        <v>11</v>
      </c>
      <c r="E67">
        <v>0</v>
      </c>
      <c r="F67">
        <v>83</v>
      </c>
      <c r="G67">
        <v>83</v>
      </c>
      <c r="H67" t="s">
        <v>1113</v>
      </c>
      <c r="I67" s="1">
        <v>37225</v>
      </c>
      <c r="J67" s="1">
        <v>37322</v>
      </c>
      <c r="K67" s="1">
        <v>37323</v>
      </c>
      <c r="L67" s="1">
        <v>37323</v>
      </c>
      <c r="M67" s="1">
        <v>37324</v>
      </c>
      <c r="N67" s="1">
        <v>37324</v>
      </c>
      <c r="O67" t="s">
        <v>1117</v>
      </c>
      <c r="P67">
        <v>3</v>
      </c>
      <c r="Q67" t="s">
        <v>1115</v>
      </c>
      <c r="R67">
        <f t="shared" ref="R67:R130" si="2">WEEKNUM(N67,1)</f>
        <v>10</v>
      </c>
      <c r="S67">
        <f t="shared" ref="S67:S130" si="3">IF(AND(F67=G67, M67&lt;=N67), 1,0)</f>
        <v>1</v>
      </c>
    </row>
    <row r="68" spans="1:19" x14ac:dyDescent="0.25">
      <c r="A68" t="s">
        <v>1184</v>
      </c>
      <c r="B68" t="s">
        <v>1199</v>
      </c>
      <c r="C68">
        <v>6.5</v>
      </c>
      <c r="D68">
        <v>6.5</v>
      </c>
      <c r="E68">
        <v>0</v>
      </c>
      <c r="F68">
        <v>5.7</v>
      </c>
      <c r="G68">
        <v>5.7</v>
      </c>
      <c r="H68" t="s">
        <v>1113</v>
      </c>
      <c r="I68" s="1">
        <v>37225</v>
      </c>
      <c r="J68" s="1">
        <v>37315</v>
      </c>
      <c r="K68" s="1">
        <v>37320</v>
      </c>
      <c r="L68" s="1">
        <v>37320</v>
      </c>
      <c r="M68" s="1">
        <v>37321</v>
      </c>
      <c r="N68" s="1">
        <v>37321</v>
      </c>
      <c r="O68" t="s">
        <v>1117</v>
      </c>
      <c r="P68">
        <v>1</v>
      </c>
      <c r="Q68" t="s">
        <v>1115</v>
      </c>
      <c r="R68">
        <f t="shared" si="2"/>
        <v>10</v>
      </c>
      <c r="S68">
        <f t="shared" si="3"/>
        <v>1</v>
      </c>
    </row>
    <row r="69" spans="1:19" x14ac:dyDescent="0.25">
      <c r="A69" t="s">
        <v>1185</v>
      </c>
      <c r="B69" t="s">
        <v>4028</v>
      </c>
      <c r="C69">
        <v>5.5</v>
      </c>
      <c r="D69">
        <v>5.5</v>
      </c>
      <c r="E69">
        <v>0</v>
      </c>
      <c r="F69">
        <v>50</v>
      </c>
      <c r="G69">
        <v>50</v>
      </c>
      <c r="H69" t="s">
        <v>1113</v>
      </c>
      <c r="I69" s="1">
        <v>37225</v>
      </c>
      <c r="J69" s="1">
        <v>37334</v>
      </c>
      <c r="K69" s="1">
        <v>37334</v>
      </c>
      <c r="L69" s="1">
        <v>37334</v>
      </c>
      <c r="M69" s="1">
        <v>37334</v>
      </c>
      <c r="N69" s="1">
        <v>37336</v>
      </c>
      <c r="O69" t="s">
        <v>1114</v>
      </c>
      <c r="P69">
        <v>5</v>
      </c>
      <c r="Q69" t="s">
        <v>1115</v>
      </c>
      <c r="R69">
        <f t="shared" si="2"/>
        <v>12</v>
      </c>
      <c r="S69">
        <f t="shared" si="3"/>
        <v>1</v>
      </c>
    </row>
    <row r="70" spans="1:19" x14ac:dyDescent="0.25">
      <c r="A70" t="s">
        <v>1186</v>
      </c>
      <c r="B70" t="s">
        <v>1199</v>
      </c>
      <c r="C70">
        <v>5.5</v>
      </c>
      <c r="D70">
        <v>5.5</v>
      </c>
      <c r="E70">
        <v>0</v>
      </c>
      <c r="F70">
        <v>10</v>
      </c>
      <c r="G70">
        <v>10</v>
      </c>
      <c r="H70" t="s">
        <v>1113</v>
      </c>
      <c r="I70" s="1">
        <v>37343</v>
      </c>
      <c r="J70" s="1">
        <v>37383</v>
      </c>
      <c r="K70" s="1">
        <v>37383</v>
      </c>
      <c r="L70" s="1">
        <v>37383</v>
      </c>
      <c r="M70" t="s">
        <v>1124</v>
      </c>
      <c r="N70" s="1">
        <v>37367</v>
      </c>
      <c r="O70" t="s">
        <v>1114</v>
      </c>
      <c r="P70">
        <v>1</v>
      </c>
      <c r="Q70" t="s">
        <v>1115</v>
      </c>
      <c r="R70">
        <f t="shared" si="2"/>
        <v>17</v>
      </c>
      <c r="S70">
        <f t="shared" si="3"/>
        <v>0</v>
      </c>
    </row>
    <row r="71" spans="1:19" x14ac:dyDescent="0.25">
      <c r="A71" t="s">
        <v>1187</v>
      </c>
      <c r="B71" t="s">
        <v>4028</v>
      </c>
      <c r="C71">
        <v>5.5</v>
      </c>
      <c r="D71">
        <v>5.5</v>
      </c>
      <c r="E71">
        <v>0</v>
      </c>
      <c r="F71">
        <v>30</v>
      </c>
      <c r="G71">
        <v>30</v>
      </c>
      <c r="H71" t="s">
        <v>1113</v>
      </c>
      <c r="I71" s="1">
        <v>37225</v>
      </c>
      <c r="J71" s="1">
        <v>37315</v>
      </c>
      <c r="K71" s="1">
        <v>37316</v>
      </c>
      <c r="L71" s="1">
        <v>37316</v>
      </c>
      <c r="M71" s="1">
        <v>37318</v>
      </c>
      <c r="N71" s="1">
        <v>37334</v>
      </c>
      <c r="O71" t="s">
        <v>1117</v>
      </c>
      <c r="P71">
        <v>1</v>
      </c>
      <c r="Q71" t="s">
        <v>1115</v>
      </c>
      <c r="R71">
        <f t="shared" si="2"/>
        <v>12</v>
      </c>
      <c r="S71">
        <f t="shared" si="3"/>
        <v>1</v>
      </c>
    </row>
    <row r="72" spans="1:19" x14ac:dyDescent="0.25">
      <c r="A72" t="s">
        <v>1188</v>
      </c>
      <c r="B72" t="s">
        <v>1199</v>
      </c>
      <c r="C72">
        <v>8</v>
      </c>
      <c r="D72">
        <v>8</v>
      </c>
      <c r="E72">
        <v>0</v>
      </c>
      <c r="F72">
        <v>6</v>
      </c>
      <c r="G72">
        <v>6</v>
      </c>
      <c r="H72" t="s">
        <v>1113</v>
      </c>
      <c r="I72" s="1">
        <v>37225</v>
      </c>
      <c r="J72" s="1">
        <v>37315</v>
      </c>
      <c r="K72" s="1">
        <v>37320</v>
      </c>
      <c r="L72" s="1">
        <v>37320</v>
      </c>
      <c r="M72" s="1">
        <v>37321</v>
      </c>
      <c r="N72" s="1">
        <v>37327</v>
      </c>
      <c r="O72" t="s">
        <v>1117</v>
      </c>
      <c r="P72">
        <v>5</v>
      </c>
      <c r="Q72" t="s">
        <v>1115</v>
      </c>
      <c r="R72">
        <f t="shared" si="2"/>
        <v>11</v>
      </c>
      <c r="S72">
        <f t="shared" si="3"/>
        <v>1</v>
      </c>
    </row>
    <row r="73" spans="1:19" x14ac:dyDescent="0.25">
      <c r="A73" t="s">
        <v>1189</v>
      </c>
      <c r="B73" t="s">
        <v>4028</v>
      </c>
      <c r="C73">
        <v>5.5</v>
      </c>
      <c r="D73">
        <v>5.5</v>
      </c>
      <c r="E73">
        <v>0</v>
      </c>
      <c r="F73">
        <v>100</v>
      </c>
      <c r="G73">
        <v>92.65</v>
      </c>
      <c r="H73" t="s">
        <v>1113</v>
      </c>
      <c r="I73" s="1">
        <v>37352</v>
      </c>
      <c r="J73" s="1">
        <v>37392</v>
      </c>
      <c r="K73" t="s">
        <v>1124</v>
      </c>
      <c r="L73" t="s">
        <v>1124</v>
      </c>
      <c r="M73" s="1">
        <v>37392</v>
      </c>
      <c r="N73" s="1">
        <v>37392</v>
      </c>
      <c r="O73" t="s">
        <v>1117</v>
      </c>
      <c r="P73">
        <v>3</v>
      </c>
      <c r="Q73" t="s">
        <v>1115</v>
      </c>
      <c r="R73">
        <f t="shared" si="2"/>
        <v>20</v>
      </c>
      <c r="S73">
        <f t="shared" si="3"/>
        <v>0</v>
      </c>
    </row>
    <row r="74" spans="1:19" x14ac:dyDescent="0.25">
      <c r="A74" t="s">
        <v>1190</v>
      </c>
      <c r="B74" t="s">
        <v>1199</v>
      </c>
      <c r="C74">
        <v>5.5</v>
      </c>
      <c r="D74">
        <v>5.5</v>
      </c>
      <c r="E74">
        <v>0</v>
      </c>
      <c r="F74">
        <v>100</v>
      </c>
      <c r="G74">
        <v>100</v>
      </c>
      <c r="H74" t="s">
        <v>1113</v>
      </c>
      <c r="I74" s="1">
        <v>37299</v>
      </c>
      <c r="J74" s="1">
        <v>37308</v>
      </c>
      <c r="K74" s="1">
        <v>37324</v>
      </c>
      <c r="L74" s="1">
        <v>37324</v>
      </c>
      <c r="M74" s="1">
        <v>37325</v>
      </c>
      <c r="N74" s="1">
        <v>37325</v>
      </c>
      <c r="O74" t="s">
        <v>1117</v>
      </c>
      <c r="P74">
        <v>3</v>
      </c>
      <c r="Q74" t="s">
        <v>1115</v>
      </c>
      <c r="R74">
        <f t="shared" si="2"/>
        <v>11</v>
      </c>
      <c r="S74">
        <f t="shared" si="3"/>
        <v>1</v>
      </c>
    </row>
    <row r="75" spans="1:19" x14ac:dyDescent="0.25">
      <c r="A75" t="s">
        <v>1191</v>
      </c>
      <c r="B75" t="s">
        <v>4026</v>
      </c>
      <c r="C75">
        <v>5.5</v>
      </c>
      <c r="D75">
        <v>5.5</v>
      </c>
      <c r="E75">
        <v>0</v>
      </c>
      <c r="F75">
        <v>100</v>
      </c>
      <c r="G75">
        <v>100</v>
      </c>
      <c r="H75" t="s">
        <v>1113</v>
      </c>
      <c r="I75" s="1">
        <v>37304</v>
      </c>
      <c r="J75" s="1">
        <v>37308</v>
      </c>
      <c r="K75" s="1">
        <v>37319</v>
      </c>
      <c r="L75" s="1">
        <v>37319</v>
      </c>
      <c r="M75" s="1">
        <v>37320</v>
      </c>
      <c r="N75" s="1">
        <v>37325</v>
      </c>
      <c r="O75" t="s">
        <v>1117</v>
      </c>
      <c r="P75">
        <v>3</v>
      </c>
      <c r="Q75" t="s">
        <v>1115</v>
      </c>
      <c r="R75">
        <f t="shared" si="2"/>
        <v>11</v>
      </c>
      <c r="S75">
        <f t="shared" si="3"/>
        <v>1</v>
      </c>
    </row>
    <row r="76" spans="1:19" x14ac:dyDescent="0.25">
      <c r="A76" t="s">
        <v>1192</v>
      </c>
      <c r="B76" t="s">
        <v>1199</v>
      </c>
      <c r="C76">
        <v>5.5</v>
      </c>
      <c r="D76">
        <v>5.5</v>
      </c>
      <c r="E76">
        <v>0</v>
      </c>
      <c r="F76">
        <v>10</v>
      </c>
      <c r="G76">
        <v>10</v>
      </c>
      <c r="H76" t="s">
        <v>1113</v>
      </c>
      <c r="I76" s="1">
        <v>37225</v>
      </c>
      <c r="J76" s="1">
        <v>37331</v>
      </c>
      <c r="K76" s="1">
        <v>37334</v>
      </c>
      <c r="L76" s="1">
        <v>37334</v>
      </c>
      <c r="M76" s="1">
        <v>37335</v>
      </c>
      <c r="N76" s="1">
        <v>37335</v>
      </c>
      <c r="O76" t="s">
        <v>1117</v>
      </c>
      <c r="P76">
        <v>3</v>
      </c>
      <c r="Q76" t="s">
        <v>1115</v>
      </c>
      <c r="R76">
        <f t="shared" si="2"/>
        <v>12</v>
      </c>
      <c r="S76">
        <f t="shared" si="3"/>
        <v>1</v>
      </c>
    </row>
    <row r="77" spans="1:19" x14ac:dyDescent="0.25">
      <c r="A77" t="s">
        <v>1193</v>
      </c>
      <c r="B77" t="s">
        <v>4028</v>
      </c>
      <c r="C77">
        <v>13</v>
      </c>
      <c r="D77">
        <v>13</v>
      </c>
      <c r="E77">
        <v>0</v>
      </c>
      <c r="F77">
        <v>5</v>
      </c>
      <c r="G77">
        <v>5</v>
      </c>
      <c r="H77" t="s">
        <v>1113</v>
      </c>
      <c r="I77" s="1">
        <v>37225</v>
      </c>
      <c r="J77" s="1">
        <v>37315</v>
      </c>
      <c r="K77" s="1">
        <v>37320</v>
      </c>
      <c r="L77" s="1">
        <v>37320</v>
      </c>
      <c r="M77" s="1">
        <v>37321</v>
      </c>
      <c r="N77" s="1">
        <v>37327</v>
      </c>
      <c r="O77" t="s">
        <v>1117</v>
      </c>
      <c r="P77">
        <v>3</v>
      </c>
      <c r="Q77" t="s">
        <v>1115</v>
      </c>
      <c r="R77">
        <f t="shared" si="2"/>
        <v>11</v>
      </c>
      <c r="S77">
        <f t="shared" si="3"/>
        <v>1</v>
      </c>
    </row>
    <row r="78" spans="1:19" x14ac:dyDescent="0.25">
      <c r="A78" t="s">
        <v>1194</v>
      </c>
      <c r="B78" t="s">
        <v>1199</v>
      </c>
      <c r="C78">
        <v>5.5</v>
      </c>
      <c r="D78">
        <v>5.5</v>
      </c>
      <c r="E78">
        <v>0</v>
      </c>
      <c r="F78">
        <v>50</v>
      </c>
      <c r="G78">
        <v>50</v>
      </c>
      <c r="H78" t="s">
        <v>1113</v>
      </c>
      <c r="I78" s="1">
        <v>37225</v>
      </c>
      <c r="J78" s="1">
        <v>37315</v>
      </c>
      <c r="K78" s="1">
        <v>37315</v>
      </c>
      <c r="L78" s="1">
        <v>37315</v>
      </c>
      <c r="M78" s="1">
        <v>37316</v>
      </c>
      <c r="N78" s="1">
        <v>37336</v>
      </c>
      <c r="O78" t="s">
        <v>1114</v>
      </c>
      <c r="P78">
        <v>13</v>
      </c>
      <c r="Q78" t="s">
        <v>1115</v>
      </c>
      <c r="R78">
        <f t="shared" si="2"/>
        <v>12</v>
      </c>
      <c r="S78">
        <f t="shared" si="3"/>
        <v>1</v>
      </c>
    </row>
    <row r="79" spans="1:19" x14ac:dyDescent="0.25">
      <c r="A79" t="s">
        <v>1195</v>
      </c>
      <c r="B79" t="s">
        <v>4026</v>
      </c>
      <c r="C79">
        <v>10</v>
      </c>
      <c r="D79">
        <v>10</v>
      </c>
      <c r="E79">
        <v>0</v>
      </c>
      <c r="F79">
        <v>4</v>
      </c>
      <c r="G79">
        <v>4</v>
      </c>
      <c r="H79" t="s">
        <v>1113</v>
      </c>
      <c r="I79" s="1">
        <v>37335</v>
      </c>
      <c r="J79" s="1">
        <v>37367</v>
      </c>
      <c r="K79" s="1">
        <v>37367</v>
      </c>
      <c r="L79" s="1">
        <v>37367</v>
      </c>
      <c r="M79" s="1">
        <v>37367</v>
      </c>
      <c r="N79" s="1">
        <v>37367</v>
      </c>
      <c r="O79" t="s">
        <v>1114</v>
      </c>
      <c r="P79">
        <v>2</v>
      </c>
      <c r="Q79" t="s">
        <v>1115</v>
      </c>
      <c r="R79">
        <f t="shared" si="2"/>
        <v>17</v>
      </c>
      <c r="S79">
        <f t="shared" si="3"/>
        <v>1</v>
      </c>
    </row>
    <row r="80" spans="1:19" x14ac:dyDescent="0.25">
      <c r="A80" t="s">
        <v>1196</v>
      </c>
      <c r="B80" t="s">
        <v>1199</v>
      </c>
      <c r="C80">
        <v>130</v>
      </c>
      <c r="D80">
        <v>130</v>
      </c>
      <c r="E80">
        <v>6100</v>
      </c>
      <c r="F80">
        <v>200</v>
      </c>
      <c r="G80">
        <v>200</v>
      </c>
      <c r="H80" t="s">
        <v>1197</v>
      </c>
      <c r="I80" s="1">
        <v>37225</v>
      </c>
      <c r="J80" s="1">
        <v>37323</v>
      </c>
      <c r="K80" s="1">
        <v>37323</v>
      </c>
      <c r="L80" s="1">
        <v>37323</v>
      </c>
      <c r="M80" s="1">
        <v>37323</v>
      </c>
      <c r="N80" s="1">
        <v>37323</v>
      </c>
      <c r="O80" t="s">
        <v>1114</v>
      </c>
      <c r="P80">
        <v>3</v>
      </c>
      <c r="Q80" t="s">
        <v>1198</v>
      </c>
      <c r="R80">
        <f t="shared" si="2"/>
        <v>10</v>
      </c>
      <c r="S80">
        <f t="shared" si="3"/>
        <v>1</v>
      </c>
    </row>
    <row r="81" spans="1:19" x14ac:dyDescent="0.25">
      <c r="A81" t="s">
        <v>1200</v>
      </c>
      <c r="B81" t="s">
        <v>1199</v>
      </c>
      <c r="C81">
        <v>130</v>
      </c>
      <c r="D81">
        <v>130</v>
      </c>
      <c r="E81">
        <v>6100</v>
      </c>
      <c r="F81">
        <v>200</v>
      </c>
      <c r="G81">
        <v>200</v>
      </c>
      <c r="H81" t="s">
        <v>1197</v>
      </c>
      <c r="I81" s="1">
        <v>37352</v>
      </c>
      <c r="J81" s="1">
        <v>37392</v>
      </c>
      <c r="K81" t="s">
        <v>1124</v>
      </c>
      <c r="L81" t="s">
        <v>1124</v>
      </c>
      <c r="M81" s="1">
        <v>37392</v>
      </c>
      <c r="N81" s="1">
        <v>37392</v>
      </c>
      <c r="O81" t="s">
        <v>1117</v>
      </c>
      <c r="P81">
        <v>1</v>
      </c>
      <c r="Q81" t="s">
        <v>1198</v>
      </c>
      <c r="R81">
        <f t="shared" si="2"/>
        <v>20</v>
      </c>
      <c r="S81">
        <f t="shared" si="3"/>
        <v>1</v>
      </c>
    </row>
    <row r="82" spans="1:19" x14ac:dyDescent="0.25">
      <c r="A82" t="s">
        <v>1201</v>
      </c>
      <c r="B82" t="s">
        <v>4028</v>
      </c>
      <c r="C82">
        <v>130</v>
      </c>
      <c r="D82">
        <v>130</v>
      </c>
      <c r="E82">
        <v>6100</v>
      </c>
      <c r="F82">
        <v>200</v>
      </c>
      <c r="G82">
        <v>200</v>
      </c>
      <c r="H82" t="s">
        <v>1197</v>
      </c>
      <c r="I82" s="1">
        <v>37299</v>
      </c>
      <c r="J82" s="1">
        <v>37308</v>
      </c>
      <c r="K82" s="1">
        <v>37316</v>
      </c>
      <c r="L82" s="1">
        <v>37316</v>
      </c>
      <c r="M82" s="1">
        <v>37316</v>
      </c>
      <c r="N82" s="1">
        <v>37392</v>
      </c>
      <c r="O82" t="s">
        <v>1117</v>
      </c>
      <c r="P82">
        <v>1</v>
      </c>
      <c r="Q82" t="s">
        <v>1198</v>
      </c>
      <c r="R82">
        <f t="shared" si="2"/>
        <v>20</v>
      </c>
      <c r="S82">
        <f t="shared" si="3"/>
        <v>1</v>
      </c>
    </row>
    <row r="83" spans="1:19" x14ac:dyDescent="0.25">
      <c r="A83" t="s">
        <v>1202</v>
      </c>
      <c r="B83" t="s">
        <v>1199</v>
      </c>
      <c r="C83">
        <v>130</v>
      </c>
      <c r="D83">
        <v>130</v>
      </c>
      <c r="E83">
        <v>6100</v>
      </c>
      <c r="F83">
        <v>250</v>
      </c>
      <c r="G83">
        <v>250</v>
      </c>
      <c r="H83" t="s">
        <v>1197</v>
      </c>
      <c r="I83" s="1">
        <v>37225</v>
      </c>
      <c r="J83" s="1">
        <v>37315</v>
      </c>
      <c r="K83" s="1">
        <v>37316</v>
      </c>
      <c r="L83" s="1">
        <v>37316</v>
      </c>
      <c r="M83" s="1">
        <v>37316</v>
      </c>
      <c r="N83" s="1">
        <v>37392</v>
      </c>
      <c r="O83" t="s">
        <v>1117</v>
      </c>
      <c r="P83">
        <v>1</v>
      </c>
      <c r="Q83" t="s">
        <v>1198</v>
      </c>
      <c r="R83">
        <f t="shared" si="2"/>
        <v>20</v>
      </c>
      <c r="S83">
        <f t="shared" si="3"/>
        <v>1</v>
      </c>
    </row>
    <row r="84" spans="1:19" x14ac:dyDescent="0.25">
      <c r="A84" t="s">
        <v>1203</v>
      </c>
      <c r="B84" t="s">
        <v>1199</v>
      </c>
      <c r="C84">
        <v>130</v>
      </c>
      <c r="D84">
        <v>130</v>
      </c>
      <c r="E84">
        <v>6100</v>
      </c>
      <c r="F84">
        <v>200</v>
      </c>
      <c r="G84">
        <v>158.99600000000001</v>
      </c>
      <c r="H84" t="s">
        <v>1197</v>
      </c>
      <c r="I84" s="1">
        <v>37304</v>
      </c>
      <c r="J84" s="1">
        <v>37308</v>
      </c>
      <c r="K84" s="1">
        <v>37316</v>
      </c>
      <c r="L84" s="1">
        <v>37347</v>
      </c>
      <c r="M84" s="1">
        <v>37347</v>
      </c>
      <c r="N84" s="1">
        <v>37392</v>
      </c>
      <c r="O84" t="s">
        <v>1117</v>
      </c>
      <c r="P84">
        <v>1</v>
      </c>
      <c r="Q84" t="s">
        <v>1198</v>
      </c>
      <c r="R84">
        <f t="shared" si="2"/>
        <v>20</v>
      </c>
      <c r="S84">
        <f t="shared" si="3"/>
        <v>0</v>
      </c>
    </row>
    <row r="85" spans="1:19" x14ac:dyDescent="0.25">
      <c r="A85" t="s">
        <v>1204</v>
      </c>
      <c r="B85" t="s">
        <v>1199</v>
      </c>
      <c r="C85">
        <v>130</v>
      </c>
      <c r="D85">
        <v>130</v>
      </c>
      <c r="E85">
        <v>6100</v>
      </c>
      <c r="F85">
        <v>250</v>
      </c>
      <c r="G85">
        <v>250</v>
      </c>
      <c r="H85" t="s">
        <v>1197</v>
      </c>
      <c r="I85" s="1">
        <v>37225</v>
      </c>
      <c r="J85" s="1">
        <v>37330</v>
      </c>
      <c r="K85" s="1">
        <v>37330</v>
      </c>
      <c r="L85" s="1">
        <v>37330</v>
      </c>
      <c r="M85" s="1">
        <v>37330</v>
      </c>
      <c r="N85" s="1">
        <v>37330</v>
      </c>
      <c r="O85" t="s">
        <v>1114</v>
      </c>
      <c r="P85">
        <v>2</v>
      </c>
      <c r="Q85" t="s">
        <v>1198</v>
      </c>
      <c r="R85">
        <f t="shared" si="2"/>
        <v>11</v>
      </c>
      <c r="S85">
        <f t="shared" si="3"/>
        <v>1</v>
      </c>
    </row>
    <row r="86" spans="1:19" x14ac:dyDescent="0.25">
      <c r="A86" t="s">
        <v>1205</v>
      </c>
      <c r="B86" t="s">
        <v>4027</v>
      </c>
      <c r="C86">
        <v>1.82</v>
      </c>
      <c r="D86">
        <v>26.58</v>
      </c>
      <c r="E86">
        <v>0</v>
      </c>
      <c r="F86">
        <v>50</v>
      </c>
      <c r="G86">
        <v>50</v>
      </c>
      <c r="H86" t="s">
        <v>1206</v>
      </c>
      <c r="I86" s="1">
        <v>37347</v>
      </c>
      <c r="J86" s="1">
        <v>37347</v>
      </c>
      <c r="K86" t="s">
        <v>1124</v>
      </c>
      <c r="L86" t="s">
        <v>1124</v>
      </c>
      <c r="M86" t="str">
        <f>L86</f>
        <v>-</v>
      </c>
      <c r="N86" s="1">
        <v>37351</v>
      </c>
      <c r="O86" t="s">
        <v>1117</v>
      </c>
      <c r="P86">
        <v>1</v>
      </c>
      <c r="Q86" t="s">
        <v>1207</v>
      </c>
      <c r="R86">
        <f t="shared" si="2"/>
        <v>14</v>
      </c>
      <c r="S86">
        <f t="shared" si="3"/>
        <v>0</v>
      </c>
    </row>
    <row r="87" spans="1:19" x14ac:dyDescent="0.25">
      <c r="A87" t="s">
        <v>1209</v>
      </c>
      <c r="B87" t="s">
        <v>4026</v>
      </c>
      <c r="C87">
        <v>2.08</v>
      </c>
      <c r="D87">
        <v>26</v>
      </c>
      <c r="E87">
        <v>0</v>
      </c>
      <c r="F87">
        <v>100</v>
      </c>
      <c r="G87">
        <v>100</v>
      </c>
      <c r="H87" t="s">
        <v>1206</v>
      </c>
      <c r="I87" s="1">
        <v>44390</v>
      </c>
      <c r="J87" s="1">
        <v>37330</v>
      </c>
      <c r="K87" t="s">
        <v>1124</v>
      </c>
      <c r="L87" t="s">
        <v>1124</v>
      </c>
      <c r="M87" s="1">
        <v>37356</v>
      </c>
      <c r="N87" s="1">
        <v>37356</v>
      </c>
      <c r="O87" t="s">
        <v>1117</v>
      </c>
      <c r="P87">
        <v>2</v>
      </c>
      <c r="Q87" t="s">
        <v>1207</v>
      </c>
      <c r="R87">
        <f t="shared" si="2"/>
        <v>15</v>
      </c>
      <c r="S87">
        <f t="shared" si="3"/>
        <v>1</v>
      </c>
    </row>
    <row r="88" spans="1:19" x14ac:dyDescent="0.25">
      <c r="A88" t="s">
        <v>1210</v>
      </c>
      <c r="B88" t="s">
        <v>1199</v>
      </c>
      <c r="C88">
        <v>1.69</v>
      </c>
      <c r="D88">
        <v>25.2</v>
      </c>
      <c r="E88">
        <v>0</v>
      </c>
      <c r="F88">
        <v>1378.2</v>
      </c>
      <c r="G88">
        <v>639.6</v>
      </c>
      <c r="H88" t="s">
        <v>1206</v>
      </c>
      <c r="I88" s="1">
        <v>37159</v>
      </c>
      <c r="J88" s="1">
        <v>37325</v>
      </c>
      <c r="K88" s="1">
        <v>37355</v>
      </c>
      <c r="L88" s="1">
        <v>37355</v>
      </c>
      <c r="M88" s="1">
        <v>37281</v>
      </c>
      <c r="N88" s="1">
        <v>37281</v>
      </c>
      <c r="O88" t="s">
        <v>1117</v>
      </c>
      <c r="P88">
        <v>4</v>
      </c>
      <c r="Q88" t="s">
        <v>1211</v>
      </c>
      <c r="R88">
        <f t="shared" si="2"/>
        <v>4</v>
      </c>
      <c r="S88">
        <f t="shared" si="3"/>
        <v>0</v>
      </c>
    </row>
    <row r="89" spans="1:19" x14ac:dyDescent="0.25">
      <c r="A89" t="s">
        <v>1212</v>
      </c>
      <c r="B89" t="s">
        <v>4026</v>
      </c>
      <c r="C89">
        <v>12</v>
      </c>
      <c r="D89">
        <v>12</v>
      </c>
      <c r="E89">
        <v>0</v>
      </c>
      <c r="F89">
        <v>100</v>
      </c>
      <c r="G89">
        <v>100</v>
      </c>
      <c r="H89" t="s">
        <v>1113</v>
      </c>
      <c r="I89" s="1">
        <v>37320</v>
      </c>
      <c r="J89" s="1">
        <v>37330</v>
      </c>
      <c r="K89" s="1">
        <v>37330</v>
      </c>
      <c r="L89" s="1">
        <v>37330</v>
      </c>
      <c r="M89" s="1">
        <v>37330</v>
      </c>
      <c r="N89" s="1">
        <v>37330</v>
      </c>
      <c r="O89" t="s">
        <v>1114</v>
      </c>
      <c r="P89">
        <v>6</v>
      </c>
      <c r="Q89" t="s">
        <v>1115</v>
      </c>
      <c r="R89">
        <f t="shared" si="2"/>
        <v>11</v>
      </c>
      <c r="S89">
        <f t="shared" si="3"/>
        <v>1</v>
      </c>
    </row>
    <row r="90" spans="1:19" x14ac:dyDescent="0.25">
      <c r="A90" t="s">
        <v>1213</v>
      </c>
      <c r="B90" t="s">
        <v>4029</v>
      </c>
      <c r="C90">
        <v>12</v>
      </c>
      <c r="D90">
        <v>12</v>
      </c>
      <c r="E90">
        <v>0</v>
      </c>
      <c r="F90">
        <v>100</v>
      </c>
      <c r="G90">
        <v>100</v>
      </c>
      <c r="H90" t="s">
        <v>1113</v>
      </c>
      <c r="I90" s="1">
        <v>37320</v>
      </c>
      <c r="J90" s="1">
        <v>37330</v>
      </c>
      <c r="K90" s="1">
        <v>37330</v>
      </c>
      <c r="L90" s="1">
        <v>37330</v>
      </c>
      <c r="M90" s="1">
        <v>37330</v>
      </c>
      <c r="N90" s="1">
        <v>37330</v>
      </c>
      <c r="O90" t="s">
        <v>1114</v>
      </c>
      <c r="P90">
        <v>7</v>
      </c>
      <c r="Q90" t="s">
        <v>1115</v>
      </c>
      <c r="R90">
        <f t="shared" si="2"/>
        <v>11</v>
      </c>
      <c r="S90">
        <f t="shared" si="3"/>
        <v>1</v>
      </c>
    </row>
    <row r="91" spans="1:19" x14ac:dyDescent="0.25">
      <c r="A91" t="s">
        <v>1214</v>
      </c>
      <c r="B91" t="s">
        <v>4027</v>
      </c>
      <c r="C91">
        <v>0.7</v>
      </c>
      <c r="D91">
        <v>1250</v>
      </c>
      <c r="E91">
        <v>0</v>
      </c>
      <c r="F91">
        <v>10</v>
      </c>
      <c r="G91">
        <v>10</v>
      </c>
      <c r="H91" t="s">
        <v>1208</v>
      </c>
      <c r="I91" s="1">
        <v>37159</v>
      </c>
      <c r="J91" s="1">
        <v>37319</v>
      </c>
      <c r="K91" s="1">
        <v>37368</v>
      </c>
      <c r="L91" s="1">
        <v>37368</v>
      </c>
      <c r="M91" s="1">
        <v>37266</v>
      </c>
      <c r="N91" s="1">
        <v>37338</v>
      </c>
      <c r="O91" t="s">
        <v>1117</v>
      </c>
      <c r="P91">
        <v>1</v>
      </c>
      <c r="Q91" t="s">
        <v>1215</v>
      </c>
      <c r="R91">
        <f t="shared" si="2"/>
        <v>12</v>
      </c>
      <c r="S91">
        <f t="shared" si="3"/>
        <v>1</v>
      </c>
    </row>
    <row r="92" spans="1:19" x14ac:dyDescent="0.25">
      <c r="A92" t="s">
        <v>1216</v>
      </c>
      <c r="B92" t="s">
        <v>1199</v>
      </c>
      <c r="C92">
        <v>0.9</v>
      </c>
      <c r="D92">
        <v>1250</v>
      </c>
      <c r="E92">
        <v>0</v>
      </c>
      <c r="F92">
        <v>13</v>
      </c>
      <c r="G92">
        <v>13</v>
      </c>
      <c r="H92" t="s">
        <v>1208</v>
      </c>
      <c r="I92" s="1">
        <v>37159</v>
      </c>
      <c r="J92" s="1">
        <v>37319</v>
      </c>
      <c r="K92" s="1">
        <v>37338</v>
      </c>
      <c r="L92" s="1">
        <v>37338</v>
      </c>
      <c r="M92" s="1">
        <v>37338</v>
      </c>
      <c r="N92" s="1">
        <v>37338</v>
      </c>
      <c r="O92" t="s">
        <v>1117</v>
      </c>
      <c r="P92">
        <v>2</v>
      </c>
      <c r="Q92" t="s">
        <v>1215</v>
      </c>
      <c r="R92">
        <f t="shared" si="2"/>
        <v>12</v>
      </c>
      <c r="S92">
        <f t="shared" si="3"/>
        <v>1</v>
      </c>
    </row>
    <row r="93" spans="1:19" x14ac:dyDescent="0.25">
      <c r="A93" t="s">
        <v>1217</v>
      </c>
      <c r="B93" t="s">
        <v>3521</v>
      </c>
      <c r="C93">
        <v>0.7</v>
      </c>
      <c r="D93">
        <v>1250</v>
      </c>
      <c r="E93">
        <v>0</v>
      </c>
      <c r="F93">
        <v>10</v>
      </c>
      <c r="G93">
        <v>10</v>
      </c>
      <c r="H93" t="s">
        <v>1208</v>
      </c>
      <c r="I93" s="1">
        <v>37105</v>
      </c>
      <c r="J93" s="1">
        <v>37320</v>
      </c>
      <c r="K93" s="1">
        <v>37368</v>
      </c>
      <c r="L93" s="1">
        <v>37368</v>
      </c>
      <c r="M93" s="1">
        <v>37272</v>
      </c>
      <c r="N93" s="1">
        <v>37338</v>
      </c>
      <c r="O93" t="s">
        <v>1117</v>
      </c>
      <c r="P93">
        <v>1</v>
      </c>
      <c r="Q93" t="s">
        <v>1215</v>
      </c>
      <c r="R93">
        <f t="shared" si="2"/>
        <v>12</v>
      </c>
      <c r="S93">
        <f t="shared" si="3"/>
        <v>1</v>
      </c>
    </row>
    <row r="94" spans="1:19" x14ac:dyDescent="0.25">
      <c r="A94" t="s">
        <v>1218</v>
      </c>
      <c r="B94" t="s">
        <v>1199</v>
      </c>
      <c r="C94">
        <v>1.1499999999999999</v>
      </c>
      <c r="D94">
        <v>1250</v>
      </c>
      <c r="E94">
        <v>0</v>
      </c>
      <c r="F94">
        <v>50</v>
      </c>
      <c r="G94">
        <v>50</v>
      </c>
      <c r="H94" t="s">
        <v>1208</v>
      </c>
      <c r="I94" s="1">
        <v>37162</v>
      </c>
      <c r="J94" s="1">
        <v>37314</v>
      </c>
      <c r="K94" s="1">
        <v>37316</v>
      </c>
      <c r="L94" s="1">
        <v>37316</v>
      </c>
      <c r="M94" s="1">
        <v>37322</v>
      </c>
      <c r="N94" s="1">
        <v>37322</v>
      </c>
      <c r="O94" t="s">
        <v>1117</v>
      </c>
      <c r="P94">
        <v>6</v>
      </c>
      <c r="Q94" t="s">
        <v>1215</v>
      </c>
      <c r="R94">
        <f t="shared" si="2"/>
        <v>10</v>
      </c>
      <c r="S94">
        <f t="shared" si="3"/>
        <v>1</v>
      </c>
    </row>
    <row r="95" spans="1:19" x14ac:dyDescent="0.25">
      <c r="A95" t="s">
        <v>1219</v>
      </c>
      <c r="B95" t="s">
        <v>4028</v>
      </c>
      <c r="C95">
        <v>0.7</v>
      </c>
      <c r="D95">
        <v>1250</v>
      </c>
      <c r="E95">
        <v>0</v>
      </c>
      <c r="F95">
        <v>20</v>
      </c>
      <c r="G95">
        <v>20</v>
      </c>
      <c r="H95" t="s">
        <v>1208</v>
      </c>
      <c r="I95" s="1">
        <v>37159</v>
      </c>
      <c r="J95" s="1">
        <v>37319</v>
      </c>
      <c r="K95" s="1">
        <v>37338</v>
      </c>
      <c r="L95" s="1">
        <v>37338</v>
      </c>
      <c r="M95" s="1">
        <v>37338</v>
      </c>
      <c r="N95" s="1">
        <v>37338</v>
      </c>
      <c r="O95" t="s">
        <v>1117</v>
      </c>
      <c r="P95">
        <v>2</v>
      </c>
      <c r="Q95" t="s">
        <v>1215</v>
      </c>
      <c r="R95">
        <f t="shared" si="2"/>
        <v>12</v>
      </c>
      <c r="S95">
        <f t="shared" si="3"/>
        <v>1</v>
      </c>
    </row>
    <row r="96" spans="1:19" x14ac:dyDescent="0.25">
      <c r="A96" t="s">
        <v>1220</v>
      </c>
      <c r="B96" t="s">
        <v>1199</v>
      </c>
      <c r="C96">
        <v>2.5</v>
      </c>
      <c r="D96">
        <v>1250</v>
      </c>
      <c r="E96">
        <v>0</v>
      </c>
      <c r="F96">
        <v>18</v>
      </c>
      <c r="G96">
        <v>18</v>
      </c>
      <c r="H96" t="s">
        <v>1208</v>
      </c>
      <c r="I96" s="1">
        <v>37159</v>
      </c>
      <c r="J96" s="1">
        <v>37315</v>
      </c>
      <c r="K96" s="1">
        <v>37324</v>
      </c>
      <c r="L96" s="1">
        <v>37324</v>
      </c>
      <c r="M96" s="1">
        <v>37326</v>
      </c>
      <c r="N96" s="1">
        <v>37326</v>
      </c>
      <c r="O96" t="s">
        <v>1117</v>
      </c>
      <c r="P96">
        <v>1</v>
      </c>
      <c r="Q96" t="s">
        <v>1215</v>
      </c>
      <c r="R96">
        <f t="shared" si="2"/>
        <v>11</v>
      </c>
      <c r="S96">
        <f t="shared" si="3"/>
        <v>1</v>
      </c>
    </row>
    <row r="97" spans="1:19" x14ac:dyDescent="0.25">
      <c r="A97" t="s">
        <v>1221</v>
      </c>
      <c r="B97" t="s">
        <v>1199</v>
      </c>
      <c r="C97">
        <v>0.95</v>
      </c>
      <c r="D97">
        <v>1225</v>
      </c>
      <c r="E97">
        <v>0</v>
      </c>
      <c r="F97">
        <v>60</v>
      </c>
      <c r="G97">
        <v>60</v>
      </c>
      <c r="H97" t="s">
        <v>1208</v>
      </c>
      <c r="I97" s="1">
        <v>37159</v>
      </c>
      <c r="J97" s="1">
        <v>37315</v>
      </c>
      <c r="K97" s="1">
        <v>37330</v>
      </c>
      <c r="L97" s="1">
        <v>37330</v>
      </c>
      <c r="M97" s="1">
        <v>37330</v>
      </c>
      <c r="N97" s="1">
        <v>37331</v>
      </c>
      <c r="O97" t="s">
        <v>1117</v>
      </c>
      <c r="P97">
        <v>2</v>
      </c>
      <c r="Q97" t="s">
        <v>1215</v>
      </c>
      <c r="R97">
        <f t="shared" si="2"/>
        <v>11</v>
      </c>
      <c r="S97">
        <f t="shared" si="3"/>
        <v>1</v>
      </c>
    </row>
    <row r="98" spans="1:19" x14ac:dyDescent="0.25">
      <c r="A98" t="s">
        <v>1222</v>
      </c>
      <c r="B98" t="s">
        <v>1199</v>
      </c>
      <c r="C98">
        <v>1.41</v>
      </c>
      <c r="D98">
        <v>1225</v>
      </c>
      <c r="E98">
        <v>0</v>
      </c>
      <c r="F98">
        <v>22.34</v>
      </c>
      <c r="G98">
        <v>22.34</v>
      </c>
      <c r="H98" t="s">
        <v>1208</v>
      </c>
      <c r="I98" s="1">
        <v>37353</v>
      </c>
      <c r="J98" s="1">
        <v>37389</v>
      </c>
      <c r="K98" t="s">
        <v>1124</v>
      </c>
      <c r="L98" t="s">
        <v>1124</v>
      </c>
      <c r="M98" t="s">
        <v>1124</v>
      </c>
      <c r="N98" s="1">
        <v>37329</v>
      </c>
      <c r="O98" t="s">
        <v>1117</v>
      </c>
      <c r="P98">
        <v>2</v>
      </c>
      <c r="Q98" t="s">
        <v>1215</v>
      </c>
      <c r="R98">
        <f t="shared" si="2"/>
        <v>11</v>
      </c>
      <c r="S98">
        <f t="shared" si="3"/>
        <v>0</v>
      </c>
    </row>
    <row r="99" spans="1:19" x14ac:dyDescent="0.25">
      <c r="A99" t="s">
        <v>1223</v>
      </c>
      <c r="B99" t="s">
        <v>4028</v>
      </c>
      <c r="C99">
        <v>1.41</v>
      </c>
      <c r="D99">
        <v>1225</v>
      </c>
      <c r="E99">
        <v>0</v>
      </c>
      <c r="F99">
        <v>40</v>
      </c>
      <c r="G99">
        <v>40</v>
      </c>
      <c r="H99" t="s">
        <v>1208</v>
      </c>
      <c r="I99" s="1">
        <v>37353</v>
      </c>
      <c r="J99" s="1">
        <v>37389</v>
      </c>
      <c r="K99" t="s">
        <v>1124</v>
      </c>
      <c r="L99" t="s">
        <v>1124</v>
      </c>
      <c r="M99" t="s">
        <v>1124</v>
      </c>
      <c r="N99" s="1">
        <v>37329</v>
      </c>
      <c r="O99" t="s">
        <v>1117</v>
      </c>
      <c r="P99">
        <v>6</v>
      </c>
      <c r="Q99" t="s">
        <v>1215</v>
      </c>
      <c r="R99">
        <f t="shared" si="2"/>
        <v>11</v>
      </c>
      <c r="S99">
        <f t="shared" si="3"/>
        <v>0</v>
      </c>
    </row>
    <row r="100" spans="1:19" x14ac:dyDescent="0.25">
      <c r="A100" t="s">
        <v>1224</v>
      </c>
      <c r="B100" t="s">
        <v>4027</v>
      </c>
      <c r="C100">
        <v>1.41</v>
      </c>
      <c r="D100">
        <v>1225</v>
      </c>
      <c r="E100">
        <v>0</v>
      </c>
      <c r="F100">
        <v>40</v>
      </c>
      <c r="G100">
        <v>40</v>
      </c>
      <c r="H100" t="s">
        <v>1208</v>
      </c>
      <c r="I100" s="1">
        <v>37353</v>
      </c>
      <c r="J100" s="1">
        <v>37389</v>
      </c>
      <c r="K100" t="s">
        <v>1124</v>
      </c>
      <c r="L100" t="s">
        <v>1124</v>
      </c>
      <c r="M100" t="s">
        <v>1124</v>
      </c>
      <c r="N100" s="1">
        <v>37329</v>
      </c>
      <c r="O100" t="s">
        <v>1117</v>
      </c>
      <c r="P100">
        <v>5</v>
      </c>
      <c r="Q100" t="s">
        <v>1215</v>
      </c>
      <c r="R100">
        <f t="shared" si="2"/>
        <v>11</v>
      </c>
      <c r="S100">
        <f t="shared" si="3"/>
        <v>0</v>
      </c>
    </row>
    <row r="101" spans="1:19" x14ac:dyDescent="0.25">
      <c r="A101" t="s">
        <v>1225</v>
      </c>
      <c r="B101" t="s">
        <v>4028</v>
      </c>
      <c r="C101">
        <v>1.41</v>
      </c>
      <c r="D101">
        <v>1225</v>
      </c>
      <c r="E101">
        <v>0</v>
      </c>
      <c r="F101">
        <v>40</v>
      </c>
      <c r="G101">
        <v>24.37</v>
      </c>
      <c r="H101" t="s">
        <v>1208</v>
      </c>
      <c r="I101" s="1">
        <v>37159</v>
      </c>
      <c r="J101" s="1">
        <v>37315</v>
      </c>
      <c r="K101" s="1">
        <v>37327</v>
      </c>
      <c r="L101" s="1">
        <v>37327</v>
      </c>
      <c r="M101" s="1">
        <v>37329</v>
      </c>
      <c r="N101" s="1">
        <v>37329</v>
      </c>
      <c r="O101" t="s">
        <v>1117</v>
      </c>
      <c r="P101">
        <v>5</v>
      </c>
      <c r="Q101" t="s">
        <v>1215</v>
      </c>
      <c r="R101">
        <f t="shared" si="2"/>
        <v>11</v>
      </c>
      <c r="S101">
        <f t="shared" si="3"/>
        <v>0</v>
      </c>
    </row>
    <row r="102" spans="1:19" x14ac:dyDescent="0.25">
      <c r="A102" t="s">
        <v>1226</v>
      </c>
      <c r="B102" t="s">
        <v>1199</v>
      </c>
      <c r="C102">
        <v>0.95</v>
      </c>
      <c r="D102">
        <v>1225</v>
      </c>
      <c r="E102">
        <v>0</v>
      </c>
      <c r="F102">
        <v>40</v>
      </c>
      <c r="G102">
        <v>40</v>
      </c>
      <c r="H102" t="s">
        <v>1208</v>
      </c>
      <c r="I102" s="1">
        <v>37159</v>
      </c>
      <c r="J102" s="1">
        <v>37315</v>
      </c>
      <c r="K102" s="1">
        <v>37331</v>
      </c>
      <c r="L102" s="1">
        <v>37331</v>
      </c>
      <c r="M102" s="1">
        <v>37331</v>
      </c>
      <c r="N102" s="1">
        <v>37331</v>
      </c>
      <c r="O102" t="s">
        <v>1117</v>
      </c>
      <c r="P102">
        <v>1</v>
      </c>
      <c r="Q102" t="s">
        <v>1215</v>
      </c>
      <c r="R102">
        <f t="shared" si="2"/>
        <v>11</v>
      </c>
      <c r="S102">
        <f t="shared" si="3"/>
        <v>1</v>
      </c>
    </row>
    <row r="103" spans="1:19" x14ac:dyDescent="0.25">
      <c r="A103" t="s">
        <v>1227</v>
      </c>
      <c r="B103" t="s">
        <v>3601</v>
      </c>
      <c r="C103">
        <v>1.41</v>
      </c>
      <c r="D103">
        <v>1225</v>
      </c>
      <c r="E103">
        <v>0</v>
      </c>
      <c r="F103">
        <v>40</v>
      </c>
      <c r="G103">
        <v>40</v>
      </c>
      <c r="H103" t="s">
        <v>1208</v>
      </c>
      <c r="I103" s="1">
        <v>37159</v>
      </c>
      <c r="J103" s="1">
        <v>37315</v>
      </c>
      <c r="K103" s="1">
        <v>37327</v>
      </c>
      <c r="L103" s="1">
        <v>37327</v>
      </c>
      <c r="M103" s="1">
        <v>37329</v>
      </c>
      <c r="N103" s="1">
        <v>37329</v>
      </c>
      <c r="O103" t="s">
        <v>1117</v>
      </c>
      <c r="P103">
        <v>4</v>
      </c>
      <c r="Q103" t="s">
        <v>1215</v>
      </c>
      <c r="R103">
        <f t="shared" si="2"/>
        <v>11</v>
      </c>
      <c r="S103">
        <f t="shared" si="3"/>
        <v>1</v>
      </c>
    </row>
    <row r="104" spans="1:19" x14ac:dyDescent="0.25">
      <c r="A104" t="s">
        <v>1228</v>
      </c>
      <c r="B104" t="s">
        <v>1199</v>
      </c>
      <c r="C104">
        <v>0.95</v>
      </c>
      <c r="D104">
        <v>1225</v>
      </c>
      <c r="E104">
        <v>0</v>
      </c>
      <c r="F104">
        <v>40</v>
      </c>
      <c r="G104">
        <v>40</v>
      </c>
      <c r="H104" t="s">
        <v>1208</v>
      </c>
      <c r="I104" s="1">
        <v>37353</v>
      </c>
      <c r="J104" s="1">
        <v>37389</v>
      </c>
      <c r="K104" t="s">
        <v>1124</v>
      </c>
      <c r="L104" t="s">
        <v>1124</v>
      </c>
      <c r="M104" t="s">
        <v>1124</v>
      </c>
      <c r="N104" s="1">
        <v>37331</v>
      </c>
      <c r="O104" t="s">
        <v>1117</v>
      </c>
      <c r="P104">
        <v>3</v>
      </c>
      <c r="Q104" t="s">
        <v>1215</v>
      </c>
      <c r="R104">
        <f t="shared" si="2"/>
        <v>11</v>
      </c>
      <c r="S104">
        <f t="shared" si="3"/>
        <v>0</v>
      </c>
    </row>
    <row r="105" spans="1:19" x14ac:dyDescent="0.25">
      <c r="A105" t="s">
        <v>1229</v>
      </c>
      <c r="B105" t="s">
        <v>4028</v>
      </c>
      <c r="C105">
        <v>1.41</v>
      </c>
      <c r="D105">
        <v>1225</v>
      </c>
      <c r="E105">
        <v>0</v>
      </c>
      <c r="F105">
        <v>40</v>
      </c>
      <c r="G105">
        <v>40</v>
      </c>
      <c r="H105" t="s">
        <v>1208</v>
      </c>
      <c r="I105" s="1">
        <v>37353</v>
      </c>
      <c r="J105" s="1">
        <v>37389</v>
      </c>
      <c r="K105" t="s">
        <v>1124</v>
      </c>
      <c r="L105" t="s">
        <v>1124</v>
      </c>
      <c r="M105" t="s">
        <v>1124</v>
      </c>
      <c r="N105" s="1">
        <v>37329</v>
      </c>
      <c r="O105" t="s">
        <v>1117</v>
      </c>
      <c r="P105">
        <v>4</v>
      </c>
      <c r="Q105" t="s">
        <v>1215</v>
      </c>
      <c r="R105">
        <f t="shared" si="2"/>
        <v>11</v>
      </c>
      <c r="S105">
        <f t="shared" si="3"/>
        <v>0</v>
      </c>
    </row>
    <row r="106" spans="1:19" x14ac:dyDescent="0.25">
      <c r="A106" t="s">
        <v>1230</v>
      </c>
      <c r="B106" t="s">
        <v>1199</v>
      </c>
      <c r="C106">
        <v>1</v>
      </c>
      <c r="D106">
        <v>1250</v>
      </c>
      <c r="E106">
        <v>0</v>
      </c>
      <c r="F106">
        <v>18</v>
      </c>
      <c r="G106">
        <v>18</v>
      </c>
      <c r="H106" t="s">
        <v>1208</v>
      </c>
      <c r="I106" s="1">
        <v>37119</v>
      </c>
      <c r="J106" s="1">
        <v>37315</v>
      </c>
      <c r="K106" s="1">
        <v>37324</v>
      </c>
      <c r="L106" s="1">
        <v>37324</v>
      </c>
      <c r="M106" s="1">
        <v>37325</v>
      </c>
      <c r="N106" s="1">
        <v>37325</v>
      </c>
      <c r="O106" t="s">
        <v>1117</v>
      </c>
      <c r="P106">
        <v>2</v>
      </c>
      <c r="Q106" t="s">
        <v>1215</v>
      </c>
      <c r="R106">
        <f t="shared" si="2"/>
        <v>11</v>
      </c>
      <c r="S106">
        <f t="shared" si="3"/>
        <v>1</v>
      </c>
    </row>
    <row r="107" spans="1:19" x14ac:dyDescent="0.25">
      <c r="A107" t="s">
        <v>1231</v>
      </c>
      <c r="B107" t="s">
        <v>1199</v>
      </c>
      <c r="C107">
        <v>0.95</v>
      </c>
      <c r="D107">
        <v>1225</v>
      </c>
      <c r="E107">
        <v>0</v>
      </c>
      <c r="F107">
        <v>40</v>
      </c>
      <c r="G107">
        <v>40</v>
      </c>
      <c r="H107" t="s">
        <v>1208</v>
      </c>
      <c r="I107" s="1">
        <v>37353</v>
      </c>
      <c r="J107" s="1">
        <v>37389</v>
      </c>
      <c r="K107" t="s">
        <v>1124</v>
      </c>
      <c r="L107" t="s">
        <v>1124</v>
      </c>
      <c r="M107" t="s">
        <v>1124</v>
      </c>
      <c r="N107" s="1">
        <v>37331</v>
      </c>
      <c r="O107" t="s">
        <v>1117</v>
      </c>
      <c r="P107">
        <v>1</v>
      </c>
      <c r="Q107" t="s">
        <v>1215</v>
      </c>
      <c r="R107">
        <f t="shared" si="2"/>
        <v>11</v>
      </c>
      <c r="S107">
        <f t="shared" si="3"/>
        <v>0</v>
      </c>
    </row>
    <row r="108" spans="1:19" x14ac:dyDescent="0.25">
      <c r="A108" t="s">
        <v>1232</v>
      </c>
      <c r="B108" t="s">
        <v>1199</v>
      </c>
      <c r="C108">
        <v>1.5</v>
      </c>
      <c r="D108">
        <v>1100</v>
      </c>
      <c r="E108">
        <v>0</v>
      </c>
      <c r="F108">
        <v>18</v>
      </c>
      <c r="G108">
        <v>18</v>
      </c>
      <c r="H108" t="s">
        <v>1208</v>
      </c>
      <c r="I108" s="1">
        <v>37119</v>
      </c>
      <c r="J108" s="1">
        <v>37315</v>
      </c>
      <c r="K108" s="1">
        <v>37324</v>
      </c>
      <c r="L108" s="1">
        <v>37324</v>
      </c>
      <c r="M108" s="1">
        <v>37325</v>
      </c>
      <c r="N108" s="1">
        <v>37325</v>
      </c>
      <c r="O108" t="s">
        <v>1117</v>
      </c>
      <c r="P108">
        <v>1</v>
      </c>
      <c r="Q108" t="s">
        <v>1215</v>
      </c>
      <c r="R108">
        <f t="shared" si="2"/>
        <v>11</v>
      </c>
      <c r="S108">
        <f t="shared" si="3"/>
        <v>1</v>
      </c>
    </row>
    <row r="109" spans="1:19" x14ac:dyDescent="0.25">
      <c r="A109" t="s">
        <v>1233</v>
      </c>
      <c r="B109" t="s">
        <v>1199</v>
      </c>
      <c r="C109">
        <v>1.41</v>
      </c>
      <c r="D109">
        <v>1225</v>
      </c>
      <c r="E109">
        <v>0</v>
      </c>
      <c r="F109">
        <v>22.34</v>
      </c>
      <c r="G109">
        <v>22.34</v>
      </c>
      <c r="H109" t="s">
        <v>1208</v>
      </c>
      <c r="I109" s="1">
        <v>37159</v>
      </c>
      <c r="J109" s="1">
        <v>37315</v>
      </c>
      <c r="K109" s="1">
        <v>37327</v>
      </c>
      <c r="L109" s="1">
        <v>37327</v>
      </c>
      <c r="M109" s="1">
        <v>37329</v>
      </c>
      <c r="N109" s="1">
        <v>37329</v>
      </c>
      <c r="O109" t="s">
        <v>1117</v>
      </c>
      <c r="P109">
        <v>2</v>
      </c>
      <c r="Q109" t="s">
        <v>1215</v>
      </c>
      <c r="R109">
        <f t="shared" si="2"/>
        <v>11</v>
      </c>
      <c r="S109">
        <f t="shared" si="3"/>
        <v>1</v>
      </c>
    </row>
    <row r="110" spans="1:19" x14ac:dyDescent="0.25">
      <c r="A110" t="s">
        <v>1234</v>
      </c>
      <c r="B110" t="s">
        <v>4028</v>
      </c>
      <c r="C110">
        <v>1.1499999999999999</v>
      </c>
      <c r="D110">
        <v>1250</v>
      </c>
      <c r="E110">
        <v>0</v>
      </c>
      <c r="F110">
        <v>50</v>
      </c>
      <c r="G110">
        <v>50</v>
      </c>
      <c r="H110" t="s">
        <v>1208</v>
      </c>
      <c r="I110" s="1">
        <v>37162</v>
      </c>
      <c r="J110" s="1">
        <v>37314</v>
      </c>
      <c r="K110" s="1">
        <v>37316</v>
      </c>
      <c r="L110" s="1">
        <v>37316</v>
      </c>
      <c r="M110" s="1">
        <v>37322</v>
      </c>
      <c r="N110" s="1">
        <v>37322</v>
      </c>
      <c r="O110" t="s">
        <v>1117</v>
      </c>
      <c r="P110">
        <v>6</v>
      </c>
      <c r="Q110" t="s">
        <v>1215</v>
      </c>
      <c r="R110">
        <f t="shared" si="2"/>
        <v>10</v>
      </c>
      <c r="S110">
        <f t="shared" si="3"/>
        <v>1</v>
      </c>
    </row>
    <row r="111" spans="1:19" x14ac:dyDescent="0.25">
      <c r="A111" t="s">
        <v>1235</v>
      </c>
      <c r="B111" t="s">
        <v>4028</v>
      </c>
      <c r="C111">
        <v>0.95</v>
      </c>
      <c r="D111">
        <v>1225</v>
      </c>
      <c r="E111">
        <v>0</v>
      </c>
      <c r="F111">
        <v>60</v>
      </c>
      <c r="G111">
        <v>60</v>
      </c>
      <c r="H111" t="s">
        <v>1208</v>
      </c>
      <c r="I111" s="1">
        <v>37159</v>
      </c>
      <c r="J111" s="1">
        <v>37315</v>
      </c>
      <c r="K111" s="1">
        <v>37331</v>
      </c>
      <c r="L111" s="1">
        <v>37331</v>
      </c>
      <c r="M111" s="1">
        <v>37331</v>
      </c>
      <c r="N111" s="1">
        <v>37331</v>
      </c>
      <c r="O111" t="s">
        <v>1117</v>
      </c>
      <c r="P111">
        <v>1</v>
      </c>
      <c r="Q111" t="s">
        <v>1215</v>
      </c>
      <c r="R111">
        <f t="shared" si="2"/>
        <v>11</v>
      </c>
      <c r="S111">
        <f t="shared" si="3"/>
        <v>1</v>
      </c>
    </row>
    <row r="112" spans="1:19" x14ac:dyDescent="0.25">
      <c r="A112" t="s">
        <v>1236</v>
      </c>
      <c r="B112" t="s">
        <v>1199</v>
      </c>
      <c r="C112">
        <v>0.7</v>
      </c>
      <c r="D112">
        <v>1250</v>
      </c>
      <c r="E112">
        <v>0</v>
      </c>
      <c r="F112">
        <v>20</v>
      </c>
      <c r="G112">
        <v>20</v>
      </c>
      <c r="H112" t="s">
        <v>1208</v>
      </c>
      <c r="I112" s="1">
        <v>37118</v>
      </c>
      <c r="J112" s="1">
        <v>37314</v>
      </c>
      <c r="K112" s="1">
        <v>37325</v>
      </c>
      <c r="L112" s="1">
        <v>37325</v>
      </c>
      <c r="M112" s="1">
        <v>37330</v>
      </c>
      <c r="N112" s="1">
        <v>37330</v>
      </c>
      <c r="O112" t="s">
        <v>1117</v>
      </c>
      <c r="P112">
        <v>6</v>
      </c>
      <c r="Q112" t="s">
        <v>1215</v>
      </c>
      <c r="R112">
        <f t="shared" si="2"/>
        <v>11</v>
      </c>
      <c r="S112">
        <f t="shared" si="3"/>
        <v>1</v>
      </c>
    </row>
    <row r="113" spans="1:19" x14ac:dyDescent="0.25">
      <c r="A113" t="s">
        <v>1237</v>
      </c>
      <c r="B113" t="s">
        <v>1199</v>
      </c>
      <c r="C113">
        <v>0.61</v>
      </c>
      <c r="D113">
        <v>1000.125</v>
      </c>
      <c r="E113">
        <v>0</v>
      </c>
      <c r="F113">
        <v>18.14</v>
      </c>
      <c r="G113">
        <v>18.14</v>
      </c>
      <c r="H113" t="s">
        <v>1208</v>
      </c>
      <c r="I113" s="1">
        <v>37159</v>
      </c>
      <c r="J113" s="1">
        <v>37325</v>
      </c>
      <c r="K113" s="1">
        <v>37355</v>
      </c>
      <c r="L113" s="1">
        <v>37355</v>
      </c>
      <c r="M113" s="1">
        <v>37331</v>
      </c>
      <c r="N113" s="1">
        <v>37331</v>
      </c>
      <c r="O113" t="s">
        <v>1117</v>
      </c>
      <c r="P113">
        <v>2</v>
      </c>
      <c r="Q113" t="s">
        <v>1215</v>
      </c>
      <c r="R113">
        <f t="shared" si="2"/>
        <v>11</v>
      </c>
      <c r="S113">
        <f t="shared" si="3"/>
        <v>1</v>
      </c>
    </row>
    <row r="114" spans="1:19" x14ac:dyDescent="0.25">
      <c r="A114" t="s">
        <v>1238</v>
      </c>
      <c r="B114" t="s">
        <v>4028</v>
      </c>
      <c r="C114">
        <v>0.5</v>
      </c>
      <c r="D114">
        <v>1250</v>
      </c>
      <c r="E114">
        <v>0</v>
      </c>
      <c r="F114">
        <v>20</v>
      </c>
      <c r="G114">
        <v>20</v>
      </c>
      <c r="H114" t="s">
        <v>1208</v>
      </c>
      <c r="I114" s="1">
        <v>37118</v>
      </c>
      <c r="J114" s="1">
        <v>37314</v>
      </c>
      <c r="K114" s="1">
        <v>37317</v>
      </c>
      <c r="L114" s="1">
        <v>37317</v>
      </c>
      <c r="M114" s="1">
        <v>37323</v>
      </c>
      <c r="N114" s="1">
        <v>37323</v>
      </c>
      <c r="O114" t="s">
        <v>1117</v>
      </c>
      <c r="P114">
        <v>4</v>
      </c>
      <c r="Q114" t="s">
        <v>1215</v>
      </c>
      <c r="R114">
        <f t="shared" si="2"/>
        <v>10</v>
      </c>
      <c r="S114">
        <f t="shared" si="3"/>
        <v>1</v>
      </c>
    </row>
    <row r="115" spans="1:19" x14ac:dyDescent="0.25">
      <c r="A115" t="s">
        <v>1239</v>
      </c>
      <c r="B115" t="s">
        <v>4028</v>
      </c>
      <c r="C115">
        <v>0.6</v>
      </c>
      <c r="D115">
        <v>1250</v>
      </c>
      <c r="E115">
        <v>0</v>
      </c>
      <c r="F115">
        <v>20</v>
      </c>
      <c r="G115">
        <v>20</v>
      </c>
      <c r="H115" t="s">
        <v>1208</v>
      </c>
      <c r="I115" s="1">
        <v>37118</v>
      </c>
      <c r="J115" s="1">
        <v>37314</v>
      </c>
      <c r="K115" s="1">
        <v>37320</v>
      </c>
      <c r="L115" s="1">
        <v>37320</v>
      </c>
      <c r="M115" s="1">
        <v>37325</v>
      </c>
      <c r="N115" s="1">
        <v>37325</v>
      </c>
      <c r="O115" t="s">
        <v>1117</v>
      </c>
      <c r="P115">
        <v>5</v>
      </c>
      <c r="Q115" t="s">
        <v>1215</v>
      </c>
      <c r="R115">
        <f t="shared" si="2"/>
        <v>11</v>
      </c>
      <c r="S115">
        <f t="shared" si="3"/>
        <v>1</v>
      </c>
    </row>
    <row r="116" spans="1:19" x14ac:dyDescent="0.25">
      <c r="A116" t="s">
        <v>1240</v>
      </c>
      <c r="B116" t="s">
        <v>4028</v>
      </c>
      <c r="C116">
        <v>0.8</v>
      </c>
      <c r="D116">
        <v>485</v>
      </c>
      <c r="E116">
        <v>0</v>
      </c>
      <c r="F116">
        <v>16.231999999999999</v>
      </c>
      <c r="G116">
        <v>16.231999999999999</v>
      </c>
      <c r="H116" t="s">
        <v>1208</v>
      </c>
      <c r="I116" s="1">
        <v>37189</v>
      </c>
      <c r="J116" s="1">
        <v>37331</v>
      </c>
      <c r="K116" s="1">
        <v>37367</v>
      </c>
      <c r="L116" s="1">
        <v>37367</v>
      </c>
      <c r="M116" s="1">
        <v>37345</v>
      </c>
      <c r="N116" s="1">
        <v>37345</v>
      </c>
      <c r="O116" t="s">
        <v>1117</v>
      </c>
      <c r="P116">
        <v>1</v>
      </c>
      <c r="Q116" t="s">
        <v>1215</v>
      </c>
      <c r="R116">
        <f t="shared" si="2"/>
        <v>13</v>
      </c>
      <c r="S116">
        <f t="shared" si="3"/>
        <v>1</v>
      </c>
    </row>
    <row r="117" spans="1:19" x14ac:dyDescent="0.25">
      <c r="A117" t="s">
        <v>1241</v>
      </c>
      <c r="B117" t="s">
        <v>4028</v>
      </c>
      <c r="C117">
        <v>0.5</v>
      </c>
      <c r="D117">
        <v>1250</v>
      </c>
      <c r="E117">
        <v>0</v>
      </c>
      <c r="F117">
        <v>3</v>
      </c>
      <c r="G117">
        <v>3</v>
      </c>
      <c r="H117" t="s">
        <v>1208</v>
      </c>
      <c r="I117" s="1">
        <v>37122</v>
      </c>
      <c r="J117" s="1">
        <v>37312</v>
      </c>
      <c r="K117" s="1">
        <v>37351</v>
      </c>
      <c r="L117" s="1">
        <v>37351</v>
      </c>
      <c r="M117" s="1">
        <v>37351</v>
      </c>
      <c r="N117" s="1">
        <v>37351</v>
      </c>
      <c r="O117" t="s">
        <v>1117</v>
      </c>
      <c r="P117">
        <v>3</v>
      </c>
      <c r="Q117" t="s">
        <v>1215</v>
      </c>
      <c r="R117">
        <f t="shared" si="2"/>
        <v>14</v>
      </c>
      <c r="S117">
        <f t="shared" si="3"/>
        <v>1</v>
      </c>
    </row>
    <row r="118" spans="1:19" x14ac:dyDescent="0.25">
      <c r="A118" t="s">
        <v>1242</v>
      </c>
      <c r="B118" t="s">
        <v>1199</v>
      </c>
      <c r="C118">
        <v>0.5</v>
      </c>
      <c r="D118">
        <v>350</v>
      </c>
      <c r="E118">
        <v>0</v>
      </c>
      <c r="F118">
        <v>20</v>
      </c>
      <c r="G118">
        <v>8.5489999999999995</v>
      </c>
      <c r="H118" t="s">
        <v>1208</v>
      </c>
      <c r="I118" s="1">
        <v>37085</v>
      </c>
      <c r="J118" s="1">
        <v>37325</v>
      </c>
      <c r="K118" s="1">
        <v>37314</v>
      </c>
      <c r="L118" s="1">
        <v>37325</v>
      </c>
      <c r="M118" s="1">
        <v>37255</v>
      </c>
      <c r="N118" s="1">
        <v>37286</v>
      </c>
      <c r="O118" t="s">
        <v>1114</v>
      </c>
      <c r="P118">
        <v>2</v>
      </c>
      <c r="Q118" t="s">
        <v>1215</v>
      </c>
      <c r="R118">
        <f t="shared" si="2"/>
        <v>5</v>
      </c>
      <c r="S118">
        <f t="shared" si="3"/>
        <v>0</v>
      </c>
    </row>
    <row r="119" spans="1:19" x14ac:dyDescent="0.25">
      <c r="A119" t="s">
        <v>1243</v>
      </c>
      <c r="B119" t="s">
        <v>1199</v>
      </c>
      <c r="C119">
        <v>0.6</v>
      </c>
      <c r="D119">
        <v>1219</v>
      </c>
      <c r="E119">
        <v>0</v>
      </c>
      <c r="F119">
        <v>20</v>
      </c>
      <c r="G119">
        <v>20</v>
      </c>
      <c r="H119" t="s">
        <v>1208</v>
      </c>
      <c r="I119" s="1">
        <v>37112</v>
      </c>
      <c r="J119" s="1">
        <v>37314</v>
      </c>
      <c r="K119" s="1">
        <v>37338</v>
      </c>
      <c r="L119" s="1">
        <v>37338</v>
      </c>
      <c r="M119" s="1">
        <v>37337</v>
      </c>
      <c r="N119" s="1">
        <v>37337</v>
      </c>
      <c r="O119" t="s">
        <v>1117</v>
      </c>
      <c r="P119">
        <v>2</v>
      </c>
      <c r="Q119" t="s">
        <v>1215</v>
      </c>
      <c r="R119">
        <f t="shared" si="2"/>
        <v>12</v>
      </c>
      <c r="S119">
        <f t="shared" si="3"/>
        <v>1</v>
      </c>
    </row>
    <row r="120" spans="1:19" x14ac:dyDescent="0.25">
      <c r="A120" t="s">
        <v>1244</v>
      </c>
      <c r="B120" t="s">
        <v>1199</v>
      </c>
      <c r="C120">
        <v>0.6</v>
      </c>
      <c r="D120">
        <v>1250</v>
      </c>
      <c r="E120">
        <v>0</v>
      </c>
      <c r="F120">
        <v>3</v>
      </c>
      <c r="G120">
        <v>3</v>
      </c>
      <c r="H120" t="s">
        <v>1208</v>
      </c>
      <c r="I120" s="1">
        <v>37134</v>
      </c>
      <c r="J120" s="1">
        <v>37323</v>
      </c>
      <c r="K120" s="1">
        <v>37375</v>
      </c>
      <c r="L120" s="1">
        <v>37375</v>
      </c>
      <c r="M120" s="1">
        <v>37368</v>
      </c>
      <c r="N120" s="1">
        <v>37368</v>
      </c>
      <c r="O120" t="s">
        <v>1117</v>
      </c>
      <c r="P120">
        <v>1</v>
      </c>
      <c r="Q120" t="s">
        <v>1215</v>
      </c>
      <c r="R120">
        <f t="shared" si="2"/>
        <v>17</v>
      </c>
      <c r="S120">
        <f t="shared" si="3"/>
        <v>1</v>
      </c>
    </row>
    <row r="121" spans="1:19" x14ac:dyDescent="0.25">
      <c r="A121" t="s">
        <v>1245</v>
      </c>
      <c r="B121" t="s">
        <v>4026</v>
      </c>
      <c r="C121">
        <v>1.5</v>
      </c>
      <c r="D121">
        <v>1000</v>
      </c>
      <c r="E121">
        <v>0</v>
      </c>
      <c r="F121">
        <v>3</v>
      </c>
      <c r="G121">
        <v>3</v>
      </c>
      <c r="H121" t="s">
        <v>1208</v>
      </c>
      <c r="I121" s="1">
        <v>37120</v>
      </c>
      <c r="J121" s="1">
        <v>37322</v>
      </c>
      <c r="K121" s="1">
        <v>37354</v>
      </c>
      <c r="L121" s="1">
        <v>37354</v>
      </c>
      <c r="M121" s="1">
        <v>37354</v>
      </c>
      <c r="N121" s="1">
        <v>37354</v>
      </c>
      <c r="O121" t="s">
        <v>1117</v>
      </c>
      <c r="P121">
        <v>1</v>
      </c>
      <c r="Q121" t="s">
        <v>1215</v>
      </c>
      <c r="R121">
        <f t="shared" si="2"/>
        <v>15</v>
      </c>
      <c r="S121">
        <f t="shared" si="3"/>
        <v>1</v>
      </c>
    </row>
    <row r="122" spans="1:19" x14ac:dyDescent="0.25">
      <c r="A122" t="s">
        <v>1246</v>
      </c>
      <c r="B122" t="s">
        <v>1199</v>
      </c>
      <c r="C122">
        <v>0.7</v>
      </c>
      <c r="D122">
        <v>1250</v>
      </c>
      <c r="E122">
        <v>0</v>
      </c>
      <c r="F122">
        <v>10</v>
      </c>
      <c r="G122">
        <v>10</v>
      </c>
      <c r="H122" t="s">
        <v>1208</v>
      </c>
      <c r="I122" s="1">
        <v>37159</v>
      </c>
      <c r="J122" s="1">
        <v>37314</v>
      </c>
      <c r="K122" t="s">
        <v>1124</v>
      </c>
      <c r="L122" t="s">
        <v>1124</v>
      </c>
      <c r="M122" s="1">
        <v>37344</v>
      </c>
      <c r="N122" s="1">
        <v>37344</v>
      </c>
      <c r="O122" t="s">
        <v>1117</v>
      </c>
      <c r="P122">
        <v>1</v>
      </c>
      <c r="Q122" t="s">
        <v>1215</v>
      </c>
      <c r="R122">
        <f t="shared" si="2"/>
        <v>13</v>
      </c>
      <c r="S122">
        <f t="shared" si="3"/>
        <v>1</v>
      </c>
    </row>
    <row r="123" spans="1:19" x14ac:dyDescent="0.25">
      <c r="A123" t="s">
        <v>1247</v>
      </c>
      <c r="B123" t="s">
        <v>1199</v>
      </c>
      <c r="C123">
        <v>0.5</v>
      </c>
      <c r="D123">
        <v>311.5</v>
      </c>
      <c r="E123">
        <v>0</v>
      </c>
      <c r="F123">
        <v>35</v>
      </c>
      <c r="G123">
        <v>35</v>
      </c>
      <c r="H123" t="s">
        <v>1208</v>
      </c>
      <c r="I123" s="1">
        <v>37110</v>
      </c>
      <c r="J123" s="1">
        <v>37316</v>
      </c>
      <c r="K123" s="1">
        <v>37341</v>
      </c>
      <c r="L123" s="1">
        <v>37341</v>
      </c>
      <c r="M123" s="1">
        <v>37286</v>
      </c>
      <c r="N123" s="1">
        <v>37286</v>
      </c>
      <c r="O123" t="s">
        <v>1117</v>
      </c>
      <c r="P123">
        <v>1</v>
      </c>
      <c r="Q123" t="s">
        <v>1215</v>
      </c>
      <c r="R123">
        <f t="shared" si="2"/>
        <v>5</v>
      </c>
      <c r="S123">
        <f t="shared" si="3"/>
        <v>1</v>
      </c>
    </row>
    <row r="124" spans="1:19" x14ac:dyDescent="0.25">
      <c r="A124" t="s">
        <v>1248</v>
      </c>
      <c r="B124" t="s">
        <v>1199</v>
      </c>
      <c r="C124">
        <v>0.7</v>
      </c>
      <c r="D124">
        <v>1250</v>
      </c>
      <c r="E124">
        <v>0</v>
      </c>
      <c r="F124">
        <v>6</v>
      </c>
      <c r="G124">
        <v>6</v>
      </c>
      <c r="H124" t="s">
        <v>1208</v>
      </c>
      <c r="I124" s="1">
        <v>37124</v>
      </c>
      <c r="J124" s="1">
        <v>37322</v>
      </c>
      <c r="K124" s="1">
        <v>37375</v>
      </c>
      <c r="L124" s="1">
        <v>37375</v>
      </c>
      <c r="M124" s="1">
        <v>37368</v>
      </c>
      <c r="N124" s="1">
        <v>37368</v>
      </c>
      <c r="O124" t="s">
        <v>1117</v>
      </c>
      <c r="P124">
        <v>2</v>
      </c>
      <c r="Q124" t="s">
        <v>1215</v>
      </c>
      <c r="R124">
        <f t="shared" si="2"/>
        <v>17</v>
      </c>
      <c r="S124">
        <f t="shared" si="3"/>
        <v>1</v>
      </c>
    </row>
    <row r="125" spans="1:19" x14ac:dyDescent="0.25">
      <c r="A125" t="s">
        <v>1249</v>
      </c>
      <c r="B125" t="s">
        <v>4028</v>
      </c>
      <c r="C125">
        <v>3</v>
      </c>
      <c r="D125">
        <v>1250</v>
      </c>
      <c r="E125">
        <v>0</v>
      </c>
      <c r="F125">
        <v>6</v>
      </c>
      <c r="G125">
        <v>6</v>
      </c>
      <c r="H125" t="s">
        <v>1208</v>
      </c>
      <c r="I125" s="1">
        <v>37159</v>
      </c>
      <c r="J125" s="1">
        <v>37312</v>
      </c>
      <c r="K125" s="1">
        <v>37308</v>
      </c>
      <c r="L125" s="1">
        <v>37312</v>
      </c>
      <c r="M125" s="1">
        <v>37264</v>
      </c>
      <c r="N125" s="1">
        <v>37284</v>
      </c>
      <c r="O125" t="s">
        <v>1114</v>
      </c>
      <c r="P125">
        <v>2</v>
      </c>
      <c r="Q125" t="s">
        <v>1215</v>
      </c>
      <c r="R125">
        <f t="shared" si="2"/>
        <v>5</v>
      </c>
      <c r="S125">
        <f t="shared" si="3"/>
        <v>1</v>
      </c>
    </row>
    <row r="126" spans="1:19" x14ac:dyDescent="0.25">
      <c r="A126" t="s">
        <v>1250</v>
      </c>
      <c r="B126" t="s">
        <v>4028</v>
      </c>
      <c r="C126">
        <v>3</v>
      </c>
      <c r="D126">
        <v>1250</v>
      </c>
      <c r="E126">
        <v>0</v>
      </c>
      <c r="F126">
        <v>6</v>
      </c>
      <c r="G126">
        <v>6</v>
      </c>
      <c r="H126" t="s">
        <v>1208</v>
      </c>
      <c r="I126" s="1">
        <v>37122</v>
      </c>
      <c r="J126" s="1">
        <v>37312</v>
      </c>
      <c r="K126" t="s">
        <v>1124</v>
      </c>
      <c r="L126" t="s">
        <v>1124</v>
      </c>
      <c r="M126" s="1">
        <v>37276</v>
      </c>
      <c r="N126" s="1">
        <v>37284</v>
      </c>
      <c r="O126" t="s">
        <v>1117</v>
      </c>
      <c r="P126">
        <v>2</v>
      </c>
      <c r="Q126" t="s">
        <v>1215</v>
      </c>
      <c r="R126">
        <f t="shared" si="2"/>
        <v>5</v>
      </c>
      <c r="S126">
        <f t="shared" si="3"/>
        <v>1</v>
      </c>
    </row>
    <row r="127" spans="1:19" x14ac:dyDescent="0.25">
      <c r="A127" t="s">
        <v>1251</v>
      </c>
      <c r="B127" t="s">
        <v>4028</v>
      </c>
      <c r="C127">
        <v>3</v>
      </c>
      <c r="D127">
        <v>1250</v>
      </c>
      <c r="E127">
        <v>0</v>
      </c>
      <c r="F127">
        <v>3</v>
      </c>
      <c r="G127">
        <v>3</v>
      </c>
      <c r="H127" t="s">
        <v>1208</v>
      </c>
      <c r="I127" s="1">
        <v>37122</v>
      </c>
      <c r="J127" s="1">
        <v>37312</v>
      </c>
      <c r="K127" t="s">
        <v>1124</v>
      </c>
      <c r="L127" t="s">
        <v>1124</v>
      </c>
      <c r="M127" s="1">
        <v>37276</v>
      </c>
      <c r="N127" s="1">
        <v>37284</v>
      </c>
      <c r="O127" t="s">
        <v>1117</v>
      </c>
      <c r="P127">
        <v>2</v>
      </c>
      <c r="Q127" t="s">
        <v>1215</v>
      </c>
      <c r="R127">
        <f t="shared" si="2"/>
        <v>5</v>
      </c>
      <c r="S127">
        <f t="shared" si="3"/>
        <v>1</v>
      </c>
    </row>
    <row r="128" spans="1:19" x14ac:dyDescent="0.25">
      <c r="A128" t="s">
        <v>1252</v>
      </c>
      <c r="B128" t="s">
        <v>4026</v>
      </c>
      <c r="C128">
        <v>0.5</v>
      </c>
      <c r="D128">
        <v>585</v>
      </c>
      <c r="E128">
        <v>0</v>
      </c>
      <c r="F128">
        <v>10</v>
      </c>
      <c r="G128">
        <v>10</v>
      </c>
      <c r="H128" t="s">
        <v>1208</v>
      </c>
      <c r="I128" s="1">
        <v>37110</v>
      </c>
      <c r="J128" s="1">
        <v>37318</v>
      </c>
      <c r="K128" s="1">
        <v>37341</v>
      </c>
      <c r="L128" s="1">
        <v>37341</v>
      </c>
      <c r="M128" s="1">
        <v>37198</v>
      </c>
      <c r="N128" s="1">
        <v>37198</v>
      </c>
      <c r="O128" t="s">
        <v>1117</v>
      </c>
      <c r="P128">
        <v>7</v>
      </c>
      <c r="Q128" t="s">
        <v>1215</v>
      </c>
      <c r="R128">
        <f t="shared" si="2"/>
        <v>44</v>
      </c>
      <c r="S128">
        <f t="shared" si="3"/>
        <v>1</v>
      </c>
    </row>
    <row r="129" spans="1:19" x14ac:dyDescent="0.25">
      <c r="A129" t="s">
        <v>1253</v>
      </c>
      <c r="B129" t="s">
        <v>4026</v>
      </c>
      <c r="C129">
        <v>0.6</v>
      </c>
      <c r="D129">
        <v>1250</v>
      </c>
      <c r="E129">
        <v>0</v>
      </c>
      <c r="F129">
        <v>20</v>
      </c>
      <c r="G129">
        <v>20</v>
      </c>
      <c r="H129" t="s">
        <v>1208</v>
      </c>
      <c r="I129" s="1">
        <v>37110</v>
      </c>
      <c r="J129" s="1">
        <v>37314</v>
      </c>
      <c r="K129" s="1">
        <v>37334</v>
      </c>
      <c r="L129" s="1">
        <v>37334</v>
      </c>
      <c r="M129" s="1">
        <v>37334</v>
      </c>
      <c r="N129" s="1">
        <v>37334</v>
      </c>
      <c r="O129" t="s">
        <v>1117</v>
      </c>
      <c r="P129">
        <v>2</v>
      </c>
      <c r="Q129" t="s">
        <v>1215</v>
      </c>
      <c r="R129">
        <f t="shared" si="2"/>
        <v>12</v>
      </c>
      <c r="S129">
        <f t="shared" si="3"/>
        <v>1</v>
      </c>
    </row>
    <row r="130" spans="1:19" x14ac:dyDescent="0.25">
      <c r="A130" t="s">
        <v>1254</v>
      </c>
      <c r="B130" t="s">
        <v>1199</v>
      </c>
      <c r="C130">
        <v>1.2</v>
      </c>
      <c r="D130">
        <v>1250</v>
      </c>
      <c r="E130">
        <v>0</v>
      </c>
      <c r="F130">
        <v>18</v>
      </c>
      <c r="G130">
        <v>18</v>
      </c>
      <c r="H130" t="s">
        <v>1208</v>
      </c>
      <c r="I130" s="1">
        <v>37124</v>
      </c>
      <c r="J130" s="1">
        <v>37307</v>
      </c>
      <c r="K130" s="1">
        <v>37315</v>
      </c>
      <c r="L130" s="1">
        <v>37315</v>
      </c>
      <c r="M130" s="1">
        <v>37320</v>
      </c>
      <c r="N130" s="1">
        <v>37320</v>
      </c>
      <c r="O130" t="s">
        <v>1117</v>
      </c>
      <c r="P130">
        <v>1</v>
      </c>
      <c r="Q130" t="s">
        <v>1215</v>
      </c>
      <c r="R130">
        <f t="shared" si="2"/>
        <v>10</v>
      </c>
      <c r="S130">
        <f t="shared" si="3"/>
        <v>1</v>
      </c>
    </row>
    <row r="131" spans="1:19" x14ac:dyDescent="0.25">
      <c r="A131" t="s">
        <v>1255</v>
      </c>
      <c r="B131" t="s">
        <v>1199</v>
      </c>
      <c r="C131">
        <v>0.5</v>
      </c>
      <c r="D131">
        <v>1250</v>
      </c>
      <c r="E131">
        <v>0</v>
      </c>
      <c r="F131">
        <v>3</v>
      </c>
      <c r="G131">
        <v>3</v>
      </c>
      <c r="H131" t="s">
        <v>1208</v>
      </c>
      <c r="I131" s="1">
        <v>37159</v>
      </c>
      <c r="J131" s="1">
        <v>37322</v>
      </c>
      <c r="K131" s="1">
        <v>37351</v>
      </c>
      <c r="L131" s="1">
        <v>37351</v>
      </c>
      <c r="M131" s="1">
        <v>37351</v>
      </c>
      <c r="N131" s="1">
        <v>37351</v>
      </c>
      <c r="O131" t="s">
        <v>1117</v>
      </c>
      <c r="P131">
        <v>6</v>
      </c>
      <c r="Q131" t="s">
        <v>1215</v>
      </c>
      <c r="R131">
        <f t="shared" ref="R131:R194" si="4">WEEKNUM(N131,1)</f>
        <v>14</v>
      </c>
      <c r="S131">
        <f t="shared" ref="S131:S194" si="5">IF(AND(F131=G131, M131&lt;=N131), 1,0)</f>
        <v>1</v>
      </c>
    </row>
    <row r="132" spans="1:19" x14ac:dyDescent="0.25">
      <c r="A132" t="s">
        <v>1256</v>
      </c>
      <c r="B132" t="s">
        <v>4026</v>
      </c>
      <c r="C132">
        <v>3</v>
      </c>
      <c r="D132">
        <v>1250</v>
      </c>
      <c r="E132">
        <v>0</v>
      </c>
      <c r="F132">
        <v>3</v>
      </c>
      <c r="G132">
        <v>3</v>
      </c>
      <c r="H132" t="s">
        <v>1208</v>
      </c>
      <c r="I132" s="1">
        <v>37159</v>
      </c>
      <c r="J132" s="1">
        <v>37312</v>
      </c>
      <c r="K132" s="1">
        <v>37308</v>
      </c>
      <c r="L132" s="1">
        <v>37312</v>
      </c>
      <c r="M132" s="1">
        <v>37273</v>
      </c>
      <c r="N132" s="1">
        <v>37284</v>
      </c>
      <c r="O132" t="s">
        <v>1114</v>
      </c>
      <c r="P132">
        <v>1</v>
      </c>
      <c r="Q132" t="s">
        <v>1215</v>
      </c>
      <c r="R132">
        <f t="shared" si="4"/>
        <v>5</v>
      </c>
      <c r="S132">
        <f t="shared" si="5"/>
        <v>1</v>
      </c>
    </row>
    <row r="133" spans="1:19" x14ac:dyDescent="0.25">
      <c r="A133" t="s">
        <v>1257</v>
      </c>
      <c r="B133" t="s">
        <v>4028</v>
      </c>
      <c r="C133">
        <v>0.4</v>
      </c>
      <c r="D133">
        <v>640</v>
      </c>
      <c r="E133">
        <v>0</v>
      </c>
      <c r="F133">
        <v>50</v>
      </c>
      <c r="G133">
        <v>50</v>
      </c>
      <c r="H133" t="s">
        <v>1208</v>
      </c>
      <c r="I133" s="1">
        <v>37132</v>
      </c>
      <c r="J133" s="1">
        <v>37310</v>
      </c>
      <c r="K133" s="1">
        <v>37311</v>
      </c>
      <c r="L133" s="1">
        <v>37311</v>
      </c>
      <c r="M133" s="1">
        <v>37217</v>
      </c>
      <c r="N133" s="1">
        <v>37217</v>
      </c>
      <c r="O133" t="s">
        <v>1117</v>
      </c>
      <c r="P133">
        <v>2</v>
      </c>
      <c r="Q133" t="s">
        <v>1215</v>
      </c>
      <c r="R133">
        <f t="shared" si="4"/>
        <v>47</v>
      </c>
      <c r="S133">
        <f t="shared" si="5"/>
        <v>1</v>
      </c>
    </row>
    <row r="134" spans="1:19" x14ac:dyDescent="0.25">
      <c r="A134" t="s">
        <v>1258</v>
      </c>
      <c r="B134" t="s">
        <v>1199</v>
      </c>
      <c r="C134">
        <v>1.2</v>
      </c>
      <c r="D134">
        <v>1000</v>
      </c>
      <c r="E134">
        <v>0</v>
      </c>
      <c r="F134">
        <v>3</v>
      </c>
      <c r="G134">
        <v>3</v>
      </c>
      <c r="H134" t="s">
        <v>1208</v>
      </c>
      <c r="I134" s="1">
        <v>37120</v>
      </c>
      <c r="J134" s="1">
        <v>37322</v>
      </c>
      <c r="K134" s="1">
        <v>37345</v>
      </c>
      <c r="L134" s="1">
        <v>37345</v>
      </c>
      <c r="M134" s="1">
        <v>37345</v>
      </c>
      <c r="N134" s="1">
        <v>37352</v>
      </c>
      <c r="O134" t="s">
        <v>1117</v>
      </c>
      <c r="P134">
        <v>2</v>
      </c>
      <c r="Q134" t="s">
        <v>1215</v>
      </c>
      <c r="R134">
        <f t="shared" si="4"/>
        <v>14</v>
      </c>
      <c r="S134">
        <f t="shared" si="5"/>
        <v>1</v>
      </c>
    </row>
    <row r="135" spans="1:19" x14ac:dyDescent="0.25">
      <c r="A135" t="s">
        <v>1259</v>
      </c>
      <c r="B135" t="s">
        <v>1199</v>
      </c>
      <c r="C135">
        <v>1</v>
      </c>
      <c r="D135">
        <v>1000</v>
      </c>
      <c r="E135">
        <v>0</v>
      </c>
      <c r="F135">
        <v>3</v>
      </c>
      <c r="G135">
        <v>3</v>
      </c>
      <c r="H135" t="s">
        <v>1208</v>
      </c>
      <c r="I135" s="1">
        <v>37120</v>
      </c>
      <c r="J135" s="1">
        <v>37322</v>
      </c>
      <c r="K135" s="1">
        <v>37347</v>
      </c>
      <c r="L135" s="1">
        <v>37347</v>
      </c>
      <c r="M135" s="1">
        <v>37345</v>
      </c>
      <c r="N135" s="1">
        <v>37345</v>
      </c>
      <c r="O135" t="s">
        <v>1117</v>
      </c>
      <c r="P135">
        <v>1</v>
      </c>
      <c r="Q135" t="s">
        <v>1215</v>
      </c>
      <c r="R135">
        <f t="shared" si="4"/>
        <v>13</v>
      </c>
      <c r="S135">
        <f t="shared" si="5"/>
        <v>1</v>
      </c>
    </row>
    <row r="136" spans="1:19" x14ac:dyDescent="0.25">
      <c r="A136" t="s">
        <v>1260</v>
      </c>
      <c r="B136" t="s">
        <v>3521</v>
      </c>
      <c r="C136">
        <v>0.5</v>
      </c>
      <c r="D136">
        <v>1250</v>
      </c>
      <c r="E136">
        <v>0</v>
      </c>
      <c r="F136">
        <v>50</v>
      </c>
      <c r="G136">
        <v>45.134</v>
      </c>
      <c r="H136" t="s">
        <v>1208</v>
      </c>
      <c r="I136" s="1">
        <v>37270</v>
      </c>
      <c r="J136" s="1">
        <v>37314</v>
      </c>
      <c r="K136" s="1">
        <v>37347</v>
      </c>
      <c r="L136" s="1">
        <v>37347</v>
      </c>
      <c r="M136" s="1">
        <v>37347</v>
      </c>
      <c r="N136" s="1">
        <v>37351</v>
      </c>
      <c r="O136" t="s">
        <v>1117</v>
      </c>
      <c r="P136">
        <v>2</v>
      </c>
      <c r="Q136" t="s">
        <v>1215</v>
      </c>
      <c r="R136">
        <f t="shared" si="4"/>
        <v>14</v>
      </c>
      <c r="S136">
        <f t="shared" si="5"/>
        <v>0</v>
      </c>
    </row>
    <row r="137" spans="1:19" x14ac:dyDescent="0.25">
      <c r="A137" t="s">
        <v>1261</v>
      </c>
      <c r="B137" t="s">
        <v>4028</v>
      </c>
      <c r="C137">
        <v>0.5</v>
      </c>
      <c r="D137">
        <v>1250</v>
      </c>
      <c r="E137">
        <v>0</v>
      </c>
      <c r="F137">
        <v>6</v>
      </c>
      <c r="G137">
        <v>6</v>
      </c>
      <c r="H137" t="s">
        <v>1208</v>
      </c>
      <c r="I137" s="1">
        <v>37120</v>
      </c>
      <c r="J137" s="1">
        <v>37322</v>
      </c>
      <c r="K137" s="1">
        <v>37353</v>
      </c>
      <c r="L137" s="1">
        <v>37353</v>
      </c>
      <c r="M137" s="1">
        <v>37327</v>
      </c>
      <c r="N137" s="1">
        <v>37327</v>
      </c>
      <c r="O137" t="s">
        <v>1117</v>
      </c>
      <c r="P137">
        <v>1</v>
      </c>
      <c r="Q137" t="s">
        <v>1215</v>
      </c>
      <c r="R137">
        <f t="shared" si="4"/>
        <v>11</v>
      </c>
      <c r="S137">
        <f t="shared" si="5"/>
        <v>1</v>
      </c>
    </row>
    <row r="138" spans="1:19" x14ac:dyDescent="0.25">
      <c r="A138" t="s">
        <v>1262</v>
      </c>
      <c r="B138" t="s">
        <v>1199</v>
      </c>
      <c r="C138">
        <v>1</v>
      </c>
      <c r="D138">
        <v>1250</v>
      </c>
      <c r="E138">
        <v>0</v>
      </c>
      <c r="F138">
        <v>24</v>
      </c>
      <c r="G138">
        <v>24</v>
      </c>
      <c r="H138" t="s">
        <v>1208</v>
      </c>
      <c r="I138" s="1">
        <v>37159</v>
      </c>
      <c r="J138" s="1">
        <v>37314</v>
      </c>
      <c r="K138" s="1">
        <v>37327</v>
      </c>
      <c r="L138" s="1">
        <v>37327</v>
      </c>
      <c r="M138" s="1">
        <v>37334</v>
      </c>
      <c r="N138" s="1">
        <v>37334</v>
      </c>
      <c r="O138" t="s">
        <v>1117</v>
      </c>
      <c r="P138">
        <v>2</v>
      </c>
      <c r="Q138" t="s">
        <v>1215</v>
      </c>
      <c r="R138">
        <f t="shared" si="4"/>
        <v>12</v>
      </c>
      <c r="S138">
        <f t="shared" si="5"/>
        <v>1</v>
      </c>
    </row>
    <row r="139" spans="1:19" x14ac:dyDescent="0.25">
      <c r="A139" t="s">
        <v>1263</v>
      </c>
      <c r="B139" t="s">
        <v>1199</v>
      </c>
      <c r="C139">
        <v>2</v>
      </c>
      <c r="D139">
        <v>1250</v>
      </c>
      <c r="E139">
        <v>0</v>
      </c>
      <c r="F139">
        <v>3</v>
      </c>
      <c r="G139">
        <v>3</v>
      </c>
      <c r="H139" t="s">
        <v>1208</v>
      </c>
      <c r="I139" s="1">
        <v>37159</v>
      </c>
      <c r="J139" s="1">
        <v>37323</v>
      </c>
      <c r="K139" s="1">
        <v>37359</v>
      </c>
      <c r="L139" s="1">
        <v>37359</v>
      </c>
      <c r="M139" s="1">
        <v>37359</v>
      </c>
      <c r="N139" s="1">
        <v>37359</v>
      </c>
      <c r="O139" t="s">
        <v>1117</v>
      </c>
      <c r="P139">
        <v>2</v>
      </c>
      <c r="Q139" t="s">
        <v>1215</v>
      </c>
      <c r="R139">
        <f t="shared" si="4"/>
        <v>15</v>
      </c>
      <c r="S139">
        <f t="shared" si="5"/>
        <v>1</v>
      </c>
    </row>
    <row r="140" spans="1:19" x14ac:dyDescent="0.25">
      <c r="A140" t="s">
        <v>1264</v>
      </c>
      <c r="B140" t="s">
        <v>4028</v>
      </c>
      <c r="C140">
        <v>0.63500000000000001</v>
      </c>
      <c r="D140">
        <v>198.12</v>
      </c>
      <c r="E140">
        <v>0</v>
      </c>
      <c r="F140">
        <v>54.43</v>
      </c>
      <c r="G140">
        <v>48.33</v>
      </c>
      <c r="H140" t="s">
        <v>1208</v>
      </c>
      <c r="I140" s="1">
        <v>37106</v>
      </c>
      <c r="J140" s="1">
        <v>37314</v>
      </c>
      <c r="K140" s="1">
        <v>37330</v>
      </c>
      <c r="L140" s="1">
        <v>37330</v>
      </c>
      <c r="M140" s="1">
        <v>37330</v>
      </c>
      <c r="N140" s="1">
        <v>37330</v>
      </c>
      <c r="O140" t="s">
        <v>1117</v>
      </c>
      <c r="P140">
        <v>1</v>
      </c>
      <c r="Q140" t="s">
        <v>1215</v>
      </c>
      <c r="R140">
        <f t="shared" si="4"/>
        <v>11</v>
      </c>
      <c r="S140">
        <f t="shared" si="5"/>
        <v>0</v>
      </c>
    </row>
    <row r="141" spans="1:19" x14ac:dyDescent="0.25">
      <c r="A141" t="s">
        <v>1265</v>
      </c>
      <c r="B141" t="s">
        <v>4028</v>
      </c>
      <c r="C141">
        <v>1</v>
      </c>
      <c r="D141">
        <v>1250</v>
      </c>
      <c r="E141">
        <v>0</v>
      </c>
      <c r="F141">
        <v>10</v>
      </c>
      <c r="G141">
        <v>10</v>
      </c>
      <c r="H141" t="s">
        <v>1208</v>
      </c>
      <c r="I141" s="1">
        <v>37128</v>
      </c>
      <c r="J141" s="1">
        <v>37315</v>
      </c>
      <c r="K141" s="1">
        <v>37314</v>
      </c>
      <c r="L141" s="1">
        <v>37315</v>
      </c>
      <c r="M141" s="1">
        <v>37266</v>
      </c>
      <c r="N141" s="1">
        <v>37326</v>
      </c>
      <c r="O141" t="s">
        <v>1114</v>
      </c>
      <c r="P141">
        <v>12</v>
      </c>
      <c r="Q141" t="s">
        <v>1215</v>
      </c>
      <c r="R141">
        <f t="shared" si="4"/>
        <v>11</v>
      </c>
      <c r="S141">
        <f t="shared" si="5"/>
        <v>1</v>
      </c>
    </row>
    <row r="142" spans="1:19" x14ac:dyDescent="0.25">
      <c r="A142" t="s">
        <v>1266</v>
      </c>
      <c r="B142" t="s">
        <v>4028</v>
      </c>
      <c r="C142">
        <v>1.5</v>
      </c>
      <c r="D142">
        <v>1000</v>
      </c>
      <c r="E142">
        <v>0</v>
      </c>
      <c r="F142">
        <v>3</v>
      </c>
      <c r="G142">
        <v>3</v>
      </c>
      <c r="H142" t="s">
        <v>1208</v>
      </c>
      <c r="I142" s="1">
        <v>37120</v>
      </c>
      <c r="J142" s="1">
        <v>37322</v>
      </c>
      <c r="K142" s="1">
        <v>37354</v>
      </c>
      <c r="L142" s="1">
        <v>37354</v>
      </c>
      <c r="M142" s="1">
        <v>37354</v>
      </c>
      <c r="N142" s="1">
        <v>37354</v>
      </c>
      <c r="O142" t="s">
        <v>1117</v>
      </c>
      <c r="P142">
        <v>1</v>
      </c>
      <c r="Q142" t="s">
        <v>1215</v>
      </c>
      <c r="R142">
        <f t="shared" si="4"/>
        <v>15</v>
      </c>
      <c r="S142">
        <f t="shared" si="5"/>
        <v>1</v>
      </c>
    </row>
    <row r="143" spans="1:19" x14ac:dyDescent="0.25">
      <c r="A143" t="s">
        <v>1267</v>
      </c>
      <c r="B143" t="s">
        <v>1199</v>
      </c>
      <c r="C143">
        <v>0.5</v>
      </c>
      <c r="D143">
        <v>1120</v>
      </c>
      <c r="E143">
        <v>0</v>
      </c>
      <c r="F143">
        <v>18</v>
      </c>
      <c r="G143">
        <v>9.2799999999999994</v>
      </c>
      <c r="H143" t="s">
        <v>1208</v>
      </c>
      <c r="I143" s="1">
        <v>37159</v>
      </c>
      <c r="J143" s="1">
        <v>37313</v>
      </c>
      <c r="K143" s="1">
        <v>37333</v>
      </c>
      <c r="L143" s="1">
        <v>37333</v>
      </c>
      <c r="M143" s="1">
        <v>37333</v>
      </c>
      <c r="N143" s="1">
        <v>37333</v>
      </c>
      <c r="O143" t="s">
        <v>1117</v>
      </c>
      <c r="P143">
        <v>1</v>
      </c>
      <c r="Q143" t="s">
        <v>1215</v>
      </c>
      <c r="R143">
        <f t="shared" si="4"/>
        <v>12</v>
      </c>
      <c r="S143">
        <f t="shared" si="5"/>
        <v>0</v>
      </c>
    </row>
    <row r="144" spans="1:19" x14ac:dyDescent="0.25">
      <c r="A144" t="s">
        <v>1268</v>
      </c>
      <c r="B144" t="s">
        <v>1199</v>
      </c>
      <c r="C144">
        <v>1.2</v>
      </c>
      <c r="D144">
        <v>1250</v>
      </c>
      <c r="E144">
        <v>0</v>
      </c>
      <c r="F144">
        <v>30</v>
      </c>
      <c r="G144">
        <v>30</v>
      </c>
      <c r="H144" t="s">
        <v>1208</v>
      </c>
      <c r="I144" s="1">
        <v>37159</v>
      </c>
      <c r="J144" s="1">
        <v>37312</v>
      </c>
      <c r="K144" s="1">
        <v>37316</v>
      </c>
      <c r="L144" s="1">
        <v>37316</v>
      </c>
      <c r="M144" s="1">
        <v>37323</v>
      </c>
      <c r="N144" s="1">
        <v>37338</v>
      </c>
      <c r="O144" t="s">
        <v>1117</v>
      </c>
      <c r="P144">
        <v>2</v>
      </c>
      <c r="Q144" t="s">
        <v>1215</v>
      </c>
      <c r="R144">
        <f t="shared" si="4"/>
        <v>12</v>
      </c>
      <c r="S144">
        <f t="shared" si="5"/>
        <v>1</v>
      </c>
    </row>
    <row r="145" spans="1:19" x14ac:dyDescent="0.25">
      <c r="A145" t="s">
        <v>1269</v>
      </c>
      <c r="B145" t="s">
        <v>1199</v>
      </c>
      <c r="C145">
        <v>1</v>
      </c>
      <c r="D145">
        <v>1250</v>
      </c>
      <c r="E145">
        <v>0</v>
      </c>
      <c r="F145">
        <v>30</v>
      </c>
      <c r="G145">
        <v>30</v>
      </c>
      <c r="H145" t="s">
        <v>1208</v>
      </c>
      <c r="I145" s="1">
        <v>37159</v>
      </c>
      <c r="J145" s="1">
        <v>37312</v>
      </c>
      <c r="K145" s="1">
        <v>37317</v>
      </c>
      <c r="L145" s="1">
        <v>37317</v>
      </c>
      <c r="M145" s="1">
        <v>37323</v>
      </c>
      <c r="N145" s="1">
        <v>37331</v>
      </c>
      <c r="O145" t="s">
        <v>1117</v>
      </c>
      <c r="P145">
        <v>1</v>
      </c>
      <c r="Q145" t="s">
        <v>1215</v>
      </c>
      <c r="R145">
        <f t="shared" si="4"/>
        <v>11</v>
      </c>
      <c r="S145">
        <f t="shared" si="5"/>
        <v>1</v>
      </c>
    </row>
    <row r="146" spans="1:19" x14ac:dyDescent="0.25">
      <c r="A146" t="s">
        <v>1270</v>
      </c>
      <c r="B146" t="s">
        <v>3521</v>
      </c>
      <c r="C146">
        <v>0.7</v>
      </c>
      <c r="D146">
        <v>1250</v>
      </c>
      <c r="E146">
        <v>0</v>
      </c>
      <c r="F146">
        <v>6</v>
      </c>
      <c r="G146">
        <v>6</v>
      </c>
      <c r="H146" t="s">
        <v>1208</v>
      </c>
      <c r="I146" s="1">
        <v>37128</v>
      </c>
      <c r="J146" s="1">
        <v>37322</v>
      </c>
      <c r="K146" s="1">
        <v>37375</v>
      </c>
      <c r="L146" s="1">
        <v>37375</v>
      </c>
      <c r="M146" s="1">
        <v>37368</v>
      </c>
      <c r="N146" s="1">
        <v>37368</v>
      </c>
      <c r="O146" t="s">
        <v>1117</v>
      </c>
      <c r="P146">
        <v>1</v>
      </c>
      <c r="Q146" t="s">
        <v>1215</v>
      </c>
      <c r="R146">
        <f t="shared" si="4"/>
        <v>17</v>
      </c>
      <c r="S146">
        <f t="shared" si="5"/>
        <v>1</v>
      </c>
    </row>
    <row r="147" spans="1:19" x14ac:dyDescent="0.25">
      <c r="A147" t="s">
        <v>1271</v>
      </c>
      <c r="B147" t="s">
        <v>1199</v>
      </c>
      <c r="C147">
        <v>0.6</v>
      </c>
      <c r="D147">
        <v>76</v>
      </c>
      <c r="E147">
        <v>0</v>
      </c>
      <c r="F147">
        <v>6</v>
      </c>
      <c r="G147">
        <v>6</v>
      </c>
      <c r="H147" t="s">
        <v>1208</v>
      </c>
      <c r="I147" s="1">
        <v>37304</v>
      </c>
      <c r="J147" s="1">
        <v>37314</v>
      </c>
      <c r="K147" t="s">
        <v>1124</v>
      </c>
      <c r="L147" t="s">
        <v>1124</v>
      </c>
      <c r="M147" s="1">
        <v>37337</v>
      </c>
      <c r="N147" s="1">
        <v>37391</v>
      </c>
      <c r="O147" t="s">
        <v>1117</v>
      </c>
      <c r="P147">
        <v>5</v>
      </c>
      <c r="Q147" t="s">
        <v>1215</v>
      </c>
      <c r="R147">
        <f t="shared" si="4"/>
        <v>20</v>
      </c>
      <c r="S147">
        <f t="shared" si="5"/>
        <v>1</v>
      </c>
    </row>
    <row r="148" spans="1:19" x14ac:dyDescent="0.25">
      <c r="A148" t="s">
        <v>1272</v>
      </c>
      <c r="B148" t="s">
        <v>4029</v>
      </c>
      <c r="C148">
        <v>0.9</v>
      </c>
      <c r="D148">
        <v>1250</v>
      </c>
      <c r="E148">
        <v>0</v>
      </c>
      <c r="F148">
        <v>20</v>
      </c>
      <c r="G148">
        <v>20</v>
      </c>
      <c r="H148" t="s">
        <v>1208</v>
      </c>
      <c r="I148" s="1">
        <v>37132</v>
      </c>
      <c r="J148" s="1">
        <v>37312</v>
      </c>
      <c r="K148" s="1">
        <v>37312</v>
      </c>
      <c r="L148" s="1">
        <v>37312</v>
      </c>
      <c r="M148" s="1">
        <v>37319</v>
      </c>
      <c r="N148" s="1">
        <v>37338</v>
      </c>
      <c r="O148" t="s">
        <v>1114</v>
      </c>
      <c r="P148">
        <v>4</v>
      </c>
      <c r="Q148" t="s">
        <v>1215</v>
      </c>
      <c r="R148">
        <f t="shared" si="4"/>
        <v>12</v>
      </c>
      <c r="S148">
        <f t="shared" si="5"/>
        <v>1</v>
      </c>
    </row>
    <row r="149" spans="1:19" x14ac:dyDescent="0.25">
      <c r="A149" t="s">
        <v>1273</v>
      </c>
      <c r="B149" t="s">
        <v>4026</v>
      </c>
      <c r="C149">
        <v>0.8</v>
      </c>
      <c r="D149">
        <v>1250</v>
      </c>
      <c r="E149">
        <v>0</v>
      </c>
      <c r="F149">
        <v>9</v>
      </c>
      <c r="G149">
        <v>9</v>
      </c>
      <c r="H149" t="s">
        <v>1208</v>
      </c>
      <c r="I149" s="1">
        <v>37108</v>
      </c>
      <c r="J149" s="1">
        <v>37313</v>
      </c>
      <c r="K149" s="1">
        <v>37314</v>
      </c>
      <c r="L149" s="1">
        <v>37314</v>
      </c>
      <c r="M149" s="1">
        <v>37258</v>
      </c>
      <c r="N149" s="1">
        <v>37329</v>
      </c>
      <c r="O149" t="s">
        <v>1117</v>
      </c>
      <c r="P149">
        <v>2</v>
      </c>
      <c r="Q149" t="s">
        <v>1215</v>
      </c>
      <c r="R149">
        <f t="shared" si="4"/>
        <v>11</v>
      </c>
      <c r="S149">
        <f t="shared" si="5"/>
        <v>1</v>
      </c>
    </row>
    <row r="150" spans="1:19" x14ac:dyDescent="0.25">
      <c r="A150" t="s">
        <v>1274</v>
      </c>
      <c r="B150" t="s">
        <v>1199</v>
      </c>
      <c r="C150">
        <v>0.6</v>
      </c>
      <c r="D150">
        <v>1250</v>
      </c>
      <c r="E150">
        <v>0</v>
      </c>
      <c r="F150">
        <v>40</v>
      </c>
      <c r="G150">
        <v>40</v>
      </c>
      <c r="H150" t="s">
        <v>1208</v>
      </c>
      <c r="I150" s="1">
        <v>37159</v>
      </c>
      <c r="J150" s="1">
        <v>37316</v>
      </c>
      <c r="K150" s="1">
        <v>37313</v>
      </c>
      <c r="L150" s="1">
        <v>37316</v>
      </c>
      <c r="M150" s="1">
        <v>37276</v>
      </c>
      <c r="N150" s="1">
        <v>37276</v>
      </c>
      <c r="O150" t="s">
        <v>1114</v>
      </c>
      <c r="P150">
        <v>3</v>
      </c>
      <c r="Q150" t="s">
        <v>1215</v>
      </c>
      <c r="R150">
        <f t="shared" si="4"/>
        <v>4</v>
      </c>
      <c r="S150">
        <f t="shared" si="5"/>
        <v>1</v>
      </c>
    </row>
    <row r="151" spans="1:19" x14ac:dyDescent="0.25">
      <c r="A151" t="s">
        <v>1275</v>
      </c>
      <c r="B151" t="s">
        <v>4026</v>
      </c>
      <c r="C151">
        <v>2</v>
      </c>
      <c r="D151">
        <v>1250</v>
      </c>
      <c r="E151">
        <v>0</v>
      </c>
      <c r="F151">
        <v>9</v>
      </c>
      <c r="G151">
        <v>9</v>
      </c>
      <c r="H151" t="s">
        <v>1208</v>
      </c>
      <c r="I151" s="1">
        <v>37159</v>
      </c>
      <c r="J151" s="1">
        <v>37313</v>
      </c>
      <c r="K151" s="1">
        <v>37352</v>
      </c>
      <c r="L151" s="1">
        <v>37352</v>
      </c>
      <c r="M151" s="1">
        <v>37352</v>
      </c>
      <c r="N151" s="1">
        <v>37352</v>
      </c>
      <c r="O151" t="s">
        <v>1117</v>
      </c>
      <c r="P151">
        <v>2</v>
      </c>
      <c r="Q151" t="s">
        <v>1215</v>
      </c>
      <c r="R151">
        <f t="shared" si="4"/>
        <v>14</v>
      </c>
      <c r="S151">
        <f t="shared" si="5"/>
        <v>1</v>
      </c>
    </row>
    <row r="152" spans="1:19" x14ac:dyDescent="0.25">
      <c r="A152" t="s">
        <v>1276</v>
      </c>
      <c r="B152" t="s">
        <v>1199</v>
      </c>
      <c r="C152">
        <v>0.5</v>
      </c>
      <c r="D152">
        <v>1250</v>
      </c>
      <c r="E152">
        <v>0</v>
      </c>
      <c r="F152">
        <v>20</v>
      </c>
      <c r="G152">
        <v>20</v>
      </c>
      <c r="H152" t="s">
        <v>1208</v>
      </c>
      <c r="I152" s="1">
        <v>37159</v>
      </c>
      <c r="J152" s="1">
        <v>37315</v>
      </c>
      <c r="K152" s="1">
        <v>37335</v>
      </c>
      <c r="L152" s="1">
        <v>37335</v>
      </c>
      <c r="M152" s="1">
        <v>37334</v>
      </c>
      <c r="N152" s="1">
        <v>37334</v>
      </c>
      <c r="O152" t="s">
        <v>1117</v>
      </c>
      <c r="P152">
        <v>1</v>
      </c>
      <c r="Q152" t="s">
        <v>1215</v>
      </c>
      <c r="R152">
        <f t="shared" si="4"/>
        <v>12</v>
      </c>
      <c r="S152">
        <f t="shared" si="5"/>
        <v>1</v>
      </c>
    </row>
    <row r="153" spans="1:19" x14ac:dyDescent="0.25">
      <c r="A153" t="s">
        <v>1277</v>
      </c>
      <c r="B153" t="s">
        <v>1199</v>
      </c>
      <c r="C153">
        <v>1</v>
      </c>
      <c r="D153">
        <v>1250</v>
      </c>
      <c r="E153">
        <v>0</v>
      </c>
      <c r="F153">
        <v>15</v>
      </c>
      <c r="G153">
        <v>15</v>
      </c>
      <c r="H153" t="s">
        <v>1208</v>
      </c>
      <c r="I153" s="1">
        <v>37159</v>
      </c>
      <c r="J153" s="1">
        <v>37313</v>
      </c>
      <c r="K153" s="1">
        <v>37320</v>
      </c>
      <c r="L153" s="1">
        <v>37320</v>
      </c>
      <c r="M153" s="1">
        <v>37323</v>
      </c>
      <c r="N153" s="1">
        <v>37331</v>
      </c>
      <c r="O153" t="s">
        <v>1117</v>
      </c>
      <c r="P153">
        <v>1</v>
      </c>
      <c r="Q153" t="s">
        <v>1215</v>
      </c>
      <c r="R153">
        <f t="shared" si="4"/>
        <v>11</v>
      </c>
      <c r="S153">
        <f t="shared" si="5"/>
        <v>1</v>
      </c>
    </row>
    <row r="154" spans="1:19" x14ac:dyDescent="0.25">
      <c r="A154" t="s">
        <v>1278</v>
      </c>
      <c r="B154" t="s">
        <v>1199</v>
      </c>
      <c r="C154">
        <v>0.6</v>
      </c>
      <c r="D154">
        <v>1250</v>
      </c>
      <c r="E154">
        <v>0</v>
      </c>
      <c r="F154">
        <v>15</v>
      </c>
      <c r="G154">
        <v>12.827999999999999</v>
      </c>
      <c r="H154" t="s">
        <v>1208</v>
      </c>
      <c r="I154" s="1">
        <v>37159</v>
      </c>
      <c r="J154" s="1">
        <v>37313</v>
      </c>
      <c r="K154" s="1">
        <v>37340</v>
      </c>
      <c r="L154" s="1">
        <v>37347</v>
      </c>
      <c r="M154" s="1">
        <v>37347</v>
      </c>
      <c r="N154" s="1">
        <v>37347</v>
      </c>
      <c r="O154" t="s">
        <v>1117</v>
      </c>
      <c r="P154">
        <v>1</v>
      </c>
      <c r="Q154" t="s">
        <v>1215</v>
      </c>
      <c r="R154">
        <f t="shared" si="4"/>
        <v>14</v>
      </c>
      <c r="S154">
        <f t="shared" si="5"/>
        <v>0</v>
      </c>
    </row>
    <row r="155" spans="1:19" x14ac:dyDescent="0.25">
      <c r="A155" t="s">
        <v>1279</v>
      </c>
      <c r="B155" t="s">
        <v>4026</v>
      </c>
      <c r="C155">
        <v>0.6</v>
      </c>
      <c r="D155">
        <v>1250</v>
      </c>
      <c r="E155">
        <v>0</v>
      </c>
      <c r="F155">
        <v>40</v>
      </c>
      <c r="G155">
        <v>40</v>
      </c>
      <c r="H155" t="s">
        <v>1208</v>
      </c>
      <c r="I155" s="1">
        <v>37132</v>
      </c>
      <c r="J155" s="1">
        <v>37312</v>
      </c>
      <c r="K155" s="1">
        <v>37332</v>
      </c>
      <c r="L155" s="1">
        <v>37332</v>
      </c>
      <c r="M155" s="1">
        <v>37332</v>
      </c>
      <c r="N155" s="1">
        <v>37347</v>
      </c>
      <c r="O155" t="s">
        <v>1117</v>
      </c>
      <c r="P155">
        <v>1</v>
      </c>
      <c r="Q155" t="s">
        <v>1215</v>
      </c>
      <c r="R155">
        <f t="shared" si="4"/>
        <v>14</v>
      </c>
      <c r="S155">
        <f t="shared" si="5"/>
        <v>1</v>
      </c>
    </row>
    <row r="156" spans="1:19" x14ac:dyDescent="0.25">
      <c r="A156" t="s">
        <v>1280</v>
      </c>
      <c r="B156" t="s">
        <v>4028</v>
      </c>
      <c r="C156">
        <v>1</v>
      </c>
      <c r="D156">
        <v>1250</v>
      </c>
      <c r="E156">
        <v>0</v>
      </c>
      <c r="F156">
        <v>10</v>
      </c>
      <c r="G156">
        <v>10</v>
      </c>
      <c r="H156" t="s">
        <v>1208</v>
      </c>
      <c r="I156" s="1">
        <v>37159</v>
      </c>
      <c r="J156" s="1">
        <v>37315</v>
      </c>
      <c r="K156" s="1">
        <v>37314</v>
      </c>
      <c r="L156" s="1">
        <v>37315</v>
      </c>
      <c r="M156" s="1">
        <v>37220</v>
      </c>
      <c r="N156" s="1">
        <v>37326</v>
      </c>
      <c r="O156" t="s">
        <v>1114</v>
      </c>
      <c r="P156">
        <v>7</v>
      </c>
      <c r="Q156" t="s">
        <v>1215</v>
      </c>
      <c r="R156">
        <f t="shared" si="4"/>
        <v>11</v>
      </c>
      <c r="S156">
        <f t="shared" si="5"/>
        <v>1</v>
      </c>
    </row>
    <row r="157" spans="1:19" x14ac:dyDescent="0.25">
      <c r="A157" t="s">
        <v>1281</v>
      </c>
      <c r="B157" t="s">
        <v>1199</v>
      </c>
      <c r="C157">
        <v>1.2</v>
      </c>
      <c r="D157">
        <v>1250</v>
      </c>
      <c r="E157">
        <v>0</v>
      </c>
      <c r="F157">
        <v>15</v>
      </c>
      <c r="G157">
        <v>15</v>
      </c>
      <c r="H157" t="s">
        <v>1208</v>
      </c>
      <c r="I157" s="1">
        <v>37159</v>
      </c>
      <c r="J157" s="1">
        <v>37313</v>
      </c>
      <c r="K157" s="1">
        <v>37331</v>
      </c>
      <c r="L157" s="1">
        <v>37331</v>
      </c>
      <c r="M157" s="1">
        <v>37338</v>
      </c>
      <c r="N157" s="1">
        <v>37338</v>
      </c>
      <c r="O157" t="s">
        <v>1117</v>
      </c>
      <c r="P157">
        <v>2</v>
      </c>
      <c r="Q157" t="s">
        <v>1215</v>
      </c>
      <c r="R157">
        <f t="shared" si="4"/>
        <v>12</v>
      </c>
      <c r="S157">
        <f t="shared" si="5"/>
        <v>1</v>
      </c>
    </row>
    <row r="158" spans="1:19" x14ac:dyDescent="0.25">
      <c r="A158" t="s">
        <v>1282</v>
      </c>
      <c r="B158" t="s">
        <v>4028</v>
      </c>
      <c r="C158">
        <v>0.5</v>
      </c>
      <c r="D158">
        <v>1130</v>
      </c>
      <c r="E158">
        <v>0</v>
      </c>
      <c r="F158">
        <v>33</v>
      </c>
      <c r="G158">
        <v>33</v>
      </c>
      <c r="H158" t="s">
        <v>1208</v>
      </c>
      <c r="I158" s="1">
        <v>37128</v>
      </c>
      <c r="J158" s="1">
        <v>37315</v>
      </c>
      <c r="K158" s="1">
        <v>37338</v>
      </c>
      <c r="L158" s="1">
        <v>37338</v>
      </c>
      <c r="M158" s="1">
        <v>37338</v>
      </c>
      <c r="N158" s="1">
        <v>37338</v>
      </c>
      <c r="O158" t="s">
        <v>1117</v>
      </c>
      <c r="P158">
        <v>10</v>
      </c>
      <c r="Q158" t="s">
        <v>1215</v>
      </c>
      <c r="R158">
        <f t="shared" si="4"/>
        <v>12</v>
      </c>
      <c r="S158">
        <f t="shared" si="5"/>
        <v>1</v>
      </c>
    </row>
    <row r="159" spans="1:19" x14ac:dyDescent="0.25">
      <c r="A159" t="s">
        <v>1283</v>
      </c>
      <c r="B159" t="s">
        <v>4026</v>
      </c>
      <c r="C159">
        <v>0.6</v>
      </c>
      <c r="D159">
        <v>1250</v>
      </c>
      <c r="E159">
        <v>0</v>
      </c>
      <c r="F159">
        <v>18</v>
      </c>
      <c r="G159">
        <v>4.6779999999999999</v>
      </c>
      <c r="H159" t="s">
        <v>1208</v>
      </c>
      <c r="I159" s="1">
        <v>37159</v>
      </c>
      <c r="J159" s="1">
        <v>37313</v>
      </c>
      <c r="K159" s="1">
        <v>37344</v>
      </c>
      <c r="L159" s="1">
        <v>37344</v>
      </c>
      <c r="M159" s="1">
        <v>37344</v>
      </c>
      <c r="N159" s="1">
        <v>37344</v>
      </c>
      <c r="O159" t="s">
        <v>1117</v>
      </c>
      <c r="P159">
        <v>1</v>
      </c>
      <c r="Q159" t="s">
        <v>1215</v>
      </c>
      <c r="R159">
        <f t="shared" si="4"/>
        <v>13</v>
      </c>
      <c r="S159">
        <f t="shared" si="5"/>
        <v>0</v>
      </c>
    </row>
    <row r="160" spans="1:19" x14ac:dyDescent="0.25">
      <c r="A160" t="s">
        <v>1284</v>
      </c>
      <c r="B160" t="s">
        <v>1199</v>
      </c>
      <c r="C160">
        <v>1.5</v>
      </c>
      <c r="D160">
        <v>1000</v>
      </c>
      <c r="E160">
        <v>0</v>
      </c>
      <c r="F160">
        <v>3</v>
      </c>
      <c r="G160">
        <v>3</v>
      </c>
      <c r="H160" t="s">
        <v>1208</v>
      </c>
      <c r="I160" s="1">
        <v>37120</v>
      </c>
      <c r="J160" s="1">
        <v>37322</v>
      </c>
      <c r="K160" s="1">
        <v>37354</v>
      </c>
      <c r="L160" s="1">
        <v>37354</v>
      </c>
      <c r="M160" s="1">
        <v>37354</v>
      </c>
      <c r="N160" s="1">
        <v>37354</v>
      </c>
      <c r="O160" t="s">
        <v>1117</v>
      </c>
      <c r="P160">
        <v>3</v>
      </c>
      <c r="Q160" t="s">
        <v>1215</v>
      </c>
      <c r="R160">
        <f t="shared" si="4"/>
        <v>15</v>
      </c>
      <c r="S160">
        <f t="shared" si="5"/>
        <v>1</v>
      </c>
    </row>
    <row r="161" spans="1:19" x14ac:dyDescent="0.25">
      <c r="A161" t="s">
        <v>1285</v>
      </c>
      <c r="B161" t="s">
        <v>4028</v>
      </c>
      <c r="C161">
        <v>0.5</v>
      </c>
      <c r="D161">
        <v>1250</v>
      </c>
      <c r="E161">
        <v>0</v>
      </c>
      <c r="F161">
        <v>118</v>
      </c>
      <c r="G161">
        <v>100.40600000000001</v>
      </c>
      <c r="H161" t="s">
        <v>1208</v>
      </c>
      <c r="I161" s="1">
        <v>37159</v>
      </c>
      <c r="J161" s="1">
        <v>37325</v>
      </c>
      <c r="K161" t="s">
        <v>1124</v>
      </c>
      <c r="L161" t="s">
        <v>1124</v>
      </c>
      <c r="M161" s="1">
        <v>37343</v>
      </c>
      <c r="N161" s="1">
        <v>37368</v>
      </c>
      <c r="O161" t="s">
        <v>1117</v>
      </c>
      <c r="P161">
        <v>1</v>
      </c>
      <c r="Q161" t="s">
        <v>1215</v>
      </c>
      <c r="R161">
        <f t="shared" si="4"/>
        <v>17</v>
      </c>
      <c r="S161">
        <f t="shared" si="5"/>
        <v>0</v>
      </c>
    </row>
    <row r="162" spans="1:19" x14ac:dyDescent="0.25">
      <c r="A162" t="s">
        <v>1286</v>
      </c>
      <c r="B162" t="s">
        <v>4028</v>
      </c>
      <c r="C162">
        <v>0.5</v>
      </c>
      <c r="D162">
        <v>1130</v>
      </c>
      <c r="E162">
        <v>0</v>
      </c>
      <c r="F162">
        <v>33</v>
      </c>
      <c r="G162">
        <v>33</v>
      </c>
      <c r="H162" t="s">
        <v>1208</v>
      </c>
      <c r="I162" s="1">
        <v>37159</v>
      </c>
      <c r="J162" s="1">
        <v>37315</v>
      </c>
      <c r="K162" s="1">
        <v>37338</v>
      </c>
      <c r="L162" s="1">
        <v>37338</v>
      </c>
      <c r="M162" s="1">
        <v>37338</v>
      </c>
      <c r="N162" s="1">
        <v>37338</v>
      </c>
      <c r="O162" t="s">
        <v>1117</v>
      </c>
      <c r="P162">
        <v>5</v>
      </c>
      <c r="Q162" t="s">
        <v>1215</v>
      </c>
      <c r="R162">
        <f t="shared" si="4"/>
        <v>12</v>
      </c>
      <c r="S162">
        <f t="shared" si="5"/>
        <v>1</v>
      </c>
    </row>
    <row r="163" spans="1:19" x14ac:dyDescent="0.25">
      <c r="A163" t="s">
        <v>1287</v>
      </c>
      <c r="B163" t="s">
        <v>4028</v>
      </c>
      <c r="C163">
        <v>0.6</v>
      </c>
      <c r="D163">
        <v>1250</v>
      </c>
      <c r="E163">
        <v>0</v>
      </c>
      <c r="F163">
        <v>6</v>
      </c>
      <c r="G163">
        <v>6</v>
      </c>
      <c r="H163" t="s">
        <v>1208</v>
      </c>
      <c r="I163" s="1">
        <v>37159</v>
      </c>
      <c r="J163" s="1">
        <v>37323</v>
      </c>
      <c r="K163" t="s">
        <v>1124</v>
      </c>
      <c r="L163" t="s">
        <v>1124</v>
      </c>
      <c r="M163" s="1">
        <v>37273</v>
      </c>
      <c r="N163" s="1">
        <v>37284</v>
      </c>
      <c r="O163" t="s">
        <v>1117</v>
      </c>
      <c r="P163">
        <v>4</v>
      </c>
      <c r="Q163" t="s">
        <v>1215</v>
      </c>
      <c r="R163">
        <f t="shared" si="4"/>
        <v>5</v>
      </c>
      <c r="S163">
        <f t="shared" si="5"/>
        <v>1</v>
      </c>
    </row>
    <row r="164" spans="1:19" x14ac:dyDescent="0.25">
      <c r="A164" t="s">
        <v>1288</v>
      </c>
      <c r="B164" t="s">
        <v>4028</v>
      </c>
      <c r="C164">
        <v>0.5</v>
      </c>
      <c r="D164">
        <v>1250</v>
      </c>
      <c r="E164">
        <v>0</v>
      </c>
      <c r="F164">
        <v>22</v>
      </c>
      <c r="G164">
        <v>22</v>
      </c>
      <c r="H164" t="s">
        <v>1208</v>
      </c>
      <c r="I164" s="1">
        <v>37114</v>
      </c>
      <c r="J164" s="1">
        <v>37317</v>
      </c>
      <c r="K164" s="1">
        <v>37331</v>
      </c>
      <c r="L164" s="1">
        <v>37331</v>
      </c>
      <c r="M164" s="1">
        <v>37338</v>
      </c>
      <c r="N164" s="1">
        <v>37338</v>
      </c>
      <c r="O164" t="s">
        <v>1117</v>
      </c>
      <c r="P164">
        <v>1</v>
      </c>
      <c r="Q164" t="s">
        <v>1215</v>
      </c>
      <c r="R164">
        <f t="shared" si="4"/>
        <v>12</v>
      </c>
      <c r="S164">
        <f t="shared" si="5"/>
        <v>1</v>
      </c>
    </row>
    <row r="165" spans="1:19" x14ac:dyDescent="0.25">
      <c r="A165" t="s">
        <v>1289</v>
      </c>
      <c r="B165" t="s">
        <v>1199</v>
      </c>
      <c r="C165">
        <v>0.8</v>
      </c>
      <c r="D165">
        <v>1000</v>
      </c>
      <c r="E165">
        <v>0</v>
      </c>
      <c r="F165">
        <v>18</v>
      </c>
      <c r="G165">
        <v>18</v>
      </c>
      <c r="H165" t="s">
        <v>1208</v>
      </c>
      <c r="I165" s="1">
        <v>37134</v>
      </c>
      <c r="J165" s="1">
        <v>37312</v>
      </c>
      <c r="K165" s="1">
        <v>37327</v>
      </c>
      <c r="L165" s="1">
        <v>37327</v>
      </c>
      <c r="M165" s="1">
        <v>37332</v>
      </c>
      <c r="N165" s="1">
        <v>37337</v>
      </c>
      <c r="O165" t="s">
        <v>1117</v>
      </c>
      <c r="P165">
        <v>1</v>
      </c>
      <c r="Q165" t="s">
        <v>1215</v>
      </c>
      <c r="R165">
        <f t="shared" si="4"/>
        <v>12</v>
      </c>
      <c r="S165">
        <f t="shared" si="5"/>
        <v>1</v>
      </c>
    </row>
    <row r="166" spans="1:19" x14ac:dyDescent="0.25">
      <c r="A166" t="s">
        <v>1290</v>
      </c>
      <c r="B166" t="s">
        <v>4026</v>
      </c>
      <c r="C166">
        <v>1</v>
      </c>
      <c r="D166">
        <v>1050</v>
      </c>
      <c r="E166">
        <v>0</v>
      </c>
      <c r="F166">
        <v>40</v>
      </c>
      <c r="G166">
        <v>40</v>
      </c>
      <c r="H166" t="s">
        <v>1208</v>
      </c>
      <c r="I166" s="1">
        <v>37133</v>
      </c>
      <c r="J166" s="1">
        <v>37313</v>
      </c>
      <c r="K166" s="1">
        <v>37314</v>
      </c>
      <c r="L166" s="1">
        <v>37314</v>
      </c>
      <c r="M166" s="1">
        <v>37320</v>
      </c>
      <c r="N166" s="1">
        <v>37320</v>
      </c>
      <c r="O166" t="s">
        <v>1117</v>
      </c>
      <c r="P166">
        <v>3</v>
      </c>
      <c r="Q166" t="s">
        <v>1215</v>
      </c>
      <c r="R166">
        <f t="shared" si="4"/>
        <v>10</v>
      </c>
      <c r="S166">
        <f t="shared" si="5"/>
        <v>1</v>
      </c>
    </row>
    <row r="167" spans="1:19" x14ac:dyDescent="0.25">
      <c r="A167" t="s">
        <v>1291</v>
      </c>
      <c r="B167" t="s">
        <v>4026</v>
      </c>
      <c r="C167">
        <v>1</v>
      </c>
      <c r="D167">
        <v>1250</v>
      </c>
      <c r="E167">
        <v>0</v>
      </c>
      <c r="F167">
        <v>6</v>
      </c>
      <c r="G167">
        <v>6</v>
      </c>
      <c r="H167" t="s">
        <v>1208</v>
      </c>
      <c r="I167" s="1">
        <v>37159</v>
      </c>
      <c r="J167" s="1">
        <v>37323</v>
      </c>
      <c r="K167" t="s">
        <v>1124</v>
      </c>
      <c r="L167" t="s">
        <v>1124</v>
      </c>
      <c r="M167" s="1">
        <v>37344</v>
      </c>
      <c r="N167" s="1">
        <v>37344</v>
      </c>
      <c r="O167" t="s">
        <v>1117</v>
      </c>
      <c r="P167">
        <v>5</v>
      </c>
      <c r="Q167" t="s">
        <v>1215</v>
      </c>
      <c r="R167">
        <f t="shared" si="4"/>
        <v>13</v>
      </c>
      <c r="S167">
        <f t="shared" si="5"/>
        <v>1</v>
      </c>
    </row>
    <row r="168" spans="1:19" x14ac:dyDescent="0.25">
      <c r="A168" t="s">
        <v>1292</v>
      </c>
      <c r="B168" t="s">
        <v>1199</v>
      </c>
      <c r="C168">
        <v>1</v>
      </c>
      <c r="D168">
        <v>1250</v>
      </c>
      <c r="E168">
        <v>0</v>
      </c>
      <c r="F168">
        <v>15</v>
      </c>
      <c r="G168">
        <v>15</v>
      </c>
      <c r="H168" t="s">
        <v>1208</v>
      </c>
      <c r="I168" s="1">
        <v>37123</v>
      </c>
      <c r="J168" s="1">
        <v>37312</v>
      </c>
      <c r="K168" s="1">
        <v>37331</v>
      </c>
      <c r="L168" s="1">
        <v>37331</v>
      </c>
      <c r="M168" s="1">
        <v>37331</v>
      </c>
      <c r="N168" s="1">
        <v>37331</v>
      </c>
      <c r="O168" t="s">
        <v>1117</v>
      </c>
      <c r="P168">
        <v>1</v>
      </c>
      <c r="Q168" t="s">
        <v>1215</v>
      </c>
      <c r="R168">
        <f t="shared" si="4"/>
        <v>11</v>
      </c>
      <c r="S168">
        <f t="shared" si="5"/>
        <v>1</v>
      </c>
    </row>
    <row r="169" spans="1:19" x14ac:dyDescent="0.25">
      <c r="A169" t="s">
        <v>1293</v>
      </c>
      <c r="B169" t="s">
        <v>1199</v>
      </c>
      <c r="C169">
        <v>0.5</v>
      </c>
      <c r="D169">
        <v>1250</v>
      </c>
      <c r="E169">
        <v>0</v>
      </c>
      <c r="F169">
        <v>6</v>
      </c>
      <c r="G169">
        <v>6</v>
      </c>
      <c r="H169" t="s">
        <v>1208</v>
      </c>
      <c r="I169" s="1">
        <v>37159</v>
      </c>
      <c r="J169" s="1">
        <v>37323</v>
      </c>
      <c r="K169" s="1">
        <v>37351</v>
      </c>
      <c r="L169" s="1">
        <v>37351</v>
      </c>
      <c r="M169" s="1">
        <v>37351</v>
      </c>
      <c r="N169" s="1">
        <v>37351</v>
      </c>
      <c r="O169" t="s">
        <v>1117</v>
      </c>
      <c r="P169">
        <v>4</v>
      </c>
      <c r="Q169" t="s">
        <v>1215</v>
      </c>
      <c r="R169">
        <f t="shared" si="4"/>
        <v>14</v>
      </c>
      <c r="S169">
        <f t="shared" si="5"/>
        <v>1</v>
      </c>
    </row>
    <row r="170" spans="1:19" x14ac:dyDescent="0.25">
      <c r="A170" t="s">
        <v>1294</v>
      </c>
      <c r="B170" t="s">
        <v>4028</v>
      </c>
      <c r="C170">
        <v>1.2</v>
      </c>
      <c r="D170">
        <v>1130</v>
      </c>
      <c r="E170">
        <v>0</v>
      </c>
      <c r="F170">
        <v>17</v>
      </c>
      <c r="G170">
        <v>17</v>
      </c>
      <c r="H170" t="s">
        <v>1208</v>
      </c>
      <c r="I170" s="1">
        <v>37159</v>
      </c>
      <c r="J170" s="1">
        <v>37315</v>
      </c>
      <c r="K170" s="1">
        <v>37329</v>
      </c>
      <c r="L170" s="1">
        <v>37329</v>
      </c>
      <c r="M170" s="1">
        <v>37329</v>
      </c>
      <c r="N170" s="1">
        <v>37329</v>
      </c>
      <c r="O170" t="s">
        <v>1117</v>
      </c>
      <c r="P170">
        <v>9</v>
      </c>
      <c r="Q170" t="s">
        <v>1215</v>
      </c>
      <c r="R170">
        <f t="shared" si="4"/>
        <v>11</v>
      </c>
      <c r="S170">
        <f t="shared" si="5"/>
        <v>1</v>
      </c>
    </row>
    <row r="171" spans="1:19" x14ac:dyDescent="0.25">
      <c r="A171" t="s">
        <v>1295</v>
      </c>
      <c r="B171" t="s">
        <v>1199</v>
      </c>
      <c r="C171">
        <v>1</v>
      </c>
      <c r="D171">
        <v>1250</v>
      </c>
      <c r="E171">
        <v>0</v>
      </c>
      <c r="F171">
        <v>6</v>
      </c>
      <c r="G171">
        <v>6</v>
      </c>
      <c r="H171" t="s">
        <v>1208</v>
      </c>
      <c r="I171" s="1">
        <v>37126</v>
      </c>
      <c r="J171" s="1">
        <v>37312</v>
      </c>
      <c r="K171" s="1">
        <v>37331</v>
      </c>
      <c r="L171" s="1">
        <v>37331</v>
      </c>
      <c r="M171" s="1">
        <v>37331</v>
      </c>
      <c r="N171" s="1">
        <v>37331</v>
      </c>
      <c r="O171" t="s">
        <v>1117</v>
      </c>
      <c r="P171">
        <v>1</v>
      </c>
      <c r="Q171" t="s">
        <v>1215</v>
      </c>
      <c r="R171">
        <f t="shared" si="4"/>
        <v>11</v>
      </c>
      <c r="S171">
        <f t="shared" si="5"/>
        <v>1</v>
      </c>
    </row>
    <row r="172" spans="1:19" x14ac:dyDescent="0.25">
      <c r="A172" t="s">
        <v>1296</v>
      </c>
      <c r="B172" t="s">
        <v>1199</v>
      </c>
      <c r="C172">
        <v>1.2</v>
      </c>
      <c r="D172">
        <v>1130</v>
      </c>
      <c r="E172">
        <v>0</v>
      </c>
      <c r="F172">
        <v>17</v>
      </c>
      <c r="G172">
        <v>17</v>
      </c>
      <c r="H172" t="s">
        <v>1208</v>
      </c>
      <c r="I172" s="1">
        <v>37159</v>
      </c>
      <c r="J172" s="1">
        <v>37315</v>
      </c>
      <c r="K172" s="1">
        <v>37329</v>
      </c>
      <c r="L172" s="1">
        <v>37329</v>
      </c>
      <c r="M172" s="1">
        <v>37329</v>
      </c>
      <c r="N172" s="1">
        <v>37329</v>
      </c>
      <c r="O172" t="s">
        <v>1117</v>
      </c>
      <c r="P172">
        <v>6</v>
      </c>
      <c r="Q172" t="s">
        <v>1215</v>
      </c>
      <c r="R172">
        <f t="shared" si="4"/>
        <v>11</v>
      </c>
      <c r="S172">
        <f t="shared" si="5"/>
        <v>1</v>
      </c>
    </row>
    <row r="173" spans="1:19" x14ac:dyDescent="0.25">
      <c r="A173" t="s">
        <v>1297</v>
      </c>
      <c r="B173" t="s">
        <v>1199</v>
      </c>
      <c r="C173">
        <v>0.7</v>
      </c>
      <c r="D173">
        <v>1000</v>
      </c>
      <c r="E173">
        <v>0</v>
      </c>
      <c r="F173">
        <v>21</v>
      </c>
      <c r="G173">
        <v>10.382</v>
      </c>
      <c r="H173" t="s">
        <v>1208</v>
      </c>
      <c r="I173" s="1">
        <v>37159</v>
      </c>
      <c r="J173" s="1">
        <v>37313</v>
      </c>
      <c r="K173" s="1">
        <v>37327</v>
      </c>
      <c r="L173" s="1">
        <v>37327</v>
      </c>
      <c r="M173" s="1">
        <v>37332</v>
      </c>
      <c r="N173" s="1">
        <v>37332</v>
      </c>
      <c r="O173" t="s">
        <v>1117</v>
      </c>
      <c r="P173">
        <v>1</v>
      </c>
      <c r="Q173" t="s">
        <v>1215</v>
      </c>
      <c r="R173">
        <f t="shared" si="4"/>
        <v>12</v>
      </c>
      <c r="S173">
        <f t="shared" si="5"/>
        <v>0</v>
      </c>
    </row>
    <row r="174" spans="1:19" x14ac:dyDescent="0.25">
      <c r="A174" t="s">
        <v>1298</v>
      </c>
      <c r="B174" t="s">
        <v>4026</v>
      </c>
      <c r="C174">
        <v>1.2</v>
      </c>
      <c r="D174">
        <v>1250</v>
      </c>
      <c r="E174">
        <v>0</v>
      </c>
      <c r="F174">
        <v>20</v>
      </c>
      <c r="G174">
        <v>20</v>
      </c>
      <c r="H174" t="s">
        <v>1208</v>
      </c>
      <c r="I174" s="1">
        <v>37132</v>
      </c>
      <c r="J174" s="1">
        <v>37314</v>
      </c>
      <c r="K174" s="1">
        <v>37324</v>
      </c>
      <c r="L174" s="1">
        <v>37324</v>
      </c>
      <c r="M174" s="1">
        <v>37325</v>
      </c>
      <c r="N174" s="1">
        <v>37325</v>
      </c>
      <c r="O174" t="s">
        <v>1117</v>
      </c>
      <c r="P174">
        <v>1</v>
      </c>
      <c r="Q174" t="s">
        <v>1215</v>
      </c>
      <c r="R174">
        <f t="shared" si="4"/>
        <v>11</v>
      </c>
      <c r="S174">
        <f t="shared" si="5"/>
        <v>1</v>
      </c>
    </row>
    <row r="175" spans="1:19" x14ac:dyDescent="0.25">
      <c r="A175" t="s">
        <v>1299</v>
      </c>
      <c r="B175" t="s">
        <v>4028</v>
      </c>
      <c r="C175">
        <v>1.2</v>
      </c>
      <c r="D175">
        <v>1050</v>
      </c>
      <c r="E175">
        <v>0</v>
      </c>
      <c r="F175">
        <v>100</v>
      </c>
      <c r="G175">
        <v>51.3</v>
      </c>
      <c r="H175" t="s">
        <v>1208</v>
      </c>
      <c r="I175" s="1">
        <v>37133</v>
      </c>
      <c r="J175" s="1">
        <v>37313</v>
      </c>
      <c r="K175" s="1">
        <v>37323</v>
      </c>
      <c r="L175" s="1">
        <v>37323</v>
      </c>
      <c r="M175" s="1">
        <v>37323</v>
      </c>
      <c r="N175" s="1">
        <v>37326</v>
      </c>
      <c r="O175" t="s">
        <v>1117</v>
      </c>
      <c r="P175">
        <v>1</v>
      </c>
      <c r="Q175" t="s">
        <v>1215</v>
      </c>
      <c r="R175">
        <f t="shared" si="4"/>
        <v>11</v>
      </c>
      <c r="S175">
        <f t="shared" si="5"/>
        <v>0</v>
      </c>
    </row>
    <row r="176" spans="1:19" x14ac:dyDescent="0.25">
      <c r="A176" t="s">
        <v>1300</v>
      </c>
      <c r="B176" t="s">
        <v>4026</v>
      </c>
      <c r="C176">
        <v>3</v>
      </c>
      <c r="D176">
        <v>1250</v>
      </c>
      <c r="E176">
        <v>0</v>
      </c>
      <c r="F176">
        <v>3</v>
      </c>
      <c r="G176">
        <v>3</v>
      </c>
      <c r="H176" t="s">
        <v>1208</v>
      </c>
      <c r="I176" s="1">
        <v>37159</v>
      </c>
      <c r="J176" s="1">
        <v>37312</v>
      </c>
      <c r="K176" s="1">
        <v>37308</v>
      </c>
      <c r="L176" s="1">
        <v>37312</v>
      </c>
      <c r="M176" s="1">
        <v>37259</v>
      </c>
      <c r="N176" s="1">
        <v>37284</v>
      </c>
      <c r="O176" t="s">
        <v>1114</v>
      </c>
      <c r="P176">
        <v>7</v>
      </c>
      <c r="Q176" t="s">
        <v>1215</v>
      </c>
      <c r="R176">
        <f t="shared" si="4"/>
        <v>5</v>
      </c>
      <c r="S176">
        <f t="shared" si="5"/>
        <v>1</v>
      </c>
    </row>
    <row r="177" spans="1:19" x14ac:dyDescent="0.25">
      <c r="A177" t="s">
        <v>1301</v>
      </c>
      <c r="B177" t="s">
        <v>1199</v>
      </c>
      <c r="C177">
        <v>0.8</v>
      </c>
      <c r="D177">
        <v>1000</v>
      </c>
      <c r="E177">
        <v>0</v>
      </c>
      <c r="F177">
        <v>25</v>
      </c>
      <c r="G177">
        <v>15.262</v>
      </c>
      <c r="H177" t="s">
        <v>1208</v>
      </c>
      <c r="I177" s="1">
        <v>37122</v>
      </c>
      <c r="J177" s="1">
        <v>37319</v>
      </c>
      <c r="K177" s="1">
        <v>37334</v>
      </c>
      <c r="L177" s="1">
        <v>37334</v>
      </c>
      <c r="M177" s="1">
        <v>37334</v>
      </c>
      <c r="N177" s="1">
        <v>37334</v>
      </c>
      <c r="O177" t="s">
        <v>1117</v>
      </c>
      <c r="P177">
        <v>1</v>
      </c>
      <c r="Q177" t="s">
        <v>1215</v>
      </c>
      <c r="R177">
        <f t="shared" si="4"/>
        <v>12</v>
      </c>
      <c r="S177">
        <f t="shared" si="5"/>
        <v>0</v>
      </c>
    </row>
    <row r="178" spans="1:19" x14ac:dyDescent="0.25">
      <c r="A178" t="s">
        <v>1302</v>
      </c>
      <c r="B178" t="s">
        <v>4028</v>
      </c>
      <c r="C178">
        <v>0.6</v>
      </c>
      <c r="D178">
        <v>1000</v>
      </c>
      <c r="E178">
        <v>0</v>
      </c>
      <c r="F178">
        <v>9</v>
      </c>
      <c r="G178">
        <v>9</v>
      </c>
      <c r="H178" t="s">
        <v>1208</v>
      </c>
      <c r="I178" s="1">
        <v>37114</v>
      </c>
      <c r="J178" s="1">
        <v>37313</v>
      </c>
      <c r="K178" s="1">
        <v>37344</v>
      </c>
      <c r="L178" s="1">
        <v>37344</v>
      </c>
      <c r="M178" s="1">
        <v>37344</v>
      </c>
      <c r="N178" s="1">
        <v>37344</v>
      </c>
      <c r="O178" t="s">
        <v>1117</v>
      </c>
      <c r="P178">
        <v>2</v>
      </c>
      <c r="Q178" t="s">
        <v>1215</v>
      </c>
      <c r="R178">
        <f t="shared" si="4"/>
        <v>13</v>
      </c>
      <c r="S178">
        <f t="shared" si="5"/>
        <v>1</v>
      </c>
    </row>
    <row r="179" spans="1:19" x14ac:dyDescent="0.25">
      <c r="A179" t="s">
        <v>1303</v>
      </c>
      <c r="B179" t="s">
        <v>4028</v>
      </c>
      <c r="C179">
        <v>0.5</v>
      </c>
      <c r="D179">
        <v>560</v>
      </c>
      <c r="E179">
        <v>0</v>
      </c>
      <c r="F179">
        <v>75</v>
      </c>
      <c r="G179">
        <v>75</v>
      </c>
      <c r="H179" t="s">
        <v>1208</v>
      </c>
      <c r="I179" s="1">
        <v>37110</v>
      </c>
      <c r="J179" s="1">
        <v>37318</v>
      </c>
      <c r="K179" s="1">
        <v>37334</v>
      </c>
      <c r="L179" s="1">
        <v>37334</v>
      </c>
      <c r="M179" s="1">
        <v>37196</v>
      </c>
      <c r="N179" s="1">
        <v>37270</v>
      </c>
      <c r="O179" t="s">
        <v>1117</v>
      </c>
      <c r="P179">
        <v>6</v>
      </c>
      <c r="Q179" t="s">
        <v>1215</v>
      </c>
      <c r="R179">
        <f t="shared" si="4"/>
        <v>3</v>
      </c>
      <c r="S179">
        <f t="shared" si="5"/>
        <v>1</v>
      </c>
    </row>
    <row r="180" spans="1:19" x14ac:dyDescent="0.25">
      <c r="A180" t="s">
        <v>1304</v>
      </c>
      <c r="B180" t="s">
        <v>1199</v>
      </c>
      <c r="C180">
        <v>1</v>
      </c>
      <c r="D180">
        <v>1250</v>
      </c>
      <c r="E180">
        <v>0</v>
      </c>
      <c r="F180">
        <v>48</v>
      </c>
      <c r="G180">
        <v>12.353999999999999</v>
      </c>
      <c r="H180" t="s">
        <v>1208</v>
      </c>
      <c r="I180" s="1">
        <v>37106</v>
      </c>
      <c r="J180" s="1">
        <v>37313</v>
      </c>
      <c r="K180" s="1">
        <v>37331</v>
      </c>
      <c r="L180" s="1">
        <v>37331</v>
      </c>
      <c r="M180" s="1">
        <v>37331</v>
      </c>
      <c r="N180" s="1">
        <v>37331</v>
      </c>
      <c r="O180" t="s">
        <v>1117</v>
      </c>
      <c r="P180">
        <v>3</v>
      </c>
      <c r="Q180" t="s">
        <v>1215</v>
      </c>
      <c r="R180">
        <f t="shared" si="4"/>
        <v>11</v>
      </c>
      <c r="S180">
        <f t="shared" si="5"/>
        <v>0</v>
      </c>
    </row>
    <row r="181" spans="1:19" x14ac:dyDescent="0.25">
      <c r="A181" t="s">
        <v>1305</v>
      </c>
      <c r="B181" t="s">
        <v>1199</v>
      </c>
      <c r="C181">
        <v>0.8</v>
      </c>
      <c r="D181">
        <v>1219</v>
      </c>
      <c r="E181">
        <v>0</v>
      </c>
      <c r="F181">
        <v>19</v>
      </c>
      <c r="G181">
        <v>19</v>
      </c>
      <c r="H181" t="s">
        <v>1208</v>
      </c>
      <c r="I181" s="1">
        <v>37117</v>
      </c>
      <c r="J181" s="1">
        <v>37314</v>
      </c>
      <c r="K181" s="1">
        <v>37329</v>
      </c>
      <c r="L181" s="1">
        <v>37329</v>
      </c>
      <c r="M181" s="1">
        <v>37329</v>
      </c>
      <c r="N181" s="1">
        <v>37329</v>
      </c>
      <c r="O181" t="s">
        <v>1117</v>
      </c>
      <c r="P181">
        <v>2</v>
      </c>
      <c r="Q181" t="s">
        <v>1215</v>
      </c>
      <c r="R181">
        <f t="shared" si="4"/>
        <v>11</v>
      </c>
      <c r="S181">
        <f t="shared" si="5"/>
        <v>1</v>
      </c>
    </row>
    <row r="182" spans="1:19" x14ac:dyDescent="0.25">
      <c r="A182" t="s">
        <v>1306</v>
      </c>
      <c r="B182" t="s">
        <v>1199</v>
      </c>
      <c r="C182">
        <v>0.4</v>
      </c>
      <c r="D182">
        <v>630</v>
      </c>
      <c r="E182">
        <v>0</v>
      </c>
      <c r="F182">
        <v>40</v>
      </c>
      <c r="G182">
        <v>25.94</v>
      </c>
      <c r="H182" t="s">
        <v>1208</v>
      </c>
      <c r="I182" s="1">
        <v>37159</v>
      </c>
      <c r="J182" s="1">
        <v>37318</v>
      </c>
      <c r="K182" s="1">
        <v>37310</v>
      </c>
      <c r="L182" s="1">
        <v>37318</v>
      </c>
      <c r="M182" s="1">
        <v>37270</v>
      </c>
      <c r="N182" s="1">
        <v>37270</v>
      </c>
      <c r="O182" t="s">
        <v>1114</v>
      </c>
      <c r="P182">
        <v>5</v>
      </c>
      <c r="Q182" t="s">
        <v>1215</v>
      </c>
      <c r="R182">
        <f t="shared" si="4"/>
        <v>3</v>
      </c>
      <c r="S182">
        <f t="shared" si="5"/>
        <v>0</v>
      </c>
    </row>
    <row r="183" spans="1:19" x14ac:dyDescent="0.25">
      <c r="A183" t="s">
        <v>1307</v>
      </c>
      <c r="B183" t="s">
        <v>4026</v>
      </c>
      <c r="C183">
        <v>0.5</v>
      </c>
      <c r="D183">
        <v>1250</v>
      </c>
      <c r="E183">
        <v>0</v>
      </c>
      <c r="F183">
        <v>15</v>
      </c>
      <c r="G183">
        <v>5.5679999999999996</v>
      </c>
      <c r="H183" t="s">
        <v>1208</v>
      </c>
      <c r="I183" s="1">
        <v>37123</v>
      </c>
      <c r="J183" s="1">
        <v>37313</v>
      </c>
      <c r="K183" s="1">
        <v>37305</v>
      </c>
      <c r="L183" s="1">
        <v>37313</v>
      </c>
      <c r="M183" s="1">
        <v>37259</v>
      </c>
      <c r="N183" s="1">
        <v>37259</v>
      </c>
      <c r="O183" t="s">
        <v>1114</v>
      </c>
      <c r="P183">
        <v>1</v>
      </c>
      <c r="Q183" t="s">
        <v>1215</v>
      </c>
      <c r="R183">
        <f t="shared" si="4"/>
        <v>1</v>
      </c>
      <c r="S183">
        <f t="shared" si="5"/>
        <v>0</v>
      </c>
    </row>
    <row r="184" spans="1:19" x14ac:dyDescent="0.25">
      <c r="A184" t="s">
        <v>1308</v>
      </c>
      <c r="B184" t="s">
        <v>4028</v>
      </c>
      <c r="C184">
        <v>0.7</v>
      </c>
      <c r="D184">
        <v>1219</v>
      </c>
      <c r="E184">
        <v>0</v>
      </c>
      <c r="F184">
        <v>19</v>
      </c>
      <c r="G184">
        <v>19</v>
      </c>
      <c r="H184" t="s">
        <v>1208</v>
      </c>
      <c r="I184" s="1">
        <v>37117</v>
      </c>
      <c r="J184" s="1">
        <v>37314</v>
      </c>
      <c r="K184" s="1">
        <v>37328</v>
      </c>
      <c r="L184" s="1">
        <v>37328</v>
      </c>
      <c r="M184" s="1">
        <v>37329</v>
      </c>
      <c r="N184" s="1">
        <v>37329</v>
      </c>
      <c r="O184" t="s">
        <v>1117</v>
      </c>
      <c r="P184">
        <v>1</v>
      </c>
      <c r="Q184" t="s">
        <v>1215</v>
      </c>
      <c r="R184">
        <f t="shared" si="4"/>
        <v>11</v>
      </c>
      <c r="S184">
        <f t="shared" si="5"/>
        <v>1</v>
      </c>
    </row>
    <row r="185" spans="1:19" x14ac:dyDescent="0.25">
      <c r="A185" t="s">
        <v>1309</v>
      </c>
      <c r="B185" t="s">
        <v>4027</v>
      </c>
      <c r="C185">
        <v>0.8</v>
      </c>
      <c r="D185">
        <v>1000</v>
      </c>
      <c r="E185">
        <v>0</v>
      </c>
      <c r="F185">
        <v>12</v>
      </c>
      <c r="G185">
        <v>9.0220000000000002</v>
      </c>
      <c r="H185" t="s">
        <v>1208</v>
      </c>
      <c r="I185" s="1">
        <v>37122</v>
      </c>
      <c r="J185" s="1">
        <v>37313</v>
      </c>
      <c r="K185" t="s">
        <v>1124</v>
      </c>
      <c r="L185" t="s">
        <v>1124</v>
      </c>
      <c r="M185" s="1">
        <v>37337</v>
      </c>
      <c r="N185" s="1">
        <v>37337</v>
      </c>
      <c r="O185" t="s">
        <v>1117</v>
      </c>
      <c r="P185">
        <v>1</v>
      </c>
      <c r="Q185" t="s">
        <v>1215</v>
      </c>
      <c r="R185">
        <f t="shared" si="4"/>
        <v>12</v>
      </c>
      <c r="S185">
        <f t="shared" si="5"/>
        <v>0</v>
      </c>
    </row>
    <row r="186" spans="1:19" x14ac:dyDescent="0.25">
      <c r="A186" t="s">
        <v>1310</v>
      </c>
      <c r="B186" t="s">
        <v>1199</v>
      </c>
      <c r="C186">
        <v>0.5</v>
      </c>
      <c r="D186">
        <v>63</v>
      </c>
      <c r="E186">
        <v>0</v>
      </c>
      <c r="F186">
        <v>3</v>
      </c>
      <c r="G186">
        <v>3</v>
      </c>
      <c r="H186" t="s">
        <v>1208</v>
      </c>
      <c r="I186" s="1">
        <v>37304</v>
      </c>
      <c r="J186" s="1">
        <v>37314</v>
      </c>
      <c r="K186" t="s">
        <v>1124</v>
      </c>
      <c r="L186" t="s">
        <v>1124</v>
      </c>
      <c r="M186" s="1">
        <v>37337</v>
      </c>
      <c r="N186" s="1">
        <v>37389</v>
      </c>
      <c r="O186" t="s">
        <v>1117</v>
      </c>
      <c r="P186">
        <v>4</v>
      </c>
      <c r="Q186" t="s">
        <v>1215</v>
      </c>
      <c r="R186">
        <f t="shared" si="4"/>
        <v>20</v>
      </c>
      <c r="S186">
        <f t="shared" si="5"/>
        <v>1</v>
      </c>
    </row>
    <row r="187" spans="1:19" x14ac:dyDescent="0.25">
      <c r="A187" t="s">
        <v>1311</v>
      </c>
      <c r="B187" t="s">
        <v>4028</v>
      </c>
      <c r="C187">
        <v>0.5</v>
      </c>
      <c r="D187">
        <v>1130</v>
      </c>
      <c r="E187">
        <v>0</v>
      </c>
      <c r="F187">
        <v>33</v>
      </c>
      <c r="G187">
        <v>33</v>
      </c>
      <c r="H187" t="s">
        <v>1208</v>
      </c>
      <c r="I187" s="1">
        <v>37159</v>
      </c>
      <c r="J187" s="1">
        <v>37315</v>
      </c>
      <c r="K187" s="1">
        <v>37338</v>
      </c>
      <c r="L187" s="1">
        <v>37338</v>
      </c>
      <c r="M187" s="1">
        <v>37338</v>
      </c>
      <c r="N187" s="1">
        <v>37338</v>
      </c>
      <c r="O187" t="s">
        <v>1117</v>
      </c>
      <c r="P187">
        <v>7</v>
      </c>
      <c r="Q187" t="s">
        <v>1215</v>
      </c>
      <c r="R187">
        <f t="shared" si="4"/>
        <v>12</v>
      </c>
      <c r="S187">
        <f t="shared" si="5"/>
        <v>1</v>
      </c>
    </row>
    <row r="188" spans="1:19" x14ac:dyDescent="0.25">
      <c r="A188" t="s">
        <v>1312</v>
      </c>
      <c r="B188" t="s">
        <v>1199</v>
      </c>
      <c r="C188">
        <v>1</v>
      </c>
      <c r="D188">
        <v>1250</v>
      </c>
      <c r="E188">
        <v>0</v>
      </c>
      <c r="F188">
        <v>3</v>
      </c>
      <c r="G188">
        <v>3</v>
      </c>
      <c r="H188" t="s">
        <v>1208</v>
      </c>
      <c r="I188" s="1">
        <v>37108</v>
      </c>
      <c r="J188" s="1">
        <v>37320</v>
      </c>
      <c r="K188" s="1">
        <v>37328</v>
      </c>
      <c r="L188" s="1">
        <v>37328</v>
      </c>
      <c r="M188" s="1">
        <v>37327</v>
      </c>
      <c r="N188" s="1">
        <v>37327</v>
      </c>
      <c r="O188" t="s">
        <v>1117</v>
      </c>
      <c r="P188">
        <v>3</v>
      </c>
      <c r="Q188" t="s">
        <v>1215</v>
      </c>
      <c r="R188">
        <f t="shared" si="4"/>
        <v>11</v>
      </c>
      <c r="S188">
        <f t="shared" si="5"/>
        <v>1</v>
      </c>
    </row>
    <row r="189" spans="1:19" x14ac:dyDescent="0.25">
      <c r="A189" t="s">
        <v>1313</v>
      </c>
      <c r="B189" t="s">
        <v>4026</v>
      </c>
      <c r="C189">
        <v>0.6</v>
      </c>
      <c r="D189">
        <v>1000</v>
      </c>
      <c r="E189">
        <v>0</v>
      </c>
      <c r="F189">
        <v>3</v>
      </c>
      <c r="G189">
        <v>3</v>
      </c>
      <c r="H189" t="s">
        <v>1208</v>
      </c>
      <c r="I189" s="1">
        <v>37159</v>
      </c>
      <c r="J189" s="1">
        <v>37323</v>
      </c>
      <c r="K189" s="1">
        <v>37372</v>
      </c>
      <c r="L189" s="1">
        <v>37372</v>
      </c>
      <c r="M189" s="1">
        <v>37365</v>
      </c>
      <c r="N189" s="1">
        <v>37365</v>
      </c>
      <c r="O189" t="s">
        <v>1117</v>
      </c>
      <c r="P189">
        <v>1</v>
      </c>
      <c r="Q189" t="s">
        <v>1215</v>
      </c>
      <c r="R189">
        <f t="shared" si="4"/>
        <v>16</v>
      </c>
      <c r="S189">
        <f t="shared" si="5"/>
        <v>1</v>
      </c>
    </row>
    <row r="190" spans="1:19" x14ac:dyDescent="0.25">
      <c r="A190" t="s">
        <v>1314</v>
      </c>
      <c r="B190" t="s">
        <v>4028</v>
      </c>
      <c r="C190">
        <v>1.2</v>
      </c>
      <c r="D190">
        <v>1250</v>
      </c>
      <c r="E190">
        <v>0</v>
      </c>
      <c r="F190">
        <v>3</v>
      </c>
      <c r="G190">
        <v>3</v>
      </c>
      <c r="H190" t="s">
        <v>1208</v>
      </c>
      <c r="I190" s="1">
        <v>37108</v>
      </c>
      <c r="J190" s="1">
        <v>37320</v>
      </c>
      <c r="K190" s="1">
        <v>37328</v>
      </c>
      <c r="L190" s="1">
        <v>37328</v>
      </c>
      <c r="M190" s="1">
        <v>37327</v>
      </c>
      <c r="N190" s="1">
        <v>37327</v>
      </c>
      <c r="O190" t="s">
        <v>1117</v>
      </c>
      <c r="P190">
        <v>2</v>
      </c>
      <c r="Q190" t="s">
        <v>1215</v>
      </c>
      <c r="R190">
        <f t="shared" si="4"/>
        <v>11</v>
      </c>
      <c r="S190">
        <f t="shared" si="5"/>
        <v>1</v>
      </c>
    </row>
    <row r="191" spans="1:19" x14ac:dyDescent="0.25">
      <c r="A191" t="s">
        <v>1315</v>
      </c>
      <c r="B191" t="s">
        <v>1199</v>
      </c>
      <c r="C191">
        <v>1.2</v>
      </c>
      <c r="D191">
        <v>1250</v>
      </c>
      <c r="E191">
        <v>0</v>
      </c>
      <c r="F191">
        <v>35</v>
      </c>
      <c r="G191">
        <v>35</v>
      </c>
      <c r="H191" t="s">
        <v>1208</v>
      </c>
      <c r="I191" s="1">
        <v>37120</v>
      </c>
      <c r="J191" s="1">
        <v>37313</v>
      </c>
      <c r="K191" s="1">
        <v>37331</v>
      </c>
      <c r="L191" s="1">
        <v>37331</v>
      </c>
      <c r="M191" s="1">
        <v>37338</v>
      </c>
      <c r="N191" s="1">
        <v>37338</v>
      </c>
      <c r="O191" t="s">
        <v>1117</v>
      </c>
      <c r="P191">
        <v>4</v>
      </c>
      <c r="Q191" t="s">
        <v>1215</v>
      </c>
      <c r="R191">
        <f t="shared" si="4"/>
        <v>12</v>
      </c>
      <c r="S191">
        <f t="shared" si="5"/>
        <v>1</v>
      </c>
    </row>
    <row r="192" spans="1:19" x14ac:dyDescent="0.25">
      <c r="A192" t="s">
        <v>1316</v>
      </c>
      <c r="B192" t="s">
        <v>1199</v>
      </c>
      <c r="C192">
        <v>1</v>
      </c>
      <c r="D192">
        <v>1250</v>
      </c>
      <c r="E192">
        <v>0</v>
      </c>
      <c r="F192">
        <v>60</v>
      </c>
      <c r="G192">
        <v>60</v>
      </c>
      <c r="H192" t="s">
        <v>1208</v>
      </c>
      <c r="I192" s="1">
        <v>37132</v>
      </c>
      <c r="J192" s="1">
        <v>37312</v>
      </c>
      <c r="K192" s="1">
        <v>37316</v>
      </c>
      <c r="L192" s="1">
        <v>37316</v>
      </c>
      <c r="M192" s="1">
        <v>37320</v>
      </c>
      <c r="N192" s="1">
        <v>37331</v>
      </c>
      <c r="O192" t="s">
        <v>1117</v>
      </c>
      <c r="P192">
        <v>5</v>
      </c>
      <c r="Q192" t="s">
        <v>1215</v>
      </c>
      <c r="R192">
        <f t="shared" si="4"/>
        <v>11</v>
      </c>
      <c r="S192">
        <f t="shared" si="5"/>
        <v>1</v>
      </c>
    </row>
    <row r="193" spans="1:19" x14ac:dyDescent="0.25">
      <c r="A193" t="s">
        <v>1317</v>
      </c>
      <c r="B193" t="s">
        <v>3521</v>
      </c>
      <c r="C193">
        <v>1.2</v>
      </c>
      <c r="D193">
        <v>1250</v>
      </c>
      <c r="E193">
        <v>0</v>
      </c>
      <c r="F193">
        <v>50</v>
      </c>
      <c r="G193">
        <v>50</v>
      </c>
      <c r="H193" t="s">
        <v>1208</v>
      </c>
      <c r="I193" s="1">
        <v>37132</v>
      </c>
      <c r="J193" s="1">
        <v>37312</v>
      </c>
      <c r="K193" s="1">
        <v>37317</v>
      </c>
      <c r="L193" s="1">
        <v>37317</v>
      </c>
      <c r="M193" s="1">
        <v>37321</v>
      </c>
      <c r="N193" s="1">
        <v>37338</v>
      </c>
      <c r="O193" t="s">
        <v>1117</v>
      </c>
      <c r="P193">
        <v>6</v>
      </c>
      <c r="Q193" t="s">
        <v>1215</v>
      </c>
      <c r="R193">
        <f t="shared" si="4"/>
        <v>12</v>
      </c>
      <c r="S193">
        <f t="shared" si="5"/>
        <v>1</v>
      </c>
    </row>
    <row r="194" spans="1:19" x14ac:dyDescent="0.25">
      <c r="A194" t="s">
        <v>1318</v>
      </c>
      <c r="B194" t="s">
        <v>1199</v>
      </c>
      <c r="C194">
        <v>1</v>
      </c>
      <c r="D194">
        <v>1250</v>
      </c>
      <c r="E194">
        <v>0</v>
      </c>
      <c r="F194">
        <v>3</v>
      </c>
      <c r="G194">
        <v>3</v>
      </c>
      <c r="H194" t="s">
        <v>1208</v>
      </c>
      <c r="I194" s="1">
        <v>37159</v>
      </c>
      <c r="J194" s="1">
        <v>37319</v>
      </c>
      <c r="K194" s="1">
        <v>37328</v>
      </c>
      <c r="L194" s="1">
        <v>37328</v>
      </c>
      <c r="M194" s="1">
        <v>37327</v>
      </c>
      <c r="N194" s="1">
        <v>37327</v>
      </c>
      <c r="O194" t="s">
        <v>1117</v>
      </c>
      <c r="P194">
        <v>3</v>
      </c>
      <c r="Q194" t="s">
        <v>1215</v>
      </c>
      <c r="R194">
        <f t="shared" si="4"/>
        <v>11</v>
      </c>
      <c r="S194">
        <f t="shared" si="5"/>
        <v>1</v>
      </c>
    </row>
    <row r="195" spans="1:19" x14ac:dyDescent="0.25">
      <c r="A195" t="s">
        <v>1319</v>
      </c>
      <c r="B195" t="s">
        <v>4027</v>
      </c>
      <c r="C195">
        <v>0.4</v>
      </c>
      <c r="D195">
        <v>630</v>
      </c>
      <c r="E195">
        <v>0</v>
      </c>
      <c r="F195">
        <v>75</v>
      </c>
      <c r="G195">
        <v>75</v>
      </c>
      <c r="H195" t="s">
        <v>1208</v>
      </c>
      <c r="I195" s="1">
        <v>37110</v>
      </c>
      <c r="J195" s="1">
        <v>37318</v>
      </c>
      <c r="K195" s="1">
        <v>37311</v>
      </c>
      <c r="L195" s="1">
        <v>37318</v>
      </c>
      <c r="M195" s="1">
        <v>37202</v>
      </c>
      <c r="N195" s="1">
        <v>37270</v>
      </c>
      <c r="O195" t="s">
        <v>1114</v>
      </c>
      <c r="P195">
        <v>5</v>
      </c>
      <c r="Q195" t="s">
        <v>1215</v>
      </c>
      <c r="R195">
        <f t="shared" ref="R195:R258" si="6">WEEKNUM(N195,1)</f>
        <v>3</v>
      </c>
      <c r="S195">
        <f t="shared" ref="S195:S258" si="7">IF(AND(F195=G195, M195&lt;=N195), 1,0)</f>
        <v>1</v>
      </c>
    </row>
    <row r="196" spans="1:19" x14ac:dyDescent="0.25">
      <c r="A196" t="s">
        <v>1320</v>
      </c>
      <c r="B196" t="s">
        <v>1199</v>
      </c>
      <c r="C196">
        <v>0.4</v>
      </c>
      <c r="D196">
        <v>542</v>
      </c>
      <c r="E196">
        <v>0</v>
      </c>
      <c r="F196">
        <v>15</v>
      </c>
      <c r="G196">
        <v>15</v>
      </c>
      <c r="H196" t="s">
        <v>1208</v>
      </c>
      <c r="I196" s="1">
        <v>37110</v>
      </c>
      <c r="J196" s="1">
        <v>37318</v>
      </c>
      <c r="K196" s="1">
        <v>37312</v>
      </c>
      <c r="L196" s="1">
        <v>37318</v>
      </c>
      <c r="M196" s="1">
        <v>37196</v>
      </c>
      <c r="N196" s="1">
        <v>37196</v>
      </c>
      <c r="O196" t="s">
        <v>1114</v>
      </c>
      <c r="P196">
        <v>4</v>
      </c>
      <c r="Q196" t="s">
        <v>1215</v>
      </c>
      <c r="R196">
        <f t="shared" si="6"/>
        <v>44</v>
      </c>
      <c r="S196">
        <f t="shared" si="7"/>
        <v>1</v>
      </c>
    </row>
    <row r="197" spans="1:19" x14ac:dyDescent="0.25">
      <c r="A197" t="s">
        <v>1321</v>
      </c>
      <c r="B197" t="s">
        <v>4028</v>
      </c>
      <c r="C197">
        <v>0.8</v>
      </c>
      <c r="D197">
        <v>1250</v>
      </c>
      <c r="E197">
        <v>0</v>
      </c>
      <c r="F197">
        <v>50</v>
      </c>
      <c r="G197">
        <v>50</v>
      </c>
      <c r="H197" t="s">
        <v>1208</v>
      </c>
      <c r="I197" s="1">
        <v>37132</v>
      </c>
      <c r="J197" s="1">
        <v>37312</v>
      </c>
      <c r="K197" s="1">
        <v>37328</v>
      </c>
      <c r="L197" s="1">
        <v>37328</v>
      </c>
      <c r="M197" s="1">
        <v>37329</v>
      </c>
      <c r="N197" s="1">
        <v>37329</v>
      </c>
      <c r="O197" t="s">
        <v>1117</v>
      </c>
      <c r="P197">
        <v>3</v>
      </c>
      <c r="Q197" t="s">
        <v>1215</v>
      </c>
      <c r="R197">
        <f t="shared" si="6"/>
        <v>11</v>
      </c>
      <c r="S197">
        <f t="shared" si="7"/>
        <v>1</v>
      </c>
    </row>
    <row r="198" spans="1:19" x14ac:dyDescent="0.25">
      <c r="A198" t="s">
        <v>1322</v>
      </c>
      <c r="B198" t="s">
        <v>3601</v>
      </c>
      <c r="C198">
        <v>0.9</v>
      </c>
      <c r="D198">
        <v>1250</v>
      </c>
      <c r="E198">
        <v>0</v>
      </c>
      <c r="F198">
        <v>20</v>
      </c>
      <c r="G198">
        <v>20</v>
      </c>
      <c r="H198" t="s">
        <v>1208</v>
      </c>
      <c r="I198" s="1">
        <v>37120</v>
      </c>
      <c r="J198" s="1">
        <v>37313</v>
      </c>
      <c r="K198" s="1">
        <v>37338</v>
      </c>
      <c r="L198" s="1">
        <v>37338</v>
      </c>
      <c r="M198" s="1">
        <v>37338</v>
      </c>
      <c r="N198" s="1">
        <v>37338</v>
      </c>
      <c r="O198" t="s">
        <v>1117</v>
      </c>
      <c r="P198">
        <v>2</v>
      </c>
      <c r="Q198" t="s">
        <v>1215</v>
      </c>
      <c r="R198">
        <f t="shared" si="6"/>
        <v>12</v>
      </c>
      <c r="S198">
        <f t="shared" si="7"/>
        <v>1</v>
      </c>
    </row>
    <row r="199" spans="1:19" x14ac:dyDescent="0.25">
      <c r="A199" t="s">
        <v>1323</v>
      </c>
      <c r="B199" t="s">
        <v>4026</v>
      </c>
      <c r="C199">
        <v>3</v>
      </c>
      <c r="D199">
        <v>1250</v>
      </c>
      <c r="E199">
        <v>0</v>
      </c>
      <c r="F199">
        <v>12</v>
      </c>
      <c r="G199">
        <v>3.8460000000000001</v>
      </c>
      <c r="H199" t="s">
        <v>1208</v>
      </c>
      <c r="I199" s="1">
        <v>37159</v>
      </c>
      <c r="J199" s="1">
        <v>37325</v>
      </c>
      <c r="K199" s="1">
        <v>37344</v>
      </c>
      <c r="L199" s="1">
        <v>37344</v>
      </c>
      <c r="M199" s="1">
        <v>37344</v>
      </c>
      <c r="N199" s="1">
        <v>37344</v>
      </c>
      <c r="O199" t="s">
        <v>1117</v>
      </c>
      <c r="P199">
        <v>4</v>
      </c>
      <c r="Q199" t="s">
        <v>1215</v>
      </c>
      <c r="R199">
        <f t="shared" si="6"/>
        <v>13</v>
      </c>
      <c r="S199">
        <f t="shared" si="7"/>
        <v>0</v>
      </c>
    </row>
    <row r="200" spans="1:19" x14ac:dyDescent="0.25">
      <c r="A200" t="s">
        <v>1324</v>
      </c>
      <c r="B200" t="s">
        <v>4027</v>
      </c>
      <c r="C200">
        <v>0.7</v>
      </c>
      <c r="D200">
        <v>1250</v>
      </c>
      <c r="E200">
        <v>0</v>
      </c>
      <c r="F200">
        <v>3</v>
      </c>
      <c r="G200">
        <v>3</v>
      </c>
      <c r="H200" t="s">
        <v>1208</v>
      </c>
      <c r="I200" s="1">
        <v>37130</v>
      </c>
      <c r="J200" s="1">
        <v>37323</v>
      </c>
      <c r="K200" s="1">
        <v>37375</v>
      </c>
      <c r="L200" s="1">
        <v>37375</v>
      </c>
      <c r="M200" s="1">
        <v>37368</v>
      </c>
      <c r="N200" s="1">
        <v>37368</v>
      </c>
      <c r="O200" t="s">
        <v>1117</v>
      </c>
      <c r="P200">
        <v>1</v>
      </c>
      <c r="Q200" t="s">
        <v>1215</v>
      </c>
      <c r="R200">
        <f t="shared" si="6"/>
        <v>17</v>
      </c>
      <c r="S200">
        <f t="shared" si="7"/>
        <v>1</v>
      </c>
    </row>
    <row r="201" spans="1:19" x14ac:dyDescent="0.25">
      <c r="A201" t="s">
        <v>1325</v>
      </c>
      <c r="B201" t="s">
        <v>1199</v>
      </c>
      <c r="C201">
        <v>1.2</v>
      </c>
      <c r="D201">
        <v>1050</v>
      </c>
      <c r="E201">
        <v>0</v>
      </c>
      <c r="F201">
        <v>20</v>
      </c>
      <c r="G201">
        <v>20</v>
      </c>
      <c r="H201" t="s">
        <v>1208</v>
      </c>
      <c r="I201" s="1">
        <v>37133</v>
      </c>
      <c r="J201" s="1">
        <v>37313</v>
      </c>
      <c r="K201" s="1">
        <v>37323</v>
      </c>
      <c r="L201" s="1">
        <v>37323</v>
      </c>
      <c r="M201" s="1">
        <v>37326</v>
      </c>
      <c r="N201" s="1">
        <v>37326</v>
      </c>
      <c r="O201" t="s">
        <v>1117</v>
      </c>
      <c r="P201">
        <v>2</v>
      </c>
      <c r="Q201" t="s">
        <v>1215</v>
      </c>
      <c r="R201">
        <f t="shared" si="6"/>
        <v>11</v>
      </c>
      <c r="S201">
        <f t="shared" si="7"/>
        <v>1</v>
      </c>
    </row>
    <row r="202" spans="1:19" x14ac:dyDescent="0.25">
      <c r="A202" t="s">
        <v>1326</v>
      </c>
      <c r="B202" t="s">
        <v>1199</v>
      </c>
      <c r="C202">
        <v>1</v>
      </c>
      <c r="D202">
        <v>1250</v>
      </c>
      <c r="E202">
        <v>0</v>
      </c>
      <c r="F202">
        <v>80</v>
      </c>
      <c r="G202">
        <v>42.006999999999998</v>
      </c>
      <c r="H202" t="s">
        <v>1208</v>
      </c>
      <c r="I202" s="1">
        <v>37159</v>
      </c>
      <c r="J202" s="1">
        <v>37313</v>
      </c>
      <c r="K202" t="s">
        <v>1124</v>
      </c>
      <c r="L202" t="s">
        <v>1124</v>
      </c>
      <c r="M202" s="1">
        <v>37336</v>
      </c>
      <c r="N202" s="1">
        <v>37336</v>
      </c>
      <c r="O202" t="s">
        <v>1117</v>
      </c>
      <c r="P202">
        <v>2</v>
      </c>
      <c r="Q202" t="s">
        <v>1215</v>
      </c>
      <c r="R202">
        <f t="shared" si="6"/>
        <v>12</v>
      </c>
      <c r="S202">
        <f t="shared" si="7"/>
        <v>0</v>
      </c>
    </row>
    <row r="203" spans="1:19" x14ac:dyDescent="0.25">
      <c r="A203" t="s">
        <v>1327</v>
      </c>
      <c r="B203" t="s">
        <v>1199</v>
      </c>
      <c r="C203">
        <v>3</v>
      </c>
      <c r="D203">
        <v>1250</v>
      </c>
      <c r="E203">
        <v>0</v>
      </c>
      <c r="F203">
        <v>18</v>
      </c>
      <c r="G203">
        <v>18</v>
      </c>
      <c r="H203" t="s">
        <v>1208</v>
      </c>
      <c r="I203" s="1">
        <v>37159</v>
      </c>
      <c r="J203" s="1">
        <v>37313</v>
      </c>
      <c r="K203" s="1">
        <v>37338</v>
      </c>
      <c r="L203" s="1">
        <v>37338</v>
      </c>
      <c r="M203" s="1">
        <v>37338</v>
      </c>
      <c r="N203" s="1">
        <v>37344</v>
      </c>
      <c r="O203" t="s">
        <v>1117</v>
      </c>
      <c r="P203">
        <v>1</v>
      </c>
      <c r="Q203" t="s">
        <v>1215</v>
      </c>
      <c r="R203">
        <f t="shared" si="6"/>
        <v>13</v>
      </c>
      <c r="S203">
        <f t="shared" si="7"/>
        <v>1</v>
      </c>
    </row>
    <row r="204" spans="1:19" x14ac:dyDescent="0.25">
      <c r="A204" t="s">
        <v>1328</v>
      </c>
      <c r="B204" t="s">
        <v>4028</v>
      </c>
      <c r="C204">
        <v>0.5</v>
      </c>
      <c r="D204">
        <v>70</v>
      </c>
      <c r="E204">
        <v>0</v>
      </c>
      <c r="F204">
        <v>12</v>
      </c>
      <c r="G204">
        <v>12</v>
      </c>
      <c r="H204" t="s">
        <v>1208</v>
      </c>
      <c r="I204" s="1">
        <v>37114</v>
      </c>
      <c r="J204" s="1">
        <v>37314</v>
      </c>
      <c r="K204" s="1">
        <v>37346</v>
      </c>
      <c r="L204" s="1">
        <v>37346</v>
      </c>
      <c r="M204" s="1">
        <v>37344</v>
      </c>
      <c r="N204" s="1">
        <v>37391</v>
      </c>
      <c r="O204" t="s">
        <v>1117</v>
      </c>
      <c r="P204">
        <v>3</v>
      </c>
      <c r="Q204" t="s">
        <v>1215</v>
      </c>
      <c r="R204">
        <f t="shared" si="6"/>
        <v>20</v>
      </c>
      <c r="S204">
        <f t="shared" si="7"/>
        <v>1</v>
      </c>
    </row>
    <row r="205" spans="1:19" x14ac:dyDescent="0.25">
      <c r="A205" t="s">
        <v>1329</v>
      </c>
      <c r="B205" t="s">
        <v>4027</v>
      </c>
      <c r="C205">
        <v>0.7</v>
      </c>
      <c r="D205">
        <v>1250</v>
      </c>
      <c r="E205">
        <v>0</v>
      </c>
      <c r="F205">
        <v>6</v>
      </c>
      <c r="G205">
        <v>6</v>
      </c>
      <c r="H205" t="s">
        <v>1208</v>
      </c>
      <c r="I205" s="1">
        <v>37108</v>
      </c>
      <c r="J205" s="1">
        <v>37313</v>
      </c>
      <c r="K205" s="1">
        <v>37332</v>
      </c>
      <c r="L205" s="1">
        <v>37332</v>
      </c>
      <c r="M205" s="1">
        <v>37332</v>
      </c>
      <c r="N205" s="1">
        <v>37332</v>
      </c>
      <c r="O205" t="s">
        <v>1117</v>
      </c>
      <c r="P205">
        <v>1</v>
      </c>
      <c r="Q205" t="s">
        <v>1215</v>
      </c>
      <c r="R205">
        <f t="shared" si="6"/>
        <v>12</v>
      </c>
      <c r="S205">
        <f t="shared" si="7"/>
        <v>1</v>
      </c>
    </row>
    <row r="206" spans="1:19" x14ac:dyDescent="0.25">
      <c r="A206" t="s">
        <v>1330</v>
      </c>
      <c r="B206" t="s">
        <v>4027</v>
      </c>
      <c r="C206">
        <v>0.6</v>
      </c>
      <c r="D206">
        <v>1250</v>
      </c>
      <c r="E206">
        <v>0</v>
      </c>
      <c r="F206">
        <v>25</v>
      </c>
      <c r="G206">
        <v>25</v>
      </c>
      <c r="H206" t="s">
        <v>1208</v>
      </c>
      <c r="I206" s="1">
        <v>37120</v>
      </c>
      <c r="J206" s="1">
        <v>37313</v>
      </c>
      <c r="K206" s="1">
        <v>37328</v>
      </c>
      <c r="L206" s="1">
        <v>37328</v>
      </c>
      <c r="M206" s="1">
        <v>37333</v>
      </c>
      <c r="N206" s="1">
        <v>37347</v>
      </c>
      <c r="O206" t="s">
        <v>1117</v>
      </c>
      <c r="P206">
        <v>1</v>
      </c>
      <c r="Q206" t="s">
        <v>1215</v>
      </c>
      <c r="R206">
        <f t="shared" si="6"/>
        <v>14</v>
      </c>
      <c r="S206">
        <f t="shared" si="7"/>
        <v>1</v>
      </c>
    </row>
    <row r="207" spans="1:19" x14ac:dyDescent="0.25">
      <c r="A207" t="s">
        <v>1331</v>
      </c>
      <c r="B207" t="s">
        <v>4027</v>
      </c>
      <c r="C207">
        <v>0.5</v>
      </c>
      <c r="D207">
        <v>63</v>
      </c>
      <c r="E207">
        <v>0</v>
      </c>
      <c r="F207">
        <v>3</v>
      </c>
      <c r="G207">
        <v>3</v>
      </c>
      <c r="H207" t="s">
        <v>1208</v>
      </c>
      <c r="I207" s="1">
        <v>37299</v>
      </c>
      <c r="J207" s="1">
        <v>37308</v>
      </c>
      <c r="K207" s="1">
        <v>37370</v>
      </c>
      <c r="L207" s="1">
        <v>37370</v>
      </c>
      <c r="M207" s="1">
        <v>37344</v>
      </c>
      <c r="N207" s="1">
        <v>37389</v>
      </c>
      <c r="O207" t="s">
        <v>1117</v>
      </c>
      <c r="P207">
        <v>4</v>
      </c>
      <c r="Q207" t="s">
        <v>1215</v>
      </c>
      <c r="R207">
        <f t="shared" si="6"/>
        <v>20</v>
      </c>
      <c r="S207">
        <f t="shared" si="7"/>
        <v>1</v>
      </c>
    </row>
    <row r="208" spans="1:19" x14ac:dyDescent="0.25">
      <c r="A208" t="s">
        <v>1332</v>
      </c>
      <c r="B208" t="s">
        <v>4028</v>
      </c>
      <c r="C208">
        <v>2</v>
      </c>
      <c r="D208">
        <v>375</v>
      </c>
      <c r="E208">
        <v>0</v>
      </c>
      <c r="F208">
        <v>6</v>
      </c>
      <c r="G208">
        <v>6</v>
      </c>
      <c r="H208" t="s">
        <v>1208</v>
      </c>
      <c r="I208" s="1">
        <v>37159</v>
      </c>
      <c r="J208" s="1">
        <v>37314</v>
      </c>
      <c r="K208" s="1">
        <v>37328</v>
      </c>
      <c r="L208" s="1">
        <v>37328</v>
      </c>
      <c r="M208" s="1">
        <v>37327</v>
      </c>
      <c r="N208" s="1">
        <v>37327</v>
      </c>
      <c r="O208" t="s">
        <v>1117</v>
      </c>
      <c r="P208">
        <v>3</v>
      </c>
      <c r="Q208" t="s">
        <v>1215</v>
      </c>
      <c r="R208">
        <f t="shared" si="6"/>
        <v>11</v>
      </c>
      <c r="S208">
        <f t="shared" si="7"/>
        <v>1</v>
      </c>
    </row>
    <row r="209" spans="1:19" x14ac:dyDescent="0.25">
      <c r="A209" t="s">
        <v>1333</v>
      </c>
      <c r="B209" t="s">
        <v>1199</v>
      </c>
      <c r="C209">
        <v>3</v>
      </c>
      <c r="D209">
        <v>495</v>
      </c>
      <c r="E209">
        <v>0</v>
      </c>
      <c r="F209">
        <v>10</v>
      </c>
      <c r="G209">
        <v>10</v>
      </c>
      <c r="H209" t="s">
        <v>1208</v>
      </c>
      <c r="I209" s="1">
        <v>37159</v>
      </c>
      <c r="J209" s="1">
        <v>37314</v>
      </c>
      <c r="K209" s="1">
        <v>37334</v>
      </c>
      <c r="L209" s="1">
        <v>37334</v>
      </c>
      <c r="M209" s="1">
        <v>37334</v>
      </c>
      <c r="N209" s="1">
        <v>37334</v>
      </c>
      <c r="O209" t="s">
        <v>1117</v>
      </c>
      <c r="P209">
        <v>4</v>
      </c>
      <c r="Q209" t="s">
        <v>1215</v>
      </c>
      <c r="R209">
        <f t="shared" si="6"/>
        <v>12</v>
      </c>
      <c r="S209">
        <f t="shared" si="7"/>
        <v>1</v>
      </c>
    </row>
    <row r="210" spans="1:19" x14ac:dyDescent="0.25">
      <c r="A210" t="s">
        <v>1334</v>
      </c>
      <c r="B210" t="s">
        <v>1199</v>
      </c>
      <c r="C210">
        <v>0.8</v>
      </c>
      <c r="D210">
        <v>340</v>
      </c>
      <c r="E210">
        <v>0</v>
      </c>
      <c r="F210">
        <v>22.571999999999999</v>
      </c>
      <c r="G210">
        <v>22.571999999999999</v>
      </c>
      <c r="H210" t="s">
        <v>1208</v>
      </c>
      <c r="I210" s="1">
        <v>37343</v>
      </c>
      <c r="J210" s="1">
        <v>37381</v>
      </c>
      <c r="K210" t="s">
        <v>1124</v>
      </c>
      <c r="L210" t="s">
        <v>1124</v>
      </c>
      <c r="M210" t="s">
        <v>1124</v>
      </c>
      <c r="N210" s="1">
        <v>37375</v>
      </c>
      <c r="O210" t="s">
        <v>1117</v>
      </c>
      <c r="P210">
        <v>1</v>
      </c>
      <c r="Q210" t="s">
        <v>1215</v>
      </c>
      <c r="R210">
        <f t="shared" si="6"/>
        <v>18</v>
      </c>
      <c r="S210">
        <f t="shared" si="7"/>
        <v>0</v>
      </c>
    </row>
    <row r="211" spans="1:19" x14ac:dyDescent="0.25">
      <c r="A211" t="s">
        <v>1335</v>
      </c>
      <c r="B211" t="s">
        <v>1199</v>
      </c>
      <c r="C211">
        <v>0.5</v>
      </c>
      <c r="D211">
        <v>90</v>
      </c>
      <c r="E211">
        <v>0</v>
      </c>
      <c r="F211">
        <v>5</v>
      </c>
      <c r="G211">
        <v>5</v>
      </c>
      <c r="H211" t="s">
        <v>1208</v>
      </c>
      <c r="I211" s="1">
        <v>37299</v>
      </c>
      <c r="J211" s="1">
        <v>37308</v>
      </c>
      <c r="K211" t="s">
        <v>1124</v>
      </c>
      <c r="L211" t="s">
        <v>1124</v>
      </c>
      <c r="M211" s="1">
        <v>37337</v>
      </c>
      <c r="N211" s="1">
        <v>37389</v>
      </c>
      <c r="O211" t="s">
        <v>1117</v>
      </c>
      <c r="P211">
        <v>2</v>
      </c>
      <c r="Q211" t="s">
        <v>1215</v>
      </c>
      <c r="R211">
        <f t="shared" si="6"/>
        <v>20</v>
      </c>
      <c r="S211">
        <f t="shared" si="7"/>
        <v>1</v>
      </c>
    </row>
    <row r="212" spans="1:19" x14ac:dyDescent="0.25">
      <c r="A212" t="s">
        <v>1336</v>
      </c>
      <c r="B212" t="s">
        <v>1199</v>
      </c>
      <c r="C212">
        <v>0.5</v>
      </c>
      <c r="D212">
        <v>70</v>
      </c>
      <c r="E212">
        <v>0</v>
      </c>
      <c r="F212">
        <v>15</v>
      </c>
      <c r="G212">
        <v>4.1459999999999999</v>
      </c>
      <c r="H212" t="s">
        <v>1208</v>
      </c>
      <c r="I212" s="1">
        <v>37159</v>
      </c>
      <c r="J212" s="1">
        <v>37325</v>
      </c>
      <c r="K212" s="1">
        <v>37370</v>
      </c>
      <c r="L212" s="1">
        <v>37370</v>
      </c>
      <c r="M212" s="1">
        <v>37344</v>
      </c>
      <c r="N212" s="1">
        <v>37391</v>
      </c>
      <c r="O212" t="s">
        <v>1117</v>
      </c>
      <c r="P212">
        <v>1</v>
      </c>
      <c r="Q212" t="s">
        <v>1215</v>
      </c>
      <c r="R212">
        <f t="shared" si="6"/>
        <v>20</v>
      </c>
      <c r="S212">
        <f t="shared" si="7"/>
        <v>0</v>
      </c>
    </row>
    <row r="213" spans="1:19" x14ac:dyDescent="0.25">
      <c r="A213" t="s">
        <v>1337</v>
      </c>
      <c r="B213" t="s">
        <v>4028</v>
      </c>
      <c r="C213">
        <v>2</v>
      </c>
      <c r="D213">
        <v>1250</v>
      </c>
      <c r="E213">
        <v>0</v>
      </c>
      <c r="F213">
        <v>9</v>
      </c>
      <c r="G213">
        <v>3.55</v>
      </c>
      <c r="H213" t="s">
        <v>1208</v>
      </c>
      <c r="I213" s="1">
        <v>37159</v>
      </c>
      <c r="J213" s="1">
        <v>37313</v>
      </c>
      <c r="K213" s="1">
        <v>37352</v>
      </c>
      <c r="L213" s="1">
        <v>37352</v>
      </c>
      <c r="M213" s="1">
        <v>37352</v>
      </c>
      <c r="N213" s="1">
        <v>37352</v>
      </c>
      <c r="O213" t="s">
        <v>1117</v>
      </c>
      <c r="P213">
        <v>3</v>
      </c>
      <c r="Q213" t="s">
        <v>1215</v>
      </c>
      <c r="R213">
        <f t="shared" si="6"/>
        <v>14</v>
      </c>
      <c r="S213">
        <f t="shared" si="7"/>
        <v>0</v>
      </c>
    </row>
    <row r="214" spans="1:19" x14ac:dyDescent="0.25">
      <c r="A214" t="s">
        <v>1338</v>
      </c>
      <c r="B214" t="s">
        <v>4027</v>
      </c>
      <c r="C214">
        <v>0.5</v>
      </c>
      <c r="D214">
        <v>1000</v>
      </c>
      <c r="E214">
        <v>0</v>
      </c>
      <c r="F214">
        <v>100</v>
      </c>
      <c r="G214">
        <v>61.485999999999997</v>
      </c>
      <c r="H214" t="s">
        <v>1208</v>
      </c>
      <c r="I214" s="1">
        <v>37114</v>
      </c>
      <c r="J214" s="1">
        <v>37313</v>
      </c>
      <c r="K214" s="1">
        <v>37327</v>
      </c>
      <c r="L214" s="1">
        <v>37327</v>
      </c>
      <c r="M214" s="1">
        <v>37331</v>
      </c>
      <c r="N214" s="1">
        <v>37331</v>
      </c>
      <c r="O214" t="s">
        <v>1117</v>
      </c>
      <c r="P214">
        <v>1</v>
      </c>
      <c r="Q214" t="s">
        <v>1215</v>
      </c>
      <c r="R214">
        <f t="shared" si="6"/>
        <v>11</v>
      </c>
      <c r="S214">
        <f t="shared" si="7"/>
        <v>0</v>
      </c>
    </row>
    <row r="215" spans="1:19" x14ac:dyDescent="0.25">
      <c r="A215" t="s">
        <v>1339</v>
      </c>
      <c r="B215" t="s">
        <v>4028</v>
      </c>
      <c r="C215">
        <v>1.2</v>
      </c>
      <c r="D215">
        <v>1250</v>
      </c>
      <c r="E215">
        <v>0</v>
      </c>
      <c r="F215">
        <v>18</v>
      </c>
      <c r="G215">
        <v>8.5519999999999996</v>
      </c>
      <c r="H215" t="s">
        <v>1208</v>
      </c>
      <c r="I215" s="1">
        <v>37159</v>
      </c>
      <c r="J215" s="1">
        <v>37315</v>
      </c>
      <c r="K215" s="1">
        <v>37311</v>
      </c>
      <c r="L215" s="1">
        <v>37315</v>
      </c>
      <c r="M215" s="1">
        <v>37280</v>
      </c>
      <c r="N215" s="1">
        <v>37280</v>
      </c>
      <c r="O215" t="s">
        <v>1114</v>
      </c>
      <c r="P215">
        <v>11</v>
      </c>
      <c r="Q215" t="s">
        <v>1215</v>
      </c>
      <c r="R215">
        <f t="shared" si="6"/>
        <v>4</v>
      </c>
      <c r="S215">
        <f t="shared" si="7"/>
        <v>0</v>
      </c>
    </row>
    <row r="216" spans="1:19" x14ac:dyDescent="0.25">
      <c r="A216" t="s">
        <v>1340</v>
      </c>
      <c r="B216" t="s">
        <v>4028</v>
      </c>
      <c r="C216">
        <v>0.6</v>
      </c>
      <c r="D216">
        <v>76</v>
      </c>
      <c r="E216">
        <v>0</v>
      </c>
      <c r="F216">
        <v>6</v>
      </c>
      <c r="G216">
        <v>6</v>
      </c>
      <c r="H216" t="s">
        <v>1208</v>
      </c>
      <c r="I216" s="1">
        <v>37299</v>
      </c>
      <c r="J216" s="1">
        <v>37308</v>
      </c>
      <c r="K216" s="1">
        <v>37348</v>
      </c>
      <c r="L216" s="1">
        <v>37348</v>
      </c>
      <c r="M216" s="1">
        <v>37344</v>
      </c>
      <c r="N216" s="1">
        <v>37391</v>
      </c>
      <c r="O216" t="s">
        <v>1117</v>
      </c>
      <c r="P216">
        <v>5</v>
      </c>
      <c r="Q216" t="s">
        <v>1215</v>
      </c>
      <c r="R216">
        <f t="shared" si="6"/>
        <v>20</v>
      </c>
      <c r="S216">
        <f t="shared" si="7"/>
        <v>1</v>
      </c>
    </row>
    <row r="217" spans="1:19" x14ac:dyDescent="0.25">
      <c r="A217" t="s">
        <v>1341</v>
      </c>
      <c r="B217" t="s">
        <v>4027</v>
      </c>
      <c r="C217">
        <v>0.5</v>
      </c>
      <c r="D217">
        <v>70</v>
      </c>
      <c r="E217">
        <v>0</v>
      </c>
      <c r="F217">
        <v>12</v>
      </c>
      <c r="G217">
        <v>12</v>
      </c>
      <c r="H217" t="s">
        <v>1208</v>
      </c>
      <c r="I217" s="1">
        <v>37299</v>
      </c>
      <c r="J217" s="1">
        <v>37308</v>
      </c>
      <c r="K217" s="1">
        <v>37370</v>
      </c>
      <c r="L217" s="1">
        <v>37370</v>
      </c>
      <c r="M217" s="1">
        <v>37344</v>
      </c>
      <c r="N217" s="1">
        <v>37391</v>
      </c>
      <c r="O217" t="s">
        <v>1117</v>
      </c>
      <c r="P217">
        <v>3</v>
      </c>
      <c r="Q217" t="s">
        <v>1215</v>
      </c>
      <c r="R217">
        <f t="shared" si="6"/>
        <v>20</v>
      </c>
      <c r="S217">
        <f t="shared" si="7"/>
        <v>1</v>
      </c>
    </row>
    <row r="218" spans="1:19" x14ac:dyDescent="0.25">
      <c r="A218" t="s">
        <v>1342</v>
      </c>
      <c r="B218" t="s">
        <v>3631</v>
      </c>
      <c r="C218">
        <v>1.5</v>
      </c>
      <c r="D218">
        <v>1250</v>
      </c>
      <c r="E218">
        <v>0</v>
      </c>
      <c r="F218">
        <v>6</v>
      </c>
      <c r="G218">
        <v>6</v>
      </c>
      <c r="H218" t="s">
        <v>1208</v>
      </c>
      <c r="I218" s="1">
        <v>37114</v>
      </c>
      <c r="J218" s="1">
        <v>37321</v>
      </c>
      <c r="K218" t="s">
        <v>1124</v>
      </c>
      <c r="L218" t="s">
        <v>1124</v>
      </c>
      <c r="M218" s="1">
        <v>37338</v>
      </c>
      <c r="N218" s="1">
        <v>37345</v>
      </c>
      <c r="O218" t="s">
        <v>1117</v>
      </c>
      <c r="P218">
        <v>1</v>
      </c>
      <c r="Q218" t="s">
        <v>1215</v>
      </c>
      <c r="R218">
        <f t="shared" si="6"/>
        <v>13</v>
      </c>
      <c r="S218">
        <f t="shared" si="7"/>
        <v>1</v>
      </c>
    </row>
    <row r="219" spans="1:19" x14ac:dyDescent="0.25">
      <c r="A219" t="s">
        <v>1343</v>
      </c>
      <c r="B219" t="s">
        <v>4026</v>
      </c>
      <c r="C219">
        <v>0.6</v>
      </c>
      <c r="D219">
        <v>1250</v>
      </c>
      <c r="E219">
        <v>0</v>
      </c>
      <c r="F219">
        <v>3</v>
      </c>
      <c r="G219">
        <v>3</v>
      </c>
      <c r="H219" t="s">
        <v>1208</v>
      </c>
      <c r="I219" s="1">
        <v>37126</v>
      </c>
      <c r="J219" s="1">
        <v>37322</v>
      </c>
      <c r="K219" s="1">
        <v>37322</v>
      </c>
      <c r="L219" s="1">
        <v>37322</v>
      </c>
      <c r="M219" s="1">
        <v>37263</v>
      </c>
      <c r="N219" s="1">
        <v>37263</v>
      </c>
      <c r="O219" t="s">
        <v>1117</v>
      </c>
      <c r="P219">
        <v>3</v>
      </c>
      <c r="Q219" t="s">
        <v>1215</v>
      </c>
      <c r="R219">
        <f t="shared" si="6"/>
        <v>2</v>
      </c>
      <c r="S219">
        <f t="shared" si="7"/>
        <v>1</v>
      </c>
    </row>
    <row r="220" spans="1:19" x14ac:dyDescent="0.25">
      <c r="A220" t="s">
        <v>1344</v>
      </c>
      <c r="B220" t="s">
        <v>4026</v>
      </c>
      <c r="C220">
        <v>1</v>
      </c>
      <c r="D220">
        <v>1000</v>
      </c>
      <c r="E220">
        <v>0</v>
      </c>
      <c r="F220">
        <v>3</v>
      </c>
      <c r="G220">
        <v>3</v>
      </c>
      <c r="H220" t="s">
        <v>1208</v>
      </c>
      <c r="I220" s="1">
        <v>37126</v>
      </c>
      <c r="J220" s="1">
        <v>37311</v>
      </c>
      <c r="K220" s="1">
        <v>37347</v>
      </c>
      <c r="L220" s="1">
        <v>37347</v>
      </c>
      <c r="M220" s="1">
        <v>37345</v>
      </c>
      <c r="N220" s="1">
        <v>37345</v>
      </c>
      <c r="O220" t="s">
        <v>1117</v>
      </c>
      <c r="P220">
        <v>1</v>
      </c>
      <c r="Q220" t="s">
        <v>1215</v>
      </c>
      <c r="R220">
        <f t="shared" si="6"/>
        <v>13</v>
      </c>
      <c r="S220">
        <f t="shared" si="7"/>
        <v>1</v>
      </c>
    </row>
    <row r="221" spans="1:19" x14ac:dyDescent="0.25">
      <c r="A221" t="s">
        <v>1345</v>
      </c>
      <c r="B221" t="s">
        <v>1199</v>
      </c>
      <c r="C221">
        <v>0.6</v>
      </c>
      <c r="D221">
        <v>63</v>
      </c>
      <c r="E221">
        <v>0</v>
      </c>
      <c r="F221">
        <v>4</v>
      </c>
      <c r="G221">
        <v>4</v>
      </c>
      <c r="H221" t="s">
        <v>1208</v>
      </c>
      <c r="I221" s="1">
        <v>37299</v>
      </c>
      <c r="J221" s="1">
        <v>37308</v>
      </c>
      <c r="K221" s="1">
        <v>37348</v>
      </c>
      <c r="L221" s="1">
        <v>37348</v>
      </c>
      <c r="M221" s="1">
        <v>37344</v>
      </c>
      <c r="N221" s="1">
        <v>37389</v>
      </c>
      <c r="O221" t="s">
        <v>1117</v>
      </c>
      <c r="P221">
        <v>6</v>
      </c>
      <c r="Q221" t="s">
        <v>1215</v>
      </c>
      <c r="R221">
        <f t="shared" si="6"/>
        <v>20</v>
      </c>
      <c r="S221">
        <f t="shared" si="7"/>
        <v>1</v>
      </c>
    </row>
    <row r="222" spans="1:19" x14ac:dyDescent="0.25">
      <c r="A222" t="s">
        <v>1346</v>
      </c>
      <c r="B222" t="s">
        <v>1199</v>
      </c>
      <c r="C222">
        <v>0.6</v>
      </c>
      <c r="D222">
        <v>76</v>
      </c>
      <c r="E222">
        <v>0</v>
      </c>
      <c r="F222">
        <v>6</v>
      </c>
      <c r="G222">
        <v>6</v>
      </c>
      <c r="H222" t="s">
        <v>1208</v>
      </c>
      <c r="I222" s="1">
        <v>37352</v>
      </c>
      <c r="J222" s="1">
        <v>37391</v>
      </c>
      <c r="K222" t="s">
        <v>1124</v>
      </c>
      <c r="L222" t="s">
        <v>1124</v>
      </c>
      <c r="M222" s="1">
        <v>37391</v>
      </c>
      <c r="N222" s="1">
        <v>37391</v>
      </c>
      <c r="O222" t="s">
        <v>1117</v>
      </c>
      <c r="P222">
        <v>5</v>
      </c>
      <c r="Q222" t="s">
        <v>1215</v>
      </c>
      <c r="R222">
        <f t="shared" si="6"/>
        <v>20</v>
      </c>
      <c r="S222">
        <f t="shared" si="7"/>
        <v>1</v>
      </c>
    </row>
    <row r="223" spans="1:19" x14ac:dyDescent="0.25">
      <c r="A223" t="s">
        <v>1347</v>
      </c>
      <c r="B223" t="s">
        <v>4029</v>
      </c>
      <c r="C223">
        <v>1.2</v>
      </c>
      <c r="D223">
        <v>1000</v>
      </c>
      <c r="E223">
        <v>0</v>
      </c>
      <c r="F223">
        <v>3</v>
      </c>
      <c r="G223">
        <v>3</v>
      </c>
      <c r="H223" t="s">
        <v>1208</v>
      </c>
      <c r="I223" s="1">
        <v>37132</v>
      </c>
      <c r="J223" s="1">
        <v>37323</v>
      </c>
      <c r="K223" s="1">
        <v>37345</v>
      </c>
      <c r="L223" s="1">
        <v>37345</v>
      </c>
      <c r="M223" s="1">
        <v>37345</v>
      </c>
      <c r="N223" s="1">
        <v>37352</v>
      </c>
      <c r="O223" t="s">
        <v>1117</v>
      </c>
      <c r="P223">
        <v>3</v>
      </c>
      <c r="Q223" t="s">
        <v>1215</v>
      </c>
      <c r="R223">
        <f t="shared" si="6"/>
        <v>14</v>
      </c>
      <c r="S223">
        <f t="shared" si="7"/>
        <v>1</v>
      </c>
    </row>
    <row r="224" spans="1:19" x14ac:dyDescent="0.25">
      <c r="A224" t="s">
        <v>1348</v>
      </c>
      <c r="B224" t="s">
        <v>4028</v>
      </c>
      <c r="C224">
        <v>0.5</v>
      </c>
      <c r="D224">
        <v>63</v>
      </c>
      <c r="E224">
        <v>0</v>
      </c>
      <c r="F224">
        <v>3</v>
      </c>
      <c r="G224">
        <v>3</v>
      </c>
      <c r="H224" t="s">
        <v>1208</v>
      </c>
      <c r="I224" s="1">
        <v>37352</v>
      </c>
      <c r="J224" s="1">
        <v>37389</v>
      </c>
      <c r="K224" t="s">
        <v>1124</v>
      </c>
      <c r="L224" t="s">
        <v>1124</v>
      </c>
      <c r="M224" s="1">
        <v>37389</v>
      </c>
      <c r="N224" s="1">
        <v>37389</v>
      </c>
      <c r="O224" t="s">
        <v>1117</v>
      </c>
      <c r="P224">
        <v>4</v>
      </c>
      <c r="Q224" t="s">
        <v>1215</v>
      </c>
      <c r="R224">
        <f t="shared" si="6"/>
        <v>20</v>
      </c>
      <c r="S224">
        <f t="shared" si="7"/>
        <v>1</v>
      </c>
    </row>
    <row r="225" spans="1:19" x14ac:dyDescent="0.25">
      <c r="A225" t="s">
        <v>1349</v>
      </c>
      <c r="B225" t="s">
        <v>1199</v>
      </c>
      <c r="C225">
        <v>0.7</v>
      </c>
      <c r="D225">
        <v>1250</v>
      </c>
      <c r="E225">
        <v>0</v>
      </c>
      <c r="F225">
        <v>10</v>
      </c>
      <c r="G225">
        <v>10</v>
      </c>
      <c r="H225" t="s">
        <v>1208</v>
      </c>
      <c r="I225" s="1">
        <v>37108</v>
      </c>
      <c r="J225" s="1">
        <v>37314</v>
      </c>
      <c r="K225" s="1">
        <v>37372</v>
      </c>
      <c r="L225" s="1">
        <v>37372</v>
      </c>
      <c r="M225" s="1">
        <v>37277</v>
      </c>
      <c r="N225" s="1">
        <v>37281</v>
      </c>
      <c r="O225" t="s">
        <v>1117</v>
      </c>
      <c r="P225">
        <v>1</v>
      </c>
      <c r="Q225" t="s">
        <v>1215</v>
      </c>
      <c r="R225">
        <f t="shared" si="6"/>
        <v>4</v>
      </c>
      <c r="S225">
        <f t="shared" si="7"/>
        <v>1</v>
      </c>
    </row>
    <row r="226" spans="1:19" x14ac:dyDescent="0.25">
      <c r="A226" t="s">
        <v>1350</v>
      </c>
      <c r="B226" t="s">
        <v>4028</v>
      </c>
      <c r="C226">
        <v>0.5</v>
      </c>
      <c r="D226">
        <v>70</v>
      </c>
      <c r="E226">
        <v>0</v>
      </c>
      <c r="F226">
        <v>12</v>
      </c>
      <c r="G226">
        <v>12</v>
      </c>
      <c r="H226" t="s">
        <v>1208</v>
      </c>
      <c r="I226" s="1">
        <v>37352</v>
      </c>
      <c r="J226" s="1">
        <v>37391</v>
      </c>
      <c r="K226" t="s">
        <v>1124</v>
      </c>
      <c r="L226" t="s">
        <v>1124</v>
      </c>
      <c r="M226" s="1">
        <v>37391</v>
      </c>
      <c r="N226" s="1">
        <v>37391</v>
      </c>
      <c r="O226" t="s">
        <v>1117</v>
      </c>
      <c r="P226">
        <v>3</v>
      </c>
      <c r="Q226" t="s">
        <v>1215</v>
      </c>
      <c r="R226">
        <f t="shared" si="6"/>
        <v>20</v>
      </c>
      <c r="S226">
        <f t="shared" si="7"/>
        <v>1</v>
      </c>
    </row>
    <row r="227" spans="1:19" x14ac:dyDescent="0.25">
      <c r="A227" t="s">
        <v>1351</v>
      </c>
      <c r="B227" t="s">
        <v>1199</v>
      </c>
      <c r="C227">
        <v>1.2</v>
      </c>
      <c r="D227">
        <v>1250</v>
      </c>
      <c r="E227">
        <v>0</v>
      </c>
      <c r="F227">
        <v>9</v>
      </c>
      <c r="G227">
        <v>9</v>
      </c>
      <c r="H227" t="s">
        <v>1208</v>
      </c>
      <c r="I227" s="1">
        <v>37110</v>
      </c>
      <c r="J227" s="1">
        <v>37315</v>
      </c>
      <c r="K227" s="1">
        <v>37311</v>
      </c>
      <c r="L227" s="1">
        <v>37315</v>
      </c>
      <c r="M227" s="1">
        <v>37266</v>
      </c>
      <c r="N227" s="1">
        <v>37280</v>
      </c>
      <c r="O227" t="s">
        <v>1114</v>
      </c>
      <c r="P227">
        <v>2</v>
      </c>
      <c r="Q227" t="s">
        <v>1215</v>
      </c>
      <c r="R227">
        <f t="shared" si="6"/>
        <v>4</v>
      </c>
      <c r="S227">
        <f t="shared" si="7"/>
        <v>1</v>
      </c>
    </row>
    <row r="228" spans="1:19" x14ac:dyDescent="0.25">
      <c r="A228" t="s">
        <v>1352</v>
      </c>
      <c r="B228" t="s">
        <v>1199</v>
      </c>
      <c r="C228">
        <v>2</v>
      </c>
      <c r="D228">
        <v>208</v>
      </c>
      <c r="E228">
        <v>0</v>
      </c>
      <c r="F228">
        <v>30</v>
      </c>
      <c r="G228">
        <v>30</v>
      </c>
      <c r="H228" t="s">
        <v>1208</v>
      </c>
      <c r="I228" s="1">
        <v>37108</v>
      </c>
      <c r="J228" s="1">
        <v>37312</v>
      </c>
      <c r="K228" s="1">
        <v>37323</v>
      </c>
      <c r="L228" s="1">
        <v>37323</v>
      </c>
      <c r="M228" s="1">
        <v>37319</v>
      </c>
      <c r="N228" s="1">
        <v>37319</v>
      </c>
      <c r="O228" t="s">
        <v>1117</v>
      </c>
      <c r="P228">
        <v>1</v>
      </c>
      <c r="Q228" t="s">
        <v>1215</v>
      </c>
      <c r="R228">
        <f t="shared" si="6"/>
        <v>10</v>
      </c>
      <c r="S228">
        <f t="shared" si="7"/>
        <v>1</v>
      </c>
    </row>
    <row r="229" spans="1:19" x14ac:dyDescent="0.25">
      <c r="A229" t="s">
        <v>1353</v>
      </c>
      <c r="B229" t="s">
        <v>1199</v>
      </c>
      <c r="C229">
        <v>0.6</v>
      </c>
      <c r="D229">
        <v>1250</v>
      </c>
      <c r="E229">
        <v>0</v>
      </c>
      <c r="F229">
        <v>21</v>
      </c>
      <c r="G229">
        <v>21</v>
      </c>
      <c r="H229" t="s">
        <v>1208</v>
      </c>
      <c r="I229" s="1">
        <v>37159</v>
      </c>
      <c r="J229" s="1">
        <v>37313</v>
      </c>
      <c r="K229" t="s">
        <v>1124</v>
      </c>
      <c r="L229" t="s">
        <v>1124</v>
      </c>
      <c r="M229" s="1">
        <v>37281</v>
      </c>
      <c r="N229" s="1">
        <v>37329</v>
      </c>
      <c r="O229" t="s">
        <v>1117</v>
      </c>
      <c r="P229">
        <v>2</v>
      </c>
      <c r="Q229" t="s">
        <v>1215</v>
      </c>
      <c r="R229">
        <f t="shared" si="6"/>
        <v>11</v>
      </c>
      <c r="S229">
        <f t="shared" si="7"/>
        <v>1</v>
      </c>
    </row>
    <row r="230" spans="1:19" x14ac:dyDescent="0.25">
      <c r="A230" t="s">
        <v>1354</v>
      </c>
      <c r="B230" t="s">
        <v>4028</v>
      </c>
      <c r="C230">
        <v>0.8</v>
      </c>
      <c r="D230">
        <v>1250</v>
      </c>
      <c r="E230">
        <v>0</v>
      </c>
      <c r="F230">
        <v>10</v>
      </c>
      <c r="G230">
        <v>10</v>
      </c>
      <c r="H230" t="s">
        <v>1208</v>
      </c>
      <c r="I230" s="1">
        <v>37122</v>
      </c>
      <c r="J230" s="1">
        <v>37314</v>
      </c>
      <c r="K230" s="1">
        <v>37351</v>
      </c>
      <c r="L230" s="1">
        <v>37351</v>
      </c>
      <c r="M230" s="1">
        <v>37351</v>
      </c>
      <c r="N230" s="1">
        <v>37351</v>
      </c>
      <c r="O230" t="s">
        <v>1117</v>
      </c>
      <c r="P230">
        <v>1</v>
      </c>
      <c r="Q230" t="s">
        <v>1215</v>
      </c>
      <c r="R230">
        <f t="shared" si="6"/>
        <v>14</v>
      </c>
      <c r="S230">
        <f t="shared" si="7"/>
        <v>1</v>
      </c>
    </row>
    <row r="231" spans="1:19" x14ac:dyDescent="0.25">
      <c r="A231" t="s">
        <v>1355</v>
      </c>
      <c r="B231" t="s">
        <v>1199</v>
      </c>
      <c r="C231">
        <v>2.5</v>
      </c>
      <c r="D231">
        <v>250</v>
      </c>
      <c r="E231">
        <v>0</v>
      </c>
      <c r="F231">
        <v>30</v>
      </c>
      <c r="G231">
        <v>30</v>
      </c>
      <c r="H231" t="s">
        <v>1208</v>
      </c>
      <c r="I231" s="1">
        <v>37126</v>
      </c>
      <c r="J231" s="1">
        <v>37310</v>
      </c>
      <c r="K231" s="1">
        <v>37336</v>
      </c>
      <c r="L231" s="1">
        <v>37336</v>
      </c>
      <c r="M231" s="1">
        <v>37336</v>
      </c>
      <c r="N231" s="1">
        <v>37336</v>
      </c>
      <c r="O231" t="s">
        <v>1117</v>
      </c>
      <c r="P231">
        <v>3</v>
      </c>
      <c r="Q231" t="s">
        <v>1215</v>
      </c>
      <c r="R231">
        <f t="shared" si="6"/>
        <v>12</v>
      </c>
      <c r="S231">
        <f t="shared" si="7"/>
        <v>1</v>
      </c>
    </row>
    <row r="232" spans="1:19" x14ac:dyDescent="0.25">
      <c r="A232" t="s">
        <v>1356</v>
      </c>
      <c r="B232" t="s">
        <v>1199</v>
      </c>
      <c r="C232">
        <v>0.7</v>
      </c>
      <c r="D232">
        <v>600</v>
      </c>
      <c r="E232">
        <v>0</v>
      </c>
      <c r="F232">
        <v>9</v>
      </c>
      <c r="G232">
        <v>9</v>
      </c>
      <c r="H232" t="s">
        <v>1208</v>
      </c>
      <c r="I232" s="1">
        <v>37119</v>
      </c>
      <c r="J232" s="1">
        <v>37345</v>
      </c>
      <c r="K232" t="s">
        <v>1124</v>
      </c>
      <c r="L232" t="s">
        <v>1124</v>
      </c>
      <c r="M232" s="1">
        <v>37352</v>
      </c>
      <c r="N232" s="1">
        <v>37352</v>
      </c>
      <c r="O232" t="s">
        <v>1117</v>
      </c>
      <c r="P232">
        <v>1</v>
      </c>
      <c r="Q232" t="s">
        <v>1215</v>
      </c>
      <c r="R232">
        <f t="shared" si="6"/>
        <v>14</v>
      </c>
      <c r="S232">
        <f t="shared" si="7"/>
        <v>1</v>
      </c>
    </row>
    <row r="233" spans="1:19" x14ac:dyDescent="0.25">
      <c r="A233" t="s">
        <v>1357</v>
      </c>
      <c r="B233" t="s">
        <v>4028</v>
      </c>
      <c r="C233">
        <v>0.7</v>
      </c>
      <c r="D233">
        <v>650</v>
      </c>
      <c r="E233">
        <v>0</v>
      </c>
      <c r="F233">
        <v>11</v>
      </c>
      <c r="G233">
        <v>11</v>
      </c>
      <c r="H233" t="s">
        <v>1208</v>
      </c>
      <c r="I233" s="1">
        <v>37119</v>
      </c>
      <c r="J233" s="1">
        <v>37345</v>
      </c>
      <c r="K233" t="s">
        <v>1124</v>
      </c>
      <c r="L233" t="s">
        <v>1124</v>
      </c>
      <c r="M233" s="1">
        <v>37352</v>
      </c>
      <c r="N233" s="1">
        <v>37352</v>
      </c>
      <c r="O233" t="s">
        <v>1117</v>
      </c>
      <c r="P233">
        <v>2</v>
      </c>
      <c r="Q233" t="s">
        <v>1215</v>
      </c>
      <c r="R233">
        <f t="shared" si="6"/>
        <v>14</v>
      </c>
      <c r="S233">
        <f t="shared" si="7"/>
        <v>1</v>
      </c>
    </row>
    <row r="234" spans="1:19" x14ac:dyDescent="0.25">
      <c r="A234" t="s">
        <v>1358</v>
      </c>
      <c r="B234" t="s">
        <v>4028</v>
      </c>
      <c r="C234">
        <v>1.7</v>
      </c>
      <c r="D234">
        <v>250</v>
      </c>
      <c r="E234">
        <v>0</v>
      </c>
      <c r="F234">
        <v>20</v>
      </c>
      <c r="G234">
        <v>20</v>
      </c>
      <c r="H234" t="s">
        <v>1208</v>
      </c>
      <c r="I234" s="1">
        <v>37126</v>
      </c>
      <c r="J234" s="1">
        <v>37309</v>
      </c>
      <c r="K234" s="1">
        <v>37326</v>
      </c>
      <c r="L234" s="1">
        <v>37326</v>
      </c>
      <c r="M234" s="1">
        <v>37323</v>
      </c>
      <c r="N234" s="1">
        <v>37323</v>
      </c>
      <c r="O234" t="s">
        <v>1117</v>
      </c>
      <c r="P234">
        <v>1</v>
      </c>
      <c r="Q234" t="s">
        <v>1215</v>
      </c>
      <c r="R234">
        <f t="shared" si="6"/>
        <v>10</v>
      </c>
      <c r="S234">
        <f t="shared" si="7"/>
        <v>1</v>
      </c>
    </row>
    <row r="235" spans="1:19" x14ac:dyDescent="0.25">
      <c r="A235" t="s">
        <v>1359</v>
      </c>
      <c r="B235" t="s">
        <v>4026</v>
      </c>
      <c r="C235">
        <v>0.5</v>
      </c>
      <c r="D235">
        <v>1250</v>
      </c>
      <c r="E235">
        <v>0</v>
      </c>
      <c r="F235">
        <v>80</v>
      </c>
      <c r="G235">
        <v>80</v>
      </c>
      <c r="H235" t="s">
        <v>1208</v>
      </c>
      <c r="I235" s="1">
        <v>37304</v>
      </c>
      <c r="J235" s="1">
        <v>37314</v>
      </c>
      <c r="K235" t="s">
        <v>1124</v>
      </c>
      <c r="L235" t="s">
        <v>1124</v>
      </c>
      <c r="M235" s="1">
        <v>37345</v>
      </c>
      <c r="N235" s="1">
        <v>37391</v>
      </c>
      <c r="O235" t="s">
        <v>1117</v>
      </c>
      <c r="P235">
        <v>1</v>
      </c>
      <c r="Q235" t="s">
        <v>1215</v>
      </c>
      <c r="R235">
        <f t="shared" si="6"/>
        <v>20</v>
      </c>
      <c r="S235">
        <f t="shared" si="7"/>
        <v>1</v>
      </c>
    </row>
    <row r="236" spans="1:19" x14ac:dyDescent="0.25">
      <c r="A236" t="s">
        <v>1360</v>
      </c>
      <c r="B236" t="s">
        <v>4027</v>
      </c>
      <c r="C236">
        <v>0.45</v>
      </c>
      <c r="D236">
        <v>1250</v>
      </c>
      <c r="E236">
        <v>0</v>
      </c>
      <c r="F236">
        <v>20</v>
      </c>
      <c r="G236">
        <v>20</v>
      </c>
      <c r="H236" t="s">
        <v>1208</v>
      </c>
      <c r="I236" s="1">
        <v>37119</v>
      </c>
      <c r="J236" s="1">
        <v>37314</v>
      </c>
      <c r="K236" s="1">
        <v>37312</v>
      </c>
      <c r="L236" s="1">
        <v>37314</v>
      </c>
      <c r="M236" s="1">
        <v>37222</v>
      </c>
      <c r="N236" s="1">
        <v>37222</v>
      </c>
      <c r="O236" t="s">
        <v>1114</v>
      </c>
      <c r="P236">
        <v>2</v>
      </c>
      <c r="Q236" t="s">
        <v>1215</v>
      </c>
      <c r="R236">
        <f t="shared" si="6"/>
        <v>48</v>
      </c>
      <c r="S236">
        <f t="shared" si="7"/>
        <v>1</v>
      </c>
    </row>
    <row r="237" spans="1:19" x14ac:dyDescent="0.25">
      <c r="A237" t="s">
        <v>1361</v>
      </c>
      <c r="B237" t="s">
        <v>4028</v>
      </c>
      <c r="C237">
        <v>0.5</v>
      </c>
      <c r="D237">
        <v>1250</v>
      </c>
      <c r="E237">
        <v>0</v>
      </c>
      <c r="F237">
        <v>10</v>
      </c>
      <c r="G237">
        <v>10</v>
      </c>
      <c r="H237" t="s">
        <v>1208</v>
      </c>
      <c r="I237" s="1">
        <v>37159</v>
      </c>
      <c r="J237" s="1">
        <v>37314</v>
      </c>
      <c r="K237" s="1">
        <v>37351</v>
      </c>
      <c r="L237" s="1">
        <v>37351</v>
      </c>
      <c r="M237" s="1">
        <v>37351</v>
      </c>
      <c r="N237" s="1">
        <v>37351</v>
      </c>
      <c r="O237" t="s">
        <v>1117</v>
      </c>
      <c r="P237">
        <v>1</v>
      </c>
      <c r="Q237" t="s">
        <v>1215</v>
      </c>
      <c r="R237">
        <f t="shared" si="6"/>
        <v>14</v>
      </c>
      <c r="S237">
        <f t="shared" si="7"/>
        <v>1</v>
      </c>
    </row>
    <row r="238" spans="1:19" x14ac:dyDescent="0.25">
      <c r="A238" t="s">
        <v>1362</v>
      </c>
      <c r="B238" t="s">
        <v>4028</v>
      </c>
      <c r="C238">
        <v>0.5</v>
      </c>
      <c r="D238">
        <v>1250</v>
      </c>
      <c r="E238">
        <v>0</v>
      </c>
      <c r="F238">
        <v>80</v>
      </c>
      <c r="G238">
        <v>80</v>
      </c>
      <c r="H238" t="s">
        <v>1208</v>
      </c>
      <c r="I238" s="1">
        <v>37299</v>
      </c>
      <c r="J238" s="1">
        <v>37308</v>
      </c>
      <c r="K238" s="1">
        <v>37329</v>
      </c>
      <c r="L238" s="1">
        <v>37329</v>
      </c>
      <c r="M238" s="1">
        <v>37328</v>
      </c>
      <c r="N238" s="1">
        <v>37391</v>
      </c>
      <c r="O238" t="s">
        <v>1117</v>
      </c>
      <c r="P238">
        <v>2</v>
      </c>
      <c r="Q238" t="s">
        <v>1215</v>
      </c>
      <c r="R238">
        <f t="shared" si="6"/>
        <v>20</v>
      </c>
      <c r="S238">
        <f t="shared" si="7"/>
        <v>1</v>
      </c>
    </row>
    <row r="239" spans="1:19" x14ac:dyDescent="0.25">
      <c r="A239" t="s">
        <v>1363</v>
      </c>
      <c r="B239" t="s">
        <v>3631</v>
      </c>
      <c r="C239">
        <v>0.8</v>
      </c>
      <c r="D239">
        <v>1250</v>
      </c>
      <c r="E239">
        <v>0</v>
      </c>
      <c r="F239">
        <v>3</v>
      </c>
      <c r="G239">
        <v>3</v>
      </c>
      <c r="H239" t="s">
        <v>1208</v>
      </c>
      <c r="I239" s="1">
        <v>37159</v>
      </c>
      <c r="J239" s="1">
        <v>37323</v>
      </c>
      <c r="K239" t="s">
        <v>1124</v>
      </c>
      <c r="L239" t="s">
        <v>1124</v>
      </c>
      <c r="M239" s="1">
        <v>37267</v>
      </c>
      <c r="N239" s="1">
        <v>37267</v>
      </c>
      <c r="O239" t="s">
        <v>1117</v>
      </c>
      <c r="P239">
        <v>4</v>
      </c>
      <c r="Q239" t="s">
        <v>1215</v>
      </c>
      <c r="R239">
        <f t="shared" si="6"/>
        <v>2</v>
      </c>
      <c r="S239">
        <f t="shared" si="7"/>
        <v>1</v>
      </c>
    </row>
    <row r="240" spans="1:19" x14ac:dyDescent="0.25">
      <c r="A240" t="s">
        <v>1364</v>
      </c>
      <c r="B240" t="s">
        <v>1199</v>
      </c>
      <c r="C240">
        <v>0.5</v>
      </c>
      <c r="D240">
        <v>1250</v>
      </c>
      <c r="E240">
        <v>0</v>
      </c>
      <c r="F240">
        <v>80</v>
      </c>
      <c r="G240">
        <v>80</v>
      </c>
      <c r="H240" t="s">
        <v>1208</v>
      </c>
      <c r="I240" s="1">
        <v>37352</v>
      </c>
      <c r="J240" s="1">
        <v>37391</v>
      </c>
      <c r="K240" t="s">
        <v>1124</v>
      </c>
      <c r="L240" t="s">
        <v>1124</v>
      </c>
      <c r="M240" s="1">
        <v>37391</v>
      </c>
      <c r="N240" s="1">
        <v>37391</v>
      </c>
      <c r="O240" t="s">
        <v>1117</v>
      </c>
      <c r="P240">
        <v>1</v>
      </c>
      <c r="Q240" t="s">
        <v>1215</v>
      </c>
      <c r="R240">
        <f t="shared" si="6"/>
        <v>20</v>
      </c>
      <c r="S240">
        <f t="shared" si="7"/>
        <v>1</v>
      </c>
    </row>
    <row r="241" spans="1:19" x14ac:dyDescent="0.25">
      <c r="A241" t="s">
        <v>1365</v>
      </c>
      <c r="B241" t="s">
        <v>4027</v>
      </c>
      <c r="C241">
        <v>1</v>
      </c>
      <c r="D241">
        <v>58.7</v>
      </c>
      <c r="E241">
        <v>0</v>
      </c>
      <c r="F241">
        <v>20</v>
      </c>
      <c r="G241">
        <v>20</v>
      </c>
      <c r="H241" t="s">
        <v>1208</v>
      </c>
      <c r="I241" s="1">
        <v>37159</v>
      </c>
      <c r="J241" s="1">
        <v>37344</v>
      </c>
      <c r="K241" s="1">
        <v>37351</v>
      </c>
      <c r="L241" s="1">
        <v>37351</v>
      </c>
      <c r="M241" s="1">
        <v>37351</v>
      </c>
      <c r="N241" s="1">
        <v>37351</v>
      </c>
      <c r="O241" t="s">
        <v>1117</v>
      </c>
      <c r="P241">
        <v>1</v>
      </c>
      <c r="Q241" t="s">
        <v>1215</v>
      </c>
      <c r="R241">
        <f t="shared" si="6"/>
        <v>14</v>
      </c>
      <c r="S241">
        <f t="shared" si="7"/>
        <v>1</v>
      </c>
    </row>
    <row r="242" spans="1:19" x14ac:dyDescent="0.25">
      <c r="A242" t="s">
        <v>1366</v>
      </c>
      <c r="B242" t="s">
        <v>4026</v>
      </c>
      <c r="C242">
        <v>0.8</v>
      </c>
      <c r="D242">
        <v>525</v>
      </c>
      <c r="E242">
        <v>0</v>
      </c>
      <c r="F242">
        <v>10.125</v>
      </c>
      <c r="G242">
        <v>10.125</v>
      </c>
      <c r="H242" t="s">
        <v>1208</v>
      </c>
      <c r="I242" s="1">
        <v>37189</v>
      </c>
      <c r="J242" s="1">
        <v>37331</v>
      </c>
      <c r="K242" s="1">
        <v>37338</v>
      </c>
      <c r="L242" s="1">
        <v>37338</v>
      </c>
      <c r="M242" s="1">
        <v>37338</v>
      </c>
      <c r="N242" s="1">
        <v>37338</v>
      </c>
      <c r="O242" t="s">
        <v>1117</v>
      </c>
      <c r="P242">
        <v>1</v>
      </c>
      <c r="Q242" t="s">
        <v>1215</v>
      </c>
      <c r="R242">
        <f t="shared" si="6"/>
        <v>12</v>
      </c>
      <c r="S242">
        <f t="shared" si="7"/>
        <v>1</v>
      </c>
    </row>
    <row r="243" spans="1:19" x14ac:dyDescent="0.25">
      <c r="A243" t="s">
        <v>1367</v>
      </c>
      <c r="B243" t="s">
        <v>4028</v>
      </c>
      <c r="C243">
        <v>2.5</v>
      </c>
      <c r="D243">
        <v>1000</v>
      </c>
      <c r="E243">
        <v>0</v>
      </c>
      <c r="F243">
        <v>60</v>
      </c>
      <c r="G243">
        <v>60</v>
      </c>
      <c r="H243" t="s">
        <v>1208</v>
      </c>
      <c r="I243" s="1">
        <v>37110</v>
      </c>
      <c r="J243" s="1">
        <v>37314</v>
      </c>
      <c r="K243" s="1">
        <v>37320</v>
      </c>
      <c r="L243" s="1">
        <v>37320</v>
      </c>
      <c r="M243" s="1">
        <v>37322</v>
      </c>
      <c r="N243" s="1">
        <v>37322</v>
      </c>
      <c r="O243" t="s">
        <v>1117</v>
      </c>
      <c r="P243">
        <v>1</v>
      </c>
      <c r="Q243" t="s">
        <v>1215</v>
      </c>
      <c r="R243">
        <f t="shared" si="6"/>
        <v>10</v>
      </c>
      <c r="S243">
        <f t="shared" si="7"/>
        <v>1</v>
      </c>
    </row>
    <row r="244" spans="1:19" x14ac:dyDescent="0.25">
      <c r="A244" t="s">
        <v>1368</v>
      </c>
      <c r="B244" t="s">
        <v>1199</v>
      </c>
      <c r="C244">
        <v>0.91400000000000003</v>
      </c>
      <c r="D244">
        <v>1250</v>
      </c>
      <c r="E244">
        <v>0</v>
      </c>
      <c r="F244">
        <v>36.286999999999999</v>
      </c>
      <c r="G244">
        <v>36.286999999999999</v>
      </c>
      <c r="H244" t="s">
        <v>1208</v>
      </c>
      <c r="I244" s="1">
        <v>37134</v>
      </c>
      <c r="J244" s="1">
        <v>37314</v>
      </c>
      <c r="K244" s="1">
        <v>37325</v>
      </c>
      <c r="L244" s="1">
        <v>37325</v>
      </c>
      <c r="M244" s="1">
        <v>37326</v>
      </c>
      <c r="N244" s="1">
        <v>37326</v>
      </c>
      <c r="O244" t="s">
        <v>1117</v>
      </c>
      <c r="P244">
        <v>2</v>
      </c>
      <c r="Q244" t="s">
        <v>1215</v>
      </c>
      <c r="R244">
        <f t="shared" si="6"/>
        <v>11</v>
      </c>
      <c r="S244">
        <f t="shared" si="7"/>
        <v>1</v>
      </c>
    </row>
    <row r="245" spans="1:19" x14ac:dyDescent="0.25">
      <c r="A245" t="s">
        <v>1369</v>
      </c>
      <c r="B245" t="s">
        <v>1199</v>
      </c>
      <c r="C245">
        <v>1.5</v>
      </c>
      <c r="D245">
        <v>1250</v>
      </c>
      <c r="E245">
        <v>0</v>
      </c>
      <c r="F245">
        <v>6</v>
      </c>
      <c r="G245">
        <v>6</v>
      </c>
      <c r="H245" t="s">
        <v>1208</v>
      </c>
      <c r="I245" s="1">
        <v>37119</v>
      </c>
      <c r="J245" s="1">
        <v>37322</v>
      </c>
      <c r="K245" s="1">
        <v>37345</v>
      </c>
      <c r="L245" s="1">
        <v>37345</v>
      </c>
      <c r="M245" s="1">
        <v>37345</v>
      </c>
      <c r="N245" s="1">
        <v>37345</v>
      </c>
      <c r="O245" t="s">
        <v>1117</v>
      </c>
      <c r="P245">
        <v>1</v>
      </c>
      <c r="Q245" t="s">
        <v>1215</v>
      </c>
      <c r="R245">
        <f t="shared" si="6"/>
        <v>13</v>
      </c>
      <c r="S245">
        <f t="shared" si="7"/>
        <v>1</v>
      </c>
    </row>
    <row r="246" spans="1:19" x14ac:dyDescent="0.25">
      <c r="A246" t="s">
        <v>1370</v>
      </c>
      <c r="B246" t="s">
        <v>4026</v>
      </c>
      <c r="C246">
        <v>1.2</v>
      </c>
      <c r="D246">
        <v>1250</v>
      </c>
      <c r="E246">
        <v>0</v>
      </c>
      <c r="F246">
        <v>44</v>
      </c>
      <c r="G246">
        <v>44</v>
      </c>
      <c r="H246" t="s">
        <v>1208</v>
      </c>
      <c r="I246" s="1">
        <v>37159</v>
      </c>
      <c r="J246" s="1">
        <v>37314</v>
      </c>
      <c r="K246" s="1">
        <v>37316</v>
      </c>
      <c r="L246" s="1">
        <v>37316</v>
      </c>
      <c r="M246" s="1">
        <v>37323</v>
      </c>
      <c r="N246" s="1">
        <v>37323</v>
      </c>
      <c r="O246" t="s">
        <v>1117</v>
      </c>
      <c r="P246">
        <v>1</v>
      </c>
      <c r="Q246" t="s">
        <v>1215</v>
      </c>
      <c r="R246">
        <f t="shared" si="6"/>
        <v>10</v>
      </c>
      <c r="S246">
        <f t="shared" si="7"/>
        <v>1</v>
      </c>
    </row>
    <row r="247" spans="1:19" x14ac:dyDescent="0.25">
      <c r="A247" t="s">
        <v>1371</v>
      </c>
      <c r="B247" t="s">
        <v>1199</v>
      </c>
      <c r="C247">
        <v>0.8</v>
      </c>
      <c r="D247">
        <v>316</v>
      </c>
      <c r="E247">
        <v>0</v>
      </c>
      <c r="F247">
        <v>20.308</v>
      </c>
      <c r="G247">
        <v>20.308</v>
      </c>
      <c r="H247" t="s">
        <v>1208</v>
      </c>
      <c r="I247" s="1">
        <v>37189</v>
      </c>
      <c r="J247" s="1">
        <v>37331</v>
      </c>
      <c r="K247" s="1">
        <v>37338</v>
      </c>
      <c r="L247" s="1">
        <v>37338</v>
      </c>
      <c r="M247" s="1">
        <v>37338</v>
      </c>
      <c r="N247" s="1">
        <v>37338</v>
      </c>
      <c r="O247" t="s">
        <v>1117</v>
      </c>
      <c r="P247">
        <v>1</v>
      </c>
      <c r="Q247" t="s">
        <v>1215</v>
      </c>
      <c r="R247">
        <f t="shared" si="6"/>
        <v>12</v>
      </c>
      <c r="S247">
        <f t="shared" si="7"/>
        <v>1</v>
      </c>
    </row>
    <row r="248" spans="1:19" x14ac:dyDescent="0.25">
      <c r="A248" t="s">
        <v>1372</v>
      </c>
      <c r="B248" t="s">
        <v>4026</v>
      </c>
      <c r="C248">
        <v>1.5</v>
      </c>
      <c r="D248">
        <v>1250</v>
      </c>
      <c r="E248">
        <v>0</v>
      </c>
      <c r="F248">
        <v>6</v>
      </c>
      <c r="G248">
        <v>6</v>
      </c>
      <c r="H248" t="s">
        <v>1208</v>
      </c>
      <c r="I248" s="1">
        <v>37120</v>
      </c>
      <c r="J248" s="1">
        <v>37322</v>
      </c>
      <c r="K248" s="1">
        <v>37345</v>
      </c>
      <c r="L248" s="1">
        <v>37345</v>
      </c>
      <c r="M248" s="1">
        <v>37345</v>
      </c>
      <c r="N248" s="1">
        <v>37345</v>
      </c>
      <c r="O248" t="s">
        <v>1117</v>
      </c>
      <c r="P248">
        <v>1</v>
      </c>
      <c r="Q248" t="s">
        <v>1215</v>
      </c>
      <c r="R248">
        <f t="shared" si="6"/>
        <v>13</v>
      </c>
      <c r="S248">
        <f t="shared" si="7"/>
        <v>1</v>
      </c>
    </row>
    <row r="249" spans="1:19" x14ac:dyDescent="0.25">
      <c r="A249" t="s">
        <v>1373</v>
      </c>
      <c r="B249" t="s">
        <v>1199</v>
      </c>
      <c r="C249">
        <v>3</v>
      </c>
      <c r="D249">
        <v>1250</v>
      </c>
      <c r="E249">
        <v>0</v>
      </c>
      <c r="F249">
        <v>3</v>
      </c>
      <c r="G249">
        <v>3</v>
      </c>
      <c r="H249" t="s">
        <v>1208</v>
      </c>
      <c r="I249" s="1">
        <v>37159</v>
      </c>
      <c r="J249" s="1">
        <v>37319</v>
      </c>
      <c r="K249" s="1">
        <v>37308</v>
      </c>
      <c r="L249" s="1">
        <v>37319</v>
      </c>
      <c r="M249" s="1">
        <v>37280</v>
      </c>
      <c r="N249" s="1">
        <v>37284</v>
      </c>
      <c r="O249" t="s">
        <v>1114</v>
      </c>
      <c r="P249">
        <v>1</v>
      </c>
      <c r="Q249" t="s">
        <v>1215</v>
      </c>
      <c r="R249">
        <f t="shared" si="6"/>
        <v>5</v>
      </c>
      <c r="S249">
        <f t="shared" si="7"/>
        <v>1</v>
      </c>
    </row>
    <row r="250" spans="1:19" x14ac:dyDescent="0.25">
      <c r="A250" t="s">
        <v>1374</v>
      </c>
      <c r="B250" t="s">
        <v>4026</v>
      </c>
      <c r="C250">
        <v>2.5</v>
      </c>
      <c r="D250">
        <v>1250</v>
      </c>
      <c r="E250">
        <v>0</v>
      </c>
      <c r="F250">
        <v>9</v>
      </c>
      <c r="G250">
        <v>0.92600000000000005</v>
      </c>
      <c r="H250" t="s">
        <v>1208</v>
      </c>
      <c r="I250" s="1">
        <v>37159</v>
      </c>
      <c r="J250" s="1">
        <v>37325</v>
      </c>
      <c r="K250" s="1">
        <v>37361</v>
      </c>
      <c r="L250" s="1">
        <v>37361</v>
      </c>
      <c r="M250" s="1">
        <v>37339</v>
      </c>
      <c r="N250" s="1">
        <v>37339</v>
      </c>
      <c r="O250" t="s">
        <v>1117</v>
      </c>
      <c r="P250">
        <v>2</v>
      </c>
      <c r="Q250" t="s">
        <v>1215</v>
      </c>
      <c r="R250">
        <f t="shared" si="6"/>
        <v>13</v>
      </c>
      <c r="S250">
        <f t="shared" si="7"/>
        <v>0</v>
      </c>
    </row>
    <row r="251" spans="1:19" x14ac:dyDescent="0.25">
      <c r="A251" t="s">
        <v>1375</v>
      </c>
      <c r="B251" t="s">
        <v>1199</v>
      </c>
      <c r="C251">
        <v>1.7</v>
      </c>
      <c r="D251">
        <v>1100</v>
      </c>
      <c r="E251">
        <v>0</v>
      </c>
      <c r="F251">
        <v>50</v>
      </c>
      <c r="G251">
        <v>5.1440000000000001</v>
      </c>
      <c r="H251" t="s">
        <v>1208</v>
      </c>
      <c r="I251" s="1">
        <v>37159</v>
      </c>
      <c r="J251" s="1">
        <v>37336</v>
      </c>
      <c r="K251" s="1">
        <v>37308</v>
      </c>
      <c r="L251" s="1">
        <v>37336</v>
      </c>
      <c r="M251" s="1">
        <v>37286</v>
      </c>
      <c r="N251" s="1">
        <v>37286</v>
      </c>
      <c r="O251" t="s">
        <v>1114</v>
      </c>
      <c r="P251">
        <v>1</v>
      </c>
      <c r="Q251" t="s">
        <v>1215</v>
      </c>
      <c r="R251">
        <f t="shared" si="6"/>
        <v>5</v>
      </c>
      <c r="S251">
        <f t="shared" si="7"/>
        <v>0</v>
      </c>
    </row>
    <row r="252" spans="1:19" x14ac:dyDescent="0.25">
      <c r="A252" t="s">
        <v>1376</v>
      </c>
      <c r="B252" t="s">
        <v>4027</v>
      </c>
      <c r="C252">
        <v>3</v>
      </c>
      <c r="D252">
        <v>1250</v>
      </c>
      <c r="E252">
        <v>0</v>
      </c>
      <c r="F252">
        <v>12</v>
      </c>
      <c r="G252">
        <v>12</v>
      </c>
      <c r="H252" t="s">
        <v>1208</v>
      </c>
      <c r="I252" s="1">
        <v>37110</v>
      </c>
      <c r="J252" s="1">
        <v>37337</v>
      </c>
      <c r="K252" s="1">
        <v>37345</v>
      </c>
      <c r="L252" s="1">
        <v>37345</v>
      </c>
      <c r="M252" s="1">
        <v>37345</v>
      </c>
      <c r="N252" s="1">
        <v>37345</v>
      </c>
      <c r="O252" t="s">
        <v>1117</v>
      </c>
      <c r="P252">
        <v>6</v>
      </c>
      <c r="Q252" t="s">
        <v>1215</v>
      </c>
      <c r="R252">
        <f t="shared" si="6"/>
        <v>13</v>
      </c>
      <c r="S252">
        <f t="shared" si="7"/>
        <v>1</v>
      </c>
    </row>
    <row r="253" spans="1:19" x14ac:dyDescent="0.25">
      <c r="A253" t="s">
        <v>1377</v>
      </c>
      <c r="B253" t="s">
        <v>1199</v>
      </c>
      <c r="C253">
        <v>1.25</v>
      </c>
      <c r="D253">
        <v>1250</v>
      </c>
      <c r="E253">
        <v>0</v>
      </c>
      <c r="F253">
        <v>28.571999999999999</v>
      </c>
      <c r="G253">
        <v>28.571999999999999</v>
      </c>
      <c r="H253" t="s">
        <v>1208</v>
      </c>
      <c r="I253" s="1">
        <v>37159</v>
      </c>
      <c r="J253" s="1">
        <v>37336</v>
      </c>
      <c r="K253" s="1">
        <v>37332</v>
      </c>
      <c r="L253" s="1">
        <v>37336</v>
      </c>
      <c r="M253" s="1">
        <v>37339</v>
      </c>
      <c r="N253" s="1">
        <v>37339</v>
      </c>
      <c r="O253" t="s">
        <v>1114</v>
      </c>
      <c r="P253">
        <v>1</v>
      </c>
      <c r="Q253" t="s">
        <v>1215</v>
      </c>
      <c r="R253">
        <f t="shared" si="6"/>
        <v>13</v>
      </c>
      <c r="S253">
        <f t="shared" si="7"/>
        <v>1</v>
      </c>
    </row>
    <row r="254" spans="1:19" x14ac:dyDescent="0.25">
      <c r="A254" t="s">
        <v>1378</v>
      </c>
      <c r="B254" t="s">
        <v>1199</v>
      </c>
      <c r="C254">
        <v>2</v>
      </c>
      <c r="D254">
        <v>1250</v>
      </c>
      <c r="E254">
        <v>0</v>
      </c>
      <c r="F254">
        <v>12</v>
      </c>
      <c r="G254">
        <v>12</v>
      </c>
      <c r="H254" t="s">
        <v>1208</v>
      </c>
      <c r="I254" s="1">
        <v>37132</v>
      </c>
      <c r="J254" s="1">
        <v>37322</v>
      </c>
      <c r="K254" s="1">
        <v>37334</v>
      </c>
      <c r="L254" s="1">
        <v>37334</v>
      </c>
      <c r="M254" s="1">
        <v>37334</v>
      </c>
      <c r="N254" s="1">
        <v>37334</v>
      </c>
      <c r="O254" t="s">
        <v>1117</v>
      </c>
      <c r="P254">
        <v>1</v>
      </c>
      <c r="Q254" t="s">
        <v>1215</v>
      </c>
      <c r="R254">
        <f t="shared" si="6"/>
        <v>12</v>
      </c>
      <c r="S254">
        <f t="shared" si="7"/>
        <v>1</v>
      </c>
    </row>
    <row r="255" spans="1:19" x14ac:dyDescent="0.25">
      <c r="A255" t="s">
        <v>1379</v>
      </c>
      <c r="B255" t="s">
        <v>1199</v>
      </c>
      <c r="C255">
        <v>0.5</v>
      </c>
      <c r="D255">
        <v>1250</v>
      </c>
      <c r="E255">
        <v>0</v>
      </c>
      <c r="F255">
        <v>9</v>
      </c>
      <c r="G255">
        <v>9</v>
      </c>
      <c r="H255" t="s">
        <v>1208</v>
      </c>
      <c r="I255" s="1">
        <v>37119</v>
      </c>
      <c r="J255" s="1">
        <v>37313</v>
      </c>
      <c r="K255" s="1">
        <v>37356</v>
      </c>
      <c r="L255" s="1">
        <v>37356</v>
      </c>
      <c r="M255" s="1">
        <v>37286</v>
      </c>
      <c r="N255" s="1">
        <v>37286</v>
      </c>
      <c r="O255" t="s">
        <v>1117</v>
      </c>
      <c r="P255">
        <v>1</v>
      </c>
      <c r="Q255" t="s">
        <v>1215</v>
      </c>
      <c r="R255">
        <f t="shared" si="6"/>
        <v>5</v>
      </c>
      <c r="S255">
        <f t="shared" si="7"/>
        <v>1</v>
      </c>
    </row>
    <row r="256" spans="1:19" x14ac:dyDescent="0.25">
      <c r="A256" t="s">
        <v>1380</v>
      </c>
      <c r="B256" t="s">
        <v>1199</v>
      </c>
      <c r="C256">
        <v>0.48</v>
      </c>
      <c r="D256">
        <v>1250</v>
      </c>
      <c r="E256">
        <v>0</v>
      </c>
      <c r="F256">
        <v>120</v>
      </c>
      <c r="G256">
        <v>120</v>
      </c>
      <c r="H256" t="s">
        <v>1208</v>
      </c>
      <c r="I256" s="1">
        <v>37159</v>
      </c>
      <c r="J256" s="1">
        <v>37314</v>
      </c>
      <c r="K256" s="1">
        <v>37342</v>
      </c>
      <c r="L256" s="1">
        <v>37342</v>
      </c>
      <c r="M256" s="1">
        <v>37342</v>
      </c>
      <c r="N256" s="1">
        <v>37342</v>
      </c>
      <c r="O256" t="s">
        <v>1117</v>
      </c>
      <c r="P256">
        <v>1</v>
      </c>
      <c r="Q256" t="s">
        <v>1215</v>
      </c>
      <c r="R256">
        <f t="shared" si="6"/>
        <v>13</v>
      </c>
      <c r="S256">
        <f t="shared" si="7"/>
        <v>1</v>
      </c>
    </row>
    <row r="257" spans="1:19" x14ac:dyDescent="0.25">
      <c r="A257" t="s">
        <v>1381</v>
      </c>
      <c r="B257" t="s">
        <v>4028</v>
      </c>
      <c r="C257">
        <v>1.2</v>
      </c>
      <c r="D257">
        <v>1250</v>
      </c>
      <c r="E257">
        <v>0</v>
      </c>
      <c r="F257">
        <v>9</v>
      </c>
      <c r="G257">
        <v>9</v>
      </c>
      <c r="H257" t="s">
        <v>1208</v>
      </c>
      <c r="I257" s="1">
        <v>37110</v>
      </c>
      <c r="J257" s="1">
        <v>37315</v>
      </c>
      <c r="K257" s="1">
        <v>37311</v>
      </c>
      <c r="L257" s="1">
        <v>37315</v>
      </c>
      <c r="M257" s="1">
        <v>37266</v>
      </c>
      <c r="N257" s="1">
        <v>37280</v>
      </c>
      <c r="O257" t="s">
        <v>1114</v>
      </c>
      <c r="P257">
        <v>2</v>
      </c>
      <c r="Q257" t="s">
        <v>1215</v>
      </c>
      <c r="R257">
        <f t="shared" si="6"/>
        <v>4</v>
      </c>
      <c r="S257">
        <f t="shared" si="7"/>
        <v>1</v>
      </c>
    </row>
    <row r="258" spans="1:19" x14ac:dyDescent="0.25">
      <c r="A258" t="s">
        <v>1382</v>
      </c>
      <c r="B258" t="s">
        <v>4028</v>
      </c>
      <c r="C258">
        <v>0.8</v>
      </c>
      <c r="D258">
        <v>1250</v>
      </c>
      <c r="E258">
        <v>0</v>
      </c>
      <c r="F258">
        <v>20</v>
      </c>
      <c r="G258">
        <v>20</v>
      </c>
      <c r="H258" t="s">
        <v>1208</v>
      </c>
      <c r="I258" s="1">
        <v>37119</v>
      </c>
      <c r="J258" s="1">
        <v>37315</v>
      </c>
      <c r="K258" s="1">
        <v>37334</v>
      </c>
      <c r="L258" s="1">
        <v>37334</v>
      </c>
      <c r="M258" s="1">
        <v>37334</v>
      </c>
      <c r="N258" s="1">
        <v>37334</v>
      </c>
      <c r="O258" t="s">
        <v>1117</v>
      </c>
      <c r="P258">
        <v>1</v>
      </c>
      <c r="Q258" t="s">
        <v>1215</v>
      </c>
      <c r="R258">
        <f t="shared" si="6"/>
        <v>12</v>
      </c>
      <c r="S258">
        <f t="shared" si="7"/>
        <v>1</v>
      </c>
    </row>
    <row r="259" spans="1:19" x14ac:dyDescent="0.25">
      <c r="A259" t="s">
        <v>1383</v>
      </c>
      <c r="B259" t="s">
        <v>4028</v>
      </c>
      <c r="C259">
        <v>2.5</v>
      </c>
      <c r="D259">
        <v>1250</v>
      </c>
      <c r="E259">
        <v>0</v>
      </c>
      <c r="F259">
        <v>100</v>
      </c>
      <c r="G259">
        <v>100</v>
      </c>
      <c r="H259" t="s">
        <v>1208</v>
      </c>
      <c r="I259" s="1">
        <v>37133</v>
      </c>
      <c r="J259" s="1">
        <v>37337</v>
      </c>
      <c r="K259" s="1">
        <v>37353</v>
      </c>
      <c r="L259" s="1">
        <v>37353</v>
      </c>
      <c r="M259" s="1">
        <v>37353</v>
      </c>
      <c r="N259" s="1">
        <v>37353</v>
      </c>
      <c r="O259" t="s">
        <v>1117</v>
      </c>
      <c r="P259">
        <v>1</v>
      </c>
      <c r="Q259" t="s">
        <v>1215</v>
      </c>
      <c r="R259">
        <f t="shared" ref="R259:R322" si="8">WEEKNUM(N259,1)</f>
        <v>15</v>
      </c>
      <c r="S259">
        <f t="shared" ref="S259:S322" si="9">IF(AND(F259=G259, M259&lt;=N259), 1,0)</f>
        <v>1</v>
      </c>
    </row>
    <row r="260" spans="1:19" x14ac:dyDescent="0.25">
      <c r="A260" t="s">
        <v>1384</v>
      </c>
      <c r="B260" t="s">
        <v>1199</v>
      </c>
      <c r="C260">
        <v>0.8</v>
      </c>
      <c r="D260">
        <v>1250</v>
      </c>
      <c r="E260">
        <v>0</v>
      </c>
      <c r="F260">
        <v>20</v>
      </c>
      <c r="G260">
        <v>20</v>
      </c>
      <c r="H260" t="s">
        <v>1208</v>
      </c>
      <c r="I260" s="1">
        <v>37119</v>
      </c>
      <c r="J260" s="1">
        <v>37315</v>
      </c>
      <c r="K260" s="1">
        <v>37333</v>
      </c>
      <c r="L260" s="1">
        <v>37333</v>
      </c>
      <c r="M260" s="1">
        <v>37333</v>
      </c>
      <c r="N260" s="1">
        <v>37334</v>
      </c>
      <c r="O260" t="s">
        <v>1117</v>
      </c>
      <c r="P260">
        <v>1</v>
      </c>
      <c r="Q260" t="s">
        <v>1215</v>
      </c>
      <c r="R260">
        <f t="shared" si="8"/>
        <v>12</v>
      </c>
      <c r="S260">
        <f t="shared" si="9"/>
        <v>1</v>
      </c>
    </row>
    <row r="261" spans="1:19" x14ac:dyDescent="0.25">
      <c r="A261" t="s">
        <v>1385</v>
      </c>
      <c r="B261" t="s">
        <v>4029</v>
      </c>
      <c r="C261">
        <v>2</v>
      </c>
      <c r="D261">
        <v>1250</v>
      </c>
      <c r="E261">
        <v>0</v>
      </c>
      <c r="F261">
        <v>40</v>
      </c>
      <c r="G261">
        <v>8.6340000000000003</v>
      </c>
      <c r="H261" t="s">
        <v>1208</v>
      </c>
      <c r="I261" s="1">
        <v>37159</v>
      </c>
      <c r="J261" s="1">
        <v>37315</v>
      </c>
      <c r="K261" s="1">
        <v>37328</v>
      </c>
      <c r="L261" s="1">
        <v>37328</v>
      </c>
      <c r="M261" s="1">
        <v>37327</v>
      </c>
      <c r="N261" s="1">
        <v>37327</v>
      </c>
      <c r="O261" t="s">
        <v>1117</v>
      </c>
      <c r="P261">
        <v>1</v>
      </c>
      <c r="Q261" t="s">
        <v>1215</v>
      </c>
      <c r="R261">
        <f t="shared" si="8"/>
        <v>11</v>
      </c>
      <c r="S261">
        <f t="shared" si="9"/>
        <v>0</v>
      </c>
    </row>
    <row r="262" spans="1:19" x14ac:dyDescent="0.25">
      <c r="A262" t="s">
        <v>1386</v>
      </c>
      <c r="B262" t="s">
        <v>1199</v>
      </c>
      <c r="C262">
        <v>2</v>
      </c>
      <c r="D262">
        <v>1250</v>
      </c>
      <c r="E262">
        <v>0</v>
      </c>
      <c r="F262">
        <v>40</v>
      </c>
      <c r="G262">
        <v>6.01</v>
      </c>
      <c r="H262" t="s">
        <v>1208</v>
      </c>
      <c r="I262" s="1">
        <v>37159</v>
      </c>
      <c r="J262" s="1">
        <v>37315</v>
      </c>
      <c r="K262" s="1">
        <v>37308</v>
      </c>
      <c r="L262" s="1">
        <v>37315</v>
      </c>
      <c r="M262" s="1">
        <v>37262</v>
      </c>
      <c r="N262" s="1">
        <v>37262</v>
      </c>
      <c r="O262" t="s">
        <v>1114</v>
      </c>
      <c r="P262">
        <v>2</v>
      </c>
      <c r="Q262" t="s">
        <v>1215</v>
      </c>
      <c r="R262">
        <f t="shared" si="8"/>
        <v>2</v>
      </c>
      <c r="S262">
        <f t="shared" si="9"/>
        <v>0</v>
      </c>
    </row>
    <row r="263" spans="1:19" x14ac:dyDescent="0.25">
      <c r="A263" t="s">
        <v>1387</v>
      </c>
      <c r="B263" t="s">
        <v>1199</v>
      </c>
      <c r="C263">
        <v>0.5</v>
      </c>
      <c r="D263">
        <v>1250</v>
      </c>
      <c r="E263">
        <v>0</v>
      </c>
      <c r="F263">
        <v>30</v>
      </c>
      <c r="G263">
        <v>30</v>
      </c>
      <c r="H263" t="s">
        <v>1208</v>
      </c>
      <c r="I263" s="1">
        <v>37128</v>
      </c>
      <c r="J263" s="1">
        <v>37315</v>
      </c>
      <c r="K263" s="1">
        <v>37332</v>
      </c>
      <c r="L263" s="1">
        <v>37332</v>
      </c>
      <c r="M263" s="1">
        <v>37332</v>
      </c>
      <c r="N263" s="1">
        <v>37334</v>
      </c>
      <c r="O263" t="s">
        <v>1117</v>
      </c>
      <c r="P263">
        <v>9</v>
      </c>
      <c r="Q263" t="s">
        <v>1215</v>
      </c>
      <c r="R263">
        <f t="shared" si="8"/>
        <v>12</v>
      </c>
      <c r="S263">
        <f t="shared" si="9"/>
        <v>1</v>
      </c>
    </row>
    <row r="264" spans="1:19" x14ac:dyDescent="0.25">
      <c r="A264" t="s">
        <v>1388</v>
      </c>
      <c r="B264" t="s">
        <v>4027</v>
      </c>
      <c r="C264">
        <v>2</v>
      </c>
      <c r="D264">
        <v>1250</v>
      </c>
      <c r="E264">
        <v>0</v>
      </c>
      <c r="F264">
        <v>40</v>
      </c>
      <c r="G264">
        <v>40</v>
      </c>
      <c r="H264" t="s">
        <v>1208</v>
      </c>
      <c r="I264" s="1">
        <v>37133</v>
      </c>
      <c r="J264" s="1">
        <v>37337</v>
      </c>
      <c r="K264" t="s">
        <v>1124</v>
      </c>
      <c r="L264" t="s">
        <v>1124</v>
      </c>
      <c r="M264" s="1">
        <v>37339</v>
      </c>
      <c r="N264" s="1">
        <v>37339</v>
      </c>
      <c r="O264" t="s">
        <v>1117</v>
      </c>
      <c r="P264">
        <v>1</v>
      </c>
      <c r="Q264" t="s">
        <v>1215</v>
      </c>
      <c r="R264">
        <f t="shared" si="8"/>
        <v>13</v>
      </c>
      <c r="S264">
        <f t="shared" si="9"/>
        <v>1</v>
      </c>
    </row>
    <row r="265" spans="1:19" x14ac:dyDescent="0.25">
      <c r="A265" t="s">
        <v>1389</v>
      </c>
      <c r="B265" t="s">
        <v>1199</v>
      </c>
      <c r="C265">
        <v>0.7</v>
      </c>
      <c r="D265">
        <v>1250</v>
      </c>
      <c r="E265">
        <v>0</v>
      </c>
      <c r="F265">
        <v>96</v>
      </c>
      <c r="G265">
        <v>96</v>
      </c>
      <c r="H265" t="s">
        <v>1208</v>
      </c>
      <c r="I265" s="1">
        <v>37104</v>
      </c>
      <c r="J265" s="1">
        <v>37325</v>
      </c>
      <c r="K265" s="1">
        <v>37360</v>
      </c>
      <c r="L265" s="1">
        <v>37360</v>
      </c>
      <c r="M265" s="1">
        <v>37359</v>
      </c>
      <c r="N265" s="1">
        <v>37368</v>
      </c>
      <c r="O265" t="s">
        <v>1117</v>
      </c>
      <c r="P265">
        <v>3</v>
      </c>
      <c r="Q265" t="s">
        <v>1215</v>
      </c>
      <c r="R265">
        <f t="shared" si="8"/>
        <v>17</v>
      </c>
      <c r="S265">
        <f t="shared" si="9"/>
        <v>1</v>
      </c>
    </row>
    <row r="266" spans="1:19" x14ac:dyDescent="0.25">
      <c r="A266" t="s">
        <v>1390</v>
      </c>
      <c r="B266" t="s">
        <v>4028</v>
      </c>
      <c r="C266">
        <v>1</v>
      </c>
      <c r="D266">
        <v>1250</v>
      </c>
      <c r="E266">
        <v>0</v>
      </c>
      <c r="F266">
        <v>18</v>
      </c>
      <c r="G266">
        <v>18</v>
      </c>
      <c r="H266" t="s">
        <v>1208</v>
      </c>
      <c r="I266" s="1">
        <v>37159</v>
      </c>
      <c r="J266" s="1">
        <v>37315</v>
      </c>
      <c r="K266" s="1">
        <v>37323</v>
      </c>
      <c r="L266" s="1">
        <v>37323</v>
      </c>
      <c r="M266" s="1">
        <v>37324</v>
      </c>
      <c r="N266" s="1">
        <v>37325</v>
      </c>
      <c r="O266" t="s">
        <v>1117</v>
      </c>
      <c r="P266">
        <v>3</v>
      </c>
      <c r="Q266" t="s">
        <v>1215</v>
      </c>
      <c r="R266">
        <f t="shared" si="8"/>
        <v>11</v>
      </c>
      <c r="S266">
        <f t="shared" si="9"/>
        <v>1</v>
      </c>
    </row>
    <row r="267" spans="1:19" x14ac:dyDescent="0.25">
      <c r="A267" t="s">
        <v>1391</v>
      </c>
      <c r="B267" t="s">
        <v>4027</v>
      </c>
      <c r="C267">
        <v>0.5</v>
      </c>
      <c r="D267">
        <v>1250</v>
      </c>
      <c r="E267">
        <v>0</v>
      </c>
      <c r="F267">
        <v>30</v>
      </c>
      <c r="G267">
        <v>30</v>
      </c>
      <c r="H267" t="s">
        <v>1208</v>
      </c>
      <c r="I267" s="1">
        <v>37159</v>
      </c>
      <c r="J267" s="1">
        <v>37315</v>
      </c>
      <c r="K267" s="1">
        <v>37333</v>
      </c>
      <c r="L267" s="1">
        <v>37333</v>
      </c>
      <c r="M267" s="1">
        <v>37333</v>
      </c>
      <c r="N267" s="1">
        <v>37334</v>
      </c>
      <c r="O267" t="s">
        <v>1117</v>
      </c>
      <c r="P267">
        <v>4</v>
      </c>
      <c r="Q267" t="s">
        <v>1215</v>
      </c>
      <c r="R267">
        <f t="shared" si="8"/>
        <v>12</v>
      </c>
      <c r="S267">
        <f t="shared" si="9"/>
        <v>1</v>
      </c>
    </row>
    <row r="268" spans="1:19" x14ac:dyDescent="0.25">
      <c r="A268" t="s">
        <v>1392</v>
      </c>
      <c r="B268" t="s">
        <v>4026</v>
      </c>
      <c r="C268">
        <v>1.5</v>
      </c>
      <c r="D268">
        <v>1250</v>
      </c>
      <c r="E268">
        <v>0</v>
      </c>
      <c r="F268">
        <v>15</v>
      </c>
      <c r="G268">
        <v>15</v>
      </c>
      <c r="H268" t="s">
        <v>1208</v>
      </c>
      <c r="I268" s="1">
        <v>37159</v>
      </c>
      <c r="J268" s="1">
        <v>37315</v>
      </c>
      <c r="K268" s="1">
        <v>37323</v>
      </c>
      <c r="L268" s="1">
        <v>37323</v>
      </c>
      <c r="M268" s="1">
        <v>37324</v>
      </c>
      <c r="N268" s="1">
        <v>37324</v>
      </c>
      <c r="O268" t="s">
        <v>1117</v>
      </c>
      <c r="P268">
        <v>2</v>
      </c>
      <c r="Q268" t="s">
        <v>1215</v>
      </c>
      <c r="R268">
        <f t="shared" si="8"/>
        <v>10</v>
      </c>
      <c r="S268">
        <f t="shared" si="9"/>
        <v>1</v>
      </c>
    </row>
    <row r="269" spans="1:19" x14ac:dyDescent="0.25">
      <c r="A269" t="s">
        <v>1393</v>
      </c>
      <c r="B269" t="s">
        <v>4027</v>
      </c>
      <c r="C269">
        <v>1.5</v>
      </c>
      <c r="D269">
        <v>1250</v>
      </c>
      <c r="E269">
        <v>0</v>
      </c>
      <c r="F269">
        <v>15</v>
      </c>
      <c r="G269">
        <v>15</v>
      </c>
      <c r="H269" t="s">
        <v>1208</v>
      </c>
      <c r="I269" s="1">
        <v>37159</v>
      </c>
      <c r="J269" s="1">
        <v>37315</v>
      </c>
      <c r="K269" s="1">
        <v>37324</v>
      </c>
      <c r="L269" s="1">
        <v>37324</v>
      </c>
      <c r="M269" s="1">
        <v>37324</v>
      </c>
      <c r="N269" s="1">
        <v>37324</v>
      </c>
      <c r="O269" t="s">
        <v>1117</v>
      </c>
      <c r="P269">
        <v>3</v>
      </c>
      <c r="Q269" t="s">
        <v>1215</v>
      </c>
      <c r="R269">
        <f t="shared" si="8"/>
        <v>10</v>
      </c>
      <c r="S269">
        <f t="shared" si="9"/>
        <v>1</v>
      </c>
    </row>
    <row r="270" spans="1:19" x14ac:dyDescent="0.25">
      <c r="A270" t="s">
        <v>1394</v>
      </c>
      <c r="B270" t="s">
        <v>1199</v>
      </c>
      <c r="C270">
        <v>1</v>
      </c>
      <c r="D270">
        <v>1219</v>
      </c>
      <c r="E270">
        <v>0</v>
      </c>
      <c r="F270">
        <v>165</v>
      </c>
      <c r="G270">
        <v>109.29600000000001</v>
      </c>
      <c r="H270" t="s">
        <v>1208</v>
      </c>
      <c r="I270" s="1">
        <v>37159</v>
      </c>
      <c r="J270" s="1">
        <v>37315</v>
      </c>
      <c r="K270" s="1">
        <v>37319</v>
      </c>
      <c r="L270" s="1">
        <v>37319</v>
      </c>
      <c r="M270" s="1">
        <v>37322</v>
      </c>
      <c r="N270" s="1">
        <v>37322</v>
      </c>
      <c r="O270" t="s">
        <v>1117</v>
      </c>
      <c r="P270">
        <v>2</v>
      </c>
      <c r="Q270" t="s">
        <v>1215</v>
      </c>
      <c r="R270">
        <f t="shared" si="8"/>
        <v>10</v>
      </c>
      <c r="S270">
        <f t="shared" si="9"/>
        <v>0</v>
      </c>
    </row>
    <row r="271" spans="1:19" x14ac:dyDescent="0.25">
      <c r="A271" t="s">
        <v>1395</v>
      </c>
      <c r="B271" t="s">
        <v>1199</v>
      </c>
      <c r="C271">
        <v>0.63</v>
      </c>
      <c r="D271">
        <v>1250</v>
      </c>
      <c r="E271">
        <v>0</v>
      </c>
      <c r="F271">
        <v>20</v>
      </c>
      <c r="G271">
        <v>20</v>
      </c>
      <c r="H271" t="s">
        <v>1208</v>
      </c>
      <c r="I271" s="1">
        <v>37159</v>
      </c>
      <c r="J271" s="1">
        <v>37320</v>
      </c>
      <c r="K271" s="1">
        <v>37329</v>
      </c>
      <c r="L271" s="1">
        <v>37329</v>
      </c>
      <c r="M271" s="1">
        <v>37335</v>
      </c>
      <c r="N271" s="1">
        <v>37335</v>
      </c>
      <c r="O271" t="s">
        <v>1117</v>
      </c>
      <c r="P271">
        <v>1</v>
      </c>
      <c r="Q271" t="s">
        <v>1215</v>
      </c>
      <c r="R271">
        <f t="shared" si="8"/>
        <v>12</v>
      </c>
      <c r="S271">
        <f t="shared" si="9"/>
        <v>1</v>
      </c>
    </row>
    <row r="272" spans="1:19" x14ac:dyDescent="0.25">
      <c r="A272" t="s">
        <v>1396</v>
      </c>
      <c r="B272" t="s">
        <v>1199</v>
      </c>
      <c r="C272">
        <v>2</v>
      </c>
      <c r="D272">
        <v>1150</v>
      </c>
      <c r="E272">
        <v>0</v>
      </c>
      <c r="F272">
        <v>7</v>
      </c>
      <c r="G272">
        <v>7</v>
      </c>
      <c r="H272" t="s">
        <v>1208</v>
      </c>
      <c r="I272" s="1">
        <v>37159</v>
      </c>
      <c r="J272" s="1">
        <v>37315</v>
      </c>
      <c r="K272" s="1">
        <v>37328</v>
      </c>
      <c r="L272" s="1">
        <v>37328</v>
      </c>
      <c r="M272" s="1">
        <v>37327</v>
      </c>
      <c r="N272" s="1">
        <v>37327</v>
      </c>
      <c r="O272" t="s">
        <v>1117</v>
      </c>
      <c r="P272">
        <v>7</v>
      </c>
      <c r="Q272" t="s">
        <v>1215</v>
      </c>
      <c r="R272">
        <f t="shared" si="8"/>
        <v>11</v>
      </c>
      <c r="S272">
        <f t="shared" si="9"/>
        <v>1</v>
      </c>
    </row>
    <row r="273" spans="1:19" x14ac:dyDescent="0.25">
      <c r="A273" t="s">
        <v>1397</v>
      </c>
      <c r="B273" t="s">
        <v>4026</v>
      </c>
      <c r="C273">
        <v>1.2</v>
      </c>
      <c r="D273">
        <v>331</v>
      </c>
      <c r="E273">
        <v>0</v>
      </c>
      <c r="F273">
        <v>2</v>
      </c>
      <c r="G273">
        <v>2</v>
      </c>
      <c r="H273" t="s">
        <v>1208</v>
      </c>
      <c r="I273" s="1">
        <v>37159</v>
      </c>
      <c r="J273" s="1">
        <v>37315</v>
      </c>
      <c r="K273" s="1">
        <v>37328</v>
      </c>
      <c r="L273" s="1">
        <v>37328</v>
      </c>
      <c r="M273" s="1">
        <v>37327</v>
      </c>
      <c r="N273" s="1">
        <v>37327</v>
      </c>
      <c r="O273" t="s">
        <v>1117</v>
      </c>
      <c r="P273">
        <v>4</v>
      </c>
      <c r="Q273" t="s">
        <v>1215</v>
      </c>
      <c r="R273">
        <f t="shared" si="8"/>
        <v>11</v>
      </c>
      <c r="S273">
        <f t="shared" si="9"/>
        <v>1</v>
      </c>
    </row>
    <row r="274" spans="1:19" x14ac:dyDescent="0.25">
      <c r="A274" t="s">
        <v>1398</v>
      </c>
      <c r="B274" t="s">
        <v>1199</v>
      </c>
      <c r="C274">
        <v>1.2</v>
      </c>
      <c r="D274">
        <v>1250</v>
      </c>
      <c r="E274">
        <v>0</v>
      </c>
      <c r="F274">
        <v>75</v>
      </c>
      <c r="G274">
        <v>75</v>
      </c>
      <c r="H274" t="s">
        <v>1208</v>
      </c>
      <c r="I274" s="1">
        <v>37110</v>
      </c>
      <c r="J274" s="1">
        <v>37315</v>
      </c>
      <c r="K274" s="1">
        <v>37325</v>
      </c>
      <c r="L274" s="1">
        <v>37325</v>
      </c>
      <c r="M274" s="1">
        <v>37330</v>
      </c>
      <c r="N274" s="1">
        <v>37336</v>
      </c>
      <c r="O274" t="s">
        <v>1117</v>
      </c>
      <c r="P274">
        <v>1</v>
      </c>
      <c r="Q274" t="s">
        <v>1215</v>
      </c>
      <c r="R274">
        <f t="shared" si="8"/>
        <v>12</v>
      </c>
      <c r="S274">
        <f t="shared" si="9"/>
        <v>1</v>
      </c>
    </row>
    <row r="275" spans="1:19" x14ac:dyDescent="0.25">
      <c r="A275" t="s">
        <v>1399</v>
      </c>
      <c r="B275" t="s">
        <v>1199</v>
      </c>
      <c r="C275">
        <v>2</v>
      </c>
      <c r="D275">
        <v>1250</v>
      </c>
      <c r="E275">
        <v>0</v>
      </c>
      <c r="F275">
        <v>10</v>
      </c>
      <c r="G275">
        <v>10</v>
      </c>
      <c r="H275" t="s">
        <v>1208</v>
      </c>
      <c r="I275" s="1">
        <v>37159</v>
      </c>
      <c r="J275" s="1">
        <v>37315</v>
      </c>
      <c r="K275" s="1">
        <v>37331</v>
      </c>
      <c r="L275" s="1">
        <v>37331</v>
      </c>
      <c r="M275" s="1">
        <v>37331</v>
      </c>
      <c r="N275" s="1">
        <v>37331</v>
      </c>
      <c r="O275" t="s">
        <v>1117</v>
      </c>
      <c r="P275">
        <v>3</v>
      </c>
      <c r="Q275" t="s">
        <v>1215</v>
      </c>
      <c r="R275">
        <f t="shared" si="8"/>
        <v>11</v>
      </c>
      <c r="S275">
        <f t="shared" si="9"/>
        <v>1</v>
      </c>
    </row>
    <row r="276" spans="1:19" x14ac:dyDescent="0.25">
      <c r="A276" t="s">
        <v>1400</v>
      </c>
      <c r="B276" t="s">
        <v>1199</v>
      </c>
      <c r="C276">
        <v>0.8</v>
      </c>
      <c r="D276">
        <v>1250</v>
      </c>
      <c r="E276">
        <v>0</v>
      </c>
      <c r="F276">
        <v>8</v>
      </c>
      <c r="G276">
        <v>7.7279999999999998</v>
      </c>
      <c r="H276" t="s">
        <v>1208</v>
      </c>
      <c r="I276" s="1">
        <v>37159</v>
      </c>
      <c r="J276" s="1">
        <v>37315</v>
      </c>
      <c r="K276" s="1">
        <v>37347</v>
      </c>
      <c r="L276" s="1">
        <v>37347</v>
      </c>
      <c r="M276" s="1">
        <v>37347</v>
      </c>
      <c r="N276" s="1">
        <v>37347</v>
      </c>
      <c r="O276" t="s">
        <v>1117</v>
      </c>
      <c r="P276">
        <v>1</v>
      </c>
      <c r="Q276" t="s">
        <v>1215</v>
      </c>
      <c r="R276">
        <f t="shared" si="8"/>
        <v>14</v>
      </c>
      <c r="S276">
        <f t="shared" si="9"/>
        <v>0</v>
      </c>
    </row>
    <row r="277" spans="1:19" x14ac:dyDescent="0.25">
      <c r="A277" t="s">
        <v>1401</v>
      </c>
      <c r="B277" t="s">
        <v>1199</v>
      </c>
      <c r="C277">
        <v>2</v>
      </c>
      <c r="D277">
        <v>1219</v>
      </c>
      <c r="E277">
        <v>0</v>
      </c>
      <c r="F277">
        <v>60</v>
      </c>
      <c r="G277">
        <v>60</v>
      </c>
      <c r="H277" t="s">
        <v>1208</v>
      </c>
      <c r="I277" s="1">
        <v>37159</v>
      </c>
      <c r="J277" s="1">
        <v>37315</v>
      </c>
      <c r="K277" s="1">
        <v>37322</v>
      </c>
      <c r="L277" s="1">
        <v>37322</v>
      </c>
      <c r="M277" s="1">
        <v>37323</v>
      </c>
      <c r="N277" s="1">
        <v>37323</v>
      </c>
      <c r="O277" t="s">
        <v>1117</v>
      </c>
      <c r="P277">
        <v>1</v>
      </c>
      <c r="Q277" t="s">
        <v>1215</v>
      </c>
      <c r="R277">
        <f t="shared" si="8"/>
        <v>10</v>
      </c>
      <c r="S277">
        <f t="shared" si="9"/>
        <v>1</v>
      </c>
    </row>
    <row r="278" spans="1:19" x14ac:dyDescent="0.25">
      <c r="A278" t="s">
        <v>1402</v>
      </c>
      <c r="B278" t="s">
        <v>1199</v>
      </c>
      <c r="C278">
        <v>1</v>
      </c>
      <c r="D278">
        <v>1250</v>
      </c>
      <c r="E278">
        <v>0</v>
      </c>
      <c r="F278">
        <v>18</v>
      </c>
      <c r="G278">
        <v>18</v>
      </c>
      <c r="H278" t="s">
        <v>1208</v>
      </c>
      <c r="I278" s="1">
        <v>37128</v>
      </c>
      <c r="J278" s="1">
        <v>37315</v>
      </c>
      <c r="K278" s="1">
        <v>37323</v>
      </c>
      <c r="L278" s="1">
        <v>37323</v>
      </c>
      <c r="M278" s="1">
        <v>37324</v>
      </c>
      <c r="N278" s="1">
        <v>37325</v>
      </c>
      <c r="O278" t="s">
        <v>1117</v>
      </c>
      <c r="P278">
        <v>8</v>
      </c>
      <c r="Q278" t="s">
        <v>1215</v>
      </c>
      <c r="R278">
        <f t="shared" si="8"/>
        <v>11</v>
      </c>
      <c r="S278">
        <f t="shared" si="9"/>
        <v>1</v>
      </c>
    </row>
    <row r="279" spans="1:19" x14ac:dyDescent="0.25">
      <c r="A279" t="s">
        <v>1403</v>
      </c>
      <c r="B279" t="s">
        <v>4028</v>
      </c>
      <c r="C279">
        <v>1</v>
      </c>
      <c r="D279">
        <v>1219</v>
      </c>
      <c r="E279">
        <v>0</v>
      </c>
      <c r="F279">
        <v>165</v>
      </c>
      <c r="G279">
        <v>165</v>
      </c>
      <c r="H279" t="s">
        <v>1208</v>
      </c>
      <c r="I279" s="1">
        <v>37128</v>
      </c>
      <c r="J279" s="1">
        <v>37314</v>
      </c>
      <c r="K279" s="1">
        <v>37323</v>
      </c>
      <c r="L279" s="1">
        <v>37323</v>
      </c>
      <c r="M279" s="1">
        <v>37321</v>
      </c>
      <c r="N279" s="1">
        <v>37322</v>
      </c>
      <c r="O279" t="s">
        <v>1117</v>
      </c>
      <c r="P279">
        <v>3</v>
      </c>
      <c r="Q279" t="s">
        <v>1215</v>
      </c>
      <c r="R279">
        <f t="shared" si="8"/>
        <v>10</v>
      </c>
      <c r="S279">
        <f t="shared" si="9"/>
        <v>1</v>
      </c>
    </row>
    <row r="280" spans="1:19" x14ac:dyDescent="0.25">
      <c r="A280" t="s">
        <v>1404</v>
      </c>
      <c r="B280" t="s">
        <v>4028</v>
      </c>
      <c r="C280">
        <v>1.2</v>
      </c>
      <c r="D280">
        <v>1150</v>
      </c>
      <c r="E280">
        <v>0</v>
      </c>
      <c r="F280">
        <v>9</v>
      </c>
      <c r="G280">
        <v>9</v>
      </c>
      <c r="H280" t="s">
        <v>1208</v>
      </c>
      <c r="I280" s="1">
        <v>37159</v>
      </c>
      <c r="J280" s="1">
        <v>37315</v>
      </c>
      <c r="K280" s="1">
        <v>37328</v>
      </c>
      <c r="L280" s="1">
        <v>37328</v>
      </c>
      <c r="M280" s="1">
        <v>37327</v>
      </c>
      <c r="N280" s="1">
        <v>37327</v>
      </c>
      <c r="O280" t="s">
        <v>1117</v>
      </c>
      <c r="P280">
        <v>6</v>
      </c>
      <c r="Q280" t="s">
        <v>1215</v>
      </c>
      <c r="R280">
        <f t="shared" si="8"/>
        <v>11</v>
      </c>
      <c r="S280">
        <f t="shared" si="9"/>
        <v>1</v>
      </c>
    </row>
    <row r="281" spans="1:19" x14ac:dyDescent="0.25">
      <c r="A281" t="s">
        <v>1405</v>
      </c>
      <c r="B281" t="s">
        <v>4028</v>
      </c>
      <c r="C281">
        <v>0.5</v>
      </c>
      <c r="D281">
        <v>1150</v>
      </c>
      <c r="E281">
        <v>0</v>
      </c>
      <c r="F281">
        <v>34</v>
      </c>
      <c r="G281">
        <v>34</v>
      </c>
      <c r="H281" t="s">
        <v>1208</v>
      </c>
      <c r="I281" s="1">
        <v>37159</v>
      </c>
      <c r="J281" s="1">
        <v>37315</v>
      </c>
      <c r="K281" s="1">
        <v>37330</v>
      </c>
      <c r="L281" s="1">
        <v>37330</v>
      </c>
      <c r="M281" s="1">
        <v>37337</v>
      </c>
      <c r="N281" s="1">
        <v>37337</v>
      </c>
      <c r="O281" t="s">
        <v>1117</v>
      </c>
      <c r="P281">
        <v>2</v>
      </c>
      <c r="Q281" t="s">
        <v>1215</v>
      </c>
      <c r="R281">
        <f t="shared" si="8"/>
        <v>12</v>
      </c>
      <c r="S281">
        <f t="shared" si="9"/>
        <v>1</v>
      </c>
    </row>
    <row r="282" spans="1:19" x14ac:dyDescent="0.25">
      <c r="A282" t="s">
        <v>1406</v>
      </c>
      <c r="B282" t="s">
        <v>1199</v>
      </c>
      <c r="C282">
        <v>2.5</v>
      </c>
      <c r="D282">
        <v>1219</v>
      </c>
      <c r="E282">
        <v>0</v>
      </c>
      <c r="F282">
        <v>18</v>
      </c>
      <c r="G282">
        <v>18</v>
      </c>
      <c r="H282" t="s">
        <v>1208</v>
      </c>
      <c r="I282" s="1">
        <v>37128</v>
      </c>
      <c r="J282" s="1">
        <v>37315</v>
      </c>
      <c r="K282" s="1">
        <v>37320</v>
      </c>
      <c r="L282" s="1">
        <v>37320</v>
      </c>
      <c r="M282" s="1">
        <v>37322</v>
      </c>
      <c r="N282" s="1">
        <v>37322</v>
      </c>
      <c r="O282" t="s">
        <v>1117</v>
      </c>
      <c r="P282">
        <v>5</v>
      </c>
      <c r="Q282" t="s">
        <v>1215</v>
      </c>
      <c r="R282">
        <f t="shared" si="8"/>
        <v>10</v>
      </c>
      <c r="S282">
        <f t="shared" si="9"/>
        <v>1</v>
      </c>
    </row>
    <row r="283" spans="1:19" x14ac:dyDescent="0.25">
      <c r="A283" t="s">
        <v>1407</v>
      </c>
      <c r="B283" t="s">
        <v>1199</v>
      </c>
      <c r="C283">
        <v>1</v>
      </c>
      <c r="D283">
        <v>1250</v>
      </c>
      <c r="E283">
        <v>0</v>
      </c>
      <c r="F283">
        <v>20</v>
      </c>
      <c r="G283">
        <v>10.374000000000001</v>
      </c>
      <c r="H283" t="s">
        <v>1208</v>
      </c>
      <c r="I283" s="1">
        <v>37119</v>
      </c>
      <c r="J283" s="1">
        <v>37315</v>
      </c>
      <c r="K283" s="1">
        <v>37352</v>
      </c>
      <c r="L283" s="1">
        <v>37352</v>
      </c>
      <c r="M283" s="1">
        <v>37352</v>
      </c>
      <c r="N283" s="1">
        <v>37352</v>
      </c>
      <c r="O283" t="s">
        <v>1117</v>
      </c>
      <c r="P283">
        <v>3</v>
      </c>
      <c r="Q283" t="s">
        <v>1215</v>
      </c>
      <c r="R283">
        <f t="shared" si="8"/>
        <v>14</v>
      </c>
      <c r="S283">
        <f t="shared" si="9"/>
        <v>0</v>
      </c>
    </row>
    <row r="284" spans="1:19" x14ac:dyDescent="0.25">
      <c r="A284" t="s">
        <v>1408</v>
      </c>
      <c r="B284" t="s">
        <v>4027</v>
      </c>
      <c r="C284">
        <v>0.5</v>
      </c>
      <c r="D284">
        <v>1250</v>
      </c>
      <c r="E284">
        <v>0</v>
      </c>
      <c r="F284">
        <v>44</v>
      </c>
      <c r="G284">
        <v>13.576000000000001</v>
      </c>
      <c r="H284" t="s">
        <v>1208</v>
      </c>
      <c r="I284" s="1">
        <v>37159</v>
      </c>
      <c r="J284" s="1">
        <v>37315</v>
      </c>
      <c r="K284" s="1">
        <v>37335</v>
      </c>
      <c r="L284" s="1">
        <v>37335</v>
      </c>
      <c r="M284" s="1">
        <v>37335</v>
      </c>
      <c r="N284" s="1">
        <v>37335</v>
      </c>
      <c r="O284" t="s">
        <v>1117</v>
      </c>
      <c r="P284">
        <v>1</v>
      </c>
      <c r="Q284" t="s">
        <v>1215</v>
      </c>
      <c r="R284">
        <f t="shared" si="8"/>
        <v>12</v>
      </c>
      <c r="S284">
        <f t="shared" si="9"/>
        <v>0</v>
      </c>
    </row>
    <row r="285" spans="1:19" x14ac:dyDescent="0.25">
      <c r="A285" t="s">
        <v>1409</v>
      </c>
      <c r="B285" t="s">
        <v>1199</v>
      </c>
      <c r="C285">
        <v>1.2</v>
      </c>
      <c r="D285">
        <v>1250</v>
      </c>
      <c r="E285">
        <v>0</v>
      </c>
      <c r="F285">
        <v>100</v>
      </c>
      <c r="G285">
        <v>5.19</v>
      </c>
      <c r="H285" t="s">
        <v>1208</v>
      </c>
      <c r="I285" s="1">
        <v>37159</v>
      </c>
      <c r="J285" s="1">
        <v>37315</v>
      </c>
      <c r="K285" s="1">
        <v>37336</v>
      </c>
      <c r="L285" s="1">
        <v>37336</v>
      </c>
      <c r="M285" s="1">
        <v>37336</v>
      </c>
      <c r="N285" s="1">
        <v>37336</v>
      </c>
      <c r="O285" t="s">
        <v>1117</v>
      </c>
      <c r="P285">
        <v>3</v>
      </c>
      <c r="Q285" t="s">
        <v>1215</v>
      </c>
      <c r="R285">
        <f t="shared" si="8"/>
        <v>12</v>
      </c>
      <c r="S285">
        <f t="shared" si="9"/>
        <v>0</v>
      </c>
    </row>
    <row r="286" spans="1:19" x14ac:dyDescent="0.25">
      <c r="A286" t="s">
        <v>1410</v>
      </c>
      <c r="B286" t="s">
        <v>1199</v>
      </c>
      <c r="C286">
        <v>1.2</v>
      </c>
      <c r="D286">
        <v>1150</v>
      </c>
      <c r="E286">
        <v>0</v>
      </c>
      <c r="F286">
        <v>17</v>
      </c>
      <c r="G286">
        <v>17</v>
      </c>
      <c r="H286" t="s">
        <v>1208</v>
      </c>
      <c r="I286" s="1">
        <v>37128</v>
      </c>
      <c r="J286" s="1">
        <v>37315</v>
      </c>
      <c r="K286" s="1">
        <v>37327</v>
      </c>
      <c r="L286" s="1">
        <v>37327</v>
      </c>
      <c r="M286" s="1">
        <v>37333</v>
      </c>
      <c r="N286" s="1">
        <v>37333</v>
      </c>
      <c r="O286" t="s">
        <v>1117</v>
      </c>
      <c r="P286">
        <v>6</v>
      </c>
      <c r="Q286" t="s">
        <v>1215</v>
      </c>
      <c r="R286">
        <f t="shared" si="8"/>
        <v>12</v>
      </c>
      <c r="S286">
        <f t="shared" si="9"/>
        <v>1</v>
      </c>
    </row>
    <row r="287" spans="1:19" x14ac:dyDescent="0.25">
      <c r="A287" t="s">
        <v>1411</v>
      </c>
      <c r="B287" t="s">
        <v>1199</v>
      </c>
      <c r="C287">
        <v>1.2</v>
      </c>
      <c r="D287">
        <v>1250</v>
      </c>
      <c r="E287">
        <v>0</v>
      </c>
      <c r="F287">
        <v>75</v>
      </c>
      <c r="G287">
        <v>75</v>
      </c>
      <c r="H287" t="s">
        <v>1208</v>
      </c>
      <c r="I287" s="1">
        <v>37110</v>
      </c>
      <c r="J287" s="1">
        <v>37315</v>
      </c>
      <c r="K287" s="1">
        <v>37336</v>
      </c>
      <c r="L287" s="1">
        <v>37336</v>
      </c>
      <c r="M287" s="1">
        <v>37336</v>
      </c>
      <c r="N287" s="1">
        <v>37336</v>
      </c>
      <c r="O287" t="s">
        <v>1117</v>
      </c>
      <c r="P287">
        <v>1</v>
      </c>
      <c r="Q287" t="s">
        <v>1215</v>
      </c>
      <c r="R287">
        <f t="shared" si="8"/>
        <v>12</v>
      </c>
      <c r="S287">
        <f t="shared" si="9"/>
        <v>1</v>
      </c>
    </row>
    <row r="288" spans="1:19" x14ac:dyDescent="0.25">
      <c r="A288" t="s">
        <v>1412</v>
      </c>
      <c r="B288" t="s">
        <v>4028</v>
      </c>
      <c r="C288">
        <v>1</v>
      </c>
      <c r="D288">
        <v>1250</v>
      </c>
      <c r="E288">
        <v>0</v>
      </c>
      <c r="F288">
        <v>8</v>
      </c>
      <c r="G288">
        <v>8</v>
      </c>
      <c r="H288" t="s">
        <v>1208</v>
      </c>
      <c r="I288" s="1">
        <v>37159</v>
      </c>
      <c r="J288" s="1">
        <v>37315</v>
      </c>
      <c r="K288" s="1">
        <v>37352</v>
      </c>
      <c r="L288" s="1">
        <v>37352</v>
      </c>
      <c r="M288" s="1">
        <v>37352</v>
      </c>
      <c r="N288" s="1">
        <v>37352</v>
      </c>
      <c r="O288" t="s">
        <v>1117</v>
      </c>
      <c r="P288">
        <v>2</v>
      </c>
      <c r="Q288" t="s">
        <v>1215</v>
      </c>
      <c r="R288">
        <f t="shared" si="8"/>
        <v>14</v>
      </c>
      <c r="S288">
        <f t="shared" si="9"/>
        <v>1</v>
      </c>
    </row>
    <row r="289" spans="1:19" x14ac:dyDescent="0.25">
      <c r="A289" t="s">
        <v>1413</v>
      </c>
      <c r="B289" t="s">
        <v>4026</v>
      </c>
      <c r="C289">
        <v>1.2</v>
      </c>
      <c r="D289">
        <v>438</v>
      </c>
      <c r="E289">
        <v>0</v>
      </c>
      <c r="F289">
        <v>6</v>
      </c>
      <c r="G289">
        <v>6</v>
      </c>
      <c r="H289" t="s">
        <v>1208</v>
      </c>
      <c r="I289" s="1">
        <v>37159</v>
      </c>
      <c r="J289" s="1">
        <v>37315</v>
      </c>
      <c r="K289" s="1">
        <v>37328</v>
      </c>
      <c r="L289" s="1">
        <v>37328</v>
      </c>
      <c r="M289" s="1">
        <v>37327</v>
      </c>
      <c r="N289" s="1">
        <v>37327</v>
      </c>
      <c r="O289" t="s">
        <v>1117</v>
      </c>
      <c r="P289">
        <v>1</v>
      </c>
      <c r="Q289" t="s">
        <v>1215</v>
      </c>
      <c r="R289">
        <f t="shared" si="8"/>
        <v>11</v>
      </c>
      <c r="S289">
        <f t="shared" si="9"/>
        <v>1</v>
      </c>
    </row>
    <row r="290" spans="1:19" x14ac:dyDescent="0.25">
      <c r="A290" t="s">
        <v>1414</v>
      </c>
      <c r="B290" t="s">
        <v>4028</v>
      </c>
      <c r="C290">
        <v>1.2</v>
      </c>
      <c r="D290">
        <v>406</v>
      </c>
      <c r="E290">
        <v>0</v>
      </c>
      <c r="F290">
        <v>2</v>
      </c>
      <c r="G290">
        <v>2</v>
      </c>
      <c r="H290" t="s">
        <v>1208</v>
      </c>
      <c r="I290" s="1">
        <v>37159</v>
      </c>
      <c r="J290" s="1">
        <v>37315</v>
      </c>
      <c r="K290" s="1">
        <v>37328</v>
      </c>
      <c r="L290" s="1">
        <v>37328</v>
      </c>
      <c r="M290" s="1">
        <v>37327</v>
      </c>
      <c r="N290" s="1">
        <v>37327</v>
      </c>
      <c r="O290" t="s">
        <v>1117</v>
      </c>
      <c r="P290">
        <v>2</v>
      </c>
      <c r="Q290" t="s">
        <v>1215</v>
      </c>
      <c r="R290">
        <f t="shared" si="8"/>
        <v>11</v>
      </c>
      <c r="S290">
        <f t="shared" si="9"/>
        <v>1</v>
      </c>
    </row>
    <row r="291" spans="1:19" x14ac:dyDescent="0.25">
      <c r="A291" t="s">
        <v>1415</v>
      </c>
      <c r="B291" t="s">
        <v>1199</v>
      </c>
      <c r="C291">
        <v>1.2</v>
      </c>
      <c r="D291">
        <v>354</v>
      </c>
      <c r="E291">
        <v>0</v>
      </c>
      <c r="F291">
        <v>2</v>
      </c>
      <c r="G291">
        <v>2</v>
      </c>
      <c r="H291" t="s">
        <v>1208</v>
      </c>
      <c r="I291" s="1">
        <v>37159</v>
      </c>
      <c r="J291" s="1">
        <v>37315</v>
      </c>
      <c r="K291" s="1">
        <v>37328</v>
      </c>
      <c r="L291" s="1">
        <v>37328</v>
      </c>
      <c r="M291" s="1">
        <v>37327</v>
      </c>
      <c r="N291" s="1">
        <v>37327</v>
      </c>
      <c r="O291" t="s">
        <v>1117</v>
      </c>
      <c r="P291">
        <v>3</v>
      </c>
      <c r="Q291" t="s">
        <v>1215</v>
      </c>
      <c r="R291">
        <f t="shared" si="8"/>
        <v>11</v>
      </c>
      <c r="S291">
        <f t="shared" si="9"/>
        <v>1</v>
      </c>
    </row>
    <row r="292" spans="1:19" x14ac:dyDescent="0.25">
      <c r="A292" t="s">
        <v>1416</v>
      </c>
      <c r="B292" t="s">
        <v>1199</v>
      </c>
      <c r="C292">
        <v>0.5</v>
      </c>
      <c r="D292">
        <v>1250</v>
      </c>
      <c r="E292">
        <v>0</v>
      </c>
      <c r="F292">
        <v>40</v>
      </c>
      <c r="G292">
        <v>40</v>
      </c>
      <c r="H292" t="s">
        <v>1208</v>
      </c>
      <c r="I292" s="1">
        <v>37128</v>
      </c>
      <c r="J292" s="1">
        <v>37315</v>
      </c>
      <c r="K292" s="1">
        <v>37334</v>
      </c>
      <c r="L292" s="1">
        <v>37334</v>
      </c>
      <c r="M292" s="1">
        <v>37334</v>
      </c>
      <c r="N292" s="1">
        <v>37334</v>
      </c>
      <c r="O292" t="s">
        <v>1117</v>
      </c>
      <c r="P292">
        <v>2</v>
      </c>
      <c r="Q292" t="s">
        <v>1215</v>
      </c>
      <c r="R292">
        <f t="shared" si="8"/>
        <v>12</v>
      </c>
      <c r="S292">
        <f t="shared" si="9"/>
        <v>1</v>
      </c>
    </row>
    <row r="293" spans="1:19" x14ac:dyDescent="0.25">
      <c r="A293" t="s">
        <v>1417</v>
      </c>
      <c r="B293" t="s">
        <v>1199</v>
      </c>
      <c r="C293">
        <v>1</v>
      </c>
      <c r="D293">
        <v>1250</v>
      </c>
      <c r="E293">
        <v>0</v>
      </c>
      <c r="F293">
        <v>20</v>
      </c>
      <c r="G293">
        <v>20</v>
      </c>
      <c r="H293" t="s">
        <v>1208</v>
      </c>
      <c r="I293" s="1">
        <v>37159</v>
      </c>
      <c r="J293" s="1">
        <v>37313</v>
      </c>
      <c r="K293" s="1">
        <v>37331</v>
      </c>
      <c r="L293" s="1">
        <v>37331</v>
      </c>
      <c r="M293" s="1">
        <v>37338</v>
      </c>
      <c r="N293" s="1">
        <v>37344</v>
      </c>
      <c r="O293" t="s">
        <v>1117</v>
      </c>
      <c r="P293">
        <v>5</v>
      </c>
      <c r="Q293" t="s">
        <v>1215</v>
      </c>
      <c r="R293">
        <f t="shared" si="8"/>
        <v>13</v>
      </c>
      <c r="S293">
        <f t="shared" si="9"/>
        <v>1</v>
      </c>
    </row>
    <row r="294" spans="1:19" x14ac:dyDescent="0.25">
      <c r="A294" t="s">
        <v>1418</v>
      </c>
      <c r="B294" t="s">
        <v>4028</v>
      </c>
      <c r="C294">
        <v>1</v>
      </c>
      <c r="D294">
        <v>1150</v>
      </c>
      <c r="E294">
        <v>0</v>
      </c>
      <c r="F294">
        <v>6</v>
      </c>
      <c r="G294">
        <v>6</v>
      </c>
      <c r="H294" t="s">
        <v>1208</v>
      </c>
      <c r="I294" s="1">
        <v>37159</v>
      </c>
      <c r="J294" s="1">
        <v>37315</v>
      </c>
      <c r="K294" s="1">
        <v>37326</v>
      </c>
      <c r="L294" s="1">
        <v>37326</v>
      </c>
      <c r="M294" s="1">
        <v>37324</v>
      </c>
      <c r="N294" s="1">
        <v>37324</v>
      </c>
      <c r="O294" t="s">
        <v>1117</v>
      </c>
      <c r="P294">
        <v>5</v>
      </c>
      <c r="Q294" t="s">
        <v>1215</v>
      </c>
      <c r="R294">
        <f t="shared" si="8"/>
        <v>10</v>
      </c>
      <c r="S294">
        <f t="shared" si="9"/>
        <v>1</v>
      </c>
    </row>
    <row r="295" spans="1:19" x14ac:dyDescent="0.25">
      <c r="A295" t="s">
        <v>1419</v>
      </c>
      <c r="B295" t="s">
        <v>4027</v>
      </c>
      <c r="C295">
        <v>1.2</v>
      </c>
      <c r="D295">
        <v>1150.0999999999999</v>
      </c>
      <c r="E295">
        <v>0</v>
      </c>
      <c r="F295">
        <v>50</v>
      </c>
      <c r="G295">
        <v>6.14</v>
      </c>
      <c r="H295" t="s">
        <v>1208</v>
      </c>
      <c r="I295" s="1">
        <v>37159</v>
      </c>
      <c r="J295" s="1">
        <v>37315</v>
      </c>
      <c r="K295" s="1">
        <v>37328</v>
      </c>
      <c r="L295" s="1">
        <v>37328</v>
      </c>
      <c r="M295" s="1">
        <v>37327</v>
      </c>
      <c r="N295" s="1">
        <v>37327</v>
      </c>
      <c r="O295" t="s">
        <v>1117</v>
      </c>
      <c r="P295">
        <v>3</v>
      </c>
      <c r="Q295" t="s">
        <v>1215</v>
      </c>
      <c r="R295">
        <f t="shared" si="8"/>
        <v>11</v>
      </c>
      <c r="S295">
        <f t="shared" si="9"/>
        <v>0</v>
      </c>
    </row>
    <row r="296" spans="1:19" x14ac:dyDescent="0.25">
      <c r="A296" t="s">
        <v>1420</v>
      </c>
      <c r="B296" t="s">
        <v>4026</v>
      </c>
      <c r="C296">
        <v>0.5</v>
      </c>
      <c r="D296">
        <v>1150</v>
      </c>
      <c r="E296">
        <v>0</v>
      </c>
      <c r="F296">
        <v>32</v>
      </c>
      <c r="G296">
        <v>32</v>
      </c>
      <c r="H296" t="s">
        <v>1208</v>
      </c>
      <c r="I296" s="1">
        <v>37159</v>
      </c>
      <c r="J296" s="1">
        <v>37315</v>
      </c>
      <c r="K296" s="1">
        <v>37335</v>
      </c>
      <c r="L296" s="1">
        <v>37335</v>
      </c>
      <c r="M296" s="1">
        <v>37335</v>
      </c>
      <c r="N296" s="1">
        <v>37335</v>
      </c>
      <c r="O296" t="s">
        <v>1117</v>
      </c>
      <c r="P296">
        <v>4</v>
      </c>
      <c r="Q296" t="s">
        <v>1215</v>
      </c>
      <c r="R296">
        <f t="shared" si="8"/>
        <v>12</v>
      </c>
      <c r="S296">
        <f t="shared" si="9"/>
        <v>1</v>
      </c>
    </row>
    <row r="297" spans="1:19" x14ac:dyDescent="0.25">
      <c r="A297" t="s">
        <v>1421</v>
      </c>
      <c r="B297" t="s">
        <v>3631</v>
      </c>
      <c r="C297">
        <v>1.2</v>
      </c>
      <c r="D297">
        <v>1250</v>
      </c>
      <c r="E297">
        <v>0</v>
      </c>
      <c r="F297">
        <v>100</v>
      </c>
      <c r="G297">
        <v>100</v>
      </c>
      <c r="H297" t="s">
        <v>1208</v>
      </c>
      <c r="I297" s="1">
        <v>37110</v>
      </c>
      <c r="J297" s="1">
        <v>37315</v>
      </c>
      <c r="K297" s="1">
        <v>37327</v>
      </c>
      <c r="L297" s="1">
        <v>37327</v>
      </c>
      <c r="M297" s="1">
        <v>37330</v>
      </c>
      <c r="N297" s="1">
        <v>37336</v>
      </c>
      <c r="O297" t="s">
        <v>1117</v>
      </c>
      <c r="P297">
        <v>2</v>
      </c>
      <c r="Q297" t="s">
        <v>1215</v>
      </c>
      <c r="R297">
        <f t="shared" si="8"/>
        <v>12</v>
      </c>
      <c r="S297">
        <f t="shared" si="9"/>
        <v>1</v>
      </c>
    </row>
    <row r="298" spans="1:19" x14ac:dyDescent="0.25">
      <c r="A298" t="s">
        <v>1422</v>
      </c>
      <c r="B298" t="s">
        <v>4026</v>
      </c>
      <c r="C298">
        <v>0.5</v>
      </c>
      <c r="D298">
        <v>1150.0999999999999</v>
      </c>
      <c r="E298">
        <v>0</v>
      </c>
      <c r="F298">
        <v>35</v>
      </c>
      <c r="G298">
        <v>35</v>
      </c>
      <c r="H298" t="s">
        <v>1208</v>
      </c>
      <c r="I298" s="1">
        <v>37159</v>
      </c>
      <c r="J298" s="1">
        <v>37315</v>
      </c>
      <c r="K298" s="1">
        <v>37331</v>
      </c>
      <c r="L298" s="1">
        <v>37331</v>
      </c>
      <c r="M298" s="1">
        <v>37331</v>
      </c>
      <c r="N298" s="1">
        <v>37331</v>
      </c>
      <c r="O298" t="s">
        <v>1117</v>
      </c>
      <c r="P298">
        <v>6</v>
      </c>
      <c r="Q298" t="s">
        <v>1215</v>
      </c>
      <c r="R298">
        <f t="shared" si="8"/>
        <v>11</v>
      </c>
      <c r="S298">
        <f t="shared" si="9"/>
        <v>1</v>
      </c>
    </row>
    <row r="299" spans="1:19" x14ac:dyDescent="0.25">
      <c r="A299" t="s">
        <v>1423</v>
      </c>
      <c r="B299" t="s">
        <v>4026</v>
      </c>
      <c r="C299">
        <v>1</v>
      </c>
      <c r="D299">
        <v>1250</v>
      </c>
      <c r="E299">
        <v>0</v>
      </c>
      <c r="F299">
        <v>18</v>
      </c>
      <c r="G299">
        <v>18</v>
      </c>
      <c r="H299" t="s">
        <v>1208</v>
      </c>
      <c r="I299" s="1">
        <v>37128</v>
      </c>
      <c r="J299" s="1">
        <v>37315</v>
      </c>
      <c r="K299" s="1">
        <v>37324</v>
      </c>
      <c r="L299" s="1">
        <v>37324</v>
      </c>
      <c r="M299" s="1">
        <v>37325</v>
      </c>
      <c r="N299" s="1">
        <v>37325</v>
      </c>
      <c r="O299" t="s">
        <v>1117</v>
      </c>
      <c r="P299">
        <v>1</v>
      </c>
      <c r="Q299" t="s">
        <v>1215</v>
      </c>
      <c r="R299">
        <f t="shared" si="8"/>
        <v>11</v>
      </c>
      <c r="S299">
        <f t="shared" si="9"/>
        <v>1</v>
      </c>
    </row>
    <row r="300" spans="1:19" x14ac:dyDescent="0.25">
      <c r="A300" t="s">
        <v>1424</v>
      </c>
      <c r="B300" t="s">
        <v>4027</v>
      </c>
      <c r="C300">
        <v>2</v>
      </c>
      <c r="D300">
        <v>1250</v>
      </c>
      <c r="E300">
        <v>0</v>
      </c>
      <c r="F300">
        <v>18</v>
      </c>
      <c r="G300">
        <v>9.3379999999999992</v>
      </c>
      <c r="H300" t="s">
        <v>1208</v>
      </c>
      <c r="I300" s="1">
        <v>37110</v>
      </c>
      <c r="J300" s="1">
        <v>37315</v>
      </c>
      <c r="K300" s="1">
        <v>37331</v>
      </c>
      <c r="L300" s="1">
        <v>37331</v>
      </c>
      <c r="M300" s="1">
        <v>37331</v>
      </c>
      <c r="N300" s="1">
        <v>37331</v>
      </c>
      <c r="O300" t="s">
        <v>1117</v>
      </c>
      <c r="P300">
        <v>6</v>
      </c>
      <c r="Q300" t="s">
        <v>1215</v>
      </c>
      <c r="R300">
        <f t="shared" si="8"/>
        <v>11</v>
      </c>
      <c r="S300">
        <f t="shared" si="9"/>
        <v>0</v>
      </c>
    </row>
    <row r="301" spans="1:19" x14ac:dyDescent="0.25">
      <c r="A301" t="s">
        <v>1425</v>
      </c>
      <c r="B301" t="s">
        <v>1199</v>
      </c>
      <c r="C301">
        <v>0.5</v>
      </c>
      <c r="D301">
        <v>1150</v>
      </c>
      <c r="E301">
        <v>0</v>
      </c>
      <c r="F301">
        <v>34</v>
      </c>
      <c r="G301">
        <v>34</v>
      </c>
      <c r="H301" t="s">
        <v>1208</v>
      </c>
      <c r="I301" s="1">
        <v>37128</v>
      </c>
      <c r="J301" s="1">
        <v>37315</v>
      </c>
      <c r="K301" s="1">
        <v>37335</v>
      </c>
      <c r="L301" s="1">
        <v>37335</v>
      </c>
      <c r="M301" s="1">
        <v>37335</v>
      </c>
      <c r="N301" s="1">
        <v>37337</v>
      </c>
      <c r="O301" t="s">
        <v>1117</v>
      </c>
      <c r="P301">
        <v>7</v>
      </c>
      <c r="Q301" t="s">
        <v>1215</v>
      </c>
      <c r="R301">
        <f t="shared" si="8"/>
        <v>12</v>
      </c>
      <c r="S301">
        <f t="shared" si="9"/>
        <v>1</v>
      </c>
    </row>
    <row r="302" spans="1:19" x14ac:dyDescent="0.25">
      <c r="A302" t="s">
        <v>1426</v>
      </c>
      <c r="B302" t="s">
        <v>1199</v>
      </c>
      <c r="C302">
        <v>1.2</v>
      </c>
      <c r="D302">
        <v>1150</v>
      </c>
      <c r="E302">
        <v>0</v>
      </c>
      <c r="F302">
        <v>17</v>
      </c>
      <c r="G302">
        <v>17</v>
      </c>
      <c r="H302" t="s">
        <v>1208</v>
      </c>
      <c r="I302" s="1">
        <v>37159</v>
      </c>
      <c r="J302" s="1">
        <v>37315</v>
      </c>
      <c r="K302" s="1">
        <v>37326</v>
      </c>
      <c r="L302" s="1">
        <v>37326</v>
      </c>
      <c r="M302" s="1">
        <v>37333</v>
      </c>
      <c r="N302" s="1">
        <v>37333</v>
      </c>
      <c r="O302" t="s">
        <v>1117</v>
      </c>
      <c r="P302">
        <v>1</v>
      </c>
      <c r="Q302" t="s">
        <v>1215</v>
      </c>
      <c r="R302">
        <f t="shared" si="8"/>
        <v>12</v>
      </c>
      <c r="S302">
        <f t="shared" si="9"/>
        <v>1</v>
      </c>
    </row>
    <row r="303" spans="1:19" x14ac:dyDescent="0.25">
      <c r="A303" t="s">
        <v>1427</v>
      </c>
      <c r="B303" t="s">
        <v>1199</v>
      </c>
      <c r="C303">
        <v>0.4</v>
      </c>
      <c r="D303">
        <v>1250</v>
      </c>
      <c r="E303">
        <v>0</v>
      </c>
      <c r="F303">
        <v>20</v>
      </c>
      <c r="G303">
        <v>20</v>
      </c>
      <c r="H303" t="s">
        <v>1208</v>
      </c>
      <c r="I303" s="1">
        <v>37159</v>
      </c>
      <c r="J303" s="1">
        <v>37315</v>
      </c>
      <c r="K303" s="1">
        <v>37332</v>
      </c>
      <c r="L303" s="1">
        <v>37332</v>
      </c>
      <c r="M303" s="1">
        <v>37332</v>
      </c>
      <c r="N303" s="1">
        <v>37332</v>
      </c>
      <c r="O303" t="s">
        <v>1117</v>
      </c>
      <c r="P303">
        <v>1</v>
      </c>
      <c r="Q303" t="s">
        <v>1215</v>
      </c>
      <c r="R303">
        <f t="shared" si="8"/>
        <v>12</v>
      </c>
      <c r="S303">
        <f t="shared" si="9"/>
        <v>1</v>
      </c>
    </row>
    <row r="304" spans="1:19" x14ac:dyDescent="0.25">
      <c r="A304" t="s">
        <v>1428</v>
      </c>
      <c r="B304" t="s">
        <v>1199</v>
      </c>
      <c r="C304">
        <v>0.5</v>
      </c>
      <c r="D304">
        <v>1250</v>
      </c>
      <c r="E304">
        <v>0</v>
      </c>
      <c r="F304">
        <v>40</v>
      </c>
      <c r="G304">
        <v>21.256</v>
      </c>
      <c r="H304" t="s">
        <v>1208</v>
      </c>
      <c r="I304" s="1">
        <v>37159</v>
      </c>
      <c r="J304" s="1">
        <v>37315</v>
      </c>
      <c r="K304" s="1">
        <v>37335</v>
      </c>
      <c r="L304" s="1">
        <v>37335</v>
      </c>
      <c r="M304" s="1">
        <v>37335</v>
      </c>
      <c r="N304" s="1">
        <v>37335</v>
      </c>
      <c r="O304" t="s">
        <v>1117</v>
      </c>
      <c r="P304">
        <v>3</v>
      </c>
      <c r="Q304" t="s">
        <v>1215</v>
      </c>
      <c r="R304">
        <f t="shared" si="8"/>
        <v>12</v>
      </c>
      <c r="S304">
        <f t="shared" si="9"/>
        <v>0</v>
      </c>
    </row>
    <row r="305" spans="1:19" x14ac:dyDescent="0.25">
      <c r="A305" t="s">
        <v>1429</v>
      </c>
      <c r="B305" t="s">
        <v>4028</v>
      </c>
      <c r="C305">
        <v>1.2</v>
      </c>
      <c r="D305">
        <v>1250</v>
      </c>
      <c r="E305">
        <v>0</v>
      </c>
      <c r="F305">
        <v>100</v>
      </c>
      <c r="G305">
        <v>6.9939999999999998</v>
      </c>
      <c r="H305" t="s">
        <v>1208</v>
      </c>
      <c r="I305" s="1">
        <v>37159</v>
      </c>
      <c r="J305" s="1">
        <v>37315</v>
      </c>
      <c r="K305" s="1">
        <v>37336</v>
      </c>
      <c r="L305" s="1">
        <v>37336</v>
      </c>
      <c r="M305" s="1">
        <v>37336</v>
      </c>
      <c r="N305" s="1">
        <v>37336</v>
      </c>
      <c r="O305" t="s">
        <v>1117</v>
      </c>
      <c r="P305">
        <v>3</v>
      </c>
      <c r="Q305" t="s">
        <v>1215</v>
      </c>
      <c r="R305">
        <f t="shared" si="8"/>
        <v>12</v>
      </c>
      <c r="S305">
        <f t="shared" si="9"/>
        <v>0</v>
      </c>
    </row>
    <row r="306" spans="1:19" x14ac:dyDescent="0.25">
      <c r="A306" t="s">
        <v>1430</v>
      </c>
      <c r="B306" t="s">
        <v>4028</v>
      </c>
      <c r="C306">
        <v>2</v>
      </c>
      <c r="D306">
        <v>1219</v>
      </c>
      <c r="E306">
        <v>0</v>
      </c>
      <c r="F306">
        <v>50</v>
      </c>
      <c r="G306">
        <v>50</v>
      </c>
      <c r="H306" t="s">
        <v>1208</v>
      </c>
      <c r="I306" s="1">
        <v>37128</v>
      </c>
      <c r="J306" s="1">
        <v>37315</v>
      </c>
      <c r="K306" s="1">
        <v>37322</v>
      </c>
      <c r="L306" s="1">
        <v>37322</v>
      </c>
      <c r="M306" s="1">
        <v>37323</v>
      </c>
      <c r="N306" s="1">
        <v>37323</v>
      </c>
      <c r="O306" t="s">
        <v>1117</v>
      </c>
      <c r="P306">
        <v>4</v>
      </c>
      <c r="Q306" t="s">
        <v>1215</v>
      </c>
      <c r="R306">
        <f t="shared" si="8"/>
        <v>10</v>
      </c>
      <c r="S306">
        <f t="shared" si="9"/>
        <v>1</v>
      </c>
    </row>
    <row r="307" spans="1:19" x14ac:dyDescent="0.25">
      <c r="A307" t="s">
        <v>1431</v>
      </c>
      <c r="B307" t="s">
        <v>3521</v>
      </c>
      <c r="C307">
        <v>0.8</v>
      </c>
      <c r="D307">
        <v>1250</v>
      </c>
      <c r="E307">
        <v>0</v>
      </c>
      <c r="F307">
        <v>6</v>
      </c>
      <c r="G307">
        <v>3</v>
      </c>
      <c r="H307" t="s">
        <v>1208</v>
      </c>
      <c r="I307" s="1">
        <v>37325</v>
      </c>
      <c r="J307" s="1">
        <v>37354</v>
      </c>
      <c r="K307" t="s">
        <v>1124</v>
      </c>
      <c r="L307" t="s">
        <v>1124</v>
      </c>
      <c r="M307" s="1">
        <v>37354</v>
      </c>
      <c r="N307" s="1">
        <v>37354</v>
      </c>
      <c r="O307" t="s">
        <v>1117</v>
      </c>
      <c r="P307">
        <v>2</v>
      </c>
      <c r="Q307" t="s">
        <v>1215</v>
      </c>
      <c r="R307">
        <f t="shared" si="8"/>
        <v>15</v>
      </c>
      <c r="S307">
        <f t="shared" si="9"/>
        <v>0</v>
      </c>
    </row>
    <row r="308" spans="1:19" x14ac:dyDescent="0.25">
      <c r="A308" t="s">
        <v>1432</v>
      </c>
      <c r="B308" t="s">
        <v>4028</v>
      </c>
      <c r="C308">
        <v>1.2</v>
      </c>
      <c r="D308">
        <v>1250</v>
      </c>
      <c r="E308">
        <v>0</v>
      </c>
      <c r="F308">
        <v>100</v>
      </c>
      <c r="G308">
        <v>62.152000000000001</v>
      </c>
      <c r="H308" t="s">
        <v>1208</v>
      </c>
      <c r="I308" s="1">
        <v>37110</v>
      </c>
      <c r="J308" s="1">
        <v>37315</v>
      </c>
      <c r="K308" s="1">
        <v>37336</v>
      </c>
      <c r="L308" s="1">
        <v>37336</v>
      </c>
      <c r="M308" s="1">
        <v>37336</v>
      </c>
      <c r="N308" s="1">
        <v>37336</v>
      </c>
      <c r="O308" t="s">
        <v>1117</v>
      </c>
      <c r="P308">
        <v>2</v>
      </c>
      <c r="Q308" t="s">
        <v>1215</v>
      </c>
      <c r="R308">
        <f t="shared" si="8"/>
        <v>12</v>
      </c>
      <c r="S308">
        <f t="shared" si="9"/>
        <v>0</v>
      </c>
    </row>
    <row r="309" spans="1:19" x14ac:dyDescent="0.25">
      <c r="A309" t="s">
        <v>1433</v>
      </c>
      <c r="B309" t="s">
        <v>1199</v>
      </c>
      <c r="C309">
        <v>1.2</v>
      </c>
      <c r="D309">
        <v>288</v>
      </c>
      <c r="E309">
        <v>0</v>
      </c>
      <c r="F309">
        <v>2</v>
      </c>
      <c r="G309">
        <v>2</v>
      </c>
      <c r="H309" t="s">
        <v>1208</v>
      </c>
      <c r="I309" s="1">
        <v>37159</v>
      </c>
      <c r="J309" s="1">
        <v>37315</v>
      </c>
      <c r="K309" s="1">
        <v>37328</v>
      </c>
      <c r="L309" s="1">
        <v>37328</v>
      </c>
      <c r="M309" s="1">
        <v>37327</v>
      </c>
      <c r="N309" s="1">
        <v>37327</v>
      </c>
      <c r="O309" t="s">
        <v>1117</v>
      </c>
      <c r="P309">
        <v>5</v>
      </c>
      <c r="Q309" t="s">
        <v>1215</v>
      </c>
      <c r="R309">
        <f t="shared" si="8"/>
        <v>11</v>
      </c>
      <c r="S309">
        <f t="shared" si="9"/>
        <v>1</v>
      </c>
    </row>
    <row r="310" spans="1:19" x14ac:dyDescent="0.25">
      <c r="A310" t="s">
        <v>1434</v>
      </c>
      <c r="B310" t="s">
        <v>4026</v>
      </c>
      <c r="C310">
        <v>1</v>
      </c>
      <c r="D310">
        <v>1250</v>
      </c>
      <c r="E310">
        <v>0</v>
      </c>
      <c r="F310">
        <v>20</v>
      </c>
      <c r="G310">
        <v>2.2959999999999998</v>
      </c>
      <c r="H310" t="s">
        <v>1208</v>
      </c>
      <c r="I310" s="1">
        <v>37159</v>
      </c>
      <c r="J310" s="1">
        <v>37315</v>
      </c>
      <c r="K310" s="1">
        <v>37352</v>
      </c>
      <c r="L310" s="1">
        <v>37352</v>
      </c>
      <c r="M310" s="1">
        <v>37352</v>
      </c>
      <c r="N310" s="1">
        <v>37352</v>
      </c>
      <c r="O310" t="s">
        <v>1117</v>
      </c>
      <c r="P310">
        <v>3</v>
      </c>
      <c r="Q310" t="s">
        <v>1215</v>
      </c>
      <c r="R310">
        <f t="shared" si="8"/>
        <v>14</v>
      </c>
      <c r="S310">
        <f t="shared" si="9"/>
        <v>0</v>
      </c>
    </row>
    <row r="311" spans="1:19" x14ac:dyDescent="0.25">
      <c r="A311" t="s">
        <v>1435</v>
      </c>
      <c r="B311" t="s">
        <v>4026</v>
      </c>
      <c r="C311">
        <v>0.6</v>
      </c>
      <c r="D311">
        <v>1250</v>
      </c>
      <c r="E311">
        <v>0</v>
      </c>
      <c r="F311">
        <v>20</v>
      </c>
      <c r="G311">
        <v>20</v>
      </c>
      <c r="H311" t="s">
        <v>1208</v>
      </c>
      <c r="I311" s="1">
        <v>37159</v>
      </c>
      <c r="J311" s="1">
        <v>37315</v>
      </c>
      <c r="K311" s="1">
        <v>37332</v>
      </c>
      <c r="L311" s="1">
        <v>37332</v>
      </c>
      <c r="M311" s="1">
        <v>37332</v>
      </c>
      <c r="N311" s="1">
        <v>37332</v>
      </c>
      <c r="O311" t="s">
        <v>1117</v>
      </c>
      <c r="P311">
        <v>2</v>
      </c>
      <c r="Q311" t="s">
        <v>1215</v>
      </c>
      <c r="R311">
        <f t="shared" si="8"/>
        <v>12</v>
      </c>
      <c r="S311">
        <f t="shared" si="9"/>
        <v>1</v>
      </c>
    </row>
    <row r="312" spans="1:19" x14ac:dyDescent="0.25">
      <c r="A312" t="s">
        <v>1436</v>
      </c>
      <c r="B312" t="s">
        <v>4026</v>
      </c>
      <c r="C312">
        <v>0.4</v>
      </c>
      <c r="D312">
        <v>375.5</v>
      </c>
      <c r="E312">
        <v>0</v>
      </c>
      <c r="F312">
        <v>80</v>
      </c>
      <c r="G312">
        <v>19.385000000000002</v>
      </c>
      <c r="H312" t="s">
        <v>1208</v>
      </c>
      <c r="I312" s="1">
        <v>37159</v>
      </c>
      <c r="J312" s="1">
        <v>37317</v>
      </c>
      <c r="K312" s="1">
        <v>37314</v>
      </c>
      <c r="L312" s="1">
        <v>37317</v>
      </c>
      <c r="M312" s="1">
        <v>37266</v>
      </c>
      <c r="N312" s="1">
        <v>37280</v>
      </c>
      <c r="O312" t="s">
        <v>1114</v>
      </c>
      <c r="P312">
        <v>1</v>
      </c>
      <c r="Q312" t="s">
        <v>1215</v>
      </c>
      <c r="R312">
        <f t="shared" si="8"/>
        <v>4</v>
      </c>
      <c r="S312">
        <f t="shared" si="9"/>
        <v>0</v>
      </c>
    </row>
    <row r="313" spans="1:19" x14ac:dyDescent="0.25">
      <c r="A313" t="s">
        <v>1437</v>
      </c>
      <c r="B313" t="s">
        <v>4026</v>
      </c>
      <c r="C313">
        <v>0.8</v>
      </c>
      <c r="D313">
        <v>158</v>
      </c>
      <c r="E313">
        <v>0</v>
      </c>
      <c r="F313">
        <v>2.4</v>
      </c>
      <c r="G313">
        <v>2.4</v>
      </c>
      <c r="H313" t="s">
        <v>1208</v>
      </c>
      <c r="I313" s="1">
        <v>37293</v>
      </c>
      <c r="J313" s="1">
        <v>37308</v>
      </c>
      <c r="K313" s="1">
        <v>37338</v>
      </c>
      <c r="L313" s="1">
        <v>37338</v>
      </c>
      <c r="M313" s="1">
        <v>37331</v>
      </c>
      <c r="N313" s="1">
        <v>37392</v>
      </c>
      <c r="O313" t="s">
        <v>1117</v>
      </c>
      <c r="P313">
        <v>4</v>
      </c>
      <c r="Q313" t="s">
        <v>1438</v>
      </c>
      <c r="R313">
        <f t="shared" si="8"/>
        <v>20</v>
      </c>
      <c r="S313">
        <f t="shared" si="9"/>
        <v>1</v>
      </c>
    </row>
    <row r="314" spans="1:19" x14ac:dyDescent="0.25">
      <c r="A314" t="s">
        <v>1439</v>
      </c>
      <c r="B314" t="s">
        <v>1199</v>
      </c>
      <c r="C314">
        <v>0.8</v>
      </c>
      <c r="D314">
        <v>78</v>
      </c>
      <c r="E314">
        <v>0</v>
      </c>
      <c r="F314">
        <v>5</v>
      </c>
      <c r="G314">
        <v>5</v>
      </c>
      <c r="H314" t="s">
        <v>1208</v>
      </c>
      <c r="I314" s="1">
        <v>37293</v>
      </c>
      <c r="J314" s="1">
        <v>37308</v>
      </c>
      <c r="K314" s="1">
        <v>37346</v>
      </c>
      <c r="L314" s="1">
        <v>37346</v>
      </c>
      <c r="M314" s="1">
        <v>37346</v>
      </c>
      <c r="N314" s="1">
        <v>37346</v>
      </c>
      <c r="O314" t="s">
        <v>1117</v>
      </c>
      <c r="P314">
        <v>1</v>
      </c>
      <c r="Q314" t="s">
        <v>1438</v>
      </c>
      <c r="R314">
        <f t="shared" si="8"/>
        <v>14</v>
      </c>
      <c r="S314">
        <f t="shared" si="9"/>
        <v>1</v>
      </c>
    </row>
    <row r="315" spans="1:19" x14ac:dyDescent="0.25">
      <c r="A315" t="s">
        <v>1440</v>
      </c>
      <c r="B315" t="s">
        <v>1199</v>
      </c>
      <c r="C315">
        <v>1.2</v>
      </c>
      <c r="D315">
        <v>1000</v>
      </c>
      <c r="E315">
        <v>0</v>
      </c>
      <c r="F315">
        <v>6</v>
      </c>
      <c r="G315">
        <v>6</v>
      </c>
      <c r="H315" t="s">
        <v>1208</v>
      </c>
      <c r="I315" s="1">
        <v>37159</v>
      </c>
      <c r="J315" s="1">
        <v>37320</v>
      </c>
      <c r="K315" s="1">
        <v>37344</v>
      </c>
      <c r="L315" s="1">
        <v>37344</v>
      </c>
      <c r="M315" s="1">
        <v>37344</v>
      </c>
      <c r="N315" s="1">
        <v>37344</v>
      </c>
      <c r="O315" t="s">
        <v>1117</v>
      </c>
      <c r="P315">
        <v>2</v>
      </c>
      <c r="Q315" t="s">
        <v>1215</v>
      </c>
      <c r="R315">
        <f t="shared" si="8"/>
        <v>13</v>
      </c>
      <c r="S315">
        <f t="shared" si="9"/>
        <v>1</v>
      </c>
    </row>
    <row r="316" spans="1:19" x14ac:dyDescent="0.25">
      <c r="A316" t="s">
        <v>1441</v>
      </c>
      <c r="B316" t="s">
        <v>1199</v>
      </c>
      <c r="C316">
        <v>1.2</v>
      </c>
      <c r="D316">
        <v>1000</v>
      </c>
      <c r="E316">
        <v>0</v>
      </c>
      <c r="F316">
        <v>3</v>
      </c>
      <c r="G316">
        <v>3</v>
      </c>
      <c r="H316" t="s">
        <v>1208</v>
      </c>
      <c r="I316" s="1">
        <v>37126</v>
      </c>
      <c r="J316" s="1">
        <v>37308</v>
      </c>
      <c r="K316" s="1">
        <v>37344</v>
      </c>
      <c r="L316" s="1">
        <v>37344</v>
      </c>
      <c r="M316" s="1">
        <v>37344</v>
      </c>
      <c r="N316" s="1">
        <v>37344</v>
      </c>
      <c r="O316" t="s">
        <v>1117</v>
      </c>
      <c r="P316">
        <v>1</v>
      </c>
      <c r="Q316" t="s">
        <v>1215</v>
      </c>
      <c r="R316">
        <f t="shared" si="8"/>
        <v>13</v>
      </c>
      <c r="S316">
        <f t="shared" si="9"/>
        <v>1</v>
      </c>
    </row>
    <row r="317" spans="1:19" x14ac:dyDescent="0.25">
      <c r="A317" t="s">
        <v>1442</v>
      </c>
      <c r="B317" t="s">
        <v>1199</v>
      </c>
      <c r="C317">
        <v>0.4</v>
      </c>
      <c r="D317">
        <v>1250</v>
      </c>
      <c r="E317">
        <v>0</v>
      </c>
      <c r="F317">
        <v>44</v>
      </c>
      <c r="G317">
        <v>44</v>
      </c>
      <c r="H317" t="s">
        <v>1208</v>
      </c>
      <c r="I317" s="1">
        <v>37159</v>
      </c>
      <c r="J317" s="1">
        <v>37316</v>
      </c>
      <c r="K317" s="1">
        <v>37313</v>
      </c>
      <c r="L317" s="1">
        <v>37316</v>
      </c>
      <c r="M317" s="1">
        <v>37279</v>
      </c>
      <c r="N317" s="1">
        <v>37279</v>
      </c>
      <c r="O317" t="s">
        <v>1114</v>
      </c>
      <c r="P317">
        <v>1</v>
      </c>
      <c r="Q317" t="s">
        <v>1215</v>
      </c>
      <c r="R317">
        <f t="shared" si="8"/>
        <v>4</v>
      </c>
      <c r="S317">
        <f t="shared" si="9"/>
        <v>1</v>
      </c>
    </row>
    <row r="318" spans="1:19" x14ac:dyDescent="0.25">
      <c r="A318" t="s">
        <v>1443</v>
      </c>
      <c r="B318" t="s">
        <v>1199</v>
      </c>
      <c r="C318">
        <v>0.8</v>
      </c>
      <c r="D318">
        <v>98</v>
      </c>
      <c r="E318">
        <v>0</v>
      </c>
      <c r="F318">
        <v>5</v>
      </c>
      <c r="G318">
        <v>5</v>
      </c>
      <c r="H318" t="s">
        <v>1208</v>
      </c>
      <c r="I318" s="1">
        <v>37293</v>
      </c>
      <c r="J318" s="1">
        <v>37308</v>
      </c>
      <c r="K318" s="1">
        <v>37340</v>
      </c>
      <c r="L318" s="1">
        <v>37340</v>
      </c>
      <c r="M318" s="1">
        <v>37334</v>
      </c>
      <c r="N318" s="1">
        <v>37392</v>
      </c>
      <c r="O318" t="s">
        <v>1117</v>
      </c>
      <c r="P318">
        <v>2</v>
      </c>
      <c r="Q318" t="s">
        <v>1438</v>
      </c>
      <c r="R318">
        <f t="shared" si="8"/>
        <v>20</v>
      </c>
      <c r="S318">
        <f t="shared" si="9"/>
        <v>1</v>
      </c>
    </row>
    <row r="319" spans="1:19" x14ac:dyDescent="0.25">
      <c r="A319" t="s">
        <v>1444</v>
      </c>
      <c r="B319" t="s">
        <v>1199</v>
      </c>
      <c r="C319">
        <v>0.8</v>
      </c>
      <c r="D319">
        <v>118</v>
      </c>
      <c r="E319">
        <v>0</v>
      </c>
      <c r="F319">
        <v>5</v>
      </c>
      <c r="G319">
        <v>5</v>
      </c>
      <c r="H319" t="s">
        <v>1208</v>
      </c>
      <c r="I319" s="1">
        <v>37293</v>
      </c>
      <c r="J319" s="1">
        <v>37308</v>
      </c>
      <c r="K319" s="1">
        <v>37346</v>
      </c>
      <c r="L319" s="1">
        <v>37346</v>
      </c>
      <c r="M319" s="1">
        <v>37346</v>
      </c>
      <c r="N319" s="1">
        <v>37392</v>
      </c>
      <c r="O319" t="s">
        <v>1117</v>
      </c>
      <c r="P319">
        <v>3</v>
      </c>
      <c r="Q319" t="s">
        <v>1438</v>
      </c>
      <c r="R319">
        <f t="shared" si="8"/>
        <v>20</v>
      </c>
      <c r="S319">
        <f t="shared" si="9"/>
        <v>1</v>
      </c>
    </row>
    <row r="320" spans="1:19" x14ac:dyDescent="0.25">
      <c r="A320" t="s">
        <v>1445</v>
      </c>
      <c r="B320" t="s">
        <v>1199</v>
      </c>
      <c r="C320">
        <v>1.1499999999999999</v>
      </c>
      <c r="D320">
        <v>195.5</v>
      </c>
      <c r="E320">
        <v>0</v>
      </c>
      <c r="F320">
        <v>3.1</v>
      </c>
      <c r="G320">
        <v>3.1</v>
      </c>
      <c r="H320" t="s">
        <v>1208</v>
      </c>
      <c r="I320" s="1">
        <v>37126</v>
      </c>
      <c r="J320" s="1">
        <v>37314</v>
      </c>
      <c r="K320" s="1">
        <v>37334</v>
      </c>
      <c r="L320" s="1">
        <v>37334</v>
      </c>
      <c r="M320" s="1">
        <v>37334</v>
      </c>
      <c r="N320" s="1">
        <v>37334</v>
      </c>
      <c r="O320" t="s">
        <v>1117</v>
      </c>
      <c r="P320">
        <v>4</v>
      </c>
      <c r="Q320" t="s">
        <v>1438</v>
      </c>
      <c r="R320">
        <f t="shared" si="8"/>
        <v>12</v>
      </c>
      <c r="S320">
        <f t="shared" si="9"/>
        <v>1</v>
      </c>
    </row>
    <row r="321" spans="1:19" x14ac:dyDescent="0.25">
      <c r="A321" t="s">
        <v>1446</v>
      </c>
      <c r="B321" t="s">
        <v>1199</v>
      </c>
      <c r="C321">
        <v>1.1499999999999999</v>
      </c>
      <c r="D321">
        <v>159.30000000000001</v>
      </c>
      <c r="E321">
        <v>0</v>
      </c>
      <c r="F321">
        <v>5.0999999999999996</v>
      </c>
      <c r="G321">
        <v>5.0999999999999996</v>
      </c>
      <c r="H321" t="s">
        <v>1208</v>
      </c>
      <c r="I321" s="1">
        <v>37126</v>
      </c>
      <c r="J321" s="1">
        <v>37314</v>
      </c>
      <c r="K321" s="1">
        <v>37334</v>
      </c>
      <c r="L321" s="1">
        <v>37334</v>
      </c>
      <c r="M321" s="1">
        <v>37334</v>
      </c>
      <c r="N321" s="1">
        <v>37334</v>
      </c>
      <c r="O321" t="s">
        <v>1117</v>
      </c>
      <c r="P321">
        <v>3</v>
      </c>
      <c r="Q321" t="s">
        <v>1438</v>
      </c>
      <c r="R321">
        <f t="shared" si="8"/>
        <v>12</v>
      </c>
      <c r="S321">
        <f t="shared" si="9"/>
        <v>1</v>
      </c>
    </row>
    <row r="322" spans="1:19" x14ac:dyDescent="0.25">
      <c r="A322" t="s">
        <v>1447</v>
      </c>
      <c r="B322" t="s">
        <v>1199</v>
      </c>
      <c r="C322">
        <v>1.45</v>
      </c>
      <c r="D322">
        <v>1000</v>
      </c>
      <c r="E322">
        <v>0</v>
      </c>
      <c r="F322">
        <v>20</v>
      </c>
      <c r="G322">
        <v>20</v>
      </c>
      <c r="H322" t="s">
        <v>1208</v>
      </c>
      <c r="I322" s="1">
        <v>37130</v>
      </c>
      <c r="J322" s="1">
        <v>37346</v>
      </c>
      <c r="K322" s="1">
        <v>37346</v>
      </c>
      <c r="L322" s="1">
        <v>37346</v>
      </c>
      <c r="M322" s="1">
        <v>37346</v>
      </c>
      <c r="N322" s="1">
        <v>37346</v>
      </c>
      <c r="O322" t="s">
        <v>1114</v>
      </c>
      <c r="P322">
        <v>2</v>
      </c>
      <c r="Q322" t="s">
        <v>1215</v>
      </c>
      <c r="R322">
        <f t="shared" si="8"/>
        <v>14</v>
      </c>
      <c r="S322">
        <f t="shared" si="9"/>
        <v>1</v>
      </c>
    </row>
    <row r="323" spans="1:19" x14ac:dyDescent="0.25">
      <c r="A323" t="s">
        <v>1448</v>
      </c>
      <c r="B323" t="s">
        <v>4028</v>
      </c>
      <c r="C323">
        <v>0.8</v>
      </c>
      <c r="D323">
        <v>318</v>
      </c>
      <c r="E323">
        <v>0</v>
      </c>
      <c r="F323">
        <v>7.3</v>
      </c>
      <c r="G323">
        <v>2.5339999999999998</v>
      </c>
      <c r="H323" t="s">
        <v>1208</v>
      </c>
      <c r="I323" s="1">
        <v>37159</v>
      </c>
      <c r="J323" s="1">
        <v>37314</v>
      </c>
      <c r="K323" s="1">
        <v>37338</v>
      </c>
      <c r="L323" s="1">
        <v>37338</v>
      </c>
      <c r="M323" s="1">
        <v>37331</v>
      </c>
      <c r="N323" s="1">
        <v>37331</v>
      </c>
      <c r="O323" t="s">
        <v>1117</v>
      </c>
      <c r="P323">
        <v>1</v>
      </c>
      <c r="Q323" t="s">
        <v>1438</v>
      </c>
      <c r="R323">
        <f t="shared" ref="R323:R386" si="10">WEEKNUM(N323,1)</f>
        <v>11</v>
      </c>
      <c r="S323">
        <f t="shared" ref="S323:S386" si="11">IF(AND(F323=G323, M323&lt;=N323), 1,0)</f>
        <v>0</v>
      </c>
    </row>
    <row r="324" spans="1:19" x14ac:dyDescent="0.25">
      <c r="A324" t="s">
        <v>1449</v>
      </c>
      <c r="B324" t="s">
        <v>1199</v>
      </c>
      <c r="C324">
        <v>0.5</v>
      </c>
      <c r="D324">
        <v>1250</v>
      </c>
      <c r="E324">
        <v>0</v>
      </c>
      <c r="F324">
        <v>44</v>
      </c>
      <c r="G324">
        <v>7.0529999999999999</v>
      </c>
      <c r="H324" t="s">
        <v>1208</v>
      </c>
      <c r="I324" s="1">
        <v>37159</v>
      </c>
      <c r="J324" s="1">
        <v>37316</v>
      </c>
      <c r="K324" t="s">
        <v>1124</v>
      </c>
      <c r="L324" t="s">
        <v>1124</v>
      </c>
      <c r="M324" s="1">
        <v>37276</v>
      </c>
      <c r="N324" s="1">
        <v>37276</v>
      </c>
      <c r="O324" t="s">
        <v>1117</v>
      </c>
      <c r="P324">
        <v>2</v>
      </c>
      <c r="Q324" t="s">
        <v>1215</v>
      </c>
      <c r="R324">
        <f t="shared" si="10"/>
        <v>4</v>
      </c>
      <c r="S324">
        <f t="shared" si="11"/>
        <v>0</v>
      </c>
    </row>
    <row r="325" spans="1:19" x14ac:dyDescent="0.25">
      <c r="A325" t="s">
        <v>1450</v>
      </c>
      <c r="B325" t="s">
        <v>1199</v>
      </c>
      <c r="C325">
        <v>1.18</v>
      </c>
      <c r="D325">
        <v>1000</v>
      </c>
      <c r="E325">
        <v>0</v>
      </c>
      <c r="F325">
        <v>116</v>
      </c>
      <c r="G325">
        <v>33.838000000000001</v>
      </c>
      <c r="H325" t="s">
        <v>1208</v>
      </c>
      <c r="I325" s="1">
        <v>37126</v>
      </c>
      <c r="J325" s="1">
        <v>37314</v>
      </c>
      <c r="K325" s="1">
        <v>37339</v>
      </c>
      <c r="L325" s="1">
        <v>37339</v>
      </c>
      <c r="M325" s="1">
        <v>37339</v>
      </c>
      <c r="N325" s="1">
        <v>37353</v>
      </c>
      <c r="O325" t="s">
        <v>1117</v>
      </c>
      <c r="P325">
        <v>1</v>
      </c>
      <c r="Q325" t="s">
        <v>1215</v>
      </c>
      <c r="R325">
        <f t="shared" si="10"/>
        <v>15</v>
      </c>
      <c r="S325">
        <f t="shared" si="11"/>
        <v>0</v>
      </c>
    </row>
    <row r="326" spans="1:19" x14ac:dyDescent="0.25">
      <c r="A326" t="s">
        <v>1451</v>
      </c>
      <c r="B326" t="s">
        <v>4027</v>
      </c>
      <c r="C326">
        <v>0.7</v>
      </c>
      <c r="D326">
        <v>1250</v>
      </c>
      <c r="E326">
        <v>0</v>
      </c>
      <c r="F326">
        <v>3</v>
      </c>
      <c r="G326">
        <v>3</v>
      </c>
      <c r="H326" t="s">
        <v>1208</v>
      </c>
      <c r="I326" s="1">
        <v>37159</v>
      </c>
      <c r="J326" s="1">
        <v>37325</v>
      </c>
      <c r="K326" s="1">
        <v>37375</v>
      </c>
      <c r="L326" s="1">
        <v>37375</v>
      </c>
      <c r="M326" s="1">
        <v>37368</v>
      </c>
      <c r="N326" s="1">
        <v>37368</v>
      </c>
      <c r="O326" t="s">
        <v>1117</v>
      </c>
      <c r="P326">
        <v>3</v>
      </c>
      <c r="Q326" t="s">
        <v>1215</v>
      </c>
      <c r="R326">
        <f t="shared" si="10"/>
        <v>17</v>
      </c>
      <c r="S326">
        <f t="shared" si="11"/>
        <v>1</v>
      </c>
    </row>
    <row r="327" spans="1:19" x14ac:dyDescent="0.25">
      <c r="A327" t="s">
        <v>1452</v>
      </c>
      <c r="B327" t="s">
        <v>1199</v>
      </c>
      <c r="C327">
        <v>0.8</v>
      </c>
      <c r="D327">
        <v>1000</v>
      </c>
      <c r="E327">
        <v>0</v>
      </c>
      <c r="F327">
        <v>10</v>
      </c>
      <c r="G327">
        <v>10</v>
      </c>
      <c r="H327" t="s">
        <v>1208</v>
      </c>
      <c r="I327" s="1">
        <v>37110</v>
      </c>
      <c r="J327" s="1">
        <v>37314</v>
      </c>
      <c r="K327" t="s">
        <v>1124</v>
      </c>
      <c r="L327" t="s">
        <v>1124</v>
      </c>
      <c r="M327" s="1">
        <v>37344</v>
      </c>
      <c r="N327" s="1">
        <v>37344</v>
      </c>
      <c r="O327" t="s">
        <v>1117</v>
      </c>
      <c r="P327">
        <v>3</v>
      </c>
      <c r="Q327" t="s">
        <v>1215</v>
      </c>
      <c r="R327">
        <f t="shared" si="10"/>
        <v>13</v>
      </c>
      <c r="S327">
        <f t="shared" si="11"/>
        <v>1</v>
      </c>
    </row>
    <row r="328" spans="1:19" x14ac:dyDescent="0.25">
      <c r="A328" t="s">
        <v>1453</v>
      </c>
      <c r="B328" t="s">
        <v>1199</v>
      </c>
      <c r="C328">
        <v>0.4</v>
      </c>
      <c r="D328">
        <v>375.5</v>
      </c>
      <c r="E328">
        <v>0</v>
      </c>
      <c r="F328">
        <v>70</v>
      </c>
      <c r="G328">
        <v>70</v>
      </c>
      <c r="H328" t="s">
        <v>1208</v>
      </c>
      <c r="I328" s="1">
        <v>37110</v>
      </c>
      <c r="J328" s="1">
        <v>37318</v>
      </c>
      <c r="K328" s="1">
        <v>37315</v>
      </c>
      <c r="L328" s="1">
        <v>37318</v>
      </c>
      <c r="M328" s="1">
        <v>37280</v>
      </c>
      <c r="N328" s="1">
        <v>37280</v>
      </c>
      <c r="O328" t="s">
        <v>1114</v>
      </c>
      <c r="P328">
        <v>1</v>
      </c>
      <c r="Q328" t="s">
        <v>1215</v>
      </c>
      <c r="R328">
        <f t="shared" si="10"/>
        <v>4</v>
      </c>
      <c r="S328">
        <f t="shared" si="11"/>
        <v>1</v>
      </c>
    </row>
    <row r="329" spans="1:19" x14ac:dyDescent="0.25">
      <c r="A329" t="s">
        <v>1454</v>
      </c>
      <c r="B329" t="s">
        <v>4026</v>
      </c>
      <c r="C329">
        <v>0.4</v>
      </c>
      <c r="D329">
        <v>1250</v>
      </c>
      <c r="E329">
        <v>0</v>
      </c>
      <c r="F329">
        <v>44</v>
      </c>
      <c r="G329">
        <v>6.6079999999999997</v>
      </c>
      <c r="H329" t="s">
        <v>1208</v>
      </c>
      <c r="I329" s="1">
        <v>37159</v>
      </c>
      <c r="J329" s="1">
        <v>37316</v>
      </c>
      <c r="K329" s="1">
        <v>37350</v>
      </c>
      <c r="L329" s="1">
        <v>37350</v>
      </c>
      <c r="M329" s="1">
        <v>37263</v>
      </c>
      <c r="N329" s="1">
        <v>37279</v>
      </c>
      <c r="O329" t="s">
        <v>1117</v>
      </c>
      <c r="P329">
        <v>1</v>
      </c>
      <c r="Q329" t="s">
        <v>1215</v>
      </c>
      <c r="R329">
        <f t="shared" si="10"/>
        <v>4</v>
      </c>
      <c r="S329">
        <f t="shared" si="11"/>
        <v>0</v>
      </c>
    </row>
    <row r="330" spans="1:19" x14ac:dyDescent="0.25">
      <c r="A330" t="s">
        <v>1455</v>
      </c>
      <c r="B330" t="s">
        <v>1199</v>
      </c>
      <c r="C330">
        <v>0.8</v>
      </c>
      <c r="D330">
        <v>158</v>
      </c>
      <c r="E330">
        <v>0</v>
      </c>
      <c r="F330">
        <v>2.4</v>
      </c>
      <c r="G330">
        <v>2.4</v>
      </c>
      <c r="H330" t="s">
        <v>1208</v>
      </c>
      <c r="I330" s="1">
        <v>37352</v>
      </c>
      <c r="J330" s="1">
        <v>37392</v>
      </c>
      <c r="K330" t="s">
        <v>1124</v>
      </c>
      <c r="L330" t="s">
        <v>1124</v>
      </c>
      <c r="M330" s="1">
        <v>37392</v>
      </c>
      <c r="N330" s="1">
        <v>37392</v>
      </c>
      <c r="O330" t="s">
        <v>1117</v>
      </c>
      <c r="P330">
        <v>4</v>
      </c>
      <c r="Q330" t="s">
        <v>1438</v>
      </c>
      <c r="R330">
        <f t="shared" si="10"/>
        <v>20</v>
      </c>
      <c r="S330">
        <f t="shared" si="11"/>
        <v>1</v>
      </c>
    </row>
    <row r="331" spans="1:19" x14ac:dyDescent="0.25">
      <c r="A331" t="s">
        <v>1456</v>
      </c>
      <c r="B331" t="s">
        <v>4028</v>
      </c>
      <c r="C331">
        <v>0.8</v>
      </c>
      <c r="D331">
        <v>98</v>
      </c>
      <c r="E331">
        <v>0</v>
      </c>
      <c r="F331">
        <v>5</v>
      </c>
      <c r="G331">
        <v>5</v>
      </c>
      <c r="H331" t="s">
        <v>1208</v>
      </c>
      <c r="I331" s="1">
        <v>37352</v>
      </c>
      <c r="J331" s="1">
        <v>37392</v>
      </c>
      <c r="K331" t="s">
        <v>1124</v>
      </c>
      <c r="L331" t="s">
        <v>1124</v>
      </c>
      <c r="M331" s="1">
        <v>37392</v>
      </c>
      <c r="N331" s="1">
        <v>37392</v>
      </c>
      <c r="O331" t="s">
        <v>1117</v>
      </c>
      <c r="P331">
        <v>2</v>
      </c>
      <c r="Q331" t="s">
        <v>1438</v>
      </c>
      <c r="R331">
        <f t="shared" si="10"/>
        <v>20</v>
      </c>
      <c r="S331">
        <f t="shared" si="11"/>
        <v>1</v>
      </c>
    </row>
    <row r="332" spans="1:19" x14ac:dyDescent="0.25">
      <c r="A332" t="s">
        <v>1457</v>
      </c>
      <c r="B332" t="s">
        <v>1199</v>
      </c>
      <c r="C332">
        <v>1.18</v>
      </c>
      <c r="D332">
        <v>117</v>
      </c>
      <c r="E332">
        <v>0</v>
      </c>
      <c r="F332">
        <v>2</v>
      </c>
      <c r="G332">
        <v>2</v>
      </c>
      <c r="H332" t="s">
        <v>1208</v>
      </c>
      <c r="I332" s="1">
        <v>37132</v>
      </c>
      <c r="J332" s="1">
        <v>37346</v>
      </c>
      <c r="K332" s="1">
        <v>37353</v>
      </c>
      <c r="L332" s="1">
        <v>37353</v>
      </c>
      <c r="M332" s="1">
        <v>37353</v>
      </c>
      <c r="N332" s="1">
        <v>37353</v>
      </c>
      <c r="O332" t="s">
        <v>1117</v>
      </c>
      <c r="P332">
        <v>9</v>
      </c>
      <c r="Q332" t="s">
        <v>1215</v>
      </c>
      <c r="R332">
        <f t="shared" si="10"/>
        <v>15</v>
      </c>
      <c r="S332">
        <f t="shared" si="11"/>
        <v>1</v>
      </c>
    </row>
    <row r="333" spans="1:19" x14ac:dyDescent="0.25">
      <c r="A333" t="s">
        <v>1458</v>
      </c>
      <c r="B333" t="s">
        <v>4027</v>
      </c>
      <c r="C333">
        <v>1.45</v>
      </c>
      <c r="D333">
        <v>1000</v>
      </c>
      <c r="E333">
        <v>0</v>
      </c>
      <c r="F333">
        <v>59</v>
      </c>
      <c r="G333">
        <v>59</v>
      </c>
      <c r="H333" t="s">
        <v>1208</v>
      </c>
      <c r="I333" s="1">
        <v>37126</v>
      </c>
      <c r="J333" s="1">
        <v>37315</v>
      </c>
      <c r="K333" s="1">
        <v>37326</v>
      </c>
      <c r="L333" s="1">
        <v>37326</v>
      </c>
      <c r="M333" s="1">
        <v>37330</v>
      </c>
      <c r="N333" s="1">
        <v>37346</v>
      </c>
      <c r="O333" t="s">
        <v>1117</v>
      </c>
      <c r="P333">
        <v>2</v>
      </c>
      <c r="Q333" t="s">
        <v>1215</v>
      </c>
      <c r="R333">
        <f t="shared" si="10"/>
        <v>14</v>
      </c>
      <c r="S333">
        <f t="shared" si="11"/>
        <v>1</v>
      </c>
    </row>
    <row r="334" spans="1:19" x14ac:dyDescent="0.25">
      <c r="A334" t="s">
        <v>1459</v>
      </c>
      <c r="B334" t="s">
        <v>3601</v>
      </c>
      <c r="C334">
        <v>1.18</v>
      </c>
      <c r="D334">
        <v>1000</v>
      </c>
      <c r="E334">
        <v>0</v>
      </c>
      <c r="F334">
        <v>139</v>
      </c>
      <c r="G334">
        <v>139</v>
      </c>
      <c r="H334" t="s">
        <v>1208</v>
      </c>
      <c r="I334" s="1">
        <v>37130</v>
      </c>
      <c r="J334" s="1">
        <v>37346</v>
      </c>
      <c r="K334" s="1">
        <v>37351</v>
      </c>
      <c r="L334" s="1">
        <v>37351</v>
      </c>
      <c r="M334" s="1">
        <v>37351</v>
      </c>
      <c r="N334" s="1">
        <v>37353</v>
      </c>
      <c r="O334" t="s">
        <v>1117</v>
      </c>
      <c r="P334">
        <v>1</v>
      </c>
      <c r="Q334" t="s">
        <v>1215</v>
      </c>
      <c r="R334">
        <f t="shared" si="10"/>
        <v>15</v>
      </c>
      <c r="S334">
        <f t="shared" si="11"/>
        <v>1</v>
      </c>
    </row>
    <row r="335" spans="1:19" x14ac:dyDescent="0.25">
      <c r="A335" t="s">
        <v>1460</v>
      </c>
      <c r="B335" t="s">
        <v>4028</v>
      </c>
      <c r="C335">
        <v>1.1499999999999999</v>
      </c>
      <c r="D335">
        <v>625</v>
      </c>
      <c r="E335">
        <v>0</v>
      </c>
      <c r="F335">
        <v>133</v>
      </c>
      <c r="G335">
        <v>23.84</v>
      </c>
      <c r="H335" t="s">
        <v>1208</v>
      </c>
      <c r="I335" s="1">
        <v>37110</v>
      </c>
      <c r="J335" s="1">
        <v>37314</v>
      </c>
      <c r="K335" s="1">
        <v>37344</v>
      </c>
      <c r="L335" s="1">
        <v>37344</v>
      </c>
      <c r="M335" s="1">
        <v>37344</v>
      </c>
      <c r="N335" s="1">
        <v>37344</v>
      </c>
      <c r="O335" t="s">
        <v>1117</v>
      </c>
      <c r="P335">
        <v>24</v>
      </c>
      <c r="Q335" t="s">
        <v>1438</v>
      </c>
      <c r="R335">
        <f t="shared" si="10"/>
        <v>13</v>
      </c>
      <c r="S335">
        <f t="shared" si="11"/>
        <v>0</v>
      </c>
    </row>
    <row r="336" spans="1:19" x14ac:dyDescent="0.25">
      <c r="A336" t="s">
        <v>1461</v>
      </c>
      <c r="B336" t="s">
        <v>1199</v>
      </c>
      <c r="C336">
        <v>0.9</v>
      </c>
      <c r="D336">
        <v>625</v>
      </c>
      <c r="E336">
        <v>0</v>
      </c>
      <c r="F336">
        <v>252</v>
      </c>
      <c r="G336">
        <v>38.770000000000003</v>
      </c>
      <c r="H336" t="s">
        <v>1208</v>
      </c>
      <c r="I336" s="1">
        <v>37110</v>
      </c>
      <c r="J336" s="1">
        <v>37314</v>
      </c>
      <c r="K336" t="s">
        <v>1124</v>
      </c>
      <c r="L336" t="s">
        <v>1124</v>
      </c>
      <c r="M336" s="1">
        <v>37339</v>
      </c>
      <c r="N336" s="1">
        <v>37386</v>
      </c>
      <c r="O336" t="s">
        <v>1117</v>
      </c>
      <c r="P336">
        <v>15</v>
      </c>
      <c r="Q336" t="s">
        <v>1438</v>
      </c>
      <c r="R336">
        <f t="shared" si="10"/>
        <v>19</v>
      </c>
      <c r="S336">
        <f t="shared" si="11"/>
        <v>0</v>
      </c>
    </row>
    <row r="337" spans="1:19" x14ac:dyDescent="0.25">
      <c r="A337" t="s">
        <v>1462</v>
      </c>
      <c r="B337" t="s">
        <v>1199</v>
      </c>
      <c r="C337">
        <v>0.4</v>
      </c>
      <c r="D337">
        <v>419.5</v>
      </c>
      <c r="E337">
        <v>0</v>
      </c>
      <c r="F337">
        <v>80</v>
      </c>
      <c r="G337">
        <v>80</v>
      </c>
      <c r="H337" t="s">
        <v>1208</v>
      </c>
      <c r="I337" s="1">
        <v>37110</v>
      </c>
      <c r="J337" s="1">
        <v>37318</v>
      </c>
      <c r="K337" s="1">
        <v>37313</v>
      </c>
      <c r="L337" s="1">
        <v>37318</v>
      </c>
      <c r="M337" s="1">
        <v>37280</v>
      </c>
      <c r="N337" s="1">
        <v>37280</v>
      </c>
      <c r="O337" t="s">
        <v>1114</v>
      </c>
      <c r="P337">
        <v>2</v>
      </c>
      <c r="Q337" t="s">
        <v>1215</v>
      </c>
      <c r="R337">
        <f t="shared" si="10"/>
        <v>4</v>
      </c>
      <c r="S337">
        <f t="shared" si="11"/>
        <v>1</v>
      </c>
    </row>
    <row r="338" spans="1:19" x14ac:dyDescent="0.25">
      <c r="A338" t="s">
        <v>1463</v>
      </c>
      <c r="B338" t="s">
        <v>1199</v>
      </c>
      <c r="C338">
        <v>0.8</v>
      </c>
      <c r="D338">
        <v>118</v>
      </c>
      <c r="E338">
        <v>0</v>
      </c>
      <c r="F338">
        <v>5</v>
      </c>
      <c r="G338">
        <v>5</v>
      </c>
      <c r="H338" t="s">
        <v>1208</v>
      </c>
      <c r="I338" s="1">
        <v>37352</v>
      </c>
      <c r="J338" s="1">
        <v>37392</v>
      </c>
      <c r="K338" t="s">
        <v>1124</v>
      </c>
      <c r="L338" t="s">
        <v>1124</v>
      </c>
      <c r="M338" s="1">
        <v>37392</v>
      </c>
      <c r="N338" s="1">
        <v>37392</v>
      </c>
      <c r="O338" t="s">
        <v>1117</v>
      </c>
      <c r="P338">
        <v>3</v>
      </c>
      <c r="Q338" t="s">
        <v>1438</v>
      </c>
      <c r="R338">
        <f t="shared" si="10"/>
        <v>20</v>
      </c>
      <c r="S338">
        <f t="shared" si="11"/>
        <v>1</v>
      </c>
    </row>
    <row r="339" spans="1:19" x14ac:dyDescent="0.25">
      <c r="A339" t="s">
        <v>1464</v>
      </c>
      <c r="B339" t="s">
        <v>1199</v>
      </c>
      <c r="C339">
        <v>2</v>
      </c>
      <c r="D339">
        <v>1250</v>
      </c>
      <c r="E339">
        <v>0</v>
      </c>
      <c r="F339">
        <v>9</v>
      </c>
      <c r="G339">
        <v>3.0550000000000002</v>
      </c>
      <c r="H339" t="s">
        <v>1208</v>
      </c>
      <c r="I339" s="1">
        <v>37122</v>
      </c>
      <c r="J339" s="1">
        <v>37312</v>
      </c>
      <c r="K339" s="1">
        <v>37352</v>
      </c>
      <c r="L339" s="1">
        <v>37352</v>
      </c>
      <c r="M339" s="1">
        <v>37352</v>
      </c>
      <c r="N339" s="1">
        <v>37352</v>
      </c>
      <c r="O339" t="s">
        <v>1117</v>
      </c>
      <c r="P339">
        <v>9</v>
      </c>
      <c r="Q339" t="s">
        <v>1215</v>
      </c>
      <c r="R339">
        <f t="shared" si="10"/>
        <v>14</v>
      </c>
      <c r="S339">
        <f t="shared" si="11"/>
        <v>0</v>
      </c>
    </row>
    <row r="340" spans="1:19" x14ac:dyDescent="0.25">
      <c r="A340" t="s">
        <v>1465</v>
      </c>
      <c r="B340" t="s">
        <v>1199</v>
      </c>
      <c r="C340">
        <v>1</v>
      </c>
      <c r="D340">
        <v>1250</v>
      </c>
      <c r="E340">
        <v>0</v>
      </c>
      <c r="F340">
        <v>10</v>
      </c>
      <c r="G340">
        <v>2.2320000000000002</v>
      </c>
      <c r="H340" t="s">
        <v>1208</v>
      </c>
      <c r="I340" s="1">
        <v>37159</v>
      </c>
      <c r="J340" s="1">
        <v>37313</v>
      </c>
      <c r="K340" s="1">
        <v>37328</v>
      </c>
      <c r="L340" s="1">
        <v>37328</v>
      </c>
      <c r="M340" s="1">
        <v>37328</v>
      </c>
      <c r="N340" s="1">
        <v>37328</v>
      </c>
      <c r="O340" t="s">
        <v>1117</v>
      </c>
      <c r="P340">
        <v>1</v>
      </c>
      <c r="Q340" t="s">
        <v>1215</v>
      </c>
      <c r="R340">
        <f t="shared" si="10"/>
        <v>11</v>
      </c>
      <c r="S340">
        <f t="shared" si="11"/>
        <v>0</v>
      </c>
    </row>
    <row r="341" spans="1:19" x14ac:dyDescent="0.25">
      <c r="A341" t="s">
        <v>1466</v>
      </c>
      <c r="B341" t="s">
        <v>4028</v>
      </c>
      <c r="C341">
        <v>0.9</v>
      </c>
      <c r="D341">
        <v>1250</v>
      </c>
      <c r="E341">
        <v>0</v>
      </c>
      <c r="F341">
        <v>9</v>
      </c>
      <c r="G341">
        <v>9</v>
      </c>
      <c r="H341" t="s">
        <v>1208</v>
      </c>
      <c r="I341" s="1">
        <v>37159</v>
      </c>
      <c r="J341" s="1">
        <v>37313</v>
      </c>
      <c r="K341" s="1">
        <v>37317</v>
      </c>
      <c r="L341" s="1">
        <v>37317</v>
      </c>
      <c r="M341" s="1">
        <v>37276</v>
      </c>
      <c r="N341" s="1">
        <v>37276</v>
      </c>
      <c r="O341" t="s">
        <v>1117</v>
      </c>
      <c r="P341">
        <v>1</v>
      </c>
      <c r="Q341" t="s">
        <v>1215</v>
      </c>
      <c r="R341">
        <f t="shared" si="10"/>
        <v>4</v>
      </c>
      <c r="S341">
        <f t="shared" si="11"/>
        <v>1</v>
      </c>
    </row>
    <row r="342" spans="1:19" x14ac:dyDescent="0.25">
      <c r="A342" t="s">
        <v>1467</v>
      </c>
      <c r="B342" t="s">
        <v>1199</v>
      </c>
      <c r="C342">
        <v>0.8</v>
      </c>
      <c r="D342">
        <v>48</v>
      </c>
      <c r="E342">
        <v>0</v>
      </c>
      <c r="F342">
        <v>2</v>
      </c>
      <c r="G342">
        <v>2</v>
      </c>
      <c r="H342" t="s">
        <v>1208</v>
      </c>
      <c r="I342" s="1">
        <v>37110</v>
      </c>
      <c r="J342" s="1">
        <v>37314</v>
      </c>
      <c r="K342" s="1">
        <v>37338</v>
      </c>
      <c r="L342" s="1">
        <v>37338</v>
      </c>
      <c r="M342" s="1">
        <v>37331</v>
      </c>
      <c r="N342" s="1">
        <v>37331</v>
      </c>
      <c r="O342" t="s">
        <v>1117</v>
      </c>
      <c r="P342">
        <v>33</v>
      </c>
      <c r="Q342" t="s">
        <v>1438</v>
      </c>
      <c r="R342">
        <f t="shared" si="10"/>
        <v>11</v>
      </c>
      <c r="S342">
        <f t="shared" si="11"/>
        <v>1</v>
      </c>
    </row>
    <row r="343" spans="1:19" x14ac:dyDescent="0.25">
      <c r="A343" t="s">
        <v>1468</v>
      </c>
      <c r="B343" t="s">
        <v>1199</v>
      </c>
      <c r="C343">
        <v>1.2</v>
      </c>
      <c r="D343">
        <v>1000</v>
      </c>
      <c r="E343">
        <v>0</v>
      </c>
      <c r="F343">
        <v>3</v>
      </c>
      <c r="G343">
        <v>3</v>
      </c>
      <c r="H343" t="s">
        <v>1208</v>
      </c>
      <c r="I343" s="1">
        <v>37159</v>
      </c>
      <c r="J343" s="1">
        <v>37312</v>
      </c>
      <c r="K343" s="1">
        <v>37344</v>
      </c>
      <c r="L343" s="1">
        <v>37344</v>
      </c>
      <c r="M343" s="1">
        <v>37344</v>
      </c>
      <c r="N343" s="1">
        <v>37344</v>
      </c>
      <c r="O343" t="s">
        <v>1117</v>
      </c>
      <c r="P343">
        <v>7</v>
      </c>
      <c r="Q343" t="s">
        <v>1215</v>
      </c>
      <c r="R343">
        <f t="shared" si="10"/>
        <v>13</v>
      </c>
      <c r="S343">
        <f t="shared" si="11"/>
        <v>1</v>
      </c>
    </row>
    <row r="344" spans="1:19" x14ac:dyDescent="0.25">
      <c r="A344" t="s">
        <v>1469</v>
      </c>
      <c r="B344" t="s">
        <v>1199</v>
      </c>
      <c r="C344">
        <v>1.18</v>
      </c>
      <c r="D344">
        <v>1250</v>
      </c>
      <c r="E344">
        <v>0</v>
      </c>
      <c r="F344">
        <v>44</v>
      </c>
      <c r="G344">
        <v>44</v>
      </c>
      <c r="H344" t="s">
        <v>1208</v>
      </c>
      <c r="I344" s="1">
        <v>37129</v>
      </c>
      <c r="J344" s="1">
        <v>37345</v>
      </c>
      <c r="K344" s="1">
        <v>37352</v>
      </c>
      <c r="L344" s="1">
        <v>37352</v>
      </c>
      <c r="M344" s="1">
        <v>37352</v>
      </c>
      <c r="N344" s="1">
        <v>37352</v>
      </c>
      <c r="O344" t="s">
        <v>1117</v>
      </c>
      <c r="P344">
        <v>5</v>
      </c>
      <c r="Q344" t="s">
        <v>1215</v>
      </c>
      <c r="R344">
        <f t="shared" si="10"/>
        <v>14</v>
      </c>
      <c r="S344">
        <f t="shared" si="11"/>
        <v>1</v>
      </c>
    </row>
    <row r="345" spans="1:19" x14ac:dyDescent="0.25">
      <c r="A345" t="s">
        <v>1470</v>
      </c>
      <c r="B345" t="s">
        <v>4028</v>
      </c>
      <c r="C345">
        <v>2</v>
      </c>
      <c r="D345">
        <v>1000</v>
      </c>
      <c r="E345">
        <v>0</v>
      </c>
      <c r="F345">
        <v>5</v>
      </c>
      <c r="G345">
        <v>5</v>
      </c>
      <c r="H345" t="s">
        <v>1208</v>
      </c>
      <c r="I345" s="1">
        <v>37159</v>
      </c>
      <c r="J345" s="1">
        <v>37322</v>
      </c>
      <c r="K345" s="1">
        <v>37353</v>
      </c>
      <c r="L345" s="1">
        <v>37353</v>
      </c>
      <c r="M345" s="1">
        <v>37353</v>
      </c>
      <c r="N345" s="1">
        <v>37353</v>
      </c>
      <c r="O345" t="s">
        <v>1117</v>
      </c>
      <c r="P345">
        <v>1</v>
      </c>
      <c r="Q345" t="s">
        <v>1215</v>
      </c>
      <c r="R345">
        <f t="shared" si="10"/>
        <v>15</v>
      </c>
      <c r="S345">
        <f t="shared" si="11"/>
        <v>1</v>
      </c>
    </row>
    <row r="346" spans="1:19" x14ac:dyDescent="0.25">
      <c r="A346" t="s">
        <v>1471</v>
      </c>
      <c r="B346" t="s">
        <v>4028</v>
      </c>
      <c r="C346">
        <v>0.7</v>
      </c>
      <c r="D346">
        <v>1250</v>
      </c>
      <c r="E346">
        <v>0</v>
      </c>
      <c r="F346">
        <v>3</v>
      </c>
      <c r="G346">
        <v>3</v>
      </c>
      <c r="H346" t="s">
        <v>1208</v>
      </c>
      <c r="I346" s="1">
        <v>37104</v>
      </c>
      <c r="J346" s="1">
        <v>37325</v>
      </c>
      <c r="K346" s="1">
        <v>37375</v>
      </c>
      <c r="L346" s="1">
        <v>37375</v>
      </c>
      <c r="M346" s="1">
        <v>37368</v>
      </c>
      <c r="N346" s="1">
        <v>37368</v>
      </c>
      <c r="O346" t="s">
        <v>1117</v>
      </c>
      <c r="P346">
        <v>3</v>
      </c>
      <c r="Q346" t="s">
        <v>1215</v>
      </c>
      <c r="R346">
        <f t="shared" si="10"/>
        <v>17</v>
      </c>
      <c r="S346">
        <f t="shared" si="11"/>
        <v>1</v>
      </c>
    </row>
    <row r="347" spans="1:19" x14ac:dyDescent="0.25">
      <c r="A347" t="s">
        <v>1472</v>
      </c>
      <c r="B347" t="s">
        <v>4026</v>
      </c>
      <c r="C347">
        <v>0.8</v>
      </c>
      <c r="D347">
        <v>1250</v>
      </c>
      <c r="E347">
        <v>0</v>
      </c>
      <c r="F347">
        <v>44</v>
      </c>
      <c r="G347">
        <v>24.88</v>
      </c>
      <c r="H347" t="s">
        <v>1208</v>
      </c>
      <c r="I347" s="1">
        <v>37159</v>
      </c>
      <c r="J347" s="1">
        <v>37344</v>
      </c>
      <c r="K347" s="1">
        <v>37347</v>
      </c>
      <c r="L347" s="1">
        <v>37347</v>
      </c>
      <c r="M347" s="1">
        <v>37347</v>
      </c>
      <c r="N347" s="1">
        <v>37351</v>
      </c>
      <c r="O347" t="s">
        <v>1117</v>
      </c>
      <c r="P347">
        <v>1</v>
      </c>
      <c r="Q347" t="s">
        <v>1215</v>
      </c>
      <c r="R347">
        <f t="shared" si="10"/>
        <v>14</v>
      </c>
      <c r="S347">
        <f t="shared" si="11"/>
        <v>0</v>
      </c>
    </row>
    <row r="348" spans="1:19" x14ac:dyDescent="0.25">
      <c r="A348" t="s">
        <v>1473</v>
      </c>
      <c r="B348" t="s">
        <v>1199</v>
      </c>
      <c r="C348">
        <v>0.8</v>
      </c>
      <c r="D348">
        <v>118</v>
      </c>
      <c r="E348">
        <v>0</v>
      </c>
      <c r="F348">
        <v>4</v>
      </c>
      <c r="G348">
        <v>4</v>
      </c>
      <c r="H348" t="s">
        <v>1208</v>
      </c>
      <c r="I348" s="1">
        <v>37122</v>
      </c>
      <c r="J348" s="1">
        <v>37314</v>
      </c>
      <c r="K348" s="1">
        <v>37345</v>
      </c>
      <c r="L348" s="1">
        <v>37345</v>
      </c>
      <c r="M348" s="1">
        <v>37331</v>
      </c>
      <c r="N348" s="1">
        <v>37392</v>
      </c>
      <c r="O348" t="s">
        <v>1117</v>
      </c>
      <c r="P348">
        <v>26</v>
      </c>
      <c r="Q348" t="s">
        <v>1438</v>
      </c>
      <c r="R348">
        <f t="shared" si="10"/>
        <v>20</v>
      </c>
      <c r="S348">
        <f t="shared" si="11"/>
        <v>1</v>
      </c>
    </row>
    <row r="349" spans="1:19" x14ac:dyDescent="0.25">
      <c r="A349" t="s">
        <v>1474</v>
      </c>
      <c r="B349" t="s">
        <v>1199</v>
      </c>
      <c r="C349">
        <v>1</v>
      </c>
      <c r="D349">
        <v>1250</v>
      </c>
      <c r="E349">
        <v>0</v>
      </c>
      <c r="F349">
        <v>3</v>
      </c>
      <c r="G349">
        <v>3</v>
      </c>
      <c r="H349" t="s">
        <v>1208</v>
      </c>
      <c r="I349" s="1">
        <v>37108</v>
      </c>
      <c r="J349" s="1">
        <v>37313</v>
      </c>
      <c r="K349" s="1">
        <v>37365</v>
      </c>
      <c r="L349" s="1">
        <v>37365</v>
      </c>
      <c r="M349" s="1">
        <v>37344</v>
      </c>
      <c r="N349" s="1">
        <v>37344</v>
      </c>
      <c r="O349" t="s">
        <v>1117</v>
      </c>
      <c r="P349">
        <v>3</v>
      </c>
      <c r="Q349" t="s">
        <v>1215</v>
      </c>
      <c r="R349">
        <f t="shared" si="10"/>
        <v>13</v>
      </c>
      <c r="S349">
        <f t="shared" si="11"/>
        <v>1</v>
      </c>
    </row>
    <row r="350" spans="1:19" x14ac:dyDescent="0.25">
      <c r="A350" t="s">
        <v>1475</v>
      </c>
      <c r="B350" t="s">
        <v>1199</v>
      </c>
      <c r="C350">
        <v>0.6</v>
      </c>
      <c r="D350">
        <v>1250</v>
      </c>
      <c r="E350">
        <v>0</v>
      </c>
      <c r="F350">
        <v>3</v>
      </c>
      <c r="G350">
        <v>3</v>
      </c>
      <c r="H350" t="s">
        <v>1208</v>
      </c>
      <c r="I350" s="1">
        <v>37104</v>
      </c>
      <c r="J350" s="1">
        <v>37325</v>
      </c>
      <c r="K350" s="1">
        <v>37375</v>
      </c>
      <c r="L350" s="1">
        <v>37375</v>
      </c>
      <c r="M350" s="1">
        <v>37368</v>
      </c>
      <c r="N350" s="1">
        <v>37368</v>
      </c>
      <c r="O350" t="s">
        <v>1117</v>
      </c>
      <c r="P350">
        <v>2</v>
      </c>
      <c r="Q350" t="s">
        <v>1215</v>
      </c>
      <c r="R350">
        <f t="shared" si="10"/>
        <v>17</v>
      </c>
      <c r="S350">
        <f t="shared" si="11"/>
        <v>1</v>
      </c>
    </row>
    <row r="351" spans="1:19" x14ac:dyDescent="0.25">
      <c r="A351" t="s">
        <v>1476</v>
      </c>
      <c r="B351" t="s">
        <v>4026</v>
      </c>
      <c r="C351">
        <v>0.5</v>
      </c>
      <c r="D351">
        <v>1250</v>
      </c>
      <c r="E351">
        <v>0</v>
      </c>
      <c r="F351">
        <v>227</v>
      </c>
      <c r="G351">
        <v>180.08199999999999</v>
      </c>
      <c r="H351" t="s">
        <v>1208</v>
      </c>
      <c r="I351" s="1">
        <v>37104</v>
      </c>
      <c r="J351" s="1">
        <v>37325</v>
      </c>
      <c r="K351" s="1">
        <v>37361</v>
      </c>
      <c r="L351" s="1">
        <v>37361</v>
      </c>
      <c r="M351" s="1">
        <v>37368</v>
      </c>
      <c r="N351" s="1">
        <v>37368</v>
      </c>
      <c r="O351" t="s">
        <v>1117</v>
      </c>
      <c r="P351">
        <v>1</v>
      </c>
      <c r="Q351" t="s">
        <v>1215</v>
      </c>
      <c r="R351">
        <f t="shared" si="10"/>
        <v>17</v>
      </c>
      <c r="S351">
        <f t="shared" si="11"/>
        <v>0</v>
      </c>
    </row>
    <row r="352" spans="1:19" x14ac:dyDescent="0.25">
      <c r="A352" t="s">
        <v>1477</v>
      </c>
      <c r="B352" t="s">
        <v>4026</v>
      </c>
      <c r="C352">
        <v>0.6</v>
      </c>
      <c r="D352">
        <v>1250</v>
      </c>
      <c r="E352">
        <v>0</v>
      </c>
      <c r="F352">
        <v>109</v>
      </c>
      <c r="G352">
        <v>76.882000000000005</v>
      </c>
      <c r="H352" t="s">
        <v>1208</v>
      </c>
      <c r="I352" s="1">
        <v>37104</v>
      </c>
      <c r="J352" s="1">
        <v>37325</v>
      </c>
      <c r="K352" s="1">
        <v>37342</v>
      </c>
      <c r="L352" s="1">
        <v>37342</v>
      </c>
      <c r="M352" s="1">
        <v>37342</v>
      </c>
      <c r="N352" s="1">
        <v>37368</v>
      </c>
      <c r="O352" t="s">
        <v>1117</v>
      </c>
      <c r="P352">
        <v>4</v>
      </c>
      <c r="Q352" t="s">
        <v>1215</v>
      </c>
      <c r="R352">
        <f t="shared" si="10"/>
        <v>17</v>
      </c>
      <c r="S352">
        <f t="shared" si="11"/>
        <v>0</v>
      </c>
    </row>
    <row r="353" spans="1:19" x14ac:dyDescent="0.25">
      <c r="A353" t="s">
        <v>1478</v>
      </c>
      <c r="B353" t="s">
        <v>1199</v>
      </c>
      <c r="C353">
        <v>0.6</v>
      </c>
      <c r="D353">
        <v>1000</v>
      </c>
      <c r="E353">
        <v>0</v>
      </c>
      <c r="F353">
        <v>17</v>
      </c>
      <c r="G353">
        <v>17</v>
      </c>
      <c r="H353" t="s">
        <v>1208</v>
      </c>
      <c r="I353" s="1">
        <v>37112</v>
      </c>
      <c r="J353" s="1">
        <v>37314</v>
      </c>
      <c r="K353" s="1">
        <v>37327</v>
      </c>
      <c r="L353" s="1">
        <v>37327</v>
      </c>
      <c r="M353" s="1">
        <v>37329</v>
      </c>
      <c r="N353" s="1">
        <v>37329</v>
      </c>
      <c r="O353" t="s">
        <v>1117</v>
      </c>
      <c r="P353">
        <v>2</v>
      </c>
      <c r="Q353" t="s">
        <v>1215</v>
      </c>
      <c r="R353">
        <f t="shared" si="10"/>
        <v>11</v>
      </c>
      <c r="S353">
        <f t="shared" si="11"/>
        <v>1</v>
      </c>
    </row>
    <row r="354" spans="1:19" x14ac:dyDescent="0.25">
      <c r="A354" t="s">
        <v>1479</v>
      </c>
      <c r="B354" t="s">
        <v>1199</v>
      </c>
      <c r="C354">
        <v>0.6</v>
      </c>
      <c r="D354">
        <v>1250</v>
      </c>
      <c r="E354">
        <v>0</v>
      </c>
      <c r="F354">
        <v>46</v>
      </c>
      <c r="G354">
        <v>34.966000000000001</v>
      </c>
      <c r="H354" t="s">
        <v>1208</v>
      </c>
      <c r="I354" s="1">
        <v>37104</v>
      </c>
      <c r="J354" s="1">
        <v>37325</v>
      </c>
      <c r="K354" s="1">
        <v>37354</v>
      </c>
      <c r="L354" s="1">
        <v>37354</v>
      </c>
      <c r="M354" s="1">
        <v>37368</v>
      </c>
      <c r="N354" s="1">
        <v>37368</v>
      </c>
      <c r="O354" t="s">
        <v>1117</v>
      </c>
      <c r="P354">
        <v>2</v>
      </c>
      <c r="Q354" t="s">
        <v>1215</v>
      </c>
      <c r="R354">
        <f t="shared" si="10"/>
        <v>17</v>
      </c>
      <c r="S354">
        <f t="shared" si="11"/>
        <v>0</v>
      </c>
    </row>
    <row r="355" spans="1:19" x14ac:dyDescent="0.25">
      <c r="A355" t="s">
        <v>1480</v>
      </c>
      <c r="B355" t="s">
        <v>1199</v>
      </c>
      <c r="C355">
        <v>0.88</v>
      </c>
      <c r="D355">
        <v>1250</v>
      </c>
      <c r="E355">
        <v>0</v>
      </c>
      <c r="F355">
        <v>44</v>
      </c>
      <c r="G355">
        <v>28.776</v>
      </c>
      <c r="H355" t="s">
        <v>1208</v>
      </c>
      <c r="I355" s="1">
        <v>37129</v>
      </c>
      <c r="J355" s="1">
        <v>37345</v>
      </c>
      <c r="K355" s="1">
        <v>37345</v>
      </c>
      <c r="L355" s="1">
        <v>37345</v>
      </c>
      <c r="M355" s="1">
        <v>37345</v>
      </c>
      <c r="N355" s="1">
        <v>37345</v>
      </c>
      <c r="O355" t="s">
        <v>1114</v>
      </c>
      <c r="P355">
        <v>4</v>
      </c>
      <c r="Q355" t="s">
        <v>1215</v>
      </c>
      <c r="R355">
        <f t="shared" si="10"/>
        <v>13</v>
      </c>
      <c r="S355">
        <f t="shared" si="11"/>
        <v>0</v>
      </c>
    </row>
    <row r="356" spans="1:19" x14ac:dyDescent="0.25">
      <c r="A356" t="s">
        <v>1481</v>
      </c>
      <c r="B356" t="s">
        <v>1199</v>
      </c>
      <c r="C356">
        <v>2.5</v>
      </c>
      <c r="D356">
        <v>1000</v>
      </c>
      <c r="E356">
        <v>0</v>
      </c>
      <c r="F356">
        <v>120</v>
      </c>
      <c r="G356">
        <v>60.225999999999999</v>
      </c>
      <c r="H356" t="s">
        <v>1208</v>
      </c>
      <c r="I356" s="1">
        <v>37110</v>
      </c>
      <c r="J356" s="1">
        <v>37314</v>
      </c>
      <c r="K356" s="1">
        <v>37318</v>
      </c>
      <c r="L356" s="1">
        <v>37318</v>
      </c>
      <c r="M356" s="1">
        <v>37321</v>
      </c>
      <c r="N356" s="1">
        <v>37322</v>
      </c>
      <c r="O356" t="s">
        <v>1117</v>
      </c>
      <c r="P356">
        <v>2</v>
      </c>
      <c r="Q356" t="s">
        <v>1215</v>
      </c>
      <c r="R356">
        <f t="shared" si="10"/>
        <v>10</v>
      </c>
      <c r="S356">
        <f t="shared" si="11"/>
        <v>0</v>
      </c>
    </row>
    <row r="357" spans="1:19" x14ac:dyDescent="0.25">
      <c r="A357" t="s">
        <v>1482</v>
      </c>
      <c r="B357" t="s">
        <v>1199</v>
      </c>
      <c r="C357">
        <v>1.45</v>
      </c>
      <c r="D357">
        <v>1000</v>
      </c>
      <c r="E357">
        <v>0</v>
      </c>
      <c r="F357">
        <v>147</v>
      </c>
      <c r="G357">
        <v>130.446</v>
      </c>
      <c r="H357" t="s">
        <v>1208</v>
      </c>
      <c r="I357" s="1">
        <v>37122</v>
      </c>
      <c r="J357" s="1">
        <v>37346</v>
      </c>
      <c r="K357" s="1">
        <v>37346</v>
      </c>
      <c r="L357" s="1">
        <v>37346</v>
      </c>
      <c r="M357" s="1">
        <v>37346</v>
      </c>
      <c r="N357" s="1">
        <v>37346</v>
      </c>
      <c r="O357" t="s">
        <v>1114</v>
      </c>
      <c r="P357">
        <v>2</v>
      </c>
      <c r="Q357" t="s">
        <v>1215</v>
      </c>
      <c r="R357">
        <f t="shared" si="10"/>
        <v>14</v>
      </c>
      <c r="S357">
        <f t="shared" si="11"/>
        <v>0</v>
      </c>
    </row>
    <row r="358" spans="1:19" x14ac:dyDescent="0.25">
      <c r="A358" t="s">
        <v>1483</v>
      </c>
      <c r="B358" t="s">
        <v>4026</v>
      </c>
      <c r="C358">
        <v>0.8</v>
      </c>
      <c r="D358">
        <v>1000</v>
      </c>
      <c r="E358">
        <v>0</v>
      </c>
      <c r="F358">
        <v>6</v>
      </c>
      <c r="G358">
        <v>6</v>
      </c>
      <c r="H358" t="s">
        <v>1208</v>
      </c>
      <c r="I358" s="1">
        <v>37159</v>
      </c>
      <c r="J358" s="1">
        <v>37320</v>
      </c>
      <c r="K358" s="1">
        <v>37344</v>
      </c>
      <c r="L358" s="1">
        <v>37344</v>
      </c>
      <c r="M358" s="1">
        <v>37344</v>
      </c>
      <c r="N358" s="1">
        <v>37344</v>
      </c>
      <c r="O358" t="s">
        <v>1117</v>
      </c>
      <c r="P358">
        <v>1</v>
      </c>
      <c r="Q358" t="s">
        <v>1215</v>
      </c>
      <c r="R358">
        <f t="shared" si="10"/>
        <v>13</v>
      </c>
      <c r="S358">
        <f t="shared" si="11"/>
        <v>1</v>
      </c>
    </row>
    <row r="359" spans="1:19" x14ac:dyDescent="0.25">
      <c r="A359" t="s">
        <v>1484</v>
      </c>
      <c r="B359" t="s">
        <v>4028</v>
      </c>
      <c r="C359">
        <v>1.45</v>
      </c>
      <c r="D359">
        <v>1000</v>
      </c>
      <c r="E359">
        <v>0</v>
      </c>
      <c r="F359">
        <v>59</v>
      </c>
      <c r="G359">
        <v>59</v>
      </c>
      <c r="H359" t="s">
        <v>1208</v>
      </c>
      <c r="I359" s="1">
        <v>37133</v>
      </c>
      <c r="J359" s="1">
        <v>37314</v>
      </c>
      <c r="K359" s="1">
        <v>37326</v>
      </c>
      <c r="L359" s="1">
        <v>37326</v>
      </c>
      <c r="M359" s="1">
        <v>37328</v>
      </c>
      <c r="N359" s="1">
        <v>37346</v>
      </c>
      <c r="O359" t="s">
        <v>1117</v>
      </c>
      <c r="P359">
        <v>2</v>
      </c>
      <c r="Q359" t="s">
        <v>1215</v>
      </c>
      <c r="R359">
        <f t="shared" si="10"/>
        <v>14</v>
      </c>
      <c r="S359">
        <f t="shared" si="11"/>
        <v>1</v>
      </c>
    </row>
    <row r="360" spans="1:19" x14ac:dyDescent="0.25">
      <c r="A360" t="s">
        <v>1485</v>
      </c>
      <c r="B360" t="s">
        <v>1199</v>
      </c>
      <c r="C360">
        <v>0.88</v>
      </c>
      <c r="D360">
        <v>1000</v>
      </c>
      <c r="E360">
        <v>0</v>
      </c>
      <c r="F360">
        <v>324</v>
      </c>
      <c r="G360">
        <v>324</v>
      </c>
      <c r="H360" t="s">
        <v>1208</v>
      </c>
      <c r="I360" s="1">
        <v>37133</v>
      </c>
      <c r="J360" s="1">
        <v>37314</v>
      </c>
      <c r="K360" s="1">
        <v>37338</v>
      </c>
      <c r="L360" s="1">
        <v>37338</v>
      </c>
      <c r="M360" s="1">
        <v>37338</v>
      </c>
      <c r="N360" s="1">
        <v>37338</v>
      </c>
      <c r="O360" t="s">
        <v>1117</v>
      </c>
      <c r="P360">
        <v>3</v>
      </c>
      <c r="Q360" t="s">
        <v>1215</v>
      </c>
      <c r="R360">
        <f t="shared" si="10"/>
        <v>12</v>
      </c>
      <c r="S360">
        <f t="shared" si="11"/>
        <v>1</v>
      </c>
    </row>
    <row r="361" spans="1:19" x14ac:dyDescent="0.25">
      <c r="A361" t="s">
        <v>1486</v>
      </c>
      <c r="B361" t="s">
        <v>4028</v>
      </c>
      <c r="C361">
        <v>1.18</v>
      </c>
      <c r="D361">
        <v>1000</v>
      </c>
      <c r="E361">
        <v>0</v>
      </c>
      <c r="F361">
        <v>289</v>
      </c>
      <c r="G361">
        <v>289</v>
      </c>
      <c r="H361" t="s">
        <v>1208</v>
      </c>
      <c r="I361" s="1">
        <v>37133</v>
      </c>
      <c r="J361" s="1">
        <v>37346</v>
      </c>
      <c r="K361" s="1">
        <v>37353</v>
      </c>
      <c r="L361" s="1">
        <v>37353</v>
      </c>
      <c r="M361" s="1">
        <v>37353</v>
      </c>
      <c r="N361" s="1">
        <v>37353</v>
      </c>
      <c r="O361" t="s">
        <v>1117</v>
      </c>
      <c r="P361">
        <v>1</v>
      </c>
      <c r="Q361" t="s">
        <v>1215</v>
      </c>
      <c r="R361">
        <f t="shared" si="10"/>
        <v>15</v>
      </c>
      <c r="S361">
        <f t="shared" si="11"/>
        <v>1</v>
      </c>
    </row>
    <row r="362" spans="1:19" x14ac:dyDescent="0.25">
      <c r="A362" t="s">
        <v>1487</v>
      </c>
      <c r="B362" t="s">
        <v>4028</v>
      </c>
      <c r="C362">
        <v>4</v>
      </c>
      <c r="D362">
        <v>1250</v>
      </c>
      <c r="E362">
        <v>0</v>
      </c>
      <c r="F362">
        <v>8</v>
      </c>
      <c r="G362">
        <v>8</v>
      </c>
      <c r="H362" t="s">
        <v>1208</v>
      </c>
      <c r="I362" s="1">
        <v>37159</v>
      </c>
      <c r="J362" s="1">
        <v>37322</v>
      </c>
      <c r="K362" s="1">
        <v>37336</v>
      </c>
      <c r="L362" s="1">
        <v>37336</v>
      </c>
      <c r="M362" s="1">
        <v>37336</v>
      </c>
      <c r="N362" s="1">
        <v>37336</v>
      </c>
      <c r="O362" t="s">
        <v>1117</v>
      </c>
      <c r="P362">
        <v>2</v>
      </c>
      <c r="Q362" t="s">
        <v>1215</v>
      </c>
      <c r="R362">
        <f t="shared" si="10"/>
        <v>12</v>
      </c>
      <c r="S362">
        <f t="shared" si="11"/>
        <v>1</v>
      </c>
    </row>
    <row r="363" spans="1:19" x14ac:dyDescent="0.25">
      <c r="A363" t="s">
        <v>1488</v>
      </c>
      <c r="B363" t="s">
        <v>1199</v>
      </c>
      <c r="C363">
        <v>1.4</v>
      </c>
      <c r="D363">
        <v>625</v>
      </c>
      <c r="E363">
        <v>0</v>
      </c>
      <c r="F363">
        <v>20</v>
      </c>
      <c r="G363">
        <v>20</v>
      </c>
      <c r="H363" t="s">
        <v>1208</v>
      </c>
      <c r="I363" s="1">
        <v>37108</v>
      </c>
      <c r="J363" s="1">
        <v>37345</v>
      </c>
      <c r="K363" t="s">
        <v>1124</v>
      </c>
      <c r="L363" t="s">
        <v>1124</v>
      </c>
      <c r="M363" s="1">
        <v>37352</v>
      </c>
      <c r="N363" s="1">
        <v>37352</v>
      </c>
      <c r="O363" t="s">
        <v>1117</v>
      </c>
      <c r="P363">
        <v>7</v>
      </c>
      <c r="Q363" t="s">
        <v>1215</v>
      </c>
      <c r="R363">
        <f t="shared" si="10"/>
        <v>14</v>
      </c>
      <c r="S363">
        <f t="shared" si="11"/>
        <v>1</v>
      </c>
    </row>
    <row r="364" spans="1:19" x14ac:dyDescent="0.25">
      <c r="A364" t="s">
        <v>1489</v>
      </c>
      <c r="B364" t="s">
        <v>4026</v>
      </c>
      <c r="C364">
        <v>0.4</v>
      </c>
      <c r="D364">
        <v>560</v>
      </c>
      <c r="E364">
        <v>0</v>
      </c>
      <c r="F364">
        <v>8</v>
      </c>
      <c r="G364">
        <v>3.9750000000000001</v>
      </c>
      <c r="H364" t="s">
        <v>1208</v>
      </c>
      <c r="I364" s="1">
        <v>37159</v>
      </c>
      <c r="J364" s="1">
        <v>37317</v>
      </c>
      <c r="K364" t="s">
        <v>1124</v>
      </c>
      <c r="L364" t="s">
        <v>1124</v>
      </c>
      <c r="M364" s="1">
        <v>37268</v>
      </c>
      <c r="N364" s="1">
        <v>37270</v>
      </c>
      <c r="O364" t="s">
        <v>1117</v>
      </c>
      <c r="P364">
        <v>1</v>
      </c>
      <c r="Q364" t="s">
        <v>1215</v>
      </c>
      <c r="R364">
        <f t="shared" si="10"/>
        <v>3</v>
      </c>
      <c r="S364">
        <f t="shared" si="11"/>
        <v>0</v>
      </c>
    </row>
    <row r="365" spans="1:19" x14ac:dyDescent="0.25">
      <c r="A365" t="s">
        <v>4030</v>
      </c>
      <c r="B365" t="s">
        <v>1199</v>
      </c>
      <c r="C365">
        <v>1</v>
      </c>
      <c r="D365">
        <v>1000</v>
      </c>
      <c r="E365">
        <v>0</v>
      </c>
      <c r="F365">
        <v>3</v>
      </c>
      <c r="G365">
        <v>3</v>
      </c>
      <c r="H365" t="s">
        <v>1208</v>
      </c>
      <c r="I365" s="1">
        <v>37159</v>
      </c>
      <c r="J365" s="1">
        <v>37319</v>
      </c>
      <c r="K365" s="1">
        <v>37334</v>
      </c>
      <c r="L365" s="1">
        <v>37334</v>
      </c>
      <c r="M365" s="1">
        <v>37334</v>
      </c>
      <c r="N365" s="1">
        <v>37334</v>
      </c>
      <c r="O365" t="s">
        <v>1117</v>
      </c>
      <c r="P365">
        <v>1</v>
      </c>
      <c r="Q365" t="s">
        <v>1215</v>
      </c>
      <c r="R365">
        <f t="shared" si="10"/>
        <v>12</v>
      </c>
      <c r="S365">
        <f t="shared" si="11"/>
        <v>1</v>
      </c>
    </row>
    <row r="366" spans="1:19" x14ac:dyDescent="0.25">
      <c r="A366" t="s">
        <v>1490</v>
      </c>
      <c r="B366" t="s">
        <v>4026</v>
      </c>
      <c r="C366">
        <v>1.45</v>
      </c>
      <c r="D366">
        <v>116</v>
      </c>
      <c r="E366">
        <v>0</v>
      </c>
      <c r="F366">
        <v>2</v>
      </c>
      <c r="G366">
        <v>2</v>
      </c>
      <c r="H366" t="s">
        <v>1208</v>
      </c>
      <c r="I366" s="1">
        <v>37132</v>
      </c>
      <c r="J366" s="1">
        <v>37346</v>
      </c>
      <c r="K366" s="1">
        <v>37319</v>
      </c>
      <c r="L366" s="1">
        <v>37346</v>
      </c>
      <c r="M366" s="1">
        <v>37287</v>
      </c>
      <c r="N366" s="1">
        <v>37287</v>
      </c>
      <c r="O366" t="s">
        <v>1114</v>
      </c>
      <c r="P366">
        <v>2</v>
      </c>
      <c r="Q366" t="s">
        <v>1215</v>
      </c>
      <c r="R366">
        <f t="shared" si="10"/>
        <v>5</v>
      </c>
      <c r="S366">
        <f t="shared" si="11"/>
        <v>1</v>
      </c>
    </row>
    <row r="367" spans="1:19" x14ac:dyDescent="0.25">
      <c r="A367" t="s">
        <v>1491</v>
      </c>
      <c r="B367" t="s">
        <v>1199</v>
      </c>
      <c r="C367">
        <v>1</v>
      </c>
      <c r="D367">
        <v>1250</v>
      </c>
      <c r="E367">
        <v>0</v>
      </c>
      <c r="F367">
        <v>8</v>
      </c>
      <c r="G367">
        <v>8</v>
      </c>
      <c r="H367" t="s">
        <v>1208</v>
      </c>
      <c r="I367" s="1">
        <v>37126</v>
      </c>
      <c r="J367" s="1">
        <v>37313</v>
      </c>
      <c r="K367" s="1">
        <v>37374</v>
      </c>
      <c r="L367" s="1">
        <v>37374</v>
      </c>
      <c r="M367" s="1">
        <v>37344</v>
      </c>
      <c r="N367" s="1">
        <v>37344</v>
      </c>
      <c r="O367" t="s">
        <v>1117</v>
      </c>
      <c r="P367">
        <v>1</v>
      </c>
      <c r="Q367" t="s">
        <v>1215</v>
      </c>
      <c r="R367">
        <f t="shared" si="10"/>
        <v>13</v>
      </c>
      <c r="S367">
        <f t="shared" si="11"/>
        <v>1</v>
      </c>
    </row>
    <row r="368" spans="1:19" x14ac:dyDescent="0.25">
      <c r="A368" t="s">
        <v>1492</v>
      </c>
      <c r="B368" t="s">
        <v>1199</v>
      </c>
      <c r="C368">
        <v>0.8</v>
      </c>
      <c r="D368">
        <v>1000</v>
      </c>
      <c r="E368">
        <v>0</v>
      </c>
      <c r="F368">
        <v>5</v>
      </c>
      <c r="G368">
        <v>5</v>
      </c>
      <c r="H368" t="s">
        <v>1208</v>
      </c>
      <c r="I368" s="1">
        <v>37159</v>
      </c>
      <c r="J368" s="1">
        <v>37323</v>
      </c>
      <c r="K368" s="1">
        <v>37353</v>
      </c>
      <c r="L368" s="1">
        <v>37353</v>
      </c>
      <c r="M368" s="1">
        <v>37353</v>
      </c>
      <c r="N368" s="1">
        <v>37353</v>
      </c>
      <c r="O368" t="s">
        <v>1117</v>
      </c>
      <c r="P368">
        <v>2</v>
      </c>
      <c r="Q368" t="s">
        <v>1215</v>
      </c>
      <c r="R368">
        <f t="shared" si="10"/>
        <v>15</v>
      </c>
      <c r="S368">
        <f t="shared" si="11"/>
        <v>1</v>
      </c>
    </row>
    <row r="369" spans="1:19" x14ac:dyDescent="0.25">
      <c r="A369" t="s">
        <v>1493</v>
      </c>
      <c r="B369" t="s">
        <v>4028</v>
      </c>
      <c r="C369">
        <v>0.5</v>
      </c>
      <c r="D369">
        <v>350</v>
      </c>
      <c r="E369">
        <v>0</v>
      </c>
      <c r="F369">
        <v>15</v>
      </c>
      <c r="G369">
        <v>15</v>
      </c>
      <c r="H369" t="s">
        <v>1208</v>
      </c>
      <c r="I369" s="1">
        <v>37110</v>
      </c>
      <c r="J369" s="1">
        <v>37316</v>
      </c>
      <c r="K369" s="1">
        <v>37314</v>
      </c>
      <c r="L369" s="1">
        <v>37316</v>
      </c>
      <c r="M369" s="1">
        <v>37286</v>
      </c>
      <c r="N369" s="1">
        <v>37286</v>
      </c>
      <c r="O369" t="s">
        <v>1114</v>
      </c>
      <c r="P369">
        <v>2</v>
      </c>
      <c r="Q369" t="s">
        <v>1215</v>
      </c>
      <c r="R369">
        <f t="shared" si="10"/>
        <v>5</v>
      </c>
      <c r="S369">
        <f t="shared" si="11"/>
        <v>1</v>
      </c>
    </row>
    <row r="370" spans="1:19" x14ac:dyDescent="0.25">
      <c r="A370" t="s">
        <v>1494</v>
      </c>
      <c r="B370" t="s">
        <v>4027</v>
      </c>
      <c r="C370">
        <v>0.5</v>
      </c>
      <c r="D370">
        <v>1250</v>
      </c>
      <c r="E370">
        <v>0</v>
      </c>
      <c r="F370">
        <v>9</v>
      </c>
      <c r="G370">
        <v>9</v>
      </c>
      <c r="H370" t="s">
        <v>1208</v>
      </c>
      <c r="I370" s="1">
        <v>37133</v>
      </c>
      <c r="J370" s="1">
        <v>37319</v>
      </c>
      <c r="K370" s="1">
        <v>37372</v>
      </c>
      <c r="L370" s="1">
        <v>37372</v>
      </c>
      <c r="M370" s="1">
        <v>37365</v>
      </c>
      <c r="N370" s="1">
        <v>37368</v>
      </c>
      <c r="O370" t="s">
        <v>1117</v>
      </c>
      <c r="P370">
        <v>1</v>
      </c>
      <c r="Q370" t="s">
        <v>1215</v>
      </c>
      <c r="R370">
        <f t="shared" si="10"/>
        <v>17</v>
      </c>
      <c r="S370">
        <f t="shared" si="11"/>
        <v>1</v>
      </c>
    </row>
    <row r="371" spans="1:19" x14ac:dyDescent="0.25">
      <c r="A371" t="s">
        <v>1495</v>
      </c>
      <c r="B371" t="s">
        <v>1199</v>
      </c>
      <c r="C371">
        <v>0.5</v>
      </c>
      <c r="D371">
        <v>1250</v>
      </c>
      <c r="E371">
        <v>0</v>
      </c>
      <c r="F371">
        <v>6</v>
      </c>
      <c r="G371">
        <v>6</v>
      </c>
      <c r="H371" t="s">
        <v>1208</v>
      </c>
      <c r="I371" s="1">
        <v>37114</v>
      </c>
      <c r="J371" s="1">
        <v>37321</v>
      </c>
      <c r="K371" s="1">
        <v>37346</v>
      </c>
      <c r="L371" s="1">
        <v>37346</v>
      </c>
      <c r="M371" s="1">
        <v>37327</v>
      </c>
      <c r="N371" s="1">
        <v>37327</v>
      </c>
      <c r="O371" t="s">
        <v>1117</v>
      </c>
      <c r="P371">
        <v>13</v>
      </c>
      <c r="Q371" t="s">
        <v>1215</v>
      </c>
      <c r="R371">
        <f t="shared" si="10"/>
        <v>11</v>
      </c>
      <c r="S371">
        <f t="shared" si="11"/>
        <v>1</v>
      </c>
    </row>
    <row r="372" spans="1:19" x14ac:dyDescent="0.25">
      <c r="A372" t="s">
        <v>1496</v>
      </c>
      <c r="B372" t="s">
        <v>1199</v>
      </c>
      <c r="C372">
        <v>1.2</v>
      </c>
      <c r="D372">
        <v>1000</v>
      </c>
      <c r="E372">
        <v>0</v>
      </c>
      <c r="F372">
        <v>3</v>
      </c>
      <c r="G372">
        <v>3</v>
      </c>
      <c r="H372" t="s">
        <v>1208</v>
      </c>
      <c r="I372" s="1">
        <v>37159</v>
      </c>
      <c r="J372" s="1">
        <v>37323</v>
      </c>
      <c r="K372" s="1">
        <v>37345</v>
      </c>
      <c r="L372" s="1">
        <v>37345</v>
      </c>
      <c r="M372" s="1">
        <v>37345</v>
      </c>
      <c r="N372" s="1">
        <v>37352</v>
      </c>
      <c r="O372" t="s">
        <v>1117</v>
      </c>
      <c r="P372">
        <v>2</v>
      </c>
      <c r="Q372" t="s">
        <v>1215</v>
      </c>
      <c r="R372">
        <f t="shared" si="10"/>
        <v>14</v>
      </c>
      <c r="S372">
        <f t="shared" si="11"/>
        <v>1</v>
      </c>
    </row>
    <row r="373" spans="1:19" x14ac:dyDescent="0.25">
      <c r="A373" t="s">
        <v>1497</v>
      </c>
      <c r="B373" t="s">
        <v>4028</v>
      </c>
      <c r="C373">
        <v>0.5</v>
      </c>
      <c r="D373">
        <v>1250</v>
      </c>
      <c r="E373">
        <v>0</v>
      </c>
      <c r="F373">
        <v>42</v>
      </c>
      <c r="G373">
        <v>42</v>
      </c>
      <c r="H373" t="s">
        <v>1208</v>
      </c>
      <c r="I373" s="1">
        <v>37104</v>
      </c>
      <c r="J373" s="1">
        <v>37325</v>
      </c>
      <c r="K373" s="1">
        <v>37360</v>
      </c>
      <c r="L373" s="1">
        <v>37360</v>
      </c>
      <c r="M373" s="1">
        <v>37365</v>
      </c>
      <c r="N373" s="1">
        <v>37368</v>
      </c>
      <c r="O373" t="s">
        <v>1117</v>
      </c>
      <c r="P373">
        <v>1</v>
      </c>
      <c r="Q373" t="s">
        <v>1215</v>
      </c>
      <c r="R373">
        <f t="shared" si="10"/>
        <v>17</v>
      </c>
      <c r="S373">
        <f t="shared" si="11"/>
        <v>1</v>
      </c>
    </row>
    <row r="374" spans="1:19" x14ac:dyDescent="0.25">
      <c r="A374" t="s">
        <v>1498</v>
      </c>
      <c r="B374" t="s">
        <v>4028</v>
      </c>
      <c r="C374">
        <v>0.6</v>
      </c>
      <c r="D374">
        <v>1250</v>
      </c>
      <c r="E374">
        <v>0</v>
      </c>
      <c r="F374">
        <v>22</v>
      </c>
      <c r="G374">
        <v>22</v>
      </c>
      <c r="H374" t="s">
        <v>1208</v>
      </c>
      <c r="I374" s="1">
        <v>37119</v>
      </c>
      <c r="J374" s="1">
        <v>37314</v>
      </c>
      <c r="K374" s="1">
        <v>37333</v>
      </c>
      <c r="L374" s="1">
        <v>37333</v>
      </c>
      <c r="M374" s="1">
        <v>37340</v>
      </c>
      <c r="N374" s="1">
        <v>37340</v>
      </c>
      <c r="O374" t="s">
        <v>1117</v>
      </c>
      <c r="P374">
        <v>2</v>
      </c>
      <c r="Q374" t="s">
        <v>1215</v>
      </c>
      <c r="R374">
        <f t="shared" si="10"/>
        <v>13</v>
      </c>
      <c r="S374">
        <f t="shared" si="11"/>
        <v>1</v>
      </c>
    </row>
    <row r="375" spans="1:19" x14ac:dyDescent="0.25">
      <c r="A375" t="s">
        <v>1499</v>
      </c>
      <c r="B375" t="s">
        <v>1199</v>
      </c>
      <c r="C375">
        <v>0.4</v>
      </c>
      <c r="D375">
        <v>419.5</v>
      </c>
      <c r="E375">
        <v>0</v>
      </c>
      <c r="F375">
        <v>30</v>
      </c>
      <c r="G375">
        <v>3.4089999999999998</v>
      </c>
      <c r="H375" t="s">
        <v>1208</v>
      </c>
      <c r="I375" s="1">
        <v>37159</v>
      </c>
      <c r="J375" s="1">
        <v>37317</v>
      </c>
      <c r="K375" s="1">
        <v>37313</v>
      </c>
      <c r="L375" s="1">
        <v>37317</v>
      </c>
      <c r="M375" s="1">
        <v>37266</v>
      </c>
      <c r="N375" s="1">
        <v>37280</v>
      </c>
      <c r="O375" t="s">
        <v>1114</v>
      </c>
      <c r="P375">
        <v>2</v>
      </c>
      <c r="Q375" t="s">
        <v>1215</v>
      </c>
      <c r="R375">
        <f t="shared" si="10"/>
        <v>4</v>
      </c>
      <c r="S375">
        <f t="shared" si="11"/>
        <v>0</v>
      </c>
    </row>
    <row r="376" spans="1:19" x14ac:dyDescent="0.25">
      <c r="A376" t="s">
        <v>1500</v>
      </c>
      <c r="B376" t="s">
        <v>1199</v>
      </c>
      <c r="C376">
        <v>0.6</v>
      </c>
      <c r="D376">
        <v>1000</v>
      </c>
      <c r="E376">
        <v>0</v>
      </c>
      <c r="F376">
        <v>3</v>
      </c>
      <c r="G376">
        <v>3</v>
      </c>
      <c r="H376" t="s">
        <v>1208</v>
      </c>
      <c r="I376" s="1">
        <v>37159</v>
      </c>
      <c r="J376" s="1">
        <v>37323</v>
      </c>
      <c r="K376" s="1">
        <v>37372</v>
      </c>
      <c r="L376" s="1">
        <v>37372</v>
      </c>
      <c r="M376" s="1">
        <v>37365</v>
      </c>
      <c r="N376" s="1">
        <v>37365</v>
      </c>
      <c r="O376" t="s">
        <v>1117</v>
      </c>
      <c r="P376">
        <v>1</v>
      </c>
      <c r="Q376" t="s">
        <v>1215</v>
      </c>
      <c r="R376">
        <f t="shared" si="10"/>
        <v>16</v>
      </c>
      <c r="S376">
        <f t="shared" si="11"/>
        <v>1</v>
      </c>
    </row>
    <row r="377" spans="1:19" x14ac:dyDescent="0.25">
      <c r="A377" t="s">
        <v>1501</v>
      </c>
      <c r="B377" t="s">
        <v>4027</v>
      </c>
      <c r="C377">
        <v>0.5</v>
      </c>
      <c r="D377">
        <v>1170</v>
      </c>
      <c r="E377">
        <v>0</v>
      </c>
      <c r="F377">
        <v>50</v>
      </c>
      <c r="G377">
        <v>50</v>
      </c>
      <c r="H377" t="s">
        <v>1208</v>
      </c>
      <c r="I377" s="1">
        <v>37159</v>
      </c>
      <c r="J377" s="1">
        <v>37316</v>
      </c>
      <c r="K377" s="1">
        <v>37315</v>
      </c>
      <c r="L377" s="1">
        <v>37316</v>
      </c>
      <c r="M377" s="1">
        <v>37276</v>
      </c>
      <c r="N377" s="1">
        <v>37276</v>
      </c>
      <c r="O377" t="s">
        <v>1114</v>
      </c>
      <c r="P377">
        <v>2</v>
      </c>
      <c r="Q377" t="s">
        <v>1215</v>
      </c>
      <c r="R377">
        <f t="shared" si="10"/>
        <v>4</v>
      </c>
      <c r="S377">
        <f t="shared" si="11"/>
        <v>1</v>
      </c>
    </row>
    <row r="378" spans="1:19" x14ac:dyDescent="0.25">
      <c r="A378" t="s">
        <v>1502</v>
      </c>
      <c r="B378" t="s">
        <v>4026</v>
      </c>
      <c r="C378">
        <v>0.6</v>
      </c>
      <c r="D378">
        <v>1250</v>
      </c>
      <c r="E378">
        <v>0</v>
      </c>
      <c r="F378">
        <v>3</v>
      </c>
      <c r="G378">
        <v>3</v>
      </c>
      <c r="H378" t="s">
        <v>1208</v>
      </c>
      <c r="I378" s="1">
        <v>37108</v>
      </c>
      <c r="J378" s="1">
        <v>37321</v>
      </c>
      <c r="K378" s="1">
        <v>37375</v>
      </c>
      <c r="L378" s="1">
        <v>37375</v>
      </c>
      <c r="M378" s="1">
        <v>37368</v>
      </c>
      <c r="N378" s="1">
        <v>37368</v>
      </c>
      <c r="O378" t="s">
        <v>1117</v>
      </c>
      <c r="P378">
        <v>1</v>
      </c>
      <c r="Q378" t="s">
        <v>1215</v>
      </c>
      <c r="R378">
        <f t="shared" si="10"/>
        <v>17</v>
      </c>
      <c r="S378">
        <f t="shared" si="11"/>
        <v>1</v>
      </c>
    </row>
    <row r="379" spans="1:19" x14ac:dyDescent="0.25">
      <c r="A379" t="s">
        <v>1503</v>
      </c>
      <c r="B379" t="s">
        <v>4026</v>
      </c>
      <c r="C379">
        <v>0.5</v>
      </c>
      <c r="D379">
        <v>625</v>
      </c>
      <c r="E379">
        <v>0</v>
      </c>
      <c r="F379">
        <v>10</v>
      </c>
      <c r="G379">
        <v>10</v>
      </c>
      <c r="H379" t="s">
        <v>1208</v>
      </c>
      <c r="I379" s="1">
        <v>37117</v>
      </c>
      <c r="J379" s="1">
        <v>37345</v>
      </c>
      <c r="K379" s="1">
        <v>37373</v>
      </c>
      <c r="L379" s="1">
        <v>37373</v>
      </c>
      <c r="M379" s="1">
        <v>37366</v>
      </c>
      <c r="N379" s="1">
        <v>37366</v>
      </c>
      <c r="O379" t="s">
        <v>1117</v>
      </c>
      <c r="P379">
        <v>1</v>
      </c>
      <c r="Q379" t="s">
        <v>1215</v>
      </c>
      <c r="R379">
        <f t="shared" si="10"/>
        <v>16</v>
      </c>
      <c r="S379">
        <f t="shared" si="11"/>
        <v>1</v>
      </c>
    </row>
    <row r="380" spans="1:19" x14ac:dyDescent="0.25">
      <c r="A380" t="s">
        <v>1504</v>
      </c>
      <c r="B380" t="s">
        <v>4029</v>
      </c>
      <c r="C380">
        <v>0.5</v>
      </c>
      <c r="D380">
        <v>1250</v>
      </c>
      <c r="E380">
        <v>0</v>
      </c>
      <c r="F380">
        <v>3</v>
      </c>
      <c r="G380">
        <v>3</v>
      </c>
      <c r="H380" t="s">
        <v>1208</v>
      </c>
      <c r="I380" s="1">
        <v>37119</v>
      </c>
      <c r="J380" s="1">
        <v>37322</v>
      </c>
      <c r="K380" s="1">
        <v>37372</v>
      </c>
      <c r="L380" s="1">
        <v>37372</v>
      </c>
      <c r="M380" s="1">
        <v>37365</v>
      </c>
      <c r="N380" s="1">
        <v>37368</v>
      </c>
      <c r="O380" t="s">
        <v>1117</v>
      </c>
      <c r="P380">
        <v>2</v>
      </c>
      <c r="Q380" t="s">
        <v>1215</v>
      </c>
      <c r="R380">
        <f t="shared" si="10"/>
        <v>17</v>
      </c>
      <c r="S380">
        <f t="shared" si="11"/>
        <v>1</v>
      </c>
    </row>
    <row r="381" spans="1:19" x14ac:dyDescent="0.25">
      <c r="A381" t="s">
        <v>1505</v>
      </c>
      <c r="B381" t="s">
        <v>1199</v>
      </c>
      <c r="C381">
        <v>1.45</v>
      </c>
      <c r="D381">
        <v>96</v>
      </c>
      <c r="E381">
        <v>0</v>
      </c>
      <c r="F381">
        <v>3</v>
      </c>
      <c r="G381">
        <v>3</v>
      </c>
      <c r="H381" t="s">
        <v>1208</v>
      </c>
      <c r="I381" s="1">
        <v>37132</v>
      </c>
      <c r="J381" s="1">
        <v>37346</v>
      </c>
      <c r="K381" s="1">
        <v>37319</v>
      </c>
      <c r="L381" s="1">
        <v>37346</v>
      </c>
      <c r="M381" s="1">
        <v>37291</v>
      </c>
      <c r="N381" s="1">
        <v>37291</v>
      </c>
      <c r="O381" t="s">
        <v>1114</v>
      </c>
      <c r="P381">
        <v>3</v>
      </c>
      <c r="Q381" t="s">
        <v>1215</v>
      </c>
      <c r="R381">
        <f t="shared" si="10"/>
        <v>6</v>
      </c>
      <c r="S381">
        <f t="shared" si="11"/>
        <v>1</v>
      </c>
    </row>
    <row r="382" spans="1:19" x14ac:dyDescent="0.25">
      <c r="A382" t="s">
        <v>1506</v>
      </c>
      <c r="B382" t="s">
        <v>4028</v>
      </c>
      <c r="C382">
        <v>1.45</v>
      </c>
      <c r="D382">
        <v>76</v>
      </c>
      <c r="E382">
        <v>0</v>
      </c>
      <c r="F382">
        <v>2</v>
      </c>
      <c r="G382">
        <v>2</v>
      </c>
      <c r="H382" t="s">
        <v>1208</v>
      </c>
      <c r="I382" s="1">
        <v>37132</v>
      </c>
      <c r="J382" s="1">
        <v>37346</v>
      </c>
      <c r="K382" s="1">
        <v>37319</v>
      </c>
      <c r="L382" s="1">
        <v>37346</v>
      </c>
      <c r="M382" s="1">
        <v>37287</v>
      </c>
      <c r="N382" s="1">
        <v>37287</v>
      </c>
      <c r="O382" t="s">
        <v>1114</v>
      </c>
      <c r="P382">
        <v>4</v>
      </c>
      <c r="Q382" t="s">
        <v>1215</v>
      </c>
      <c r="R382">
        <f t="shared" si="10"/>
        <v>5</v>
      </c>
      <c r="S382">
        <f t="shared" si="11"/>
        <v>1</v>
      </c>
    </row>
    <row r="383" spans="1:19" x14ac:dyDescent="0.25">
      <c r="A383" t="s">
        <v>1507</v>
      </c>
      <c r="B383" t="s">
        <v>3631</v>
      </c>
      <c r="C383">
        <v>0.8</v>
      </c>
      <c r="D383">
        <v>1250</v>
      </c>
      <c r="E383">
        <v>0</v>
      </c>
      <c r="F383">
        <v>3</v>
      </c>
      <c r="G383">
        <v>3</v>
      </c>
      <c r="H383" t="s">
        <v>1208</v>
      </c>
      <c r="I383" s="1">
        <v>37126</v>
      </c>
      <c r="J383" s="1">
        <v>37313</v>
      </c>
      <c r="K383" s="1">
        <v>37384</v>
      </c>
      <c r="L383" s="1">
        <v>37384</v>
      </c>
      <c r="M383" s="1">
        <v>37263</v>
      </c>
      <c r="N383" s="1">
        <v>37343</v>
      </c>
      <c r="O383" t="s">
        <v>1117</v>
      </c>
      <c r="P383">
        <v>3</v>
      </c>
      <c r="Q383" t="s">
        <v>1215</v>
      </c>
      <c r="R383">
        <f t="shared" si="10"/>
        <v>13</v>
      </c>
      <c r="S383">
        <f t="shared" si="11"/>
        <v>1</v>
      </c>
    </row>
    <row r="384" spans="1:19" x14ac:dyDescent="0.25">
      <c r="A384" t="s">
        <v>1508</v>
      </c>
      <c r="B384" t="s">
        <v>4028</v>
      </c>
      <c r="C384">
        <v>0.8</v>
      </c>
      <c r="D384">
        <v>1219</v>
      </c>
      <c r="E384">
        <v>0</v>
      </c>
      <c r="F384">
        <v>18</v>
      </c>
      <c r="G384">
        <v>18</v>
      </c>
      <c r="H384" t="s">
        <v>1208</v>
      </c>
      <c r="I384" s="1">
        <v>37112</v>
      </c>
      <c r="J384" s="1">
        <v>37314</v>
      </c>
      <c r="K384" s="1">
        <v>37338</v>
      </c>
      <c r="L384" s="1">
        <v>37338</v>
      </c>
      <c r="M384" s="1">
        <v>37339</v>
      </c>
      <c r="N384" s="1">
        <v>37339</v>
      </c>
      <c r="O384" t="s">
        <v>1117</v>
      </c>
      <c r="P384">
        <v>4</v>
      </c>
      <c r="Q384" t="s">
        <v>1215</v>
      </c>
      <c r="R384">
        <f t="shared" si="10"/>
        <v>13</v>
      </c>
      <c r="S384">
        <f t="shared" si="11"/>
        <v>1</v>
      </c>
    </row>
    <row r="385" spans="1:19" x14ac:dyDescent="0.25">
      <c r="A385" t="s">
        <v>1509</v>
      </c>
      <c r="B385" t="s">
        <v>4027</v>
      </c>
      <c r="C385">
        <v>0.5</v>
      </c>
      <c r="D385">
        <v>1170</v>
      </c>
      <c r="E385">
        <v>0</v>
      </c>
      <c r="F385">
        <v>80</v>
      </c>
      <c r="G385">
        <v>80</v>
      </c>
      <c r="H385" t="s">
        <v>1208</v>
      </c>
      <c r="I385" s="1">
        <v>37159</v>
      </c>
      <c r="J385" s="1">
        <v>37316</v>
      </c>
      <c r="K385" s="1">
        <v>37316</v>
      </c>
      <c r="L385" s="1">
        <v>37316</v>
      </c>
      <c r="M385" s="1">
        <v>37276</v>
      </c>
      <c r="N385" s="1">
        <v>37276</v>
      </c>
      <c r="O385" t="s">
        <v>1117</v>
      </c>
      <c r="P385">
        <v>2</v>
      </c>
      <c r="Q385" t="s">
        <v>1215</v>
      </c>
      <c r="R385">
        <f t="shared" si="10"/>
        <v>4</v>
      </c>
      <c r="S385">
        <f t="shared" si="11"/>
        <v>1</v>
      </c>
    </row>
    <row r="386" spans="1:19" x14ac:dyDescent="0.25">
      <c r="A386" t="s">
        <v>1510</v>
      </c>
      <c r="B386" t="s">
        <v>4028</v>
      </c>
      <c r="C386">
        <v>0.5</v>
      </c>
      <c r="D386">
        <v>560</v>
      </c>
      <c r="E386">
        <v>0</v>
      </c>
      <c r="F386">
        <v>40</v>
      </c>
      <c r="G386">
        <v>38.755000000000003</v>
      </c>
      <c r="H386" t="s">
        <v>1208</v>
      </c>
      <c r="I386" s="1">
        <v>37159</v>
      </c>
      <c r="J386" s="1">
        <v>37317</v>
      </c>
      <c r="K386" s="1">
        <v>37316</v>
      </c>
      <c r="L386" s="1">
        <v>37317</v>
      </c>
      <c r="M386" s="1">
        <v>37270</v>
      </c>
      <c r="N386" s="1">
        <v>37270</v>
      </c>
      <c r="O386" t="s">
        <v>1114</v>
      </c>
      <c r="P386">
        <v>4</v>
      </c>
      <c r="Q386" t="s">
        <v>1215</v>
      </c>
      <c r="R386">
        <f t="shared" si="10"/>
        <v>3</v>
      </c>
      <c r="S386">
        <f t="shared" si="11"/>
        <v>0</v>
      </c>
    </row>
    <row r="387" spans="1:19" x14ac:dyDescent="0.25">
      <c r="A387" t="s">
        <v>1511</v>
      </c>
      <c r="B387" t="s">
        <v>4028</v>
      </c>
      <c r="C387">
        <v>0.5</v>
      </c>
      <c r="D387">
        <v>1000</v>
      </c>
      <c r="E387">
        <v>0</v>
      </c>
      <c r="F387">
        <v>6</v>
      </c>
      <c r="G387">
        <v>3.4540000000000002</v>
      </c>
      <c r="H387" t="s">
        <v>1208</v>
      </c>
      <c r="I387" s="1">
        <v>37115</v>
      </c>
      <c r="J387" s="1">
        <v>37320</v>
      </c>
      <c r="K387" s="1">
        <v>37354</v>
      </c>
      <c r="L387" s="1">
        <v>37354</v>
      </c>
      <c r="M387" s="1">
        <v>37354</v>
      </c>
      <c r="N387" s="1">
        <v>37354</v>
      </c>
      <c r="O387" t="s">
        <v>1117</v>
      </c>
      <c r="P387">
        <v>1</v>
      </c>
      <c r="Q387" t="s">
        <v>1215</v>
      </c>
      <c r="R387">
        <f t="shared" ref="R387:R450" si="12">WEEKNUM(N387,1)</f>
        <v>15</v>
      </c>
      <c r="S387">
        <f t="shared" ref="S387:S450" si="13">IF(AND(F387=G387, M387&lt;=N387), 1,0)</f>
        <v>0</v>
      </c>
    </row>
    <row r="388" spans="1:19" x14ac:dyDescent="0.25">
      <c r="A388" t="s">
        <v>1512</v>
      </c>
      <c r="B388" t="s">
        <v>4028</v>
      </c>
      <c r="C388">
        <v>0.6</v>
      </c>
      <c r="D388">
        <v>1250</v>
      </c>
      <c r="E388">
        <v>0</v>
      </c>
      <c r="F388">
        <v>9</v>
      </c>
      <c r="G388">
        <v>9</v>
      </c>
      <c r="H388" t="s">
        <v>1208</v>
      </c>
      <c r="I388" s="1">
        <v>37119</v>
      </c>
      <c r="J388" s="1">
        <v>37313</v>
      </c>
      <c r="K388" s="1">
        <v>37353</v>
      </c>
      <c r="L388" s="1">
        <v>37353</v>
      </c>
      <c r="M388" s="1">
        <v>37330</v>
      </c>
      <c r="N388" s="1">
        <v>37331</v>
      </c>
      <c r="O388" t="s">
        <v>1117</v>
      </c>
      <c r="P388">
        <v>2</v>
      </c>
      <c r="Q388" t="s">
        <v>1215</v>
      </c>
      <c r="R388">
        <f t="shared" si="12"/>
        <v>11</v>
      </c>
      <c r="S388">
        <f t="shared" si="13"/>
        <v>1</v>
      </c>
    </row>
    <row r="389" spans="1:19" x14ac:dyDescent="0.25">
      <c r="A389" t="s">
        <v>1513</v>
      </c>
      <c r="B389" t="s">
        <v>4028</v>
      </c>
      <c r="C389">
        <v>1.18</v>
      </c>
      <c r="D389">
        <v>157</v>
      </c>
      <c r="E389">
        <v>0</v>
      </c>
      <c r="F389">
        <v>5</v>
      </c>
      <c r="G389">
        <v>5</v>
      </c>
      <c r="H389" t="s">
        <v>1208</v>
      </c>
      <c r="I389" s="1">
        <v>37132</v>
      </c>
      <c r="J389" s="1">
        <v>37346</v>
      </c>
      <c r="K389" s="1">
        <v>37353</v>
      </c>
      <c r="L389" s="1">
        <v>37353</v>
      </c>
      <c r="M389" s="1">
        <v>37353</v>
      </c>
      <c r="N389" s="1">
        <v>37353</v>
      </c>
      <c r="O389" t="s">
        <v>1117</v>
      </c>
      <c r="P389">
        <v>8</v>
      </c>
      <c r="Q389" t="s">
        <v>1215</v>
      </c>
      <c r="R389">
        <f t="shared" si="12"/>
        <v>15</v>
      </c>
      <c r="S389">
        <f t="shared" si="13"/>
        <v>1</v>
      </c>
    </row>
    <row r="390" spans="1:19" x14ac:dyDescent="0.25">
      <c r="A390" t="s">
        <v>1514</v>
      </c>
      <c r="B390" t="s">
        <v>4027</v>
      </c>
      <c r="C390">
        <v>1.45</v>
      </c>
      <c r="D390">
        <v>156</v>
      </c>
      <c r="E390">
        <v>0</v>
      </c>
      <c r="F390">
        <v>5</v>
      </c>
      <c r="G390">
        <v>5</v>
      </c>
      <c r="H390" t="s">
        <v>1208</v>
      </c>
      <c r="I390" s="1">
        <v>37132</v>
      </c>
      <c r="J390" s="1">
        <v>37346</v>
      </c>
      <c r="K390" s="1">
        <v>37319</v>
      </c>
      <c r="L390" s="1">
        <v>37346</v>
      </c>
      <c r="M390" s="1">
        <v>37294</v>
      </c>
      <c r="N390" s="1">
        <v>37294</v>
      </c>
      <c r="O390" t="s">
        <v>1114</v>
      </c>
      <c r="P390">
        <v>1</v>
      </c>
      <c r="Q390" t="s">
        <v>1215</v>
      </c>
      <c r="R390">
        <f t="shared" si="12"/>
        <v>6</v>
      </c>
      <c r="S390">
        <f t="shared" si="13"/>
        <v>1</v>
      </c>
    </row>
    <row r="391" spans="1:19" x14ac:dyDescent="0.25">
      <c r="A391" t="s">
        <v>1515</v>
      </c>
      <c r="B391" t="s">
        <v>4028</v>
      </c>
      <c r="C391">
        <v>0.6</v>
      </c>
      <c r="D391">
        <v>1250</v>
      </c>
      <c r="E391">
        <v>0</v>
      </c>
      <c r="F391">
        <v>6</v>
      </c>
      <c r="G391">
        <v>6</v>
      </c>
      <c r="H391" t="s">
        <v>1208</v>
      </c>
      <c r="I391" s="1">
        <v>37159</v>
      </c>
      <c r="J391" s="1">
        <v>37325</v>
      </c>
      <c r="K391" s="1">
        <v>37375</v>
      </c>
      <c r="L391" s="1">
        <v>37375</v>
      </c>
      <c r="M391" s="1">
        <v>37368</v>
      </c>
      <c r="N391" s="1">
        <v>37368</v>
      </c>
      <c r="O391" t="s">
        <v>1117</v>
      </c>
      <c r="P391">
        <v>1</v>
      </c>
      <c r="Q391" t="s">
        <v>1215</v>
      </c>
      <c r="R391">
        <f t="shared" si="12"/>
        <v>17</v>
      </c>
      <c r="S391">
        <f t="shared" si="13"/>
        <v>1</v>
      </c>
    </row>
    <row r="392" spans="1:19" x14ac:dyDescent="0.25">
      <c r="A392" t="s">
        <v>1516</v>
      </c>
      <c r="B392" t="s">
        <v>1199</v>
      </c>
      <c r="C392">
        <v>0.8</v>
      </c>
      <c r="D392">
        <v>1000</v>
      </c>
      <c r="E392">
        <v>0</v>
      </c>
      <c r="F392">
        <v>17</v>
      </c>
      <c r="G392">
        <v>17</v>
      </c>
      <c r="H392" t="s">
        <v>1208</v>
      </c>
      <c r="I392" s="1">
        <v>37112</v>
      </c>
      <c r="J392" s="1">
        <v>37314</v>
      </c>
      <c r="K392" s="1">
        <v>37329</v>
      </c>
      <c r="L392" s="1">
        <v>37329</v>
      </c>
      <c r="M392" s="1">
        <v>37329</v>
      </c>
      <c r="N392" s="1">
        <v>37329</v>
      </c>
      <c r="O392" t="s">
        <v>1117</v>
      </c>
      <c r="P392">
        <v>3</v>
      </c>
      <c r="Q392" t="s">
        <v>1215</v>
      </c>
      <c r="R392">
        <f t="shared" si="12"/>
        <v>11</v>
      </c>
      <c r="S392">
        <f t="shared" si="13"/>
        <v>1</v>
      </c>
    </row>
    <row r="393" spans="1:19" x14ac:dyDescent="0.25">
      <c r="A393" t="s">
        <v>1517</v>
      </c>
      <c r="B393" t="s">
        <v>1199</v>
      </c>
      <c r="C393">
        <v>0.7</v>
      </c>
      <c r="D393">
        <v>1250</v>
      </c>
      <c r="E393">
        <v>0</v>
      </c>
      <c r="F393">
        <v>7</v>
      </c>
      <c r="G393">
        <v>7</v>
      </c>
      <c r="H393" t="s">
        <v>1208</v>
      </c>
      <c r="I393" s="1">
        <v>37126</v>
      </c>
      <c r="J393" s="1">
        <v>37319</v>
      </c>
      <c r="K393" s="1">
        <v>37375</v>
      </c>
      <c r="L393" s="1">
        <v>37375</v>
      </c>
      <c r="M393" s="1">
        <v>37368</v>
      </c>
      <c r="N393" s="1">
        <v>37368</v>
      </c>
      <c r="O393" t="s">
        <v>1117</v>
      </c>
      <c r="P393">
        <v>3</v>
      </c>
      <c r="Q393" t="s">
        <v>1215</v>
      </c>
      <c r="R393">
        <f t="shared" si="12"/>
        <v>17</v>
      </c>
      <c r="S393">
        <f t="shared" si="13"/>
        <v>1</v>
      </c>
    </row>
    <row r="394" spans="1:19" x14ac:dyDescent="0.25">
      <c r="A394" t="s">
        <v>1518</v>
      </c>
      <c r="B394" t="s">
        <v>1199</v>
      </c>
      <c r="C394">
        <v>0.78</v>
      </c>
      <c r="D394">
        <v>625</v>
      </c>
      <c r="E394">
        <v>0</v>
      </c>
      <c r="F394">
        <v>12</v>
      </c>
      <c r="G394">
        <v>12</v>
      </c>
      <c r="H394" t="s">
        <v>1208</v>
      </c>
      <c r="I394" s="1">
        <v>37105</v>
      </c>
      <c r="J394" s="1">
        <v>37345</v>
      </c>
      <c r="K394" s="1">
        <v>37355</v>
      </c>
      <c r="L394" s="1">
        <v>37355</v>
      </c>
      <c r="M394" s="1">
        <v>37355</v>
      </c>
      <c r="N394" s="1">
        <v>37355</v>
      </c>
      <c r="O394" t="s">
        <v>1117</v>
      </c>
      <c r="P394">
        <v>1</v>
      </c>
      <c r="Q394" t="s">
        <v>1215</v>
      </c>
      <c r="R394">
        <f t="shared" si="12"/>
        <v>15</v>
      </c>
      <c r="S394">
        <f t="shared" si="13"/>
        <v>1</v>
      </c>
    </row>
    <row r="395" spans="1:19" x14ac:dyDescent="0.25">
      <c r="A395" t="s">
        <v>1519</v>
      </c>
      <c r="B395" t="s">
        <v>4026</v>
      </c>
      <c r="C395">
        <v>0.7</v>
      </c>
      <c r="D395">
        <v>1000</v>
      </c>
      <c r="E395">
        <v>0</v>
      </c>
      <c r="F395">
        <v>3</v>
      </c>
      <c r="G395">
        <v>3</v>
      </c>
      <c r="H395" t="s">
        <v>1208</v>
      </c>
      <c r="I395" s="1">
        <v>37159</v>
      </c>
      <c r="J395" s="1">
        <v>37319</v>
      </c>
      <c r="K395" s="1">
        <v>37360</v>
      </c>
      <c r="L395" s="1">
        <v>37360</v>
      </c>
      <c r="M395" s="1">
        <v>37351</v>
      </c>
      <c r="N395" s="1">
        <v>37351</v>
      </c>
      <c r="O395" t="s">
        <v>1117</v>
      </c>
      <c r="P395">
        <v>1</v>
      </c>
      <c r="Q395" t="s">
        <v>1215</v>
      </c>
      <c r="R395">
        <f t="shared" si="12"/>
        <v>14</v>
      </c>
      <c r="S395">
        <f t="shared" si="13"/>
        <v>1</v>
      </c>
    </row>
    <row r="396" spans="1:19" x14ac:dyDescent="0.25">
      <c r="A396" t="s">
        <v>1520</v>
      </c>
      <c r="B396" t="s">
        <v>1199</v>
      </c>
      <c r="C396">
        <v>1.45</v>
      </c>
      <c r="D396">
        <v>57</v>
      </c>
      <c r="E396">
        <v>0</v>
      </c>
      <c r="F396">
        <v>7</v>
      </c>
      <c r="G396">
        <v>2.5979999999999999</v>
      </c>
      <c r="H396" t="s">
        <v>1208</v>
      </c>
      <c r="I396" s="1">
        <v>37110</v>
      </c>
      <c r="J396" s="1">
        <v>37314</v>
      </c>
      <c r="K396" s="1">
        <v>37304</v>
      </c>
      <c r="L396" s="1">
        <v>37314</v>
      </c>
      <c r="M396" s="1">
        <v>37225</v>
      </c>
      <c r="N396" s="1">
        <v>37225</v>
      </c>
      <c r="O396" t="s">
        <v>1114</v>
      </c>
      <c r="P396">
        <v>26</v>
      </c>
      <c r="Q396" t="s">
        <v>1438</v>
      </c>
      <c r="R396">
        <f t="shared" si="12"/>
        <v>48</v>
      </c>
      <c r="S396">
        <f t="shared" si="13"/>
        <v>0</v>
      </c>
    </row>
    <row r="397" spans="1:19" x14ac:dyDescent="0.25">
      <c r="A397" t="s">
        <v>1521</v>
      </c>
      <c r="B397" t="s">
        <v>1199</v>
      </c>
      <c r="C397">
        <v>0.7</v>
      </c>
      <c r="D397">
        <v>492</v>
      </c>
      <c r="E397">
        <v>0</v>
      </c>
      <c r="F397">
        <v>10</v>
      </c>
      <c r="G397">
        <v>3.4660000000000002</v>
      </c>
      <c r="H397" t="s">
        <v>1208</v>
      </c>
      <c r="I397" s="1">
        <v>37159</v>
      </c>
      <c r="J397" s="1">
        <v>37319</v>
      </c>
      <c r="K397" s="1">
        <v>37344</v>
      </c>
      <c r="L397" s="1">
        <v>37344</v>
      </c>
      <c r="M397" s="1">
        <v>37344</v>
      </c>
      <c r="N397" s="1">
        <v>37344</v>
      </c>
      <c r="O397" t="s">
        <v>1117</v>
      </c>
      <c r="P397">
        <v>4</v>
      </c>
      <c r="Q397" t="s">
        <v>1215</v>
      </c>
      <c r="R397">
        <f t="shared" si="12"/>
        <v>13</v>
      </c>
      <c r="S397">
        <f t="shared" si="13"/>
        <v>0</v>
      </c>
    </row>
    <row r="398" spans="1:19" x14ac:dyDescent="0.25">
      <c r="A398" t="s">
        <v>1522</v>
      </c>
      <c r="B398" t="s">
        <v>1199</v>
      </c>
      <c r="C398">
        <v>0.8</v>
      </c>
      <c r="D398">
        <v>1000</v>
      </c>
      <c r="E398">
        <v>0</v>
      </c>
      <c r="F398">
        <v>3</v>
      </c>
      <c r="G398">
        <v>3</v>
      </c>
      <c r="H398" t="s">
        <v>1208</v>
      </c>
      <c r="I398" s="1">
        <v>37159</v>
      </c>
      <c r="J398" s="1">
        <v>37320</v>
      </c>
      <c r="K398" s="1">
        <v>37344</v>
      </c>
      <c r="L398" s="1">
        <v>37344</v>
      </c>
      <c r="M398" s="1">
        <v>37344</v>
      </c>
      <c r="N398" s="1">
        <v>37344</v>
      </c>
      <c r="O398" t="s">
        <v>1117</v>
      </c>
      <c r="P398">
        <v>2</v>
      </c>
      <c r="Q398" t="s">
        <v>1215</v>
      </c>
      <c r="R398">
        <f t="shared" si="12"/>
        <v>13</v>
      </c>
      <c r="S398">
        <f t="shared" si="13"/>
        <v>1</v>
      </c>
    </row>
    <row r="399" spans="1:19" x14ac:dyDescent="0.25">
      <c r="A399" t="s">
        <v>1523</v>
      </c>
      <c r="B399" t="s">
        <v>4028</v>
      </c>
      <c r="C399">
        <v>1.1499999999999999</v>
      </c>
      <c r="D399">
        <v>625</v>
      </c>
      <c r="E399">
        <v>0</v>
      </c>
      <c r="F399">
        <v>250</v>
      </c>
      <c r="G399">
        <v>250</v>
      </c>
      <c r="H399" t="s">
        <v>1208</v>
      </c>
      <c r="I399" s="1">
        <v>37125</v>
      </c>
      <c r="J399" s="1">
        <v>37311</v>
      </c>
      <c r="K399" s="1">
        <v>37344</v>
      </c>
      <c r="L399" s="1">
        <v>37344</v>
      </c>
      <c r="M399" s="1">
        <v>37344</v>
      </c>
      <c r="N399" s="1">
        <v>37344</v>
      </c>
      <c r="O399" t="s">
        <v>1117</v>
      </c>
      <c r="P399">
        <v>2</v>
      </c>
      <c r="Q399" t="s">
        <v>1438</v>
      </c>
      <c r="R399">
        <f t="shared" si="12"/>
        <v>13</v>
      </c>
      <c r="S399">
        <f t="shared" si="13"/>
        <v>1</v>
      </c>
    </row>
    <row r="400" spans="1:19" x14ac:dyDescent="0.25">
      <c r="A400" t="s">
        <v>1524</v>
      </c>
      <c r="B400" t="s">
        <v>4026</v>
      </c>
      <c r="C400">
        <v>0.5</v>
      </c>
      <c r="D400">
        <v>1250</v>
      </c>
      <c r="E400">
        <v>0</v>
      </c>
      <c r="F400">
        <v>20</v>
      </c>
      <c r="G400">
        <v>4.78</v>
      </c>
      <c r="H400" t="s">
        <v>1208</v>
      </c>
      <c r="I400" s="1">
        <v>37159</v>
      </c>
      <c r="J400" s="1">
        <v>37319</v>
      </c>
      <c r="K400" s="1">
        <v>37351</v>
      </c>
      <c r="L400" s="1">
        <v>37351</v>
      </c>
      <c r="M400" s="1">
        <v>37351</v>
      </c>
      <c r="N400" s="1">
        <v>37351</v>
      </c>
      <c r="O400" t="s">
        <v>1117</v>
      </c>
      <c r="P400">
        <v>1</v>
      </c>
      <c r="Q400" t="s">
        <v>1215</v>
      </c>
      <c r="R400">
        <f t="shared" si="12"/>
        <v>14</v>
      </c>
      <c r="S400">
        <f t="shared" si="13"/>
        <v>0</v>
      </c>
    </row>
    <row r="401" spans="1:19" x14ac:dyDescent="0.25">
      <c r="A401" t="s">
        <v>1525</v>
      </c>
      <c r="B401" t="s">
        <v>1199</v>
      </c>
      <c r="C401">
        <v>0.9</v>
      </c>
      <c r="D401">
        <v>625</v>
      </c>
      <c r="E401">
        <v>0</v>
      </c>
      <c r="F401">
        <v>32</v>
      </c>
      <c r="G401">
        <v>32</v>
      </c>
      <c r="H401" t="s">
        <v>1208</v>
      </c>
      <c r="I401" s="1">
        <v>37122</v>
      </c>
      <c r="J401" s="1">
        <v>37314</v>
      </c>
      <c r="K401" t="s">
        <v>1124</v>
      </c>
      <c r="L401" t="s">
        <v>1124</v>
      </c>
      <c r="M401" s="1">
        <v>37386</v>
      </c>
      <c r="N401" s="1">
        <v>37386</v>
      </c>
      <c r="O401" t="s">
        <v>1117</v>
      </c>
      <c r="P401">
        <v>8</v>
      </c>
      <c r="Q401" t="s">
        <v>1438</v>
      </c>
      <c r="R401">
        <f t="shared" si="12"/>
        <v>19</v>
      </c>
      <c r="S401">
        <f t="shared" si="13"/>
        <v>1</v>
      </c>
    </row>
    <row r="402" spans="1:19" x14ac:dyDescent="0.25">
      <c r="A402" t="s">
        <v>1526</v>
      </c>
      <c r="B402" t="s">
        <v>4028</v>
      </c>
      <c r="C402">
        <v>0.8</v>
      </c>
      <c r="D402">
        <v>38</v>
      </c>
      <c r="E402">
        <v>0</v>
      </c>
      <c r="F402">
        <v>3</v>
      </c>
      <c r="G402">
        <v>3</v>
      </c>
      <c r="H402" t="s">
        <v>1208</v>
      </c>
      <c r="I402" s="1">
        <v>37122</v>
      </c>
      <c r="J402" s="1">
        <v>37314</v>
      </c>
      <c r="K402" s="1">
        <v>37338</v>
      </c>
      <c r="L402" s="1">
        <v>37338</v>
      </c>
      <c r="M402" s="1">
        <v>37331</v>
      </c>
      <c r="N402" s="1">
        <v>37331</v>
      </c>
      <c r="O402" t="s">
        <v>1117</v>
      </c>
      <c r="P402">
        <v>25</v>
      </c>
      <c r="Q402" t="s">
        <v>1438</v>
      </c>
      <c r="R402">
        <f t="shared" si="12"/>
        <v>11</v>
      </c>
      <c r="S402">
        <f t="shared" si="13"/>
        <v>1</v>
      </c>
    </row>
    <row r="403" spans="1:19" x14ac:dyDescent="0.25">
      <c r="A403" t="s">
        <v>1527</v>
      </c>
      <c r="B403" t="s">
        <v>3631</v>
      </c>
      <c r="C403">
        <v>0.6</v>
      </c>
      <c r="D403">
        <v>1250</v>
      </c>
      <c r="E403">
        <v>0</v>
      </c>
      <c r="F403">
        <v>22</v>
      </c>
      <c r="G403">
        <v>22</v>
      </c>
      <c r="H403" t="s">
        <v>1208</v>
      </c>
      <c r="I403" s="1">
        <v>37132</v>
      </c>
      <c r="J403" s="1">
        <v>37314</v>
      </c>
      <c r="K403" s="1">
        <v>37312</v>
      </c>
      <c r="L403" s="1">
        <v>37314</v>
      </c>
      <c r="M403" s="1">
        <v>37273</v>
      </c>
      <c r="N403" s="1">
        <v>37273</v>
      </c>
      <c r="O403" t="s">
        <v>1114</v>
      </c>
      <c r="P403">
        <v>1</v>
      </c>
      <c r="Q403" t="s">
        <v>1215</v>
      </c>
      <c r="R403">
        <f t="shared" si="12"/>
        <v>3</v>
      </c>
      <c r="S403">
        <f t="shared" si="13"/>
        <v>1</v>
      </c>
    </row>
    <row r="404" spans="1:19" x14ac:dyDescent="0.25">
      <c r="A404" t="s">
        <v>1528</v>
      </c>
      <c r="B404" t="s">
        <v>1199</v>
      </c>
      <c r="C404">
        <v>0.5</v>
      </c>
      <c r="D404">
        <v>1250</v>
      </c>
      <c r="E404">
        <v>0</v>
      </c>
      <c r="F404">
        <v>40</v>
      </c>
      <c r="G404">
        <v>40</v>
      </c>
      <c r="H404" t="s">
        <v>1208</v>
      </c>
      <c r="I404" s="1">
        <v>37118</v>
      </c>
      <c r="J404" s="1">
        <v>37314</v>
      </c>
      <c r="K404" s="1">
        <v>37340</v>
      </c>
      <c r="L404" s="1">
        <v>37340</v>
      </c>
      <c r="M404" s="1">
        <v>37340</v>
      </c>
      <c r="N404" s="1">
        <v>37340</v>
      </c>
      <c r="O404" t="s">
        <v>1117</v>
      </c>
      <c r="P404">
        <v>3</v>
      </c>
      <c r="Q404" t="s">
        <v>1215</v>
      </c>
      <c r="R404">
        <f t="shared" si="12"/>
        <v>13</v>
      </c>
      <c r="S404">
        <f t="shared" si="13"/>
        <v>1</v>
      </c>
    </row>
    <row r="405" spans="1:19" x14ac:dyDescent="0.25">
      <c r="A405" t="s">
        <v>1529</v>
      </c>
      <c r="B405" t="s">
        <v>1199</v>
      </c>
      <c r="C405">
        <v>2</v>
      </c>
      <c r="D405">
        <v>1000</v>
      </c>
      <c r="E405">
        <v>0</v>
      </c>
      <c r="F405">
        <v>3</v>
      </c>
      <c r="G405">
        <v>3</v>
      </c>
      <c r="H405" t="s">
        <v>1208</v>
      </c>
      <c r="I405" s="1">
        <v>37189</v>
      </c>
      <c r="J405" s="1">
        <v>37325</v>
      </c>
      <c r="K405" s="1">
        <v>37360</v>
      </c>
      <c r="L405" s="1">
        <v>37360</v>
      </c>
      <c r="M405" s="1">
        <v>37360</v>
      </c>
      <c r="N405" s="1">
        <v>37360</v>
      </c>
      <c r="O405" t="s">
        <v>1117</v>
      </c>
      <c r="P405">
        <v>2</v>
      </c>
      <c r="Q405" t="s">
        <v>1215</v>
      </c>
      <c r="R405">
        <f t="shared" si="12"/>
        <v>16</v>
      </c>
      <c r="S405">
        <f t="shared" si="13"/>
        <v>1</v>
      </c>
    </row>
    <row r="406" spans="1:19" x14ac:dyDescent="0.25">
      <c r="A406" t="s">
        <v>1530</v>
      </c>
      <c r="B406" t="s">
        <v>4028</v>
      </c>
      <c r="C406">
        <v>0.71</v>
      </c>
      <c r="D406">
        <v>1250</v>
      </c>
      <c r="E406">
        <v>0</v>
      </c>
      <c r="F406">
        <v>76</v>
      </c>
      <c r="G406">
        <v>15.231999999999999</v>
      </c>
      <c r="H406" t="s">
        <v>1208</v>
      </c>
      <c r="I406" s="1">
        <v>37159</v>
      </c>
      <c r="J406" s="1">
        <v>37314</v>
      </c>
      <c r="K406" s="1">
        <v>37335</v>
      </c>
      <c r="L406" s="1">
        <v>37335</v>
      </c>
      <c r="M406" s="1">
        <v>37335</v>
      </c>
      <c r="N406" s="1">
        <v>37335</v>
      </c>
      <c r="O406" t="s">
        <v>1117</v>
      </c>
      <c r="P406">
        <v>1</v>
      </c>
      <c r="Q406" t="s">
        <v>1215</v>
      </c>
      <c r="R406">
        <f t="shared" si="12"/>
        <v>12</v>
      </c>
      <c r="S406">
        <f t="shared" si="13"/>
        <v>0</v>
      </c>
    </row>
    <row r="407" spans="1:19" x14ac:dyDescent="0.25">
      <c r="A407" t="s">
        <v>1531</v>
      </c>
      <c r="B407" t="s">
        <v>4028</v>
      </c>
      <c r="C407">
        <v>1.5</v>
      </c>
      <c r="D407">
        <v>1000</v>
      </c>
      <c r="E407">
        <v>0</v>
      </c>
      <c r="F407">
        <v>3</v>
      </c>
      <c r="G407">
        <v>3</v>
      </c>
      <c r="H407" t="s">
        <v>1208</v>
      </c>
      <c r="I407" s="1">
        <v>37189</v>
      </c>
      <c r="J407" s="1">
        <v>37325</v>
      </c>
      <c r="K407" s="1">
        <v>37354</v>
      </c>
      <c r="L407" s="1">
        <v>37354</v>
      </c>
      <c r="M407" s="1">
        <v>37354</v>
      </c>
      <c r="N407" s="1">
        <v>37354</v>
      </c>
      <c r="O407" t="s">
        <v>1117</v>
      </c>
      <c r="P407">
        <v>3</v>
      </c>
      <c r="Q407" t="s">
        <v>1215</v>
      </c>
      <c r="R407">
        <f t="shared" si="12"/>
        <v>15</v>
      </c>
      <c r="S407">
        <f t="shared" si="13"/>
        <v>1</v>
      </c>
    </row>
    <row r="408" spans="1:19" x14ac:dyDescent="0.25">
      <c r="A408" t="s">
        <v>1532</v>
      </c>
      <c r="B408" t="s">
        <v>3631</v>
      </c>
      <c r="C408">
        <v>1.2</v>
      </c>
      <c r="D408">
        <v>1000</v>
      </c>
      <c r="E408">
        <v>0</v>
      </c>
      <c r="F408">
        <v>3</v>
      </c>
      <c r="G408">
        <v>3</v>
      </c>
      <c r="H408" t="s">
        <v>1208</v>
      </c>
      <c r="I408" s="1">
        <v>37189</v>
      </c>
      <c r="J408" s="1">
        <v>37325</v>
      </c>
      <c r="K408" s="1">
        <v>37352</v>
      </c>
      <c r="L408" s="1">
        <v>37352</v>
      </c>
      <c r="M408" s="1">
        <v>37352</v>
      </c>
      <c r="N408" s="1">
        <v>37352</v>
      </c>
      <c r="O408" t="s">
        <v>1117</v>
      </c>
      <c r="P408">
        <v>1</v>
      </c>
      <c r="Q408" t="s">
        <v>1215</v>
      </c>
      <c r="R408">
        <f t="shared" si="12"/>
        <v>14</v>
      </c>
      <c r="S408">
        <f t="shared" si="13"/>
        <v>1</v>
      </c>
    </row>
    <row r="409" spans="1:19" x14ac:dyDescent="0.25">
      <c r="A409" t="s">
        <v>1533</v>
      </c>
      <c r="B409" t="s">
        <v>4028</v>
      </c>
      <c r="C409">
        <v>1.2</v>
      </c>
      <c r="D409">
        <v>1000</v>
      </c>
      <c r="E409">
        <v>0</v>
      </c>
      <c r="F409">
        <v>6</v>
      </c>
      <c r="G409">
        <v>6</v>
      </c>
      <c r="H409" t="s">
        <v>1208</v>
      </c>
      <c r="I409" s="1">
        <v>37119</v>
      </c>
      <c r="J409" s="1">
        <v>37322</v>
      </c>
      <c r="K409" s="1">
        <v>37345</v>
      </c>
      <c r="L409" s="1">
        <v>37345</v>
      </c>
      <c r="M409" s="1">
        <v>37345</v>
      </c>
      <c r="N409" s="1">
        <v>37352</v>
      </c>
      <c r="O409" t="s">
        <v>1117</v>
      </c>
      <c r="P409">
        <v>5</v>
      </c>
      <c r="Q409" t="s">
        <v>1215</v>
      </c>
      <c r="R409">
        <f t="shared" si="12"/>
        <v>14</v>
      </c>
      <c r="S409">
        <f t="shared" si="13"/>
        <v>1</v>
      </c>
    </row>
    <row r="410" spans="1:19" x14ac:dyDescent="0.25">
      <c r="A410" t="s">
        <v>1534</v>
      </c>
      <c r="B410" t="s">
        <v>4027</v>
      </c>
      <c r="C410">
        <v>1.2</v>
      </c>
      <c r="D410">
        <v>1000</v>
      </c>
      <c r="E410">
        <v>0</v>
      </c>
      <c r="F410">
        <v>3</v>
      </c>
      <c r="G410">
        <v>3</v>
      </c>
      <c r="H410" t="s">
        <v>1208</v>
      </c>
      <c r="I410" s="1">
        <v>37189</v>
      </c>
      <c r="J410" s="1">
        <v>37325</v>
      </c>
      <c r="K410" s="1">
        <v>37352</v>
      </c>
      <c r="L410" s="1">
        <v>37352</v>
      </c>
      <c r="M410" s="1">
        <v>37352</v>
      </c>
      <c r="N410" s="1">
        <v>37352</v>
      </c>
      <c r="O410" t="s">
        <v>1117</v>
      </c>
      <c r="P410">
        <v>1</v>
      </c>
      <c r="Q410" t="s">
        <v>1215</v>
      </c>
      <c r="R410">
        <f t="shared" si="12"/>
        <v>14</v>
      </c>
      <c r="S410">
        <f t="shared" si="13"/>
        <v>1</v>
      </c>
    </row>
    <row r="411" spans="1:19" x14ac:dyDescent="0.25">
      <c r="A411" t="s">
        <v>1535</v>
      </c>
      <c r="B411" t="s">
        <v>4027</v>
      </c>
      <c r="C411">
        <v>1.2</v>
      </c>
      <c r="D411">
        <v>1000</v>
      </c>
      <c r="E411">
        <v>0</v>
      </c>
      <c r="F411">
        <v>3</v>
      </c>
      <c r="G411">
        <v>3</v>
      </c>
      <c r="H411" t="s">
        <v>1208</v>
      </c>
      <c r="I411" s="1">
        <v>37110</v>
      </c>
      <c r="J411" s="1">
        <v>37321</v>
      </c>
      <c r="K411" s="1">
        <v>37345</v>
      </c>
      <c r="L411" s="1">
        <v>37345</v>
      </c>
      <c r="M411" s="1">
        <v>37345</v>
      </c>
      <c r="N411" s="1">
        <v>37352</v>
      </c>
      <c r="O411" t="s">
        <v>1117</v>
      </c>
      <c r="P411">
        <v>1</v>
      </c>
      <c r="Q411" t="s">
        <v>1215</v>
      </c>
      <c r="R411">
        <f t="shared" si="12"/>
        <v>14</v>
      </c>
      <c r="S411">
        <f t="shared" si="13"/>
        <v>1</v>
      </c>
    </row>
    <row r="412" spans="1:19" x14ac:dyDescent="0.25">
      <c r="A412" t="s">
        <v>1536</v>
      </c>
      <c r="B412" t="s">
        <v>4026</v>
      </c>
      <c r="C412">
        <v>2</v>
      </c>
      <c r="D412">
        <v>1000</v>
      </c>
      <c r="E412">
        <v>0</v>
      </c>
      <c r="F412">
        <v>3</v>
      </c>
      <c r="G412">
        <v>3</v>
      </c>
      <c r="H412" t="s">
        <v>1208</v>
      </c>
      <c r="I412" s="1">
        <v>37189</v>
      </c>
      <c r="J412" s="1">
        <v>37325</v>
      </c>
      <c r="K412" s="1">
        <v>37360</v>
      </c>
      <c r="L412" s="1">
        <v>37360</v>
      </c>
      <c r="M412" s="1">
        <v>37360</v>
      </c>
      <c r="N412" s="1">
        <v>37360</v>
      </c>
      <c r="O412" t="s">
        <v>1117</v>
      </c>
      <c r="P412">
        <v>2</v>
      </c>
      <c r="Q412" t="s">
        <v>1215</v>
      </c>
      <c r="R412">
        <f t="shared" si="12"/>
        <v>16</v>
      </c>
      <c r="S412">
        <f t="shared" si="13"/>
        <v>1</v>
      </c>
    </row>
    <row r="413" spans="1:19" x14ac:dyDescent="0.25">
      <c r="A413" t="s">
        <v>1537</v>
      </c>
      <c r="B413" t="s">
        <v>1199</v>
      </c>
      <c r="C413">
        <v>1.5</v>
      </c>
      <c r="D413">
        <v>1000</v>
      </c>
      <c r="E413">
        <v>0</v>
      </c>
      <c r="F413">
        <v>3</v>
      </c>
      <c r="G413">
        <v>3</v>
      </c>
      <c r="H413" t="s">
        <v>1208</v>
      </c>
      <c r="I413" s="1">
        <v>37189</v>
      </c>
      <c r="J413" s="1">
        <v>37325</v>
      </c>
      <c r="K413" s="1">
        <v>37354</v>
      </c>
      <c r="L413" s="1">
        <v>37354</v>
      </c>
      <c r="M413" s="1">
        <v>37354</v>
      </c>
      <c r="N413" s="1">
        <v>37354</v>
      </c>
      <c r="O413" t="s">
        <v>1117</v>
      </c>
      <c r="P413">
        <v>3</v>
      </c>
      <c r="Q413" t="s">
        <v>1215</v>
      </c>
      <c r="R413">
        <f t="shared" si="12"/>
        <v>15</v>
      </c>
      <c r="S413">
        <f t="shared" si="13"/>
        <v>1</v>
      </c>
    </row>
    <row r="414" spans="1:19" x14ac:dyDescent="0.25">
      <c r="A414" t="s">
        <v>1538</v>
      </c>
      <c r="B414" t="s">
        <v>1199</v>
      </c>
      <c r="C414">
        <v>2</v>
      </c>
      <c r="D414">
        <v>1000</v>
      </c>
      <c r="E414">
        <v>0</v>
      </c>
      <c r="F414">
        <v>3</v>
      </c>
      <c r="G414">
        <v>3</v>
      </c>
      <c r="H414" t="s">
        <v>1208</v>
      </c>
      <c r="I414" s="1">
        <v>37189</v>
      </c>
      <c r="J414" s="1">
        <v>37325</v>
      </c>
      <c r="K414" s="1">
        <v>37360</v>
      </c>
      <c r="L414" s="1">
        <v>37360</v>
      </c>
      <c r="M414" s="1">
        <v>37360</v>
      </c>
      <c r="N414" s="1">
        <v>37360</v>
      </c>
      <c r="O414" t="s">
        <v>1117</v>
      </c>
      <c r="P414">
        <v>2</v>
      </c>
      <c r="Q414" t="s">
        <v>1215</v>
      </c>
      <c r="R414">
        <f t="shared" si="12"/>
        <v>16</v>
      </c>
      <c r="S414">
        <f t="shared" si="13"/>
        <v>1</v>
      </c>
    </row>
    <row r="415" spans="1:19" x14ac:dyDescent="0.25">
      <c r="A415" t="s">
        <v>1539</v>
      </c>
      <c r="B415" t="s">
        <v>1199</v>
      </c>
      <c r="C415">
        <v>1.2</v>
      </c>
      <c r="D415">
        <v>1000</v>
      </c>
      <c r="E415">
        <v>0</v>
      </c>
      <c r="F415">
        <v>3</v>
      </c>
      <c r="G415">
        <v>3</v>
      </c>
      <c r="H415" t="s">
        <v>1208</v>
      </c>
      <c r="I415" s="1">
        <v>37189</v>
      </c>
      <c r="J415" s="1">
        <v>37325</v>
      </c>
      <c r="K415" s="1">
        <v>37352</v>
      </c>
      <c r="L415" s="1">
        <v>37352</v>
      </c>
      <c r="M415" s="1">
        <v>37352</v>
      </c>
      <c r="N415" s="1">
        <v>37352</v>
      </c>
      <c r="O415" t="s">
        <v>1117</v>
      </c>
      <c r="P415">
        <v>1</v>
      </c>
      <c r="Q415" t="s">
        <v>1215</v>
      </c>
      <c r="R415">
        <f t="shared" si="12"/>
        <v>14</v>
      </c>
      <c r="S415">
        <f t="shared" si="13"/>
        <v>1</v>
      </c>
    </row>
    <row r="416" spans="1:19" x14ac:dyDescent="0.25">
      <c r="A416" t="s">
        <v>1540</v>
      </c>
      <c r="B416" t="s">
        <v>1199</v>
      </c>
      <c r="C416">
        <v>1.5</v>
      </c>
      <c r="D416">
        <v>1000</v>
      </c>
      <c r="E416">
        <v>0</v>
      </c>
      <c r="F416">
        <v>3</v>
      </c>
      <c r="G416">
        <v>3</v>
      </c>
      <c r="H416" t="s">
        <v>1208</v>
      </c>
      <c r="I416" s="1">
        <v>37189</v>
      </c>
      <c r="J416" s="1">
        <v>37325</v>
      </c>
      <c r="K416" s="1">
        <v>37354</v>
      </c>
      <c r="L416" s="1">
        <v>37354</v>
      </c>
      <c r="M416" s="1">
        <v>37354</v>
      </c>
      <c r="N416" s="1">
        <v>37354</v>
      </c>
      <c r="O416" t="s">
        <v>1117</v>
      </c>
      <c r="P416">
        <v>3</v>
      </c>
      <c r="Q416" t="s">
        <v>1215</v>
      </c>
      <c r="R416">
        <f t="shared" si="12"/>
        <v>15</v>
      </c>
      <c r="S416">
        <f t="shared" si="13"/>
        <v>1</v>
      </c>
    </row>
    <row r="417" spans="1:19" x14ac:dyDescent="0.25">
      <c r="A417" t="s">
        <v>1541</v>
      </c>
      <c r="B417" t="s">
        <v>1199</v>
      </c>
      <c r="C417">
        <v>0.6</v>
      </c>
      <c r="D417">
        <v>1250</v>
      </c>
      <c r="E417">
        <v>0</v>
      </c>
      <c r="F417">
        <v>19</v>
      </c>
      <c r="G417">
        <v>19</v>
      </c>
      <c r="H417" t="s">
        <v>1208</v>
      </c>
      <c r="I417" s="1">
        <v>37126</v>
      </c>
      <c r="J417" s="1">
        <v>37308</v>
      </c>
      <c r="K417" s="1">
        <v>37342</v>
      </c>
      <c r="L417" s="1">
        <v>37342</v>
      </c>
      <c r="M417" s="1">
        <v>37342</v>
      </c>
      <c r="N417" s="1">
        <v>37368</v>
      </c>
      <c r="O417" t="s">
        <v>1117</v>
      </c>
      <c r="P417">
        <v>4</v>
      </c>
      <c r="Q417" t="s">
        <v>1215</v>
      </c>
      <c r="R417">
        <f t="shared" si="12"/>
        <v>17</v>
      </c>
      <c r="S417">
        <f t="shared" si="13"/>
        <v>1</v>
      </c>
    </row>
    <row r="418" spans="1:19" x14ac:dyDescent="0.25">
      <c r="A418" t="s">
        <v>1542</v>
      </c>
      <c r="B418" t="s">
        <v>1199</v>
      </c>
      <c r="C418">
        <v>0.7</v>
      </c>
      <c r="D418">
        <v>1250</v>
      </c>
      <c r="E418">
        <v>0</v>
      </c>
      <c r="F418">
        <v>3</v>
      </c>
      <c r="G418">
        <v>3</v>
      </c>
      <c r="H418" t="s">
        <v>1208</v>
      </c>
      <c r="I418" s="1">
        <v>37159</v>
      </c>
      <c r="J418" s="1">
        <v>37322</v>
      </c>
      <c r="K418" s="1">
        <v>37375</v>
      </c>
      <c r="L418" s="1">
        <v>37375</v>
      </c>
      <c r="M418" s="1">
        <v>37368</v>
      </c>
      <c r="N418" s="1">
        <v>37368</v>
      </c>
      <c r="O418" t="s">
        <v>1117</v>
      </c>
      <c r="P418">
        <v>2</v>
      </c>
      <c r="Q418" t="s">
        <v>1215</v>
      </c>
      <c r="R418">
        <f t="shared" si="12"/>
        <v>17</v>
      </c>
      <c r="S418">
        <f t="shared" si="13"/>
        <v>1</v>
      </c>
    </row>
    <row r="419" spans="1:19" x14ac:dyDescent="0.25">
      <c r="A419" t="s">
        <v>1543</v>
      </c>
      <c r="B419" t="s">
        <v>1199</v>
      </c>
      <c r="C419">
        <v>0.5</v>
      </c>
      <c r="D419">
        <v>1250</v>
      </c>
      <c r="E419">
        <v>0</v>
      </c>
      <c r="F419">
        <v>66</v>
      </c>
      <c r="G419">
        <v>66</v>
      </c>
      <c r="H419" t="s">
        <v>1208</v>
      </c>
      <c r="I419" s="1">
        <v>37119</v>
      </c>
      <c r="J419" s="1">
        <v>37314</v>
      </c>
      <c r="K419" s="1">
        <v>37328</v>
      </c>
      <c r="L419" s="1">
        <v>37328</v>
      </c>
      <c r="M419" s="1">
        <v>37332</v>
      </c>
      <c r="N419" s="1">
        <v>37333</v>
      </c>
      <c r="O419" t="s">
        <v>1117</v>
      </c>
      <c r="P419">
        <v>1</v>
      </c>
      <c r="Q419" t="s">
        <v>1215</v>
      </c>
      <c r="R419">
        <f t="shared" si="12"/>
        <v>12</v>
      </c>
      <c r="S419">
        <f t="shared" si="13"/>
        <v>1</v>
      </c>
    </row>
    <row r="420" spans="1:19" x14ac:dyDescent="0.25">
      <c r="A420" t="s">
        <v>1544</v>
      </c>
      <c r="B420" t="s">
        <v>4027</v>
      </c>
      <c r="C420">
        <v>0.4</v>
      </c>
      <c r="D420">
        <v>560</v>
      </c>
      <c r="E420">
        <v>0</v>
      </c>
      <c r="F420">
        <v>4</v>
      </c>
      <c r="G420">
        <v>4</v>
      </c>
      <c r="H420" t="s">
        <v>1208</v>
      </c>
      <c r="I420" s="1">
        <v>37159</v>
      </c>
      <c r="J420" s="1">
        <v>37318</v>
      </c>
      <c r="K420" s="1">
        <v>37327</v>
      </c>
      <c r="L420" s="1">
        <v>37327</v>
      </c>
      <c r="M420" s="1">
        <v>37270</v>
      </c>
      <c r="N420" s="1">
        <v>37270</v>
      </c>
      <c r="O420" t="s">
        <v>1117</v>
      </c>
      <c r="P420">
        <v>7</v>
      </c>
      <c r="Q420" t="s">
        <v>1215</v>
      </c>
      <c r="R420">
        <f t="shared" si="12"/>
        <v>3</v>
      </c>
      <c r="S420">
        <f t="shared" si="13"/>
        <v>1</v>
      </c>
    </row>
    <row r="421" spans="1:19" x14ac:dyDescent="0.25">
      <c r="A421" t="s">
        <v>1545</v>
      </c>
      <c r="B421" t="s">
        <v>1199</v>
      </c>
      <c r="C421">
        <v>0.8</v>
      </c>
      <c r="D421">
        <v>1250</v>
      </c>
      <c r="E421">
        <v>0</v>
      </c>
      <c r="F421">
        <v>50</v>
      </c>
      <c r="G421">
        <v>11.532999999999999</v>
      </c>
      <c r="H421" t="s">
        <v>1208</v>
      </c>
      <c r="I421" s="1">
        <v>37159</v>
      </c>
      <c r="J421" s="1">
        <v>37344</v>
      </c>
      <c r="K421" s="1">
        <v>37351</v>
      </c>
      <c r="L421" s="1">
        <v>37351</v>
      </c>
      <c r="M421" s="1">
        <v>37351</v>
      </c>
      <c r="N421" s="1">
        <v>37351</v>
      </c>
      <c r="O421" t="s">
        <v>1117</v>
      </c>
      <c r="P421">
        <v>6</v>
      </c>
      <c r="Q421" t="s">
        <v>1215</v>
      </c>
      <c r="R421">
        <f t="shared" si="12"/>
        <v>14</v>
      </c>
      <c r="S421">
        <f t="shared" si="13"/>
        <v>0</v>
      </c>
    </row>
    <row r="422" spans="1:19" x14ac:dyDescent="0.25">
      <c r="A422" t="s">
        <v>1546</v>
      </c>
      <c r="B422" t="s">
        <v>4027</v>
      </c>
      <c r="C422">
        <v>0.5</v>
      </c>
      <c r="D422">
        <v>1250</v>
      </c>
      <c r="E422">
        <v>0</v>
      </c>
      <c r="F422">
        <v>22</v>
      </c>
      <c r="G422">
        <v>17.803999999999998</v>
      </c>
      <c r="H422" t="s">
        <v>1208</v>
      </c>
      <c r="I422" s="1">
        <v>37114</v>
      </c>
      <c r="J422" s="1">
        <v>37317</v>
      </c>
      <c r="K422" s="1">
        <v>37329</v>
      </c>
      <c r="L422" s="1">
        <v>37329</v>
      </c>
      <c r="M422" s="1">
        <v>37336</v>
      </c>
      <c r="N422" s="1">
        <v>37338</v>
      </c>
      <c r="O422" t="s">
        <v>1117</v>
      </c>
      <c r="P422">
        <v>2</v>
      </c>
      <c r="Q422" t="s">
        <v>1215</v>
      </c>
      <c r="R422">
        <f t="shared" si="12"/>
        <v>12</v>
      </c>
      <c r="S422">
        <f t="shared" si="13"/>
        <v>0</v>
      </c>
    </row>
    <row r="423" spans="1:19" x14ac:dyDescent="0.25">
      <c r="A423" t="s">
        <v>1547</v>
      </c>
      <c r="B423" t="s">
        <v>4026</v>
      </c>
      <c r="C423">
        <v>1.45</v>
      </c>
      <c r="D423">
        <v>157</v>
      </c>
      <c r="E423">
        <v>0</v>
      </c>
      <c r="F423">
        <v>5</v>
      </c>
      <c r="G423">
        <v>5</v>
      </c>
      <c r="H423" t="s">
        <v>1208</v>
      </c>
      <c r="I423" s="1">
        <v>37122</v>
      </c>
      <c r="J423" s="1">
        <v>37314</v>
      </c>
      <c r="K423" s="1">
        <v>37304</v>
      </c>
      <c r="L423" s="1">
        <v>37314</v>
      </c>
      <c r="M423" s="1">
        <v>37287</v>
      </c>
      <c r="N423" s="1">
        <v>37287</v>
      </c>
      <c r="O423" t="s">
        <v>1114</v>
      </c>
      <c r="P423">
        <v>24</v>
      </c>
      <c r="Q423" t="s">
        <v>1438</v>
      </c>
      <c r="R423">
        <f t="shared" si="12"/>
        <v>5</v>
      </c>
      <c r="S423">
        <f t="shared" si="13"/>
        <v>1</v>
      </c>
    </row>
    <row r="424" spans="1:19" x14ac:dyDescent="0.25">
      <c r="A424" t="s">
        <v>1548</v>
      </c>
      <c r="B424" t="s">
        <v>1199</v>
      </c>
      <c r="C424">
        <v>0.5</v>
      </c>
      <c r="D424">
        <v>1250</v>
      </c>
      <c r="E424">
        <v>0</v>
      </c>
      <c r="F424">
        <v>3</v>
      </c>
      <c r="G424">
        <v>3</v>
      </c>
      <c r="H424" t="s">
        <v>1208</v>
      </c>
      <c r="I424" s="1">
        <v>37159</v>
      </c>
      <c r="J424" s="1">
        <v>37319</v>
      </c>
      <c r="K424" s="1">
        <v>37351</v>
      </c>
      <c r="L424" s="1">
        <v>37351</v>
      </c>
      <c r="M424" s="1">
        <v>37351</v>
      </c>
      <c r="N424" s="1">
        <v>37351</v>
      </c>
      <c r="O424" t="s">
        <v>1117</v>
      </c>
      <c r="P424">
        <v>5</v>
      </c>
      <c r="Q424" t="s">
        <v>1215</v>
      </c>
      <c r="R424">
        <f t="shared" si="12"/>
        <v>14</v>
      </c>
      <c r="S424">
        <f t="shared" si="13"/>
        <v>1</v>
      </c>
    </row>
    <row r="425" spans="1:19" x14ac:dyDescent="0.25">
      <c r="A425" t="s">
        <v>1549</v>
      </c>
      <c r="B425" t="s">
        <v>1199</v>
      </c>
      <c r="C425">
        <v>3</v>
      </c>
      <c r="D425">
        <v>1250</v>
      </c>
      <c r="E425">
        <v>0</v>
      </c>
      <c r="F425">
        <v>3</v>
      </c>
      <c r="G425">
        <v>3</v>
      </c>
      <c r="H425" t="s">
        <v>1208</v>
      </c>
      <c r="I425" s="1">
        <v>37159</v>
      </c>
      <c r="J425" s="1">
        <v>37319</v>
      </c>
      <c r="K425" t="s">
        <v>1124</v>
      </c>
      <c r="L425" t="s">
        <v>1124</v>
      </c>
      <c r="M425" s="1">
        <v>37284</v>
      </c>
      <c r="N425" s="1">
        <v>37284</v>
      </c>
      <c r="O425" t="s">
        <v>1117</v>
      </c>
      <c r="P425">
        <v>3</v>
      </c>
      <c r="Q425" t="s">
        <v>1215</v>
      </c>
      <c r="R425">
        <f t="shared" si="12"/>
        <v>5</v>
      </c>
      <c r="S425">
        <f t="shared" si="13"/>
        <v>1</v>
      </c>
    </row>
    <row r="426" spans="1:19" x14ac:dyDescent="0.25">
      <c r="A426" t="s">
        <v>1550</v>
      </c>
      <c r="B426" t="s">
        <v>4028</v>
      </c>
      <c r="C426">
        <v>0.6</v>
      </c>
      <c r="D426">
        <v>1250</v>
      </c>
      <c r="E426">
        <v>0</v>
      </c>
      <c r="F426">
        <v>6</v>
      </c>
      <c r="G426">
        <v>6</v>
      </c>
      <c r="H426" t="s">
        <v>1208</v>
      </c>
      <c r="I426" s="1">
        <v>37110</v>
      </c>
      <c r="J426" s="1">
        <v>37321</v>
      </c>
      <c r="K426" s="1">
        <v>37310</v>
      </c>
      <c r="L426" s="1">
        <v>37321</v>
      </c>
      <c r="M426" s="1">
        <v>37278</v>
      </c>
      <c r="N426" s="1">
        <v>37284</v>
      </c>
      <c r="O426" t="s">
        <v>1114</v>
      </c>
      <c r="P426">
        <v>1</v>
      </c>
      <c r="Q426" t="s">
        <v>1215</v>
      </c>
      <c r="R426">
        <f t="shared" si="12"/>
        <v>5</v>
      </c>
      <c r="S426">
        <f t="shared" si="13"/>
        <v>1</v>
      </c>
    </row>
    <row r="427" spans="1:19" x14ac:dyDescent="0.25">
      <c r="A427" t="s">
        <v>1551</v>
      </c>
      <c r="B427" t="s">
        <v>1199</v>
      </c>
      <c r="C427">
        <v>1.5</v>
      </c>
      <c r="D427">
        <v>1000</v>
      </c>
      <c r="E427">
        <v>0</v>
      </c>
      <c r="F427">
        <v>3</v>
      </c>
      <c r="G427">
        <v>3</v>
      </c>
      <c r="H427" t="s">
        <v>1208</v>
      </c>
      <c r="I427" s="1">
        <v>37119</v>
      </c>
      <c r="J427" s="1">
        <v>37321</v>
      </c>
      <c r="K427" s="1">
        <v>37354</v>
      </c>
      <c r="L427" s="1">
        <v>37354</v>
      </c>
      <c r="M427" s="1">
        <v>37354</v>
      </c>
      <c r="N427" s="1">
        <v>37354</v>
      </c>
      <c r="O427" t="s">
        <v>1117</v>
      </c>
      <c r="P427">
        <v>7</v>
      </c>
      <c r="Q427" t="s">
        <v>1215</v>
      </c>
      <c r="R427">
        <f t="shared" si="12"/>
        <v>15</v>
      </c>
      <c r="S427">
        <f t="shared" si="13"/>
        <v>1</v>
      </c>
    </row>
    <row r="428" spans="1:19" x14ac:dyDescent="0.25">
      <c r="A428" t="s">
        <v>1552</v>
      </c>
      <c r="B428" t="s">
        <v>4027</v>
      </c>
      <c r="C428">
        <v>0.8</v>
      </c>
      <c r="D428">
        <v>318</v>
      </c>
      <c r="E428">
        <v>0</v>
      </c>
      <c r="F428">
        <v>2</v>
      </c>
      <c r="G428">
        <v>2</v>
      </c>
      <c r="H428" t="s">
        <v>1208</v>
      </c>
      <c r="I428" s="1">
        <v>37122</v>
      </c>
      <c r="J428" s="1">
        <v>37314</v>
      </c>
      <c r="K428" s="1">
        <v>37345</v>
      </c>
      <c r="L428" s="1">
        <v>37345</v>
      </c>
      <c r="M428" s="1">
        <v>37331</v>
      </c>
      <c r="N428" s="1">
        <v>37331</v>
      </c>
      <c r="O428" t="s">
        <v>1117</v>
      </c>
      <c r="P428">
        <v>27</v>
      </c>
      <c r="Q428" t="s">
        <v>1438</v>
      </c>
      <c r="R428">
        <f t="shared" si="12"/>
        <v>11</v>
      </c>
      <c r="S428">
        <f t="shared" si="13"/>
        <v>1</v>
      </c>
    </row>
    <row r="429" spans="1:19" x14ac:dyDescent="0.25">
      <c r="A429" t="s">
        <v>1553</v>
      </c>
      <c r="B429" t="s">
        <v>1199</v>
      </c>
      <c r="C429">
        <v>0.9</v>
      </c>
      <c r="D429">
        <v>1250</v>
      </c>
      <c r="E429">
        <v>0</v>
      </c>
      <c r="F429">
        <v>60</v>
      </c>
      <c r="G429">
        <v>60</v>
      </c>
      <c r="H429" t="s">
        <v>1208</v>
      </c>
      <c r="I429" s="1">
        <v>37159</v>
      </c>
      <c r="J429" s="1">
        <v>37345</v>
      </c>
      <c r="K429" s="1">
        <v>37345</v>
      </c>
      <c r="L429" s="1">
        <v>37345</v>
      </c>
      <c r="M429" s="1">
        <v>37345</v>
      </c>
      <c r="N429" s="1">
        <v>37345</v>
      </c>
      <c r="O429" t="s">
        <v>1114</v>
      </c>
      <c r="P429">
        <v>1</v>
      </c>
      <c r="Q429" t="s">
        <v>1215</v>
      </c>
      <c r="R429">
        <f t="shared" si="12"/>
        <v>13</v>
      </c>
      <c r="S429">
        <f t="shared" si="13"/>
        <v>1</v>
      </c>
    </row>
    <row r="430" spans="1:19" x14ac:dyDescent="0.25">
      <c r="A430" t="s">
        <v>1554</v>
      </c>
      <c r="B430" t="s">
        <v>1199</v>
      </c>
      <c r="C430">
        <v>0.5</v>
      </c>
      <c r="D430">
        <v>625</v>
      </c>
      <c r="E430">
        <v>0</v>
      </c>
      <c r="F430">
        <v>10</v>
      </c>
      <c r="G430">
        <v>10</v>
      </c>
      <c r="H430" t="s">
        <v>1208</v>
      </c>
      <c r="I430" s="1">
        <v>37131</v>
      </c>
      <c r="J430" s="1">
        <v>37345</v>
      </c>
      <c r="K430" s="1">
        <v>37373</v>
      </c>
      <c r="L430" s="1">
        <v>37373</v>
      </c>
      <c r="M430" s="1">
        <v>37366</v>
      </c>
      <c r="N430" s="1">
        <v>37366</v>
      </c>
      <c r="O430" t="s">
        <v>1117</v>
      </c>
      <c r="P430">
        <v>5</v>
      </c>
      <c r="Q430" t="s">
        <v>1215</v>
      </c>
      <c r="R430">
        <f t="shared" si="12"/>
        <v>16</v>
      </c>
      <c r="S430">
        <f t="shared" si="13"/>
        <v>1</v>
      </c>
    </row>
    <row r="431" spans="1:19" x14ac:dyDescent="0.25">
      <c r="A431" t="s">
        <v>1555</v>
      </c>
      <c r="B431" t="s">
        <v>1199</v>
      </c>
      <c r="C431">
        <v>0.7</v>
      </c>
      <c r="D431">
        <v>1250</v>
      </c>
      <c r="E431">
        <v>0</v>
      </c>
      <c r="F431">
        <v>9</v>
      </c>
      <c r="G431">
        <v>9</v>
      </c>
      <c r="H431" t="s">
        <v>1208</v>
      </c>
      <c r="I431" s="1">
        <v>37122</v>
      </c>
      <c r="J431" s="1">
        <v>37324</v>
      </c>
      <c r="K431" s="1">
        <v>37375</v>
      </c>
      <c r="L431" s="1">
        <v>37375</v>
      </c>
      <c r="M431" s="1">
        <v>37368</v>
      </c>
      <c r="N431" s="1">
        <v>37368</v>
      </c>
      <c r="O431" t="s">
        <v>1117</v>
      </c>
      <c r="P431">
        <v>2</v>
      </c>
      <c r="Q431" t="s">
        <v>1215</v>
      </c>
      <c r="R431">
        <f t="shared" si="12"/>
        <v>17</v>
      </c>
      <c r="S431">
        <f t="shared" si="13"/>
        <v>1</v>
      </c>
    </row>
    <row r="432" spans="1:19" x14ac:dyDescent="0.25">
      <c r="A432" t="s">
        <v>1556</v>
      </c>
      <c r="B432" t="s">
        <v>1199</v>
      </c>
      <c r="C432">
        <v>0.5</v>
      </c>
      <c r="D432">
        <v>1000</v>
      </c>
      <c r="E432">
        <v>0</v>
      </c>
      <c r="F432">
        <v>3</v>
      </c>
      <c r="G432">
        <v>3</v>
      </c>
      <c r="H432" t="s">
        <v>1208</v>
      </c>
      <c r="I432" s="1">
        <v>37133</v>
      </c>
      <c r="J432" s="1">
        <v>37323</v>
      </c>
      <c r="K432" s="1">
        <v>37354</v>
      </c>
      <c r="L432" s="1">
        <v>37354</v>
      </c>
      <c r="M432" s="1">
        <v>37354</v>
      </c>
      <c r="N432" s="1">
        <v>37354</v>
      </c>
      <c r="O432" t="s">
        <v>1117</v>
      </c>
      <c r="P432">
        <v>1</v>
      </c>
      <c r="Q432" t="s">
        <v>1215</v>
      </c>
      <c r="R432">
        <f t="shared" si="12"/>
        <v>15</v>
      </c>
      <c r="S432">
        <f t="shared" si="13"/>
        <v>1</v>
      </c>
    </row>
    <row r="433" spans="1:19" x14ac:dyDescent="0.25">
      <c r="A433" t="s">
        <v>1557</v>
      </c>
      <c r="B433" t="s">
        <v>1199</v>
      </c>
      <c r="C433">
        <v>0.9</v>
      </c>
      <c r="D433">
        <v>1250</v>
      </c>
      <c r="E433">
        <v>0</v>
      </c>
      <c r="F433">
        <v>3</v>
      </c>
      <c r="G433">
        <v>3</v>
      </c>
      <c r="H433" t="s">
        <v>1208</v>
      </c>
      <c r="I433" s="1">
        <v>37133</v>
      </c>
      <c r="J433" s="1">
        <v>37323</v>
      </c>
      <c r="K433" s="1">
        <v>37316</v>
      </c>
      <c r="L433" s="1">
        <v>37323</v>
      </c>
      <c r="M433" s="1">
        <v>37272</v>
      </c>
      <c r="N433" s="1">
        <v>37272</v>
      </c>
      <c r="O433" t="s">
        <v>1114</v>
      </c>
      <c r="P433">
        <v>2</v>
      </c>
      <c r="Q433" t="s">
        <v>1215</v>
      </c>
      <c r="R433">
        <f t="shared" si="12"/>
        <v>3</v>
      </c>
      <c r="S433">
        <f t="shared" si="13"/>
        <v>1</v>
      </c>
    </row>
    <row r="434" spans="1:19" x14ac:dyDescent="0.25">
      <c r="A434" t="s">
        <v>1558</v>
      </c>
      <c r="B434" t="s">
        <v>4026</v>
      </c>
      <c r="C434">
        <v>1.5</v>
      </c>
      <c r="D434">
        <v>1250</v>
      </c>
      <c r="E434">
        <v>0</v>
      </c>
      <c r="F434">
        <v>6</v>
      </c>
      <c r="G434">
        <v>6</v>
      </c>
      <c r="H434" t="s">
        <v>1208</v>
      </c>
      <c r="I434" s="1">
        <v>37132</v>
      </c>
      <c r="J434" s="1">
        <v>37313</v>
      </c>
      <c r="K434" s="1">
        <v>37366</v>
      </c>
      <c r="L434" s="1">
        <v>37366</v>
      </c>
      <c r="M434" s="1">
        <v>37270</v>
      </c>
      <c r="N434" s="1">
        <v>37270</v>
      </c>
      <c r="O434" t="s">
        <v>1117</v>
      </c>
      <c r="P434">
        <v>2</v>
      </c>
      <c r="Q434" t="s">
        <v>1215</v>
      </c>
      <c r="R434">
        <f t="shared" si="12"/>
        <v>3</v>
      </c>
      <c r="S434">
        <f t="shared" si="13"/>
        <v>1</v>
      </c>
    </row>
    <row r="435" spans="1:19" x14ac:dyDescent="0.25">
      <c r="A435" t="s">
        <v>1559</v>
      </c>
      <c r="B435" t="s">
        <v>1199</v>
      </c>
      <c r="C435">
        <v>0.57999999999999996</v>
      </c>
      <c r="D435">
        <v>625</v>
      </c>
      <c r="E435">
        <v>0</v>
      </c>
      <c r="F435">
        <v>29.998999999999999</v>
      </c>
      <c r="G435">
        <v>10.327</v>
      </c>
      <c r="H435" t="s">
        <v>1208</v>
      </c>
      <c r="I435" s="1">
        <v>37159</v>
      </c>
      <c r="J435" s="1">
        <v>37345</v>
      </c>
      <c r="K435" s="1">
        <v>37373</v>
      </c>
      <c r="L435" s="1">
        <v>37373</v>
      </c>
      <c r="M435" s="1">
        <v>37366</v>
      </c>
      <c r="N435" s="1">
        <v>37387</v>
      </c>
      <c r="O435" t="s">
        <v>1117</v>
      </c>
      <c r="P435">
        <v>1</v>
      </c>
      <c r="Q435" t="s">
        <v>1215</v>
      </c>
      <c r="R435">
        <f t="shared" si="12"/>
        <v>19</v>
      </c>
      <c r="S435">
        <f t="shared" si="13"/>
        <v>0</v>
      </c>
    </row>
    <row r="436" spans="1:19" x14ac:dyDescent="0.25">
      <c r="A436" t="s">
        <v>1560</v>
      </c>
      <c r="B436" t="s">
        <v>1199</v>
      </c>
      <c r="C436">
        <v>1.85</v>
      </c>
      <c r="D436">
        <v>1000</v>
      </c>
      <c r="E436">
        <v>0</v>
      </c>
      <c r="F436">
        <v>16</v>
      </c>
      <c r="G436">
        <v>7.3220000000000001</v>
      </c>
      <c r="H436" t="s">
        <v>1208</v>
      </c>
      <c r="I436" s="1">
        <v>37110</v>
      </c>
      <c r="J436" s="1">
        <v>37314</v>
      </c>
      <c r="K436" s="1">
        <v>37333</v>
      </c>
      <c r="L436" s="1">
        <v>37333</v>
      </c>
      <c r="M436" s="1">
        <v>37333</v>
      </c>
      <c r="N436" s="1">
        <v>37333</v>
      </c>
      <c r="O436" t="s">
        <v>1117</v>
      </c>
      <c r="P436">
        <v>2</v>
      </c>
      <c r="Q436" t="s">
        <v>1215</v>
      </c>
      <c r="R436">
        <f t="shared" si="12"/>
        <v>12</v>
      </c>
      <c r="S436">
        <f t="shared" si="13"/>
        <v>0</v>
      </c>
    </row>
    <row r="437" spans="1:19" x14ac:dyDescent="0.25">
      <c r="A437" t="s">
        <v>1561</v>
      </c>
      <c r="B437" t="s">
        <v>4028</v>
      </c>
      <c r="C437">
        <v>0.5</v>
      </c>
      <c r="D437">
        <v>1250</v>
      </c>
      <c r="E437">
        <v>0</v>
      </c>
      <c r="F437">
        <v>6</v>
      </c>
      <c r="G437">
        <v>6</v>
      </c>
      <c r="H437" t="s">
        <v>1208</v>
      </c>
      <c r="I437" s="1">
        <v>37159</v>
      </c>
      <c r="J437" s="1">
        <v>37323</v>
      </c>
      <c r="K437" t="s">
        <v>1124</v>
      </c>
      <c r="L437" t="s">
        <v>1124</v>
      </c>
      <c r="M437" s="1">
        <v>37273</v>
      </c>
      <c r="N437" s="1">
        <v>37273</v>
      </c>
      <c r="O437" t="s">
        <v>1117</v>
      </c>
      <c r="P437">
        <v>3</v>
      </c>
      <c r="Q437" t="s">
        <v>1215</v>
      </c>
      <c r="R437">
        <f t="shared" si="12"/>
        <v>3</v>
      </c>
      <c r="S437">
        <f t="shared" si="13"/>
        <v>1</v>
      </c>
    </row>
    <row r="438" spans="1:19" x14ac:dyDescent="0.25">
      <c r="A438" t="s">
        <v>1562</v>
      </c>
      <c r="B438" t="s">
        <v>4026</v>
      </c>
      <c r="C438">
        <v>0.8</v>
      </c>
      <c r="D438">
        <v>1000</v>
      </c>
      <c r="E438">
        <v>0</v>
      </c>
      <c r="F438">
        <v>3</v>
      </c>
      <c r="G438">
        <v>3</v>
      </c>
      <c r="H438" t="s">
        <v>1208</v>
      </c>
      <c r="I438" s="1">
        <v>37159</v>
      </c>
      <c r="J438" s="1">
        <v>37323</v>
      </c>
      <c r="K438" s="1">
        <v>37353</v>
      </c>
      <c r="L438" s="1">
        <v>37353</v>
      </c>
      <c r="M438" s="1">
        <v>37353</v>
      </c>
      <c r="N438" s="1">
        <v>37353</v>
      </c>
      <c r="O438" t="s">
        <v>1117</v>
      </c>
      <c r="P438">
        <v>4</v>
      </c>
      <c r="Q438" t="s">
        <v>1215</v>
      </c>
      <c r="R438">
        <f t="shared" si="12"/>
        <v>15</v>
      </c>
      <c r="S438">
        <f t="shared" si="13"/>
        <v>1</v>
      </c>
    </row>
    <row r="439" spans="1:19" x14ac:dyDescent="0.25">
      <c r="A439" t="s">
        <v>1563</v>
      </c>
      <c r="B439" t="s">
        <v>1199</v>
      </c>
      <c r="C439">
        <v>1.2</v>
      </c>
      <c r="D439">
        <v>1250</v>
      </c>
      <c r="E439">
        <v>0</v>
      </c>
      <c r="F439">
        <v>80</v>
      </c>
      <c r="G439">
        <v>58.247</v>
      </c>
      <c r="H439" t="s">
        <v>1208</v>
      </c>
      <c r="I439" s="1">
        <v>37120</v>
      </c>
      <c r="J439" s="1">
        <v>37314</v>
      </c>
      <c r="K439" s="1">
        <v>37321</v>
      </c>
      <c r="L439" s="1">
        <v>37321</v>
      </c>
      <c r="M439" s="1">
        <v>37324</v>
      </c>
      <c r="N439" s="1">
        <v>37324</v>
      </c>
      <c r="O439" t="s">
        <v>1117</v>
      </c>
      <c r="P439">
        <v>1</v>
      </c>
      <c r="Q439" t="s">
        <v>1215</v>
      </c>
      <c r="R439">
        <f t="shared" si="12"/>
        <v>10</v>
      </c>
      <c r="S439">
        <f t="shared" si="13"/>
        <v>0</v>
      </c>
    </row>
    <row r="440" spans="1:19" x14ac:dyDescent="0.25">
      <c r="A440" t="s">
        <v>1564</v>
      </c>
      <c r="B440" t="s">
        <v>1199</v>
      </c>
      <c r="C440">
        <v>0.9</v>
      </c>
      <c r="D440">
        <v>1250</v>
      </c>
      <c r="E440">
        <v>0</v>
      </c>
      <c r="F440">
        <v>22</v>
      </c>
      <c r="G440">
        <v>22</v>
      </c>
      <c r="H440" t="s">
        <v>1208</v>
      </c>
      <c r="I440" s="1">
        <v>37120</v>
      </c>
      <c r="J440" s="1">
        <v>37314</v>
      </c>
      <c r="K440" s="1">
        <v>37325</v>
      </c>
      <c r="L440" s="1">
        <v>37325</v>
      </c>
      <c r="M440" s="1">
        <v>37332</v>
      </c>
      <c r="N440" s="1">
        <v>37332</v>
      </c>
      <c r="O440" t="s">
        <v>1117</v>
      </c>
      <c r="P440">
        <v>2</v>
      </c>
      <c r="Q440" t="s">
        <v>1215</v>
      </c>
      <c r="R440">
        <f t="shared" si="12"/>
        <v>12</v>
      </c>
      <c r="S440">
        <f t="shared" si="13"/>
        <v>1</v>
      </c>
    </row>
    <row r="441" spans="1:19" x14ac:dyDescent="0.25">
      <c r="A441" t="s">
        <v>1565</v>
      </c>
      <c r="B441" t="s">
        <v>1199</v>
      </c>
      <c r="C441">
        <v>1.2</v>
      </c>
      <c r="D441">
        <v>1000</v>
      </c>
      <c r="E441">
        <v>0</v>
      </c>
      <c r="F441">
        <v>3</v>
      </c>
      <c r="G441">
        <v>3</v>
      </c>
      <c r="H441" t="s">
        <v>1208</v>
      </c>
      <c r="I441" s="1">
        <v>37121</v>
      </c>
      <c r="J441" s="1">
        <v>37321</v>
      </c>
      <c r="K441" s="1">
        <v>37344</v>
      </c>
      <c r="L441" s="1">
        <v>37344</v>
      </c>
      <c r="M441" s="1">
        <v>37344</v>
      </c>
      <c r="N441" s="1">
        <v>37344</v>
      </c>
      <c r="O441" t="s">
        <v>1117</v>
      </c>
      <c r="P441">
        <v>7</v>
      </c>
      <c r="Q441" t="s">
        <v>1215</v>
      </c>
      <c r="R441">
        <f t="shared" si="12"/>
        <v>13</v>
      </c>
      <c r="S441">
        <f t="shared" si="13"/>
        <v>1</v>
      </c>
    </row>
    <row r="442" spans="1:19" x14ac:dyDescent="0.25">
      <c r="A442" t="s">
        <v>1566</v>
      </c>
      <c r="B442" t="s">
        <v>1199</v>
      </c>
      <c r="C442">
        <v>1</v>
      </c>
      <c r="D442">
        <v>1250</v>
      </c>
      <c r="E442">
        <v>0</v>
      </c>
      <c r="F442">
        <v>6</v>
      </c>
      <c r="G442">
        <v>6</v>
      </c>
      <c r="H442" t="s">
        <v>1208</v>
      </c>
      <c r="I442" s="1">
        <v>37132</v>
      </c>
      <c r="J442" s="1">
        <v>37311</v>
      </c>
      <c r="K442" s="1">
        <v>37365</v>
      </c>
      <c r="L442" s="1">
        <v>37365</v>
      </c>
      <c r="M442" s="1">
        <v>37344</v>
      </c>
      <c r="N442" s="1">
        <v>37344</v>
      </c>
      <c r="O442" t="s">
        <v>1117</v>
      </c>
      <c r="P442">
        <v>3</v>
      </c>
      <c r="Q442" t="s">
        <v>1215</v>
      </c>
      <c r="R442">
        <f t="shared" si="12"/>
        <v>13</v>
      </c>
      <c r="S442">
        <f t="shared" si="13"/>
        <v>1</v>
      </c>
    </row>
    <row r="443" spans="1:19" x14ac:dyDescent="0.25">
      <c r="A443" t="s">
        <v>1567</v>
      </c>
      <c r="B443" t="s">
        <v>4026</v>
      </c>
      <c r="C443">
        <v>0.5</v>
      </c>
      <c r="D443">
        <v>90</v>
      </c>
      <c r="E443">
        <v>0</v>
      </c>
      <c r="F443">
        <v>5</v>
      </c>
      <c r="G443">
        <v>5</v>
      </c>
      <c r="H443" t="s">
        <v>1208</v>
      </c>
      <c r="I443" s="1">
        <v>37352</v>
      </c>
      <c r="J443" s="1">
        <v>37389</v>
      </c>
      <c r="K443" t="s">
        <v>1124</v>
      </c>
      <c r="L443" t="s">
        <v>1124</v>
      </c>
      <c r="M443" s="1">
        <v>37389</v>
      </c>
      <c r="N443" s="1">
        <v>37389</v>
      </c>
      <c r="O443" t="s">
        <v>1117</v>
      </c>
      <c r="P443">
        <v>2</v>
      </c>
      <c r="Q443" t="s">
        <v>1215</v>
      </c>
      <c r="R443">
        <f t="shared" si="12"/>
        <v>20</v>
      </c>
      <c r="S443">
        <f t="shared" si="13"/>
        <v>1</v>
      </c>
    </row>
    <row r="444" spans="1:19" x14ac:dyDescent="0.25">
      <c r="A444" t="s">
        <v>1568</v>
      </c>
      <c r="B444" t="s">
        <v>1199</v>
      </c>
      <c r="C444">
        <v>0.6</v>
      </c>
      <c r="D444">
        <v>1250</v>
      </c>
      <c r="E444">
        <v>0</v>
      </c>
      <c r="F444">
        <v>3</v>
      </c>
      <c r="G444">
        <v>3</v>
      </c>
      <c r="H444" t="s">
        <v>1208</v>
      </c>
      <c r="I444" s="1">
        <v>37159</v>
      </c>
      <c r="J444" s="1">
        <v>37322</v>
      </c>
      <c r="K444" s="1">
        <v>37352</v>
      </c>
      <c r="L444" s="1">
        <v>37352</v>
      </c>
      <c r="M444" s="1">
        <v>37352</v>
      </c>
      <c r="N444" s="1">
        <v>37352</v>
      </c>
      <c r="O444" t="s">
        <v>1117</v>
      </c>
      <c r="P444">
        <v>1</v>
      </c>
      <c r="Q444" t="s">
        <v>1215</v>
      </c>
      <c r="R444">
        <f t="shared" si="12"/>
        <v>14</v>
      </c>
      <c r="S444">
        <f t="shared" si="13"/>
        <v>1</v>
      </c>
    </row>
    <row r="445" spans="1:19" x14ac:dyDescent="0.25">
      <c r="A445" t="s">
        <v>1569</v>
      </c>
      <c r="B445" t="s">
        <v>1199</v>
      </c>
      <c r="C445">
        <v>0.6</v>
      </c>
      <c r="D445">
        <v>1250</v>
      </c>
      <c r="E445">
        <v>0</v>
      </c>
      <c r="F445">
        <v>3</v>
      </c>
      <c r="G445">
        <v>3</v>
      </c>
      <c r="H445" t="s">
        <v>1208</v>
      </c>
      <c r="I445" s="1">
        <v>37159</v>
      </c>
      <c r="J445" s="1">
        <v>37322</v>
      </c>
      <c r="K445" s="1">
        <v>37352</v>
      </c>
      <c r="L445" s="1">
        <v>37352</v>
      </c>
      <c r="M445" s="1">
        <v>37352</v>
      </c>
      <c r="N445" s="1">
        <v>37352</v>
      </c>
      <c r="O445" t="s">
        <v>1117</v>
      </c>
      <c r="P445">
        <v>4</v>
      </c>
      <c r="Q445" t="s">
        <v>1215</v>
      </c>
      <c r="R445">
        <f t="shared" si="12"/>
        <v>14</v>
      </c>
      <c r="S445">
        <f t="shared" si="13"/>
        <v>1</v>
      </c>
    </row>
    <row r="446" spans="1:19" x14ac:dyDescent="0.25">
      <c r="A446" t="s">
        <v>1570</v>
      </c>
      <c r="B446" t="s">
        <v>1199</v>
      </c>
      <c r="C446">
        <v>1</v>
      </c>
      <c r="D446">
        <v>1000</v>
      </c>
      <c r="E446">
        <v>0</v>
      </c>
      <c r="F446">
        <v>3</v>
      </c>
      <c r="G446">
        <v>3</v>
      </c>
      <c r="H446" t="s">
        <v>1208</v>
      </c>
      <c r="I446" s="1">
        <v>37132</v>
      </c>
      <c r="J446" s="1">
        <v>37325</v>
      </c>
      <c r="K446" s="1">
        <v>37347</v>
      </c>
      <c r="L446" s="1">
        <v>37347</v>
      </c>
      <c r="M446" s="1">
        <v>37345</v>
      </c>
      <c r="N446" s="1">
        <v>37345</v>
      </c>
      <c r="O446" t="s">
        <v>1117</v>
      </c>
      <c r="P446">
        <v>1</v>
      </c>
      <c r="Q446" t="s">
        <v>1215</v>
      </c>
      <c r="R446">
        <f t="shared" si="12"/>
        <v>13</v>
      </c>
      <c r="S446">
        <f t="shared" si="13"/>
        <v>1</v>
      </c>
    </row>
    <row r="447" spans="1:19" x14ac:dyDescent="0.25">
      <c r="A447" t="s">
        <v>1571</v>
      </c>
      <c r="B447" t="s">
        <v>1199</v>
      </c>
      <c r="C447">
        <v>1.2</v>
      </c>
      <c r="D447">
        <v>1250</v>
      </c>
      <c r="E447">
        <v>0</v>
      </c>
      <c r="F447">
        <v>6</v>
      </c>
      <c r="G447">
        <v>6</v>
      </c>
      <c r="H447" t="s">
        <v>1208</v>
      </c>
      <c r="I447" s="1">
        <v>37132</v>
      </c>
      <c r="J447" s="1">
        <v>37313</v>
      </c>
      <c r="K447" s="1">
        <v>37344</v>
      </c>
      <c r="L447" s="1">
        <v>37344</v>
      </c>
      <c r="M447" s="1">
        <v>37344</v>
      </c>
      <c r="N447" s="1">
        <v>37344</v>
      </c>
      <c r="O447" t="s">
        <v>1117</v>
      </c>
      <c r="P447">
        <v>1</v>
      </c>
      <c r="Q447" t="s">
        <v>1215</v>
      </c>
      <c r="R447">
        <f t="shared" si="12"/>
        <v>13</v>
      </c>
      <c r="S447">
        <f t="shared" si="13"/>
        <v>1</v>
      </c>
    </row>
    <row r="448" spans="1:19" x14ac:dyDescent="0.25">
      <c r="A448" t="s">
        <v>1572</v>
      </c>
      <c r="B448" t="s">
        <v>1199</v>
      </c>
      <c r="C448">
        <v>1.5</v>
      </c>
      <c r="D448">
        <v>1250</v>
      </c>
      <c r="E448">
        <v>0</v>
      </c>
      <c r="F448">
        <v>6</v>
      </c>
      <c r="G448">
        <v>6</v>
      </c>
      <c r="H448" t="s">
        <v>1208</v>
      </c>
      <c r="I448" s="1">
        <v>37132</v>
      </c>
      <c r="J448" s="1">
        <v>37313</v>
      </c>
      <c r="K448" t="s">
        <v>1124</v>
      </c>
      <c r="L448" t="s">
        <v>1124</v>
      </c>
      <c r="M448" s="1">
        <v>37268</v>
      </c>
      <c r="N448" s="1">
        <v>37270</v>
      </c>
      <c r="O448" t="s">
        <v>1117</v>
      </c>
      <c r="P448">
        <v>2</v>
      </c>
      <c r="Q448" t="s">
        <v>1215</v>
      </c>
      <c r="R448">
        <f t="shared" si="12"/>
        <v>3</v>
      </c>
      <c r="S448">
        <f t="shared" si="13"/>
        <v>1</v>
      </c>
    </row>
    <row r="449" spans="1:19" x14ac:dyDescent="0.25">
      <c r="A449" t="s">
        <v>1573</v>
      </c>
      <c r="B449" t="s">
        <v>1199</v>
      </c>
      <c r="C449">
        <v>0.9</v>
      </c>
      <c r="D449">
        <v>1250</v>
      </c>
      <c r="E449">
        <v>0</v>
      </c>
      <c r="F449">
        <v>3</v>
      </c>
      <c r="G449">
        <v>3</v>
      </c>
      <c r="H449" t="s">
        <v>1208</v>
      </c>
      <c r="I449" s="1">
        <v>37132</v>
      </c>
      <c r="J449" s="1">
        <v>37313</v>
      </c>
      <c r="K449" t="s">
        <v>1124</v>
      </c>
      <c r="L449" t="s">
        <v>1124</v>
      </c>
      <c r="M449" s="1">
        <v>37268</v>
      </c>
      <c r="N449" s="1">
        <v>37276</v>
      </c>
      <c r="O449" t="s">
        <v>1117</v>
      </c>
      <c r="P449">
        <v>3</v>
      </c>
      <c r="Q449" t="s">
        <v>1215</v>
      </c>
      <c r="R449">
        <f t="shared" si="12"/>
        <v>4</v>
      </c>
      <c r="S449">
        <f t="shared" si="13"/>
        <v>1</v>
      </c>
    </row>
    <row r="450" spans="1:19" x14ac:dyDescent="0.25">
      <c r="A450" t="s">
        <v>1574</v>
      </c>
      <c r="B450" t="s">
        <v>4028</v>
      </c>
      <c r="C450">
        <v>1.45</v>
      </c>
      <c r="D450">
        <v>625</v>
      </c>
      <c r="E450">
        <v>0</v>
      </c>
      <c r="F450">
        <v>100</v>
      </c>
      <c r="G450">
        <v>100</v>
      </c>
      <c r="H450" t="s">
        <v>1208</v>
      </c>
      <c r="I450" s="1">
        <v>37125</v>
      </c>
      <c r="J450" s="1">
        <v>37313</v>
      </c>
      <c r="K450" s="1">
        <v>37330</v>
      </c>
      <c r="L450" s="1">
        <v>37330</v>
      </c>
      <c r="M450" s="1">
        <v>37330</v>
      </c>
      <c r="N450" s="1">
        <v>37330</v>
      </c>
      <c r="O450" t="s">
        <v>1117</v>
      </c>
      <c r="P450">
        <v>3</v>
      </c>
      <c r="Q450" t="s">
        <v>1438</v>
      </c>
      <c r="R450">
        <f t="shared" si="12"/>
        <v>11</v>
      </c>
      <c r="S450">
        <f t="shared" si="13"/>
        <v>1</v>
      </c>
    </row>
    <row r="451" spans="1:19" x14ac:dyDescent="0.25">
      <c r="A451" t="s">
        <v>1575</v>
      </c>
      <c r="B451" t="s">
        <v>3631</v>
      </c>
      <c r="C451">
        <v>0.7</v>
      </c>
      <c r="D451">
        <v>1250</v>
      </c>
      <c r="E451">
        <v>0</v>
      </c>
      <c r="F451">
        <v>3</v>
      </c>
      <c r="G451">
        <v>3</v>
      </c>
      <c r="H451" t="s">
        <v>1208</v>
      </c>
      <c r="I451" s="1">
        <v>37130</v>
      </c>
      <c r="J451" s="1">
        <v>37323</v>
      </c>
      <c r="K451" s="1">
        <v>37375</v>
      </c>
      <c r="L451" s="1">
        <v>37375</v>
      </c>
      <c r="M451" s="1">
        <v>37368</v>
      </c>
      <c r="N451" s="1">
        <v>37368</v>
      </c>
      <c r="O451" t="s">
        <v>1117</v>
      </c>
      <c r="P451">
        <v>2</v>
      </c>
      <c r="Q451" t="s">
        <v>1215</v>
      </c>
      <c r="R451">
        <f t="shared" ref="R451:R514" si="14">WEEKNUM(N451,1)</f>
        <v>17</v>
      </c>
      <c r="S451">
        <f t="shared" ref="S451:S514" si="15">IF(AND(F451=G451, M451&lt;=N451), 1,0)</f>
        <v>1</v>
      </c>
    </row>
    <row r="452" spans="1:19" x14ac:dyDescent="0.25">
      <c r="A452" t="s">
        <v>1576</v>
      </c>
      <c r="B452" t="s">
        <v>1199</v>
      </c>
      <c r="C452">
        <v>0.7</v>
      </c>
      <c r="D452">
        <v>1250</v>
      </c>
      <c r="E452">
        <v>0</v>
      </c>
      <c r="F452">
        <v>3</v>
      </c>
      <c r="G452">
        <v>3</v>
      </c>
      <c r="H452" t="s">
        <v>1208</v>
      </c>
      <c r="I452" s="1">
        <v>37159</v>
      </c>
      <c r="J452" s="1">
        <v>37322</v>
      </c>
      <c r="K452" s="1">
        <v>37306</v>
      </c>
      <c r="L452" s="1">
        <v>37322</v>
      </c>
      <c r="M452" s="1">
        <v>37213</v>
      </c>
      <c r="N452" s="1">
        <v>37286</v>
      </c>
      <c r="O452" t="s">
        <v>1114</v>
      </c>
      <c r="P452">
        <v>5</v>
      </c>
      <c r="Q452" t="s">
        <v>1215</v>
      </c>
      <c r="R452">
        <f t="shared" si="14"/>
        <v>5</v>
      </c>
      <c r="S452">
        <f t="shared" si="15"/>
        <v>1</v>
      </c>
    </row>
    <row r="453" spans="1:19" x14ac:dyDescent="0.25">
      <c r="A453" t="s">
        <v>1577</v>
      </c>
      <c r="B453" t="s">
        <v>4028</v>
      </c>
      <c r="C453">
        <v>0.5</v>
      </c>
      <c r="D453">
        <v>1000</v>
      </c>
      <c r="E453">
        <v>0</v>
      </c>
      <c r="F453">
        <v>6</v>
      </c>
      <c r="G453">
        <v>6</v>
      </c>
      <c r="H453" t="s">
        <v>1208</v>
      </c>
      <c r="I453" s="1">
        <v>37132</v>
      </c>
      <c r="J453" s="1">
        <v>37323</v>
      </c>
      <c r="K453" s="1">
        <v>37354</v>
      </c>
      <c r="L453" s="1">
        <v>37354</v>
      </c>
      <c r="M453" s="1">
        <v>37354</v>
      </c>
      <c r="N453" s="1">
        <v>37354</v>
      </c>
      <c r="O453" t="s">
        <v>1117</v>
      </c>
      <c r="P453">
        <v>1</v>
      </c>
      <c r="Q453" t="s">
        <v>1215</v>
      </c>
      <c r="R453">
        <f t="shared" si="14"/>
        <v>15</v>
      </c>
      <c r="S453">
        <f t="shared" si="15"/>
        <v>1</v>
      </c>
    </row>
    <row r="454" spans="1:19" x14ac:dyDescent="0.25">
      <c r="A454" t="s">
        <v>1578</v>
      </c>
      <c r="B454" t="s">
        <v>4028</v>
      </c>
      <c r="C454">
        <v>0.7</v>
      </c>
      <c r="D454">
        <v>1250</v>
      </c>
      <c r="E454">
        <v>0</v>
      </c>
      <c r="F454">
        <v>6</v>
      </c>
      <c r="G454">
        <v>6</v>
      </c>
      <c r="H454" t="s">
        <v>1208</v>
      </c>
      <c r="I454" s="1">
        <v>37128</v>
      </c>
      <c r="J454" s="1">
        <v>37322</v>
      </c>
      <c r="K454" s="1">
        <v>37375</v>
      </c>
      <c r="L454" s="1">
        <v>37375</v>
      </c>
      <c r="M454" s="1">
        <v>37368</v>
      </c>
      <c r="N454" s="1">
        <v>37368</v>
      </c>
      <c r="O454" t="s">
        <v>1117</v>
      </c>
      <c r="P454">
        <v>1</v>
      </c>
      <c r="Q454" t="s">
        <v>1215</v>
      </c>
      <c r="R454">
        <f t="shared" si="14"/>
        <v>17</v>
      </c>
      <c r="S454">
        <f t="shared" si="15"/>
        <v>1</v>
      </c>
    </row>
    <row r="455" spans="1:19" x14ac:dyDescent="0.25">
      <c r="A455" t="s">
        <v>1579</v>
      </c>
      <c r="B455" t="s">
        <v>1199</v>
      </c>
      <c r="C455">
        <v>0.6</v>
      </c>
      <c r="D455">
        <v>1250</v>
      </c>
      <c r="E455">
        <v>0</v>
      </c>
      <c r="F455">
        <v>3</v>
      </c>
      <c r="G455">
        <v>3</v>
      </c>
      <c r="H455" t="s">
        <v>1208</v>
      </c>
      <c r="I455" s="1">
        <v>37159</v>
      </c>
      <c r="J455" s="1">
        <v>37320</v>
      </c>
      <c r="K455" s="1">
        <v>37375</v>
      </c>
      <c r="L455" s="1">
        <v>37375</v>
      </c>
      <c r="M455" s="1">
        <v>37368</v>
      </c>
      <c r="N455" s="1">
        <v>37368</v>
      </c>
      <c r="O455" t="s">
        <v>1117</v>
      </c>
      <c r="P455">
        <v>1</v>
      </c>
      <c r="Q455" t="s">
        <v>1215</v>
      </c>
      <c r="R455">
        <f t="shared" si="14"/>
        <v>17</v>
      </c>
      <c r="S455">
        <f t="shared" si="15"/>
        <v>1</v>
      </c>
    </row>
    <row r="456" spans="1:19" x14ac:dyDescent="0.25">
      <c r="A456" t="s">
        <v>1580</v>
      </c>
      <c r="B456" t="s">
        <v>4028</v>
      </c>
      <c r="C456">
        <v>1.6</v>
      </c>
      <c r="D456">
        <v>1250</v>
      </c>
      <c r="E456">
        <v>0</v>
      </c>
      <c r="F456">
        <v>6</v>
      </c>
      <c r="G456">
        <v>6</v>
      </c>
      <c r="H456" t="s">
        <v>1208</v>
      </c>
      <c r="I456" s="1">
        <v>37126</v>
      </c>
      <c r="J456" s="1">
        <v>37309</v>
      </c>
      <c r="K456" s="1">
        <v>37302</v>
      </c>
      <c r="L456" s="1">
        <v>37309</v>
      </c>
      <c r="M456" s="1">
        <v>37263</v>
      </c>
      <c r="N456" s="1">
        <v>37263</v>
      </c>
      <c r="O456" t="s">
        <v>1114</v>
      </c>
      <c r="P456">
        <v>1</v>
      </c>
      <c r="Q456" t="s">
        <v>1215</v>
      </c>
      <c r="R456">
        <f t="shared" si="14"/>
        <v>2</v>
      </c>
      <c r="S456">
        <f t="shared" si="15"/>
        <v>1</v>
      </c>
    </row>
    <row r="457" spans="1:19" x14ac:dyDescent="0.25">
      <c r="A457" t="s">
        <v>1581</v>
      </c>
      <c r="B457" t="s">
        <v>1199</v>
      </c>
      <c r="C457">
        <v>1.5</v>
      </c>
      <c r="D457">
        <v>1250</v>
      </c>
      <c r="E457">
        <v>0</v>
      </c>
      <c r="F457">
        <v>9</v>
      </c>
      <c r="G457">
        <v>9</v>
      </c>
      <c r="H457" t="s">
        <v>1208</v>
      </c>
      <c r="I457" s="1">
        <v>37126</v>
      </c>
      <c r="J457" s="1">
        <v>37311</v>
      </c>
      <c r="K457" t="s">
        <v>1124</v>
      </c>
      <c r="L457" t="s">
        <v>1124</v>
      </c>
      <c r="M457" s="1">
        <v>37338</v>
      </c>
      <c r="N457" s="1">
        <v>37345</v>
      </c>
      <c r="O457" t="s">
        <v>1117</v>
      </c>
      <c r="P457">
        <v>1</v>
      </c>
      <c r="Q457" t="s">
        <v>1215</v>
      </c>
      <c r="R457">
        <f t="shared" si="14"/>
        <v>13</v>
      </c>
      <c r="S457">
        <f t="shared" si="15"/>
        <v>1</v>
      </c>
    </row>
    <row r="458" spans="1:19" x14ac:dyDescent="0.25">
      <c r="A458" t="s">
        <v>1582</v>
      </c>
      <c r="B458" t="s">
        <v>4027</v>
      </c>
      <c r="C458">
        <v>1.2</v>
      </c>
      <c r="D458">
        <v>1250</v>
      </c>
      <c r="E458">
        <v>0</v>
      </c>
      <c r="F458">
        <v>22</v>
      </c>
      <c r="G458">
        <v>22</v>
      </c>
      <c r="H458" t="s">
        <v>1208</v>
      </c>
      <c r="I458" s="1">
        <v>37126</v>
      </c>
      <c r="J458" s="1">
        <v>37309</v>
      </c>
      <c r="K458" s="1">
        <v>37328</v>
      </c>
      <c r="L458" s="1">
        <v>37328</v>
      </c>
      <c r="M458" s="1">
        <v>37335</v>
      </c>
      <c r="N458" s="1">
        <v>37335</v>
      </c>
      <c r="O458" t="s">
        <v>1117</v>
      </c>
      <c r="P458">
        <v>3</v>
      </c>
      <c r="Q458" t="s">
        <v>1215</v>
      </c>
      <c r="R458">
        <f t="shared" si="14"/>
        <v>12</v>
      </c>
      <c r="S458">
        <f t="shared" si="15"/>
        <v>1</v>
      </c>
    </row>
    <row r="459" spans="1:19" x14ac:dyDescent="0.25">
      <c r="A459" t="s">
        <v>1583</v>
      </c>
      <c r="B459" t="s">
        <v>1199</v>
      </c>
      <c r="C459">
        <v>2</v>
      </c>
      <c r="D459">
        <v>1000</v>
      </c>
      <c r="E459">
        <v>0</v>
      </c>
      <c r="F459">
        <v>3</v>
      </c>
      <c r="G459">
        <v>3</v>
      </c>
      <c r="H459" t="s">
        <v>1208</v>
      </c>
      <c r="I459" s="1">
        <v>37189</v>
      </c>
      <c r="J459" s="1">
        <v>37323</v>
      </c>
      <c r="K459" s="1">
        <v>37353</v>
      </c>
      <c r="L459" s="1">
        <v>37353</v>
      </c>
      <c r="M459" s="1">
        <v>37353</v>
      </c>
      <c r="N459" s="1">
        <v>37353</v>
      </c>
      <c r="O459" t="s">
        <v>1117</v>
      </c>
      <c r="P459">
        <v>3</v>
      </c>
      <c r="Q459" t="s">
        <v>1215</v>
      </c>
      <c r="R459">
        <f t="shared" si="14"/>
        <v>15</v>
      </c>
      <c r="S459">
        <f t="shared" si="15"/>
        <v>1</v>
      </c>
    </row>
    <row r="460" spans="1:19" x14ac:dyDescent="0.25">
      <c r="A460" t="s">
        <v>1584</v>
      </c>
      <c r="B460" t="s">
        <v>1199</v>
      </c>
      <c r="C460">
        <v>1</v>
      </c>
      <c r="D460">
        <v>1250</v>
      </c>
      <c r="E460">
        <v>0</v>
      </c>
      <c r="F460">
        <v>22</v>
      </c>
      <c r="G460">
        <v>22</v>
      </c>
      <c r="H460" t="s">
        <v>1208</v>
      </c>
      <c r="I460" s="1">
        <v>37126</v>
      </c>
      <c r="J460" s="1">
        <v>37310</v>
      </c>
      <c r="K460" s="1">
        <v>37328</v>
      </c>
      <c r="L460" s="1">
        <v>37328</v>
      </c>
      <c r="M460" s="1">
        <v>37335</v>
      </c>
      <c r="N460" s="1">
        <v>37335</v>
      </c>
      <c r="O460" t="s">
        <v>1117</v>
      </c>
      <c r="P460">
        <v>2</v>
      </c>
      <c r="Q460" t="s">
        <v>1215</v>
      </c>
      <c r="R460">
        <f t="shared" si="14"/>
        <v>12</v>
      </c>
      <c r="S460">
        <f t="shared" si="15"/>
        <v>1</v>
      </c>
    </row>
    <row r="461" spans="1:19" x14ac:dyDescent="0.25">
      <c r="A461" t="s">
        <v>1585</v>
      </c>
      <c r="B461" t="s">
        <v>4026</v>
      </c>
      <c r="C461">
        <v>0.5</v>
      </c>
      <c r="D461">
        <v>1250</v>
      </c>
      <c r="E461">
        <v>0</v>
      </c>
      <c r="F461">
        <v>6</v>
      </c>
      <c r="G461">
        <v>6</v>
      </c>
      <c r="H461" t="s">
        <v>1208</v>
      </c>
      <c r="I461" s="1">
        <v>37108</v>
      </c>
      <c r="J461" s="1">
        <v>37321</v>
      </c>
      <c r="K461" s="1">
        <v>37372</v>
      </c>
      <c r="L461" s="1">
        <v>37372</v>
      </c>
      <c r="M461" s="1">
        <v>37365</v>
      </c>
      <c r="N461" s="1">
        <v>37368</v>
      </c>
      <c r="O461" t="s">
        <v>1117</v>
      </c>
      <c r="P461">
        <v>1</v>
      </c>
      <c r="Q461" t="s">
        <v>1215</v>
      </c>
      <c r="R461">
        <f t="shared" si="14"/>
        <v>17</v>
      </c>
      <c r="S461">
        <f t="shared" si="15"/>
        <v>1</v>
      </c>
    </row>
    <row r="462" spans="1:19" x14ac:dyDescent="0.25">
      <c r="A462" t="s">
        <v>1586</v>
      </c>
      <c r="B462" t="s">
        <v>1199</v>
      </c>
      <c r="C462">
        <v>0.9</v>
      </c>
      <c r="D462">
        <v>625</v>
      </c>
      <c r="E462">
        <v>0</v>
      </c>
      <c r="F462">
        <v>42</v>
      </c>
      <c r="G462">
        <v>42</v>
      </c>
      <c r="H462" t="s">
        <v>1208</v>
      </c>
      <c r="I462" s="1">
        <v>37189</v>
      </c>
      <c r="J462" s="1">
        <v>37329</v>
      </c>
      <c r="K462" s="1">
        <v>37336</v>
      </c>
      <c r="L462" s="1">
        <v>37336</v>
      </c>
      <c r="M462" s="1">
        <v>37336</v>
      </c>
      <c r="N462" s="1">
        <v>37336</v>
      </c>
      <c r="O462" t="s">
        <v>1117</v>
      </c>
      <c r="P462">
        <v>1</v>
      </c>
      <c r="Q462" t="s">
        <v>1215</v>
      </c>
      <c r="R462">
        <f t="shared" si="14"/>
        <v>12</v>
      </c>
      <c r="S462">
        <f t="shared" si="15"/>
        <v>1</v>
      </c>
    </row>
    <row r="463" spans="1:19" x14ac:dyDescent="0.25">
      <c r="A463" t="s">
        <v>1587</v>
      </c>
      <c r="B463" t="s">
        <v>1199</v>
      </c>
      <c r="C463">
        <v>0.6</v>
      </c>
      <c r="D463">
        <v>1250</v>
      </c>
      <c r="E463">
        <v>0</v>
      </c>
      <c r="F463">
        <v>10</v>
      </c>
      <c r="G463">
        <v>10</v>
      </c>
      <c r="H463" t="s">
        <v>1208</v>
      </c>
      <c r="I463" s="1">
        <v>37130</v>
      </c>
      <c r="J463" s="1">
        <v>37319</v>
      </c>
      <c r="K463" s="1">
        <v>37375</v>
      </c>
      <c r="L463" s="1">
        <v>37375</v>
      </c>
      <c r="M463" s="1">
        <v>37368</v>
      </c>
      <c r="N463" s="1">
        <v>37368</v>
      </c>
      <c r="O463" t="s">
        <v>1117</v>
      </c>
      <c r="P463">
        <v>3</v>
      </c>
      <c r="Q463" t="s">
        <v>1215</v>
      </c>
      <c r="R463">
        <f t="shared" si="14"/>
        <v>17</v>
      </c>
      <c r="S463">
        <f t="shared" si="15"/>
        <v>1</v>
      </c>
    </row>
    <row r="464" spans="1:19" x14ac:dyDescent="0.25">
      <c r="A464" t="s">
        <v>1588</v>
      </c>
      <c r="B464" t="s">
        <v>4027</v>
      </c>
      <c r="C464">
        <v>0.8</v>
      </c>
      <c r="D464">
        <v>1250</v>
      </c>
      <c r="E464">
        <v>0</v>
      </c>
      <c r="F464">
        <v>22</v>
      </c>
      <c r="G464">
        <v>22</v>
      </c>
      <c r="H464" t="s">
        <v>1208</v>
      </c>
      <c r="I464" s="1">
        <v>37126</v>
      </c>
      <c r="J464" s="1">
        <v>37308</v>
      </c>
      <c r="K464" s="1">
        <v>37335</v>
      </c>
      <c r="L464" s="1">
        <v>37335</v>
      </c>
      <c r="M464" s="1">
        <v>37342</v>
      </c>
      <c r="N464" s="1">
        <v>37342</v>
      </c>
      <c r="O464" t="s">
        <v>1117</v>
      </c>
      <c r="P464">
        <v>1</v>
      </c>
      <c r="Q464" t="s">
        <v>1215</v>
      </c>
      <c r="R464">
        <f t="shared" si="14"/>
        <v>13</v>
      </c>
      <c r="S464">
        <f t="shared" si="15"/>
        <v>1</v>
      </c>
    </row>
    <row r="465" spans="1:19" x14ac:dyDescent="0.25">
      <c r="A465" t="s">
        <v>1589</v>
      </c>
      <c r="B465" t="s">
        <v>1199</v>
      </c>
      <c r="C465">
        <v>2</v>
      </c>
      <c r="D465">
        <v>1000</v>
      </c>
      <c r="E465">
        <v>0</v>
      </c>
      <c r="F465">
        <v>3</v>
      </c>
      <c r="G465">
        <v>3</v>
      </c>
      <c r="H465" t="s">
        <v>1208</v>
      </c>
      <c r="I465" s="1">
        <v>37189</v>
      </c>
      <c r="J465" s="1">
        <v>37323</v>
      </c>
      <c r="K465" s="1">
        <v>37353</v>
      </c>
      <c r="L465" s="1">
        <v>37353</v>
      </c>
      <c r="M465" s="1">
        <v>37353</v>
      </c>
      <c r="N465" s="1">
        <v>37353</v>
      </c>
      <c r="O465" t="s">
        <v>1117</v>
      </c>
      <c r="P465">
        <v>3</v>
      </c>
      <c r="Q465" t="s">
        <v>1215</v>
      </c>
      <c r="R465">
        <f t="shared" si="14"/>
        <v>15</v>
      </c>
      <c r="S465">
        <f t="shared" si="15"/>
        <v>1</v>
      </c>
    </row>
    <row r="466" spans="1:19" x14ac:dyDescent="0.25">
      <c r="A466" t="s">
        <v>1590</v>
      </c>
      <c r="B466" t="s">
        <v>4028</v>
      </c>
      <c r="C466">
        <v>0.6</v>
      </c>
      <c r="D466">
        <v>63</v>
      </c>
      <c r="E466">
        <v>0</v>
      </c>
      <c r="F466">
        <v>4</v>
      </c>
      <c r="G466">
        <v>4</v>
      </c>
      <c r="H466" t="s">
        <v>1208</v>
      </c>
      <c r="I466" s="1">
        <v>37352</v>
      </c>
      <c r="J466" s="1">
        <v>37389</v>
      </c>
      <c r="K466" t="s">
        <v>1124</v>
      </c>
      <c r="L466" t="s">
        <v>1124</v>
      </c>
      <c r="M466" s="1">
        <v>37389</v>
      </c>
      <c r="N466" s="1">
        <v>37389</v>
      </c>
      <c r="O466" t="s">
        <v>1117</v>
      </c>
      <c r="P466">
        <v>6</v>
      </c>
      <c r="Q466" t="s">
        <v>1215</v>
      </c>
      <c r="R466">
        <f t="shared" si="14"/>
        <v>20</v>
      </c>
      <c r="S466">
        <f t="shared" si="15"/>
        <v>1</v>
      </c>
    </row>
    <row r="467" spans="1:19" x14ac:dyDescent="0.25">
      <c r="A467" t="s">
        <v>1591</v>
      </c>
      <c r="B467" t="s">
        <v>4028</v>
      </c>
      <c r="C467">
        <v>0.5</v>
      </c>
      <c r="D467">
        <v>1250</v>
      </c>
      <c r="E467">
        <v>0</v>
      </c>
      <c r="F467">
        <v>6</v>
      </c>
      <c r="G467">
        <v>6</v>
      </c>
      <c r="H467" t="s">
        <v>1208</v>
      </c>
      <c r="I467" s="1">
        <v>37108</v>
      </c>
      <c r="J467" s="1">
        <v>37320</v>
      </c>
      <c r="K467" s="1">
        <v>37360</v>
      </c>
      <c r="L467" s="1">
        <v>37360</v>
      </c>
      <c r="M467" s="1">
        <v>37345</v>
      </c>
      <c r="N467" s="1">
        <v>37345</v>
      </c>
      <c r="O467" t="s">
        <v>1117</v>
      </c>
      <c r="P467">
        <v>1</v>
      </c>
      <c r="Q467" t="s">
        <v>1215</v>
      </c>
      <c r="R467">
        <f t="shared" si="14"/>
        <v>13</v>
      </c>
      <c r="S467">
        <f t="shared" si="15"/>
        <v>1</v>
      </c>
    </row>
    <row r="468" spans="1:19" x14ac:dyDescent="0.25">
      <c r="A468" t="s">
        <v>1592</v>
      </c>
      <c r="B468" t="s">
        <v>4028</v>
      </c>
      <c r="C468">
        <v>0.6</v>
      </c>
      <c r="D468">
        <v>1250</v>
      </c>
      <c r="E468">
        <v>0</v>
      </c>
      <c r="F468">
        <v>6</v>
      </c>
      <c r="G468">
        <v>6</v>
      </c>
      <c r="H468" t="s">
        <v>1208</v>
      </c>
      <c r="I468" s="1">
        <v>37108</v>
      </c>
      <c r="J468" s="1">
        <v>37320</v>
      </c>
      <c r="K468" s="1">
        <v>37310</v>
      </c>
      <c r="L468" s="1">
        <v>37320</v>
      </c>
      <c r="M468" s="1">
        <v>37272</v>
      </c>
      <c r="N468" s="1">
        <v>37284</v>
      </c>
      <c r="O468" t="s">
        <v>1114</v>
      </c>
      <c r="P468">
        <v>2</v>
      </c>
      <c r="Q468" t="s">
        <v>1215</v>
      </c>
      <c r="R468">
        <f t="shared" si="14"/>
        <v>5</v>
      </c>
      <c r="S468">
        <f t="shared" si="15"/>
        <v>1</v>
      </c>
    </row>
    <row r="469" spans="1:19" x14ac:dyDescent="0.25">
      <c r="A469" t="s">
        <v>1593</v>
      </c>
      <c r="B469" t="s">
        <v>4028</v>
      </c>
      <c r="C469">
        <v>0.4</v>
      </c>
      <c r="D469">
        <v>1000</v>
      </c>
      <c r="E469">
        <v>0</v>
      </c>
      <c r="F469">
        <v>50</v>
      </c>
      <c r="G469">
        <v>50</v>
      </c>
      <c r="H469" t="s">
        <v>1208</v>
      </c>
      <c r="I469" s="1">
        <v>37159</v>
      </c>
      <c r="J469" s="1">
        <v>37314</v>
      </c>
      <c r="K469" t="s">
        <v>1124</v>
      </c>
      <c r="L469" t="s">
        <v>1124</v>
      </c>
      <c r="M469" s="1">
        <v>37280</v>
      </c>
      <c r="N469" s="1">
        <v>37280</v>
      </c>
      <c r="O469" t="s">
        <v>1117</v>
      </c>
      <c r="P469">
        <v>4</v>
      </c>
      <c r="Q469" t="s">
        <v>1215</v>
      </c>
      <c r="R469">
        <f t="shared" si="14"/>
        <v>4</v>
      </c>
      <c r="S469">
        <f t="shared" si="15"/>
        <v>1</v>
      </c>
    </row>
    <row r="470" spans="1:19" x14ac:dyDescent="0.25">
      <c r="A470" t="s">
        <v>1594</v>
      </c>
      <c r="B470" t="s">
        <v>4027</v>
      </c>
      <c r="C470">
        <v>0.5</v>
      </c>
      <c r="D470">
        <v>1000</v>
      </c>
      <c r="E470">
        <v>0</v>
      </c>
      <c r="F470">
        <v>30</v>
      </c>
      <c r="G470">
        <v>30</v>
      </c>
      <c r="H470" t="s">
        <v>1208</v>
      </c>
      <c r="I470" s="1">
        <v>37159</v>
      </c>
      <c r="J470" s="1">
        <v>37314</v>
      </c>
      <c r="K470" s="1">
        <v>37316</v>
      </c>
      <c r="L470" s="1">
        <v>37316</v>
      </c>
      <c r="M470" s="1">
        <v>37280</v>
      </c>
      <c r="N470" s="1">
        <v>37280</v>
      </c>
      <c r="O470" t="s">
        <v>1117</v>
      </c>
      <c r="P470">
        <v>2</v>
      </c>
      <c r="Q470" t="s">
        <v>1215</v>
      </c>
      <c r="R470">
        <f t="shared" si="14"/>
        <v>4</v>
      </c>
      <c r="S470">
        <f t="shared" si="15"/>
        <v>1</v>
      </c>
    </row>
    <row r="471" spans="1:19" x14ac:dyDescent="0.25">
      <c r="A471" t="s">
        <v>1595</v>
      </c>
      <c r="B471" t="s">
        <v>4028</v>
      </c>
      <c r="C471">
        <v>1.5</v>
      </c>
      <c r="D471">
        <v>1000</v>
      </c>
      <c r="E471">
        <v>0</v>
      </c>
      <c r="F471">
        <v>5</v>
      </c>
      <c r="G471">
        <v>5</v>
      </c>
      <c r="H471" t="s">
        <v>1208</v>
      </c>
      <c r="I471" s="1">
        <v>37126</v>
      </c>
      <c r="J471" s="1">
        <v>37322</v>
      </c>
      <c r="K471" s="1">
        <v>37354</v>
      </c>
      <c r="L471" s="1">
        <v>37354</v>
      </c>
      <c r="M471" s="1">
        <v>37354</v>
      </c>
      <c r="N471" s="1">
        <v>37354</v>
      </c>
      <c r="O471" t="s">
        <v>1117</v>
      </c>
      <c r="P471">
        <v>1</v>
      </c>
      <c r="Q471" t="s">
        <v>1215</v>
      </c>
      <c r="R471">
        <f t="shared" si="14"/>
        <v>15</v>
      </c>
      <c r="S471">
        <f t="shared" si="15"/>
        <v>1</v>
      </c>
    </row>
    <row r="472" spans="1:19" x14ac:dyDescent="0.25">
      <c r="A472" t="s">
        <v>1596</v>
      </c>
      <c r="B472" t="s">
        <v>4027</v>
      </c>
      <c r="C472">
        <v>0.5</v>
      </c>
      <c r="D472">
        <v>350</v>
      </c>
      <c r="E472">
        <v>0</v>
      </c>
      <c r="F472">
        <v>110</v>
      </c>
      <c r="G472">
        <v>7.9429999999999996</v>
      </c>
      <c r="H472" t="s">
        <v>1208</v>
      </c>
      <c r="I472" s="1">
        <v>37159</v>
      </c>
      <c r="J472" s="1">
        <v>37314</v>
      </c>
      <c r="K472" s="1">
        <v>37311</v>
      </c>
      <c r="L472" s="1">
        <v>37314</v>
      </c>
      <c r="M472" s="1">
        <v>37266</v>
      </c>
      <c r="N472" s="1">
        <v>37266</v>
      </c>
      <c r="O472" t="s">
        <v>1114</v>
      </c>
      <c r="P472">
        <v>1</v>
      </c>
      <c r="Q472" t="s">
        <v>1215</v>
      </c>
      <c r="R472">
        <f t="shared" si="14"/>
        <v>2</v>
      </c>
      <c r="S472">
        <f t="shared" si="15"/>
        <v>0</v>
      </c>
    </row>
    <row r="473" spans="1:19" x14ac:dyDescent="0.25">
      <c r="A473" t="s">
        <v>1597</v>
      </c>
      <c r="B473" t="s">
        <v>4026</v>
      </c>
      <c r="C473">
        <v>3</v>
      </c>
      <c r="D473">
        <v>1250</v>
      </c>
      <c r="E473">
        <v>0</v>
      </c>
      <c r="F473">
        <v>3</v>
      </c>
      <c r="G473">
        <v>3</v>
      </c>
      <c r="H473" t="s">
        <v>1208</v>
      </c>
      <c r="I473" s="1">
        <v>37159</v>
      </c>
      <c r="J473" s="1">
        <v>37319</v>
      </c>
      <c r="K473" s="1">
        <v>37308</v>
      </c>
      <c r="L473" s="1">
        <v>37319</v>
      </c>
      <c r="M473" s="1">
        <v>37258</v>
      </c>
      <c r="N473" s="1">
        <v>37284</v>
      </c>
      <c r="O473" t="s">
        <v>1114</v>
      </c>
      <c r="P473">
        <v>1</v>
      </c>
      <c r="Q473" t="s">
        <v>1215</v>
      </c>
      <c r="R473">
        <f t="shared" si="14"/>
        <v>5</v>
      </c>
      <c r="S473">
        <f t="shared" si="15"/>
        <v>1</v>
      </c>
    </row>
    <row r="474" spans="1:19" x14ac:dyDescent="0.25">
      <c r="A474" t="s">
        <v>1598</v>
      </c>
      <c r="B474" t="s">
        <v>4028</v>
      </c>
      <c r="C474">
        <v>0.9</v>
      </c>
      <c r="D474">
        <v>1250</v>
      </c>
      <c r="E474">
        <v>0</v>
      </c>
      <c r="F474">
        <v>6</v>
      </c>
      <c r="G474">
        <v>6</v>
      </c>
      <c r="H474" t="s">
        <v>1208</v>
      </c>
      <c r="I474" s="1">
        <v>37132</v>
      </c>
      <c r="J474" s="1">
        <v>37322</v>
      </c>
      <c r="K474" s="1">
        <v>37316</v>
      </c>
      <c r="L474" s="1">
        <v>37322</v>
      </c>
      <c r="M474" s="1">
        <v>37266</v>
      </c>
      <c r="N474" s="1">
        <v>37272</v>
      </c>
      <c r="O474" t="s">
        <v>1114</v>
      </c>
      <c r="P474">
        <v>2</v>
      </c>
      <c r="Q474" t="s">
        <v>1215</v>
      </c>
      <c r="R474">
        <f t="shared" si="14"/>
        <v>3</v>
      </c>
      <c r="S474">
        <f t="shared" si="15"/>
        <v>1</v>
      </c>
    </row>
    <row r="475" spans="1:19" x14ac:dyDescent="0.25">
      <c r="A475" t="s">
        <v>1599</v>
      </c>
      <c r="B475" t="s">
        <v>1199</v>
      </c>
      <c r="C475">
        <v>0.6</v>
      </c>
      <c r="D475">
        <v>1250</v>
      </c>
      <c r="E475">
        <v>0</v>
      </c>
      <c r="F475">
        <v>6</v>
      </c>
      <c r="G475">
        <v>6</v>
      </c>
      <c r="H475" t="s">
        <v>1208</v>
      </c>
      <c r="I475" s="1">
        <v>37108</v>
      </c>
      <c r="J475" s="1">
        <v>37320</v>
      </c>
      <c r="K475" s="1">
        <v>37375</v>
      </c>
      <c r="L475" s="1">
        <v>37375</v>
      </c>
      <c r="M475" s="1">
        <v>37368</v>
      </c>
      <c r="N475" s="1">
        <v>37368</v>
      </c>
      <c r="O475" t="s">
        <v>1117</v>
      </c>
      <c r="P475">
        <v>1</v>
      </c>
      <c r="Q475" t="s">
        <v>1215</v>
      </c>
      <c r="R475">
        <f t="shared" si="14"/>
        <v>17</v>
      </c>
      <c r="S475">
        <f t="shared" si="15"/>
        <v>1</v>
      </c>
    </row>
    <row r="476" spans="1:19" x14ac:dyDescent="0.25">
      <c r="A476" t="s">
        <v>1600</v>
      </c>
      <c r="B476" t="s">
        <v>3631</v>
      </c>
      <c r="C476">
        <v>1.2</v>
      </c>
      <c r="D476">
        <v>1000</v>
      </c>
      <c r="E476">
        <v>0</v>
      </c>
      <c r="F476">
        <v>3</v>
      </c>
      <c r="G476">
        <v>3</v>
      </c>
      <c r="H476" t="s">
        <v>1208</v>
      </c>
      <c r="I476" s="1">
        <v>37126</v>
      </c>
      <c r="J476" s="1">
        <v>37309</v>
      </c>
      <c r="K476" s="1">
        <v>37345</v>
      </c>
      <c r="L476" s="1">
        <v>37345</v>
      </c>
      <c r="M476" s="1">
        <v>37345</v>
      </c>
      <c r="N476" s="1">
        <v>37352</v>
      </c>
      <c r="O476" t="s">
        <v>1117</v>
      </c>
      <c r="P476">
        <v>1</v>
      </c>
      <c r="Q476" t="s">
        <v>1215</v>
      </c>
      <c r="R476">
        <f t="shared" si="14"/>
        <v>14</v>
      </c>
      <c r="S476">
        <f t="shared" si="15"/>
        <v>1</v>
      </c>
    </row>
    <row r="477" spans="1:19" x14ac:dyDescent="0.25">
      <c r="A477" t="s">
        <v>1601</v>
      </c>
      <c r="B477" t="s">
        <v>4027</v>
      </c>
      <c r="C477">
        <v>2</v>
      </c>
      <c r="D477">
        <v>1000</v>
      </c>
      <c r="E477">
        <v>0</v>
      </c>
      <c r="F477">
        <v>3</v>
      </c>
      <c r="G477">
        <v>3</v>
      </c>
      <c r="H477" t="s">
        <v>1208</v>
      </c>
      <c r="I477" s="1">
        <v>37189</v>
      </c>
      <c r="J477" s="1">
        <v>37323</v>
      </c>
      <c r="K477" s="1">
        <v>37353</v>
      </c>
      <c r="L477" s="1">
        <v>37353</v>
      </c>
      <c r="M477" s="1">
        <v>37353</v>
      </c>
      <c r="N477" s="1">
        <v>37353</v>
      </c>
      <c r="O477" t="s">
        <v>1117</v>
      </c>
      <c r="P477">
        <v>3</v>
      </c>
      <c r="Q477" t="s">
        <v>1215</v>
      </c>
      <c r="R477">
        <f t="shared" si="14"/>
        <v>15</v>
      </c>
      <c r="S477">
        <f t="shared" si="15"/>
        <v>1</v>
      </c>
    </row>
    <row r="478" spans="1:19" x14ac:dyDescent="0.25">
      <c r="A478" t="s">
        <v>1602</v>
      </c>
      <c r="B478" t="s">
        <v>4028</v>
      </c>
      <c r="C478">
        <v>2</v>
      </c>
      <c r="D478">
        <v>1000</v>
      </c>
      <c r="E478">
        <v>0</v>
      </c>
      <c r="F478">
        <v>3</v>
      </c>
      <c r="G478">
        <v>3</v>
      </c>
      <c r="H478" t="s">
        <v>1208</v>
      </c>
      <c r="I478" s="1">
        <v>37189</v>
      </c>
      <c r="J478" s="1">
        <v>37323</v>
      </c>
      <c r="K478" s="1">
        <v>37353</v>
      </c>
      <c r="L478" s="1">
        <v>37353</v>
      </c>
      <c r="M478" s="1">
        <v>37353</v>
      </c>
      <c r="N478" s="1">
        <v>37353</v>
      </c>
      <c r="O478" t="s">
        <v>1117</v>
      </c>
      <c r="P478">
        <v>3</v>
      </c>
      <c r="Q478" t="s">
        <v>1215</v>
      </c>
      <c r="R478">
        <f t="shared" si="14"/>
        <v>15</v>
      </c>
      <c r="S478">
        <f t="shared" si="15"/>
        <v>1</v>
      </c>
    </row>
    <row r="479" spans="1:19" x14ac:dyDescent="0.25">
      <c r="A479" t="s">
        <v>1603</v>
      </c>
      <c r="B479" t="s">
        <v>4028</v>
      </c>
      <c r="C479">
        <v>0.8</v>
      </c>
      <c r="D479">
        <v>98</v>
      </c>
      <c r="E479">
        <v>0</v>
      </c>
      <c r="F479">
        <v>5</v>
      </c>
      <c r="G479">
        <v>5</v>
      </c>
      <c r="H479" t="s">
        <v>1208</v>
      </c>
      <c r="I479" s="1">
        <v>37304</v>
      </c>
      <c r="J479" s="1">
        <v>37308</v>
      </c>
      <c r="K479" s="1">
        <v>37338</v>
      </c>
      <c r="L479" s="1">
        <v>37338</v>
      </c>
      <c r="M479" s="1">
        <v>37331</v>
      </c>
      <c r="N479" s="1">
        <v>37392</v>
      </c>
      <c r="O479" t="s">
        <v>1117</v>
      </c>
      <c r="P479">
        <v>2</v>
      </c>
      <c r="Q479" t="s">
        <v>1438</v>
      </c>
      <c r="R479">
        <f t="shared" si="14"/>
        <v>20</v>
      </c>
      <c r="S479">
        <f t="shared" si="15"/>
        <v>1</v>
      </c>
    </row>
    <row r="480" spans="1:19" x14ac:dyDescent="0.25">
      <c r="A480" t="s">
        <v>1604</v>
      </c>
      <c r="B480" t="s">
        <v>4028</v>
      </c>
      <c r="C480">
        <v>0.9</v>
      </c>
      <c r="D480">
        <v>630</v>
      </c>
      <c r="E480">
        <v>0</v>
      </c>
      <c r="F480">
        <v>65</v>
      </c>
      <c r="G480">
        <v>65</v>
      </c>
      <c r="H480" t="s">
        <v>1208</v>
      </c>
      <c r="I480" s="1">
        <v>37162</v>
      </c>
      <c r="J480" s="1">
        <v>37314</v>
      </c>
      <c r="K480" s="1">
        <v>37321</v>
      </c>
      <c r="L480" s="1">
        <v>37321</v>
      </c>
      <c r="M480" s="1">
        <v>37318</v>
      </c>
      <c r="N480" s="1">
        <v>37318</v>
      </c>
      <c r="O480" t="s">
        <v>1117</v>
      </c>
      <c r="P480">
        <v>3</v>
      </c>
      <c r="Q480" t="s">
        <v>1215</v>
      </c>
      <c r="R480">
        <f t="shared" si="14"/>
        <v>10</v>
      </c>
      <c r="S480">
        <f t="shared" si="15"/>
        <v>1</v>
      </c>
    </row>
    <row r="481" spans="1:19" x14ac:dyDescent="0.25">
      <c r="A481" t="s">
        <v>1605</v>
      </c>
      <c r="B481" t="s">
        <v>3631</v>
      </c>
      <c r="C481">
        <v>0.9</v>
      </c>
      <c r="D481">
        <v>630</v>
      </c>
      <c r="E481">
        <v>0</v>
      </c>
      <c r="F481">
        <v>65</v>
      </c>
      <c r="G481">
        <v>65</v>
      </c>
      <c r="H481" t="s">
        <v>1208</v>
      </c>
      <c r="I481" s="1">
        <v>37162</v>
      </c>
      <c r="J481" s="1">
        <v>37314</v>
      </c>
      <c r="K481" s="1">
        <v>37321</v>
      </c>
      <c r="L481" s="1">
        <v>37321</v>
      </c>
      <c r="M481" s="1">
        <v>37318</v>
      </c>
      <c r="N481" s="1">
        <v>37318</v>
      </c>
      <c r="O481" t="s">
        <v>1117</v>
      </c>
      <c r="P481">
        <v>3</v>
      </c>
      <c r="Q481" t="s">
        <v>1215</v>
      </c>
      <c r="R481">
        <f t="shared" si="14"/>
        <v>10</v>
      </c>
      <c r="S481">
        <f t="shared" si="15"/>
        <v>1</v>
      </c>
    </row>
    <row r="482" spans="1:19" x14ac:dyDescent="0.25">
      <c r="A482" t="s">
        <v>1606</v>
      </c>
      <c r="B482" t="s">
        <v>4028</v>
      </c>
      <c r="C482">
        <v>0.65</v>
      </c>
      <c r="D482">
        <v>59.8</v>
      </c>
      <c r="E482">
        <v>0</v>
      </c>
      <c r="F482">
        <v>18</v>
      </c>
      <c r="G482">
        <v>18</v>
      </c>
      <c r="H482" t="s">
        <v>1208</v>
      </c>
      <c r="I482" s="1">
        <v>37159</v>
      </c>
      <c r="J482" s="1">
        <v>37345</v>
      </c>
      <c r="K482" t="s">
        <v>1124</v>
      </c>
      <c r="L482" t="s">
        <v>1124</v>
      </c>
      <c r="M482" s="1">
        <v>37352</v>
      </c>
      <c r="N482" s="1">
        <v>37352</v>
      </c>
      <c r="O482" t="s">
        <v>1117</v>
      </c>
      <c r="P482">
        <v>3</v>
      </c>
      <c r="Q482" t="s">
        <v>1215</v>
      </c>
      <c r="R482">
        <f t="shared" si="14"/>
        <v>14</v>
      </c>
      <c r="S482">
        <f t="shared" si="15"/>
        <v>1</v>
      </c>
    </row>
    <row r="483" spans="1:19" x14ac:dyDescent="0.25">
      <c r="A483" t="s">
        <v>1607</v>
      </c>
      <c r="B483" t="s">
        <v>4028</v>
      </c>
      <c r="C483">
        <v>0.8</v>
      </c>
      <c r="D483">
        <v>118</v>
      </c>
      <c r="E483">
        <v>0</v>
      </c>
      <c r="F483">
        <v>5</v>
      </c>
      <c r="G483">
        <v>5</v>
      </c>
      <c r="H483" t="s">
        <v>1208</v>
      </c>
      <c r="I483" s="1">
        <v>37304</v>
      </c>
      <c r="J483" s="1">
        <v>37308</v>
      </c>
      <c r="K483" s="1">
        <v>37338</v>
      </c>
      <c r="L483" s="1">
        <v>37338</v>
      </c>
      <c r="M483" s="1">
        <v>37331</v>
      </c>
      <c r="N483" s="1">
        <v>37392</v>
      </c>
      <c r="O483" t="s">
        <v>1117</v>
      </c>
      <c r="P483">
        <v>3</v>
      </c>
      <c r="Q483" t="s">
        <v>1438</v>
      </c>
      <c r="R483">
        <f t="shared" si="14"/>
        <v>20</v>
      </c>
      <c r="S483">
        <f t="shared" si="15"/>
        <v>1</v>
      </c>
    </row>
    <row r="484" spans="1:19" x14ac:dyDescent="0.25">
      <c r="A484" t="s">
        <v>1608</v>
      </c>
      <c r="B484" t="s">
        <v>1199</v>
      </c>
      <c r="C484">
        <v>0.8</v>
      </c>
      <c r="D484">
        <v>78</v>
      </c>
      <c r="E484">
        <v>0</v>
      </c>
      <c r="F484">
        <v>5</v>
      </c>
      <c r="G484">
        <v>5</v>
      </c>
      <c r="H484" t="s">
        <v>1208</v>
      </c>
      <c r="I484" s="1">
        <v>37304</v>
      </c>
      <c r="J484" s="1">
        <v>37308</v>
      </c>
      <c r="K484" s="1">
        <v>37344</v>
      </c>
      <c r="L484" s="1">
        <v>37344</v>
      </c>
      <c r="M484" s="1">
        <v>37337</v>
      </c>
      <c r="N484" s="1">
        <v>37346</v>
      </c>
      <c r="O484" t="s">
        <v>1117</v>
      </c>
      <c r="P484">
        <v>1</v>
      </c>
      <c r="Q484" t="s">
        <v>1438</v>
      </c>
      <c r="R484">
        <f t="shared" si="14"/>
        <v>14</v>
      </c>
      <c r="S484">
        <f t="shared" si="15"/>
        <v>1</v>
      </c>
    </row>
    <row r="485" spans="1:19" x14ac:dyDescent="0.25">
      <c r="A485" t="s">
        <v>1609</v>
      </c>
      <c r="B485" t="s">
        <v>1199</v>
      </c>
      <c r="C485">
        <v>0.5</v>
      </c>
      <c r="D485">
        <v>1250</v>
      </c>
      <c r="E485">
        <v>0</v>
      </c>
      <c r="F485">
        <v>6</v>
      </c>
      <c r="G485">
        <v>6</v>
      </c>
      <c r="H485" t="s">
        <v>1208</v>
      </c>
      <c r="I485" s="1">
        <v>37108</v>
      </c>
      <c r="J485" s="1">
        <v>37321</v>
      </c>
      <c r="K485" s="1">
        <v>37346</v>
      </c>
      <c r="L485" s="1">
        <v>37346</v>
      </c>
      <c r="M485" s="1">
        <v>37327</v>
      </c>
      <c r="N485" s="1">
        <v>37327</v>
      </c>
      <c r="O485" t="s">
        <v>1117</v>
      </c>
      <c r="P485">
        <v>15</v>
      </c>
      <c r="Q485" t="s">
        <v>1215</v>
      </c>
      <c r="R485">
        <f t="shared" si="14"/>
        <v>11</v>
      </c>
      <c r="S485">
        <f t="shared" si="15"/>
        <v>1</v>
      </c>
    </row>
    <row r="486" spans="1:19" x14ac:dyDescent="0.25">
      <c r="A486" t="s">
        <v>1610</v>
      </c>
      <c r="B486" t="s">
        <v>4028</v>
      </c>
      <c r="C486">
        <v>0.8</v>
      </c>
      <c r="D486">
        <v>158</v>
      </c>
      <c r="E486">
        <v>0</v>
      </c>
      <c r="F486">
        <v>2.4</v>
      </c>
      <c r="G486">
        <v>2.4</v>
      </c>
      <c r="H486" t="s">
        <v>1208</v>
      </c>
      <c r="I486" s="1">
        <v>37304</v>
      </c>
      <c r="J486" s="1">
        <v>37308</v>
      </c>
      <c r="K486" s="1">
        <v>37340</v>
      </c>
      <c r="L486" s="1">
        <v>37340</v>
      </c>
      <c r="M486" s="1">
        <v>37333</v>
      </c>
      <c r="N486" s="1">
        <v>37392</v>
      </c>
      <c r="O486" t="s">
        <v>1117</v>
      </c>
      <c r="P486">
        <v>4</v>
      </c>
      <c r="Q486" t="s">
        <v>1438</v>
      </c>
      <c r="R486">
        <f t="shared" si="14"/>
        <v>20</v>
      </c>
      <c r="S486">
        <f t="shared" si="15"/>
        <v>1</v>
      </c>
    </row>
    <row r="487" spans="1:19" x14ac:dyDescent="0.25">
      <c r="A487" t="s">
        <v>1611</v>
      </c>
      <c r="B487" t="s">
        <v>1199</v>
      </c>
      <c r="C487">
        <v>0.8</v>
      </c>
      <c r="D487">
        <v>98</v>
      </c>
      <c r="E487">
        <v>0</v>
      </c>
      <c r="F487">
        <v>5</v>
      </c>
      <c r="G487">
        <v>5</v>
      </c>
      <c r="H487" t="s">
        <v>1208</v>
      </c>
      <c r="I487" s="1">
        <v>37302</v>
      </c>
      <c r="J487" s="1">
        <v>37315</v>
      </c>
      <c r="K487" s="1">
        <v>37344</v>
      </c>
      <c r="L487" s="1">
        <v>37344</v>
      </c>
      <c r="M487" s="1">
        <v>37337</v>
      </c>
      <c r="N487" s="1">
        <v>37392</v>
      </c>
      <c r="O487" t="s">
        <v>1117</v>
      </c>
      <c r="P487">
        <v>2</v>
      </c>
      <c r="Q487" t="s">
        <v>1438</v>
      </c>
      <c r="R487">
        <f t="shared" si="14"/>
        <v>20</v>
      </c>
      <c r="S487">
        <f t="shared" si="15"/>
        <v>1</v>
      </c>
    </row>
    <row r="488" spans="1:19" x14ac:dyDescent="0.25">
      <c r="A488" t="s">
        <v>1612</v>
      </c>
      <c r="B488" t="s">
        <v>4027</v>
      </c>
      <c r="C488">
        <v>0.8</v>
      </c>
      <c r="D488">
        <v>78</v>
      </c>
      <c r="E488">
        <v>0</v>
      </c>
      <c r="F488">
        <v>5</v>
      </c>
      <c r="G488">
        <v>5</v>
      </c>
      <c r="H488" t="s">
        <v>1208</v>
      </c>
      <c r="I488" s="1">
        <v>37302</v>
      </c>
      <c r="J488" s="1">
        <v>37308</v>
      </c>
      <c r="K488" s="1">
        <v>37338</v>
      </c>
      <c r="L488" s="1">
        <v>37338</v>
      </c>
      <c r="M488" s="1">
        <v>37331</v>
      </c>
      <c r="N488" s="1">
        <v>37346</v>
      </c>
      <c r="O488" t="s">
        <v>1117</v>
      </c>
      <c r="P488">
        <v>1</v>
      </c>
      <c r="Q488" t="s">
        <v>1438</v>
      </c>
      <c r="R488">
        <f t="shared" si="14"/>
        <v>14</v>
      </c>
      <c r="S488">
        <f t="shared" si="15"/>
        <v>1</v>
      </c>
    </row>
    <row r="489" spans="1:19" x14ac:dyDescent="0.25">
      <c r="A489" t="s">
        <v>1613</v>
      </c>
      <c r="B489" t="s">
        <v>1199</v>
      </c>
      <c r="C489">
        <v>0.8</v>
      </c>
      <c r="D489">
        <v>158</v>
      </c>
      <c r="E489">
        <v>0</v>
      </c>
      <c r="F489">
        <v>2.4</v>
      </c>
      <c r="G489">
        <v>2.4</v>
      </c>
      <c r="H489" t="s">
        <v>1208</v>
      </c>
      <c r="I489" s="1">
        <v>37302</v>
      </c>
      <c r="J489" s="1">
        <v>37315</v>
      </c>
      <c r="K489" s="1">
        <v>37345</v>
      </c>
      <c r="L489" s="1">
        <v>37345</v>
      </c>
      <c r="M489" s="1">
        <v>37332</v>
      </c>
      <c r="N489" s="1">
        <v>37392</v>
      </c>
      <c r="O489" t="s">
        <v>1117</v>
      </c>
      <c r="P489">
        <v>4</v>
      </c>
      <c r="Q489" t="s">
        <v>1438</v>
      </c>
      <c r="R489">
        <f t="shared" si="14"/>
        <v>20</v>
      </c>
      <c r="S489">
        <f t="shared" si="15"/>
        <v>1</v>
      </c>
    </row>
    <row r="490" spans="1:19" x14ac:dyDescent="0.25">
      <c r="A490" t="s">
        <v>1614</v>
      </c>
      <c r="B490" t="s">
        <v>4027</v>
      </c>
      <c r="C490">
        <v>0.8</v>
      </c>
      <c r="D490">
        <v>118</v>
      </c>
      <c r="E490">
        <v>0</v>
      </c>
      <c r="F490">
        <v>5</v>
      </c>
      <c r="G490">
        <v>5</v>
      </c>
      <c r="H490" t="s">
        <v>1208</v>
      </c>
      <c r="I490" s="1">
        <v>37302</v>
      </c>
      <c r="J490" s="1">
        <v>37315</v>
      </c>
      <c r="K490" s="1">
        <v>37338</v>
      </c>
      <c r="L490" s="1">
        <v>37338</v>
      </c>
      <c r="M490" s="1">
        <v>37333</v>
      </c>
      <c r="N490" s="1">
        <v>37392</v>
      </c>
      <c r="O490" t="s">
        <v>1117</v>
      </c>
      <c r="P490">
        <v>3</v>
      </c>
      <c r="Q490" t="s">
        <v>1438</v>
      </c>
      <c r="R490">
        <f t="shared" si="14"/>
        <v>20</v>
      </c>
      <c r="S490">
        <f t="shared" si="15"/>
        <v>1</v>
      </c>
    </row>
    <row r="491" spans="1:19" x14ac:dyDescent="0.25">
      <c r="A491" t="s">
        <v>1615</v>
      </c>
      <c r="B491" t="s">
        <v>1199</v>
      </c>
      <c r="C491">
        <v>0.38</v>
      </c>
      <c r="D491">
        <v>488</v>
      </c>
      <c r="E491">
        <v>0</v>
      </c>
      <c r="F491">
        <v>60</v>
      </c>
      <c r="G491">
        <v>60</v>
      </c>
      <c r="H491" t="s">
        <v>1208</v>
      </c>
      <c r="I491" s="1">
        <v>37159</v>
      </c>
      <c r="J491" s="1">
        <v>37312</v>
      </c>
      <c r="K491" s="1">
        <v>37343</v>
      </c>
      <c r="L491" s="1">
        <v>37343</v>
      </c>
      <c r="M491" s="1">
        <v>37334</v>
      </c>
      <c r="N491" s="1">
        <v>37338</v>
      </c>
      <c r="O491" t="s">
        <v>1117</v>
      </c>
      <c r="P491">
        <v>1</v>
      </c>
      <c r="Q491" t="s">
        <v>1438</v>
      </c>
      <c r="R491">
        <f t="shared" si="14"/>
        <v>12</v>
      </c>
      <c r="S491">
        <f t="shared" si="15"/>
        <v>1</v>
      </c>
    </row>
    <row r="492" spans="1:19" x14ac:dyDescent="0.25">
      <c r="A492" t="s">
        <v>1616</v>
      </c>
      <c r="B492" t="s">
        <v>1199</v>
      </c>
      <c r="C492">
        <v>0.48</v>
      </c>
      <c r="D492">
        <v>321</v>
      </c>
      <c r="E492">
        <v>0</v>
      </c>
      <c r="F492">
        <v>5.1520000000000001</v>
      </c>
      <c r="G492">
        <v>5.1520000000000001</v>
      </c>
      <c r="H492" t="s">
        <v>1208</v>
      </c>
      <c r="I492" s="1">
        <v>37108</v>
      </c>
      <c r="J492" s="1">
        <v>37313</v>
      </c>
      <c r="K492" s="1">
        <v>37325</v>
      </c>
      <c r="L492" s="1">
        <v>37325</v>
      </c>
      <c r="M492" s="1">
        <v>37324</v>
      </c>
      <c r="N492" s="1">
        <v>37324</v>
      </c>
      <c r="O492" t="s">
        <v>1117</v>
      </c>
      <c r="P492">
        <v>2</v>
      </c>
      <c r="Q492" t="s">
        <v>1215</v>
      </c>
      <c r="R492">
        <f t="shared" si="14"/>
        <v>10</v>
      </c>
      <c r="S492">
        <f t="shared" si="15"/>
        <v>1</v>
      </c>
    </row>
    <row r="493" spans="1:19" x14ac:dyDescent="0.25">
      <c r="A493" t="s">
        <v>1617</v>
      </c>
      <c r="B493" t="s">
        <v>4028</v>
      </c>
      <c r="C493">
        <v>0.7</v>
      </c>
      <c r="D493">
        <v>1250</v>
      </c>
      <c r="E493">
        <v>0</v>
      </c>
      <c r="F493">
        <v>45</v>
      </c>
      <c r="G493">
        <v>45</v>
      </c>
      <c r="H493" t="s">
        <v>1208</v>
      </c>
      <c r="I493" s="1">
        <v>37126</v>
      </c>
      <c r="J493" s="1">
        <v>37312</v>
      </c>
      <c r="K493" s="1">
        <v>37340</v>
      </c>
      <c r="L493" s="1">
        <v>37340</v>
      </c>
      <c r="M493" s="1">
        <v>37340</v>
      </c>
      <c r="N493" s="1">
        <v>37343</v>
      </c>
      <c r="O493" t="s">
        <v>1117</v>
      </c>
      <c r="P493">
        <v>7</v>
      </c>
      <c r="Q493" t="s">
        <v>1215</v>
      </c>
      <c r="R493">
        <f t="shared" si="14"/>
        <v>13</v>
      </c>
      <c r="S493">
        <f t="shared" si="15"/>
        <v>1</v>
      </c>
    </row>
    <row r="494" spans="1:19" x14ac:dyDescent="0.25">
      <c r="A494" t="s">
        <v>1618</v>
      </c>
      <c r="B494" t="s">
        <v>1199</v>
      </c>
      <c r="C494">
        <v>0.8</v>
      </c>
      <c r="D494">
        <v>38</v>
      </c>
      <c r="E494">
        <v>0</v>
      </c>
      <c r="F494">
        <v>4.5</v>
      </c>
      <c r="G494">
        <v>4.5</v>
      </c>
      <c r="H494" t="s">
        <v>1208</v>
      </c>
      <c r="I494" s="1">
        <v>37343</v>
      </c>
      <c r="J494" s="1">
        <v>37379</v>
      </c>
      <c r="K494" t="s">
        <v>1124</v>
      </c>
      <c r="L494" t="s">
        <v>1124</v>
      </c>
      <c r="M494" t="s">
        <v>1124</v>
      </c>
      <c r="N494" s="1">
        <v>37368</v>
      </c>
      <c r="O494" t="s">
        <v>1117</v>
      </c>
      <c r="P494">
        <v>1</v>
      </c>
      <c r="Q494" t="s">
        <v>1438</v>
      </c>
      <c r="R494">
        <f t="shared" si="14"/>
        <v>17</v>
      </c>
      <c r="S494">
        <f t="shared" si="15"/>
        <v>0</v>
      </c>
    </row>
    <row r="495" spans="1:19" x14ac:dyDescent="0.25">
      <c r="A495" t="s">
        <v>1619</v>
      </c>
      <c r="B495" t="s">
        <v>1199</v>
      </c>
      <c r="C495">
        <v>0.38</v>
      </c>
      <c r="D495">
        <v>460</v>
      </c>
      <c r="E495">
        <v>0</v>
      </c>
      <c r="F495">
        <v>9</v>
      </c>
      <c r="G495">
        <v>2.1949999999999998</v>
      </c>
      <c r="H495" t="s">
        <v>1208</v>
      </c>
      <c r="I495" s="1">
        <v>37159</v>
      </c>
      <c r="J495" s="1">
        <v>37312</v>
      </c>
      <c r="K495" t="s">
        <v>1124</v>
      </c>
      <c r="L495" t="s">
        <v>1124</v>
      </c>
      <c r="M495" s="1">
        <v>37337</v>
      </c>
      <c r="N495" s="1">
        <v>37337</v>
      </c>
      <c r="O495" t="s">
        <v>1117</v>
      </c>
      <c r="P495">
        <v>6</v>
      </c>
      <c r="Q495" t="s">
        <v>1438</v>
      </c>
      <c r="R495">
        <f t="shared" si="14"/>
        <v>12</v>
      </c>
      <c r="S495">
        <f t="shared" si="15"/>
        <v>0</v>
      </c>
    </row>
    <row r="496" spans="1:19" x14ac:dyDescent="0.25">
      <c r="A496" t="s">
        <v>1620</v>
      </c>
      <c r="B496" t="s">
        <v>1199</v>
      </c>
      <c r="C496">
        <v>0.8</v>
      </c>
      <c r="D496">
        <v>38</v>
      </c>
      <c r="E496">
        <v>0</v>
      </c>
      <c r="F496">
        <v>4.5</v>
      </c>
      <c r="G496">
        <v>4.5</v>
      </c>
      <c r="H496" t="s">
        <v>1208</v>
      </c>
      <c r="I496" s="1">
        <v>37343</v>
      </c>
      <c r="J496" s="1">
        <v>37379</v>
      </c>
      <c r="K496" t="s">
        <v>1124</v>
      </c>
      <c r="L496" t="s">
        <v>1124</v>
      </c>
      <c r="M496" t="s">
        <v>1124</v>
      </c>
      <c r="N496" s="1">
        <v>37368</v>
      </c>
      <c r="O496" t="s">
        <v>1117</v>
      </c>
      <c r="P496">
        <v>1</v>
      </c>
      <c r="Q496" t="s">
        <v>1438</v>
      </c>
      <c r="R496">
        <f t="shared" si="14"/>
        <v>17</v>
      </c>
      <c r="S496">
        <f t="shared" si="15"/>
        <v>0</v>
      </c>
    </row>
    <row r="497" spans="1:19" x14ac:dyDescent="0.25">
      <c r="A497" t="s">
        <v>1621</v>
      </c>
      <c r="B497" t="s">
        <v>4026</v>
      </c>
      <c r="C497">
        <v>0.38</v>
      </c>
      <c r="D497">
        <v>360</v>
      </c>
      <c r="E497">
        <v>0</v>
      </c>
      <c r="F497">
        <v>2.6640000000000001</v>
      </c>
      <c r="G497">
        <v>2.6640000000000001</v>
      </c>
      <c r="H497" t="s">
        <v>1208</v>
      </c>
      <c r="I497" s="1">
        <v>37258</v>
      </c>
      <c r="J497" s="1">
        <v>37312</v>
      </c>
      <c r="K497" t="s">
        <v>1124</v>
      </c>
      <c r="L497" t="s">
        <v>1124</v>
      </c>
      <c r="M497" s="1">
        <v>37335</v>
      </c>
      <c r="N497" s="1">
        <v>37335</v>
      </c>
      <c r="O497" t="s">
        <v>1117</v>
      </c>
      <c r="P497">
        <v>1</v>
      </c>
      <c r="Q497" t="s">
        <v>1438</v>
      </c>
      <c r="R497">
        <f t="shared" si="14"/>
        <v>12</v>
      </c>
      <c r="S497">
        <f t="shared" si="15"/>
        <v>1</v>
      </c>
    </row>
    <row r="498" spans="1:19" x14ac:dyDescent="0.25">
      <c r="A498" t="s">
        <v>1622</v>
      </c>
      <c r="B498" t="s">
        <v>4026</v>
      </c>
      <c r="C498">
        <v>0.33</v>
      </c>
      <c r="D498">
        <v>615</v>
      </c>
      <c r="E498">
        <v>0</v>
      </c>
      <c r="F498">
        <v>40</v>
      </c>
      <c r="G498">
        <v>40</v>
      </c>
      <c r="H498" t="s">
        <v>1208</v>
      </c>
      <c r="I498" s="1">
        <v>37258</v>
      </c>
      <c r="J498" s="1">
        <v>37312</v>
      </c>
      <c r="K498" t="s">
        <v>1124</v>
      </c>
      <c r="L498" t="s">
        <v>1124</v>
      </c>
      <c r="M498" s="1">
        <v>37337</v>
      </c>
      <c r="N498" s="1">
        <v>37345</v>
      </c>
      <c r="O498" t="s">
        <v>1117</v>
      </c>
      <c r="P498">
        <v>1</v>
      </c>
      <c r="Q498" t="s">
        <v>1438</v>
      </c>
      <c r="R498">
        <f t="shared" si="14"/>
        <v>13</v>
      </c>
      <c r="S498">
        <f t="shared" si="15"/>
        <v>1</v>
      </c>
    </row>
    <row r="499" spans="1:19" x14ac:dyDescent="0.25">
      <c r="A499" t="s">
        <v>1623</v>
      </c>
      <c r="B499" t="s">
        <v>4026</v>
      </c>
      <c r="C499">
        <v>0.38</v>
      </c>
      <c r="D499">
        <v>488</v>
      </c>
      <c r="E499">
        <v>0</v>
      </c>
      <c r="F499">
        <v>4.5940000000000003</v>
      </c>
      <c r="G499">
        <v>4.5940000000000003</v>
      </c>
      <c r="H499" t="s">
        <v>1208</v>
      </c>
      <c r="I499" s="1">
        <v>37258</v>
      </c>
      <c r="J499" s="1">
        <v>37312</v>
      </c>
      <c r="K499" s="1">
        <v>37345</v>
      </c>
      <c r="L499" s="1">
        <v>37345</v>
      </c>
      <c r="M499" s="1">
        <v>37338</v>
      </c>
      <c r="N499" s="1">
        <v>37338</v>
      </c>
      <c r="O499" t="s">
        <v>1117</v>
      </c>
      <c r="P499">
        <v>4</v>
      </c>
      <c r="Q499" t="s">
        <v>1438</v>
      </c>
      <c r="R499">
        <f t="shared" si="14"/>
        <v>12</v>
      </c>
      <c r="S499">
        <f t="shared" si="15"/>
        <v>1</v>
      </c>
    </row>
    <row r="500" spans="1:19" x14ac:dyDescent="0.25">
      <c r="A500" t="s">
        <v>1624</v>
      </c>
      <c r="B500" t="s">
        <v>4026</v>
      </c>
      <c r="C500">
        <v>0.8</v>
      </c>
      <c r="D500">
        <v>38</v>
      </c>
      <c r="E500">
        <v>0</v>
      </c>
      <c r="F500">
        <v>4.5</v>
      </c>
      <c r="G500">
        <v>4.5</v>
      </c>
      <c r="H500" t="s">
        <v>1208</v>
      </c>
      <c r="I500" s="1">
        <v>37364</v>
      </c>
      <c r="J500" s="1">
        <v>37398</v>
      </c>
      <c r="K500" s="1">
        <v>37398</v>
      </c>
      <c r="L500" s="1">
        <v>37398</v>
      </c>
      <c r="M500" t="s">
        <v>1124</v>
      </c>
      <c r="N500" s="1">
        <v>37368</v>
      </c>
      <c r="O500" t="s">
        <v>1114</v>
      </c>
      <c r="P500">
        <v>2</v>
      </c>
      <c r="Q500" t="s">
        <v>1438</v>
      </c>
      <c r="R500">
        <f t="shared" si="14"/>
        <v>17</v>
      </c>
      <c r="S500">
        <f t="shared" si="15"/>
        <v>0</v>
      </c>
    </row>
    <row r="501" spans="1:19" x14ac:dyDescent="0.25">
      <c r="A501" t="s">
        <v>1625</v>
      </c>
      <c r="B501" t="s">
        <v>4026</v>
      </c>
      <c r="C501">
        <v>0.7</v>
      </c>
      <c r="D501">
        <v>1250</v>
      </c>
      <c r="E501">
        <v>0</v>
      </c>
      <c r="F501">
        <v>9</v>
      </c>
      <c r="G501">
        <v>9</v>
      </c>
      <c r="H501" t="s">
        <v>1208</v>
      </c>
      <c r="I501" s="1">
        <v>37107</v>
      </c>
      <c r="J501" s="1">
        <v>37313</v>
      </c>
      <c r="K501" s="1">
        <v>37314</v>
      </c>
      <c r="L501" s="1">
        <v>37314</v>
      </c>
      <c r="M501" s="1">
        <v>37262</v>
      </c>
      <c r="N501" s="1">
        <v>37343</v>
      </c>
      <c r="O501" t="s">
        <v>1117</v>
      </c>
      <c r="P501">
        <v>1</v>
      </c>
      <c r="Q501" t="s">
        <v>1215</v>
      </c>
      <c r="R501">
        <f t="shared" si="14"/>
        <v>13</v>
      </c>
      <c r="S501">
        <f t="shared" si="15"/>
        <v>1</v>
      </c>
    </row>
    <row r="502" spans="1:19" x14ac:dyDescent="0.25">
      <c r="A502" t="s">
        <v>1626</v>
      </c>
      <c r="B502" t="s">
        <v>4027</v>
      </c>
      <c r="C502">
        <v>0.33</v>
      </c>
      <c r="D502">
        <v>410</v>
      </c>
      <c r="E502">
        <v>0</v>
      </c>
      <c r="F502">
        <v>18</v>
      </c>
      <c r="G502">
        <v>18</v>
      </c>
      <c r="H502" t="s">
        <v>1208</v>
      </c>
      <c r="I502" s="1">
        <v>37258</v>
      </c>
      <c r="J502" s="1">
        <v>37312</v>
      </c>
      <c r="K502" s="1">
        <v>37340</v>
      </c>
      <c r="L502" s="1">
        <v>37340</v>
      </c>
      <c r="M502" s="1">
        <v>37340</v>
      </c>
      <c r="N502" s="1">
        <v>37345</v>
      </c>
      <c r="O502" t="s">
        <v>1117</v>
      </c>
      <c r="P502">
        <v>1</v>
      </c>
      <c r="Q502" t="s">
        <v>1438</v>
      </c>
      <c r="R502">
        <f t="shared" si="14"/>
        <v>13</v>
      </c>
      <c r="S502">
        <f t="shared" si="15"/>
        <v>1</v>
      </c>
    </row>
    <row r="503" spans="1:19" x14ac:dyDescent="0.25">
      <c r="A503" t="s">
        <v>1627</v>
      </c>
      <c r="B503" t="s">
        <v>4028</v>
      </c>
      <c r="C503">
        <v>0.5</v>
      </c>
      <c r="D503">
        <v>232</v>
      </c>
      <c r="E503">
        <v>0</v>
      </c>
      <c r="F503">
        <v>29.696000000000002</v>
      </c>
      <c r="G503">
        <v>29.696000000000002</v>
      </c>
      <c r="H503" t="s">
        <v>1208</v>
      </c>
      <c r="I503" s="1">
        <v>37133</v>
      </c>
      <c r="J503" s="1">
        <v>37313</v>
      </c>
      <c r="K503" s="1">
        <v>37328</v>
      </c>
      <c r="L503" s="1">
        <v>37328</v>
      </c>
      <c r="M503" s="1">
        <v>37327</v>
      </c>
      <c r="N503" s="1">
        <v>37327</v>
      </c>
      <c r="O503" t="s">
        <v>1117</v>
      </c>
      <c r="P503">
        <v>1</v>
      </c>
      <c r="Q503" t="s">
        <v>1215</v>
      </c>
      <c r="R503">
        <f t="shared" si="14"/>
        <v>11</v>
      </c>
      <c r="S503">
        <f t="shared" si="15"/>
        <v>1</v>
      </c>
    </row>
    <row r="504" spans="1:19" x14ac:dyDescent="0.25">
      <c r="A504" t="s">
        <v>1628</v>
      </c>
      <c r="B504" t="s">
        <v>4028</v>
      </c>
      <c r="C504">
        <v>0.5</v>
      </c>
      <c r="D504">
        <v>1000</v>
      </c>
      <c r="E504">
        <v>0</v>
      </c>
      <c r="F504">
        <v>64</v>
      </c>
      <c r="G504">
        <v>64</v>
      </c>
      <c r="H504" t="s">
        <v>1208</v>
      </c>
      <c r="I504" s="1">
        <v>37108</v>
      </c>
      <c r="J504" s="1">
        <v>37313</v>
      </c>
      <c r="K504" s="1">
        <v>37318</v>
      </c>
      <c r="L504" s="1">
        <v>37318</v>
      </c>
      <c r="M504" s="1">
        <v>37322</v>
      </c>
      <c r="N504" s="1">
        <v>37322</v>
      </c>
      <c r="O504" t="s">
        <v>1117</v>
      </c>
      <c r="P504">
        <v>6</v>
      </c>
      <c r="Q504" t="s">
        <v>1215</v>
      </c>
      <c r="R504">
        <f t="shared" si="14"/>
        <v>10</v>
      </c>
      <c r="S504">
        <f t="shared" si="15"/>
        <v>1</v>
      </c>
    </row>
    <row r="505" spans="1:19" x14ac:dyDescent="0.25">
      <c r="A505" t="s">
        <v>1629</v>
      </c>
      <c r="B505" t="s">
        <v>4028</v>
      </c>
      <c r="C505">
        <v>0.8</v>
      </c>
      <c r="D505">
        <v>1250</v>
      </c>
      <c r="E505">
        <v>0</v>
      </c>
      <c r="F505">
        <v>9</v>
      </c>
      <c r="G505">
        <v>9</v>
      </c>
      <c r="H505" t="s">
        <v>1208</v>
      </c>
      <c r="I505" s="1">
        <v>37128</v>
      </c>
      <c r="J505" s="1">
        <v>37313</v>
      </c>
      <c r="K505" t="s">
        <v>1124</v>
      </c>
      <c r="L505" t="s">
        <v>1124</v>
      </c>
      <c r="M505" s="1">
        <v>37337</v>
      </c>
      <c r="N505" s="1">
        <v>37337</v>
      </c>
      <c r="O505" t="s">
        <v>1117</v>
      </c>
      <c r="P505">
        <v>8</v>
      </c>
      <c r="Q505" t="s">
        <v>1215</v>
      </c>
      <c r="R505">
        <f t="shared" si="14"/>
        <v>12</v>
      </c>
      <c r="S505">
        <f t="shared" si="15"/>
        <v>1</v>
      </c>
    </row>
    <row r="506" spans="1:19" x14ac:dyDescent="0.25">
      <c r="A506" t="s">
        <v>1630</v>
      </c>
      <c r="B506" t="s">
        <v>4028</v>
      </c>
      <c r="C506">
        <v>0.55000000000000004</v>
      </c>
      <c r="D506">
        <v>1000</v>
      </c>
      <c r="E506">
        <v>0</v>
      </c>
      <c r="F506">
        <v>64</v>
      </c>
      <c r="G506">
        <v>64</v>
      </c>
      <c r="H506" t="s">
        <v>1208</v>
      </c>
      <c r="I506" s="1">
        <v>37108</v>
      </c>
      <c r="J506" s="1">
        <v>37313</v>
      </c>
      <c r="K506" s="1">
        <v>37331</v>
      </c>
      <c r="L506" s="1">
        <v>37331</v>
      </c>
      <c r="M506" s="1">
        <v>37331</v>
      </c>
      <c r="N506" s="1">
        <v>37331</v>
      </c>
      <c r="O506" t="s">
        <v>1117</v>
      </c>
      <c r="P506">
        <v>7</v>
      </c>
      <c r="Q506" t="s">
        <v>1215</v>
      </c>
      <c r="R506">
        <f t="shared" si="14"/>
        <v>11</v>
      </c>
      <c r="S506">
        <f t="shared" si="15"/>
        <v>1</v>
      </c>
    </row>
    <row r="507" spans="1:19" x14ac:dyDescent="0.25">
      <c r="A507" t="s">
        <v>1631</v>
      </c>
      <c r="B507" t="s">
        <v>4028</v>
      </c>
      <c r="C507">
        <v>0.5</v>
      </c>
      <c r="D507">
        <v>1250</v>
      </c>
      <c r="E507">
        <v>0</v>
      </c>
      <c r="F507">
        <v>22</v>
      </c>
      <c r="G507">
        <v>22</v>
      </c>
      <c r="H507" t="s">
        <v>1208</v>
      </c>
      <c r="I507" s="1">
        <v>37133</v>
      </c>
      <c r="J507" s="1">
        <v>37319</v>
      </c>
      <c r="K507" s="1">
        <v>37342</v>
      </c>
      <c r="L507" s="1">
        <v>37342</v>
      </c>
      <c r="M507" s="1">
        <v>37342</v>
      </c>
      <c r="N507" s="1">
        <v>37368</v>
      </c>
      <c r="O507" t="s">
        <v>1117</v>
      </c>
      <c r="P507">
        <v>1</v>
      </c>
      <c r="Q507" t="s">
        <v>1215</v>
      </c>
      <c r="R507">
        <f t="shared" si="14"/>
        <v>17</v>
      </c>
      <c r="S507">
        <f t="shared" si="15"/>
        <v>1</v>
      </c>
    </row>
    <row r="508" spans="1:19" x14ac:dyDescent="0.25">
      <c r="A508" t="s">
        <v>1632</v>
      </c>
      <c r="B508" t="s">
        <v>4028</v>
      </c>
      <c r="C508">
        <v>0.6</v>
      </c>
      <c r="D508">
        <v>1250</v>
      </c>
      <c r="E508">
        <v>0</v>
      </c>
      <c r="F508">
        <v>4</v>
      </c>
      <c r="G508">
        <v>4</v>
      </c>
      <c r="H508" t="s">
        <v>1208</v>
      </c>
      <c r="I508" s="1">
        <v>37133</v>
      </c>
      <c r="J508" s="1">
        <v>37319</v>
      </c>
      <c r="K508" s="1">
        <v>37375</v>
      </c>
      <c r="L508" s="1">
        <v>37375</v>
      </c>
      <c r="M508" s="1">
        <v>37368</v>
      </c>
      <c r="N508" s="1">
        <v>37368</v>
      </c>
      <c r="O508" t="s">
        <v>1117</v>
      </c>
      <c r="P508">
        <v>2</v>
      </c>
      <c r="Q508" t="s">
        <v>1215</v>
      </c>
      <c r="R508">
        <f t="shared" si="14"/>
        <v>17</v>
      </c>
      <c r="S508">
        <f t="shared" si="15"/>
        <v>1</v>
      </c>
    </row>
    <row r="509" spans="1:19" x14ac:dyDescent="0.25">
      <c r="A509" t="s">
        <v>1633</v>
      </c>
      <c r="B509" t="s">
        <v>1199</v>
      </c>
      <c r="C509">
        <v>1</v>
      </c>
      <c r="D509">
        <v>1000</v>
      </c>
      <c r="E509">
        <v>0</v>
      </c>
      <c r="F509">
        <v>2</v>
      </c>
      <c r="G509">
        <v>2</v>
      </c>
      <c r="H509" t="s">
        <v>1208</v>
      </c>
      <c r="I509" s="1">
        <v>37133</v>
      </c>
      <c r="J509" s="1">
        <v>37319</v>
      </c>
      <c r="K509" s="1">
        <v>37347</v>
      </c>
      <c r="L509" s="1">
        <v>37347</v>
      </c>
      <c r="M509" s="1">
        <v>37345</v>
      </c>
      <c r="N509" s="1">
        <v>37345</v>
      </c>
      <c r="O509" t="s">
        <v>1117</v>
      </c>
      <c r="P509">
        <v>3</v>
      </c>
      <c r="Q509" t="s">
        <v>1215</v>
      </c>
      <c r="R509">
        <f t="shared" si="14"/>
        <v>13</v>
      </c>
      <c r="S509">
        <f t="shared" si="15"/>
        <v>1</v>
      </c>
    </row>
    <row r="510" spans="1:19" x14ac:dyDescent="0.25">
      <c r="A510" t="s">
        <v>1634</v>
      </c>
      <c r="B510" t="s">
        <v>1199</v>
      </c>
      <c r="C510">
        <v>0.8</v>
      </c>
      <c r="D510">
        <v>1000</v>
      </c>
      <c r="E510">
        <v>0</v>
      </c>
      <c r="F510">
        <v>9</v>
      </c>
      <c r="G510">
        <v>9</v>
      </c>
      <c r="H510" t="s">
        <v>1208</v>
      </c>
      <c r="I510" s="1">
        <v>37133</v>
      </c>
      <c r="J510" s="1">
        <v>37319</v>
      </c>
      <c r="K510" s="1">
        <v>37353</v>
      </c>
      <c r="L510" s="1">
        <v>37353</v>
      </c>
      <c r="M510" s="1">
        <v>37353</v>
      </c>
      <c r="N510" s="1">
        <v>37353</v>
      </c>
      <c r="O510" t="s">
        <v>1117</v>
      </c>
      <c r="P510">
        <v>2</v>
      </c>
      <c r="Q510" t="s">
        <v>1215</v>
      </c>
      <c r="R510">
        <f t="shared" si="14"/>
        <v>15</v>
      </c>
      <c r="S510">
        <f t="shared" si="15"/>
        <v>1</v>
      </c>
    </row>
    <row r="511" spans="1:19" x14ac:dyDescent="0.25">
      <c r="A511" t="s">
        <v>1635</v>
      </c>
      <c r="B511" t="s">
        <v>4028</v>
      </c>
      <c r="C511">
        <v>1.18</v>
      </c>
      <c r="D511">
        <v>77</v>
      </c>
      <c r="E511">
        <v>0</v>
      </c>
      <c r="F511">
        <v>4</v>
      </c>
      <c r="G511">
        <v>4</v>
      </c>
      <c r="H511" t="s">
        <v>1208</v>
      </c>
      <c r="I511" s="1">
        <v>37132</v>
      </c>
      <c r="J511" s="1">
        <v>37346</v>
      </c>
      <c r="K511" s="1">
        <v>37353</v>
      </c>
      <c r="L511" s="1">
        <v>37353</v>
      </c>
      <c r="M511" s="1">
        <v>37353</v>
      </c>
      <c r="N511" s="1">
        <v>37353</v>
      </c>
      <c r="O511" t="s">
        <v>1117</v>
      </c>
      <c r="P511">
        <v>21</v>
      </c>
      <c r="Q511" t="s">
        <v>1215</v>
      </c>
      <c r="R511">
        <f t="shared" si="14"/>
        <v>15</v>
      </c>
      <c r="S511">
        <f t="shared" si="15"/>
        <v>1</v>
      </c>
    </row>
    <row r="512" spans="1:19" x14ac:dyDescent="0.25">
      <c r="A512" t="s">
        <v>1636</v>
      </c>
      <c r="B512" t="s">
        <v>1199</v>
      </c>
      <c r="C512">
        <v>1.6</v>
      </c>
      <c r="D512">
        <v>1250</v>
      </c>
      <c r="E512">
        <v>0</v>
      </c>
      <c r="F512">
        <v>3</v>
      </c>
      <c r="G512">
        <v>3</v>
      </c>
      <c r="H512" t="s">
        <v>1208</v>
      </c>
      <c r="I512" s="1">
        <v>37159</v>
      </c>
      <c r="J512" s="1">
        <v>37323</v>
      </c>
      <c r="K512" s="1">
        <v>37364</v>
      </c>
      <c r="L512" s="1">
        <v>37364</v>
      </c>
      <c r="M512" s="1">
        <v>37267</v>
      </c>
      <c r="N512" s="1">
        <v>37267</v>
      </c>
      <c r="O512" t="s">
        <v>1117</v>
      </c>
      <c r="P512">
        <v>1</v>
      </c>
      <c r="Q512" t="s">
        <v>1215</v>
      </c>
      <c r="R512">
        <f t="shared" si="14"/>
        <v>2</v>
      </c>
      <c r="S512">
        <f t="shared" si="15"/>
        <v>1</v>
      </c>
    </row>
    <row r="513" spans="1:19" x14ac:dyDescent="0.25">
      <c r="A513" t="s">
        <v>1637</v>
      </c>
      <c r="B513" t="s">
        <v>4028</v>
      </c>
      <c r="C513">
        <v>1.45</v>
      </c>
      <c r="D513">
        <v>156</v>
      </c>
      <c r="E513">
        <v>0</v>
      </c>
      <c r="F513">
        <v>10</v>
      </c>
      <c r="G513">
        <v>10</v>
      </c>
      <c r="H513" t="s">
        <v>1208</v>
      </c>
      <c r="I513" s="1">
        <v>37132</v>
      </c>
      <c r="J513" s="1">
        <v>37346</v>
      </c>
      <c r="K513" s="1">
        <v>37353</v>
      </c>
      <c r="L513" s="1">
        <v>37353</v>
      </c>
      <c r="M513" s="1">
        <v>37353</v>
      </c>
      <c r="N513" s="1">
        <v>37353</v>
      </c>
      <c r="O513" t="s">
        <v>1117</v>
      </c>
      <c r="P513">
        <v>13</v>
      </c>
      <c r="Q513" t="s">
        <v>1215</v>
      </c>
      <c r="R513">
        <f t="shared" si="14"/>
        <v>15</v>
      </c>
      <c r="S513">
        <f t="shared" si="15"/>
        <v>1</v>
      </c>
    </row>
    <row r="514" spans="1:19" x14ac:dyDescent="0.25">
      <c r="A514" t="s">
        <v>1638</v>
      </c>
      <c r="B514" t="s">
        <v>1199</v>
      </c>
      <c r="C514">
        <v>1.18</v>
      </c>
      <c r="D514">
        <v>47</v>
      </c>
      <c r="E514">
        <v>0</v>
      </c>
      <c r="F514">
        <v>2</v>
      </c>
      <c r="G514">
        <v>2</v>
      </c>
      <c r="H514" t="s">
        <v>1208</v>
      </c>
      <c r="I514" s="1">
        <v>37132</v>
      </c>
      <c r="J514" s="1">
        <v>37346</v>
      </c>
      <c r="K514" s="1">
        <v>37353</v>
      </c>
      <c r="L514" s="1">
        <v>37353</v>
      </c>
      <c r="M514" s="1">
        <v>37353</v>
      </c>
      <c r="N514" s="1">
        <v>37353</v>
      </c>
      <c r="O514" t="s">
        <v>1117</v>
      </c>
      <c r="P514">
        <v>23</v>
      </c>
      <c r="Q514" t="s">
        <v>1215</v>
      </c>
      <c r="R514">
        <f t="shared" si="14"/>
        <v>15</v>
      </c>
      <c r="S514">
        <f t="shared" si="15"/>
        <v>1</v>
      </c>
    </row>
    <row r="515" spans="1:19" x14ac:dyDescent="0.25">
      <c r="A515" t="s">
        <v>1639</v>
      </c>
      <c r="B515" t="s">
        <v>1199</v>
      </c>
      <c r="C515">
        <v>1.18</v>
      </c>
      <c r="D515">
        <v>157</v>
      </c>
      <c r="E515">
        <v>0</v>
      </c>
      <c r="F515">
        <v>8</v>
      </c>
      <c r="G515">
        <v>8</v>
      </c>
      <c r="H515" t="s">
        <v>1208</v>
      </c>
      <c r="I515" s="1">
        <v>37132</v>
      </c>
      <c r="J515" s="1">
        <v>37346</v>
      </c>
      <c r="K515" s="1">
        <v>37353</v>
      </c>
      <c r="L515" s="1">
        <v>37353</v>
      </c>
      <c r="M515" s="1">
        <v>37353</v>
      </c>
      <c r="N515" s="1">
        <v>37353</v>
      </c>
      <c r="O515" t="s">
        <v>1117</v>
      </c>
      <c r="P515">
        <v>18</v>
      </c>
      <c r="Q515" t="s">
        <v>1215</v>
      </c>
      <c r="R515">
        <f t="shared" ref="R515:R578" si="16">WEEKNUM(N515,1)</f>
        <v>15</v>
      </c>
      <c r="S515">
        <f t="shared" ref="S515:S578" si="17">IF(AND(F515=G515, M515&lt;=N515), 1,0)</f>
        <v>1</v>
      </c>
    </row>
    <row r="516" spans="1:19" x14ac:dyDescent="0.25">
      <c r="A516" t="s">
        <v>1640</v>
      </c>
      <c r="B516" t="s">
        <v>4028</v>
      </c>
      <c r="C516">
        <v>1.45</v>
      </c>
      <c r="D516">
        <v>76</v>
      </c>
      <c r="E516">
        <v>0</v>
      </c>
      <c r="F516">
        <v>4</v>
      </c>
      <c r="G516">
        <v>4</v>
      </c>
      <c r="H516" t="s">
        <v>1208</v>
      </c>
      <c r="I516" s="1">
        <v>37132</v>
      </c>
      <c r="J516" s="1">
        <v>37346</v>
      </c>
      <c r="K516" s="1">
        <v>37353</v>
      </c>
      <c r="L516" s="1">
        <v>37353</v>
      </c>
      <c r="M516" s="1">
        <v>37353</v>
      </c>
      <c r="N516" s="1">
        <v>37353</v>
      </c>
      <c r="O516" t="s">
        <v>1117</v>
      </c>
      <c r="P516">
        <v>15</v>
      </c>
      <c r="Q516" t="s">
        <v>1215</v>
      </c>
      <c r="R516">
        <f t="shared" si="16"/>
        <v>15</v>
      </c>
      <c r="S516">
        <f t="shared" si="17"/>
        <v>1</v>
      </c>
    </row>
    <row r="517" spans="1:19" x14ac:dyDescent="0.25">
      <c r="A517" t="s">
        <v>1641</v>
      </c>
      <c r="B517" t="s">
        <v>4026</v>
      </c>
      <c r="C517">
        <v>0.48</v>
      </c>
      <c r="D517">
        <v>232</v>
      </c>
      <c r="E517">
        <v>0</v>
      </c>
      <c r="F517">
        <v>7.4320000000000004</v>
      </c>
      <c r="G517">
        <v>7.4320000000000004</v>
      </c>
      <c r="H517" t="s">
        <v>1208</v>
      </c>
      <c r="I517" s="1">
        <v>37119</v>
      </c>
      <c r="J517" s="1">
        <v>37313</v>
      </c>
      <c r="K517" s="1">
        <v>37325</v>
      </c>
      <c r="L517" s="1">
        <v>37325</v>
      </c>
      <c r="M517" s="1">
        <v>37324</v>
      </c>
      <c r="N517" s="1">
        <v>37324</v>
      </c>
      <c r="O517" t="s">
        <v>1117</v>
      </c>
      <c r="P517">
        <v>2</v>
      </c>
      <c r="Q517" t="s">
        <v>1215</v>
      </c>
      <c r="R517">
        <f t="shared" si="16"/>
        <v>10</v>
      </c>
      <c r="S517">
        <f t="shared" si="17"/>
        <v>1</v>
      </c>
    </row>
    <row r="518" spans="1:19" x14ac:dyDescent="0.25">
      <c r="A518" t="s">
        <v>1642</v>
      </c>
      <c r="B518" t="s">
        <v>4026</v>
      </c>
      <c r="C518">
        <v>1.18</v>
      </c>
      <c r="D518">
        <v>117</v>
      </c>
      <c r="E518">
        <v>0</v>
      </c>
      <c r="F518">
        <v>2</v>
      </c>
      <c r="G518">
        <v>2</v>
      </c>
      <c r="H518" t="s">
        <v>1208</v>
      </c>
      <c r="I518" s="1">
        <v>37132</v>
      </c>
      <c r="J518" s="1">
        <v>37346</v>
      </c>
      <c r="K518" s="1">
        <v>37353</v>
      </c>
      <c r="L518" s="1">
        <v>37353</v>
      </c>
      <c r="M518" s="1">
        <v>37353</v>
      </c>
      <c r="N518" s="1">
        <v>37353</v>
      </c>
      <c r="O518" t="s">
        <v>1117</v>
      </c>
      <c r="P518">
        <v>19</v>
      </c>
      <c r="Q518" t="s">
        <v>1215</v>
      </c>
      <c r="R518">
        <f t="shared" si="16"/>
        <v>15</v>
      </c>
      <c r="S518">
        <f t="shared" si="17"/>
        <v>1</v>
      </c>
    </row>
    <row r="519" spans="1:19" x14ac:dyDescent="0.25">
      <c r="A519" t="s">
        <v>1643</v>
      </c>
      <c r="B519" t="s">
        <v>1199</v>
      </c>
      <c r="C519">
        <v>0.8</v>
      </c>
      <c r="D519">
        <v>38</v>
      </c>
      <c r="E519">
        <v>0</v>
      </c>
      <c r="F519">
        <v>4.5</v>
      </c>
      <c r="G519">
        <v>4.5</v>
      </c>
      <c r="H519" t="s">
        <v>1208</v>
      </c>
      <c r="I519" s="1">
        <v>37335</v>
      </c>
      <c r="J519" s="1">
        <v>37368</v>
      </c>
      <c r="K519" s="1">
        <v>37371</v>
      </c>
      <c r="L519" s="1">
        <v>37371</v>
      </c>
      <c r="M519" s="1">
        <v>37368</v>
      </c>
      <c r="N519" s="1">
        <v>37368</v>
      </c>
      <c r="O519" t="s">
        <v>1117</v>
      </c>
      <c r="P519">
        <v>1</v>
      </c>
      <c r="Q519" t="s">
        <v>1438</v>
      </c>
      <c r="R519">
        <f t="shared" si="16"/>
        <v>17</v>
      </c>
      <c r="S519">
        <f t="shared" si="17"/>
        <v>1</v>
      </c>
    </row>
    <row r="520" spans="1:19" x14ac:dyDescent="0.25">
      <c r="A520" t="s">
        <v>1644</v>
      </c>
      <c r="B520" t="s">
        <v>4027</v>
      </c>
      <c r="C520">
        <v>0.38</v>
      </c>
      <c r="D520">
        <v>485</v>
      </c>
      <c r="E520">
        <v>0</v>
      </c>
      <c r="F520">
        <v>10.895</v>
      </c>
      <c r="G520">
        <v>10.895</v>
      </c>
      <c r="H520" t="s">
        <v>1208</v>
      </c>
      <c r="I520" s="1">
        <v>37258</v>
      </c>
      <c r="J520" s="1">
        <v>37312</v>
      </c>
      <c r="K520" s="1">
        <v>37345</v>
      </c>
      <c r="L520" s="1">
        <v>37345</v>
      </c>
      <c r="M520" s="1">
        <v>37338</v>
      </c>
      <c r="N520" s="1">
        <v>37338</v>
      </c>
      <c r="O520" t="s">
        <v>1117</v>
      </c>
      <c r="P520">
        <v>1</v>
      </c>
      <c r="Q520" t="s">
        <v>1438</v>
      </c>
      <c r="R520">
        <f t="shared" si="16"/>
        <v>12</v>
      </c>
      <c r="S520">
        <f t="shared" si="17"/>
        <v>1</v>
      </c>
    </row>
    <row r="521" spans="1:19" x14ac:dyDescent="0.25">
      <c r="A521" t="s">
        <v>1645</v>
      </c>
      <c r="B521" t="s">
        <v>4026</v>
      </c>
      <c r="C521">
        <v>0.4</v>
      </c>
      <c r="D521">
        <v>435</v>
      </c>
      <c r="E521">
        <v>0</v>
      </c>
      <c r="F521">
        <v>9</v>
      </c>
      <c r="G521">
        <v>9</v>
      </c>
      <c r="H521" t="s">
        <v>1208</v>
      </c>
      <c r="I521" s="1">
        <v>37159</v>
      </c>
      <c r="J521" s="1">
        <v>37312</v>
      </c>
      <c r="K521" s="1">
        <v>37336</v>
      </c>
      <c r="L521" s="1">
        <v>37336</v>
      </c>
      <c r="M521" s="1">
        <v>37336</v>
      </c>
      <c r="N521" s="1">
        <v>37338</v>
      </c>
      <c r="O521" t="s">
        <v>1117</v>
      </c>
      <c r="P521">
        <v>3</v>
      </c>
      <c r="Q521" t="s">
        <v>1438</v>
      </c>
      <c r="R521">
        <f t="shared" si="16"/>
        <v>12</v>
      </c>
      <c r="S521">
        <f t="shared" si="17"/>
        <v>1</v>
      </c>
    </row>
    <row r="522" spans="1:19" x14ac:dyDescent="0.25">
      <c r="A522" t="s">
        <v>1646</v>
      </c>
      <c r="B522" t="s">
        <v>1199</v>
      </c>
      <c r="C522">
        <v>1.2</v>
      </c>
      <c r="D522">
        <v>1250</v>
      </c>
      <c r="E522">
        <v>0</v>
      </c>
      <c r="F522">
        <v>22</v>
      </c>
      <c r="G522">
        <v>22</v>
      </c>
      <c r="H522" t="s">
        <v>1208</v>
      </c>
      <c r="I522" s="1">
        <v>37132</v>
      </c>
      <c r="J522" s="1">
        <v>37313</v>
      </c>
      <c r="K522" s="1">
        <v>37317</v>
      </c>
      <c r="L522" s="1">
        <v>37317</v>
      </c>
      <c r="M522" s="1">
        <v>37324</v>
      </c>
      <c r="N522" s="1">
        <v>37324</v>
      </c>
      <c r="O522" t="s">
        <v>1117</v>
      </c>
      <c r="P522">
        <v>1</v>
      </c>
      <c r="Q522" t="s">
        <v>1215</v>
      </c>
      <c r="R522">
        <f t="shared" si="16"/>
        <v>10</v>
      </c>
      <c r="S522">
        <f t="shared" si="17"/>
        <v>1</v>
      </c>
    </row>
    <row r="523" spans="1:19" x14ac:dyDescent="0.25">
      <c r="A523" t="s">
        <v>1647</v>
      </c>
      <c r="B523" t="s">
        <v>1199</v>
      </c>
      <c r="C523">
        <v>0.7</v>
      </c>
      <c r="D523">
        <v>1250</v>
      </c>
      <c r="E523">
        <v>0</v>
      </c>
      <c r="F523">
        <v>9</v>
      </c>
      <c r="G523">
        <v>9</v>
      </c>
      <c r="H523" t="s">
        <v>1208</v>
      </c>
      <c r="I523" s="1">
        <v>37108</v>
      </c>
      <c r="J523" s="1">
        <v>37320</v>
      </c>
      <c r="K523" s="1">
        <v>37375</v>
      </c>
      <c r="L523" s="1">
        <v>37375</v>
      </c>
      <c r="M523" s="1">
        <v>37368</v>
      </c>
      <c r="N523" s="1">
        <v>37368</v>
      </c>
      <c r="O523" t="s">
        <v>1117</v>
      </c>
      <c r="P523">
        <v>2</v>
      </c>
      <c r="Q523" t="s">
        <v>1215</v>
      </c>
      <c r="R523">
        <f t="shared" si="16"/>
        <v>17</v>
      </c>
      <c r="S523">
        <f t="shared" si="17"/>
        <v>1</v>
      </c>
    </row>
    <row r="524" spans="1:19" x14ac:dyDescent="0.25">
      <c r="A524" t="s">
        <v>1648</v>
      </c>
      <c r="B524" t="s">
        <v>4026</v>
      </c>
      <c r="C524">
        <v>0.28999999999999998</v>
      </c>
      <c r="D524">
        <v>410</v>
      </c>
      <c r="E524">
        <v>0</v>
      </c>
      <c r="F524">
        <v>3.266</v>
      </c>
      <c r="G524">
        <v>3.266</v>
      </c>
      <c r="H524" t="s">
        <v>1208</v>
      </c>
      <c r="I524" s="1">
        <v>37258</v>
      </c>
      <c r="J524" s="1">
        <v>37312</v>
      </c>
      <c r="K524" s="1">
        <v>37334</v>
      </c>
      <c r="L524" s="1">
        <v>37334</v>
      </c>
      <c r="M524" s="1">
        <v>37334</v>
      </c>
      <c r="N524" s="1">
        <v>37337</v>
      </c>
      <c r="O524" t="s">
        <v>1117</v>
      </c>
      <c r="P524">
        <v>1</v>
      </c>
      <c r="Q524" t="s">
        <v>1438</v>
      </c>
      <c r="R524">
        <f t="shared" si="16"/>
        <v>12</v>
      </c>
      <c r="S524">
        <f t="shared" si="17"/>
        <v>1</v>
      </c>
    </row>
    <row r="525" spans="1:19" x14ac:dyDescent="0.25">
      <c r="A525" t="s">
        <v>1649</v>
      </c>
      <c r="B525" t="s">
        <v>1199</v>
      </c>
      <c r="C525">
        <v>0.55000000000000004</v>
      </c>
      <c r="D525">
        <v>305</v>
      </c>
      <c r="E525">
        <v>0</v>
      </c>
      <c r="F525">
        <v>2.44</v>
      </c>
      <c r="G525">
        <v>1.6539999999999999</v>
      </c>
      <c r="H525" t="s">
        <v>1208</v>
      </c>
      <c r="I525" s="1">
        <v>37159</v>
      </c>
      <c r="J525" s="1">
        <v>37313</v>
      </c>
      <c r="K525" s="1">
        <v>37328</v>
      </c>
      <c r="L525" s="1">
        <v>37328</v>
      </c>
      <c r="M525" s="1">
        <v>37327</v>
      </c>
      <c r="N525" s="1">
        <v>37327</v>
      </c>
      <c r="O525" t="s">
        <v>1117</v>
      </c>
      <c r="P525">
        <v>2</v>
      </c>
      <c r="Q525" t="s">
        <v>1215</v>
      </c>
      <c r="R525">
        <f t="shared" si="16"/>
        <v>11</v>
      </c>
      <c r="S525">
        <f t="shared" si="17"/>
        <v>0</v>
      </c>
    </row>
    <row r="526" spans="1:19" x14ac:dyDescent="0.25">
      <c r="A526" t="s">
        <v>1650</v>
      </c>
      <c r="B526" t="s">
        <v>4028</v>
      </c>
      <c r="C526">
        <v>0.6</v>
      </c>
      <c r="D526">
        <v>1000</v>
      </c>
      <c r="E526">
        <v>0</v>
      </c>
      <c r="F526">
        <v>64</v>
      </c>
      <c r="G526">
        <v>61.258000000000003</v>
      </c>
      <c r="H526" t="s">
        <v>1208</v>
      </c>
      <c r="I526" s="1">
        <v>37108</v>
      </c>
      <c r="J526" s="1">
        <v>37313</v>
      </c>
      <c r="K526" s="1">
        <v>37337</v>
      </c>
      <c r="L526" s="1">
        <v>37337</v>
      </c>
      <c r="M526" s="1">
        <v>37337</v>
      </c>
      <c r="N526" s="1">
        <v>37337</v>
      </c>
      <c r="O526" t="s">
        <v>1117</v>
      </c>
      <c r="P526">
        <v>8</v>
      </c>
      <c r="Q526" t="s">
        <v>1215</v>
      </c>
      <c r="R526">
        <f t="shared" si="16"/>
        <v>12</v>
      </c>
      <c r="S526">
        <f t="shared" si="17"/>
        <v>0</v>
      </c>
    </row>
    <row r="527" spans="1:19" x14ac:dyDescent="0.25">
      <c r="A527" t="s">
        <v>1651</v>
      </c>
      <c r="B527" t="s">
        <v>1199</v>
      </c>
      <c r="C527">
        <v>0.8</v>
      </c>
      <c r="D527">
        <v>1250</v>
      </c>
      <c r="E527">
        <v>0</v>
      </c>
      <c r="F527">
        <v>20</v>
      </c>
      <c r="G527">
        <v>20</v>
      </c>
      <c r="H527" t="s">
        <v>1208</v>
      </c>
      <c r="I527" s="1">
        <v>37120</v>
      </c>
      <c r="J527" s="1">
        <v>37312</v>
      </c>
      <c r="K527" s="1">
        <v>37337</v>
      </c>
      <c r="L527" s="1">
        <v>37337</v>
      </c>
      <c r="M527" s="1">
        <v>37337</v>
      </c>
      <c r="N527" s="1">
        <v>37337</v>
      </c>
      <c r="O527" t="s">
        <v>1117</v>
      </c>
      <c r="P527">
        <v>15</v>
      </c>
      <c r="Q527" t="s">
        <v>1215</v>
      </c>
      <c r="R527">
        <f t="shared" si="16"/>
        <v>12</v>
      </c>
      <c r="S527">
        <f t="shared" si="17"/>
        <v>1</v>
      </c>
    </row>
    <row r="528" spans="1:19" x14ac:dyDescent="0.25">
      <c r="A528" t="s">
        <v>1652</v>
      </c>
      <c r="B528" t="s">
        <v>4028</v>
      </c>
      <c r="C528">
        <v>0.8</v>
      </c>
      <c r="D528">
        <v>38</v>
      </c>
      <c r="E528">
        <v>0</v>
      </c>
      <c r="F528">
        <v>4.5</v>
      </c>
      <c r="G528">
        <v>4.5</v>
      </c>
      <c r="H528" t="s">
        <v>1208</v>
      </c>
      <c r="I528" s="1">
        <v>37335</v>
      </c>
      <c r="J528" s="1">
        <v>37368</v>
      </c>
      <c r="K528" s="1">
        <v>37371</v>
      </c>
      <c r="L528" s="1">
        <v>37371</v>
      </c>
      <c r="M528" s="1">
        <v>37368</v>
      </c>
      <c r="N528" s="1">
        <v>37368</v>
      </c>
      <c r="O528" t="s">
        <v>1117</v>
      </c>
      <c r="P528">
        <v>1</v>
      </c>
      <c r="Q528" t="s">
        <v>1438</v>
      </c>
      <c r="R528">
        <f t="shared" si="16"/>
        <v>17</v>
      </c>
      <c r="S528">
        <f t="shared" si="17"/>
        <v>1</v>
      </c>
    </row>
    <row r="529" spans="1:19" x14ac:dyDescent="0.25">
      <c r="A529" t="s">
        <v>1653</v>
      </c>
      <c r="B529" t="s">
        <v>4027</v>
      </c>
      <c r="C529">
        <v>0.7</v>
      </c>
      <c r="D529">
        <v>1250</v>
      </c>
      <c r="E529">
        <v>0</v>
      </c>
      <c r="F529">
        <v>21</v>
      </c>
      <c r="G529">
        <v>21</v>
      </c>
      <c r="H529" t="s">
        <v>1208</v>
      </c>
      <c r="I529" s="1">
        <v>37128</v>
      </c>
      <c r="J529" s="1">
        <v>37313</v>
      </c>
      <c r="K529" s="1">
        <v>37343</v>
      </c>
      <c r="L529" s="1">
        <v>37343</v>
      </c>
      <c r="M529" s="1">
        <v>37343</v>
      </c>
      <c r="N529" s="1">
        <v>37343</v>
      </c>
      <c r="O529" t="s">
        <v>1117</v>
      </c>
      <c r="P529">
        <v>7</v>
      </c>
      <c r="Q529" t="s">
        <v>1215</v>
      </c>
      <c r="R529">
        <f t="shared" si="16"/>
        <v>13</v>
      </c>
      <c r="S529">
        <f t="shared" si="17"/>
        <v>1</v>
      </c>
    </row>
    <row r="530" spans="1:19" x14ac:dyDescent="0.25">
      <c r="A530" t="s">
        <v>1654</v>
      </c>
      <c r="B530" t="s">
        <v>4028</v>
      </c>
      <c r="C530">
        <v>0.33</v>
      </c>
      <c r="D530">
        <v>615</v>
      </c>
      <c r="E530">
        <v>0</v>
      </c>
      <c r="F530">
        <v>20</v>
      </c>
      <c r="G530">
        <v>10.718</v>
      </c>
      <c r="H530" t="s">
        <v>1208</v>
      </c>
      <c r="I530" s="1">
        <v>37159</v>
      </c>
      <c r="J530" s="1">
        <v>37312</v>
      </c>
      <c r="K530" s="1">
        <v>37345</v>
      </c>
      <c r="L530" s="1">
        <v>37345</v>
      </c>
      <c r="M530" s="1">
        <v>37345</v>
      </c>
      <c r="N530" s="1">
        <v>37345</v>
      </c>
      <c r="O530" t="s">
        <v>1117</v>
      </c>
      <c r="P530">
        <v>6</v>
      </c>
      <c r="Q530" t="s">
        <v>1438</v>
      </c>
      <c r="R530">
        <f t="shared" si="16"/>
        <v>13</v>
      </c>
      <c r="S530">
        <f t="shared" si="17"/>
        <v>0</v>
      </c>
    </row>
    <row r="531" spans="1:19" x14ac:dyDescent="0.25">
      <c r="A531" t="s">
        <v>1655</v>
      </c>
      <c r="B531" t="s">
        <v>1199</v>
      </c>
      <c r="C531">
        <v>0.8</v>
      </c>
      <c r="D531">
        <v>38</v>
      </c>
      <c r="E531">
        <v>0</v>
      </c>
      <c r="F531">
        <v>4.5</v>
      </c>
      <c r="G531">
        <v>4.5</v>
      </c>
      <c r="H531" t="s">
        <v>1208</v>
      </c>
      <c r="I531" s="1">
        <v>37343</v>
      </c>
      <c r="J531" s="1">
        <v>37379</v>
      </c>
      <c r="K531" t="s">
        <v>1124</v>
      </c>
      <c r="L531" t="s">
        <v>1124</v>
      </c>
      <c r="M531" t="s">
        <v>1124</v>
      </c>
      <c r="N531" s="1">
        <v>37368</v>
      </c>
      <c r="O531" t="s">
        <v>1117</v>
      </c>
      <c r="P531">
        <v>1</v>
      </c>
      <c r="Q531" t="s">
        <v>1438</v>
      </c>
      <c r="R531">
        <f t="shared" si="16"/>
        <v>17</v>
      </c>
      <c r="S531">
        <f t="shared" si="17"/>
        <v>0</v>
      </c>
    </row>
    <row r="532" spans="1:19" x14ac:dyDescent="0.25">
      <c r="A532" t="s">
        <v>1656</v>
      </c>
      <c r="B532" t="s">
        <v>1199</v>
      </c>
      <c r="C532">
        <v>0.26</v>
      </c>
      <c r="D532">
        <v>410</v>
      </c>
      <c r="E532">
        <v>0</v>
      </c>
      <c r="F532">
        <v>3.8780000000000001</v>
      </c>
      <c r="G532">
        <v>3.8780000000000001</v>
      </c>
      <c r="H532" t="s">
        <v>1208</v>
      </c>
      <c r="I532" s="1">
        <v>37258</v>
      </c>
      <c r="J532" s="1">
        <v>37312</v>
      </c>
      <c r="K532" s="1">
        <v>37349</v>
      </c>
      <c r="L532" s="1">
        <v>37349</v>
      </c>
      <c r="M532" s="1">
        <v>37335</v>
      </c>
      <c r="N532" s="1">
        <v>37335</v>
      </c>
      <c r="O532" t="s">
        <v>1117</v>
      </c>
      <c r="P532">
        <v>1</v>
      </c>
      <c r="Q532" t="s">
        <v>1438</v>
      </c>
      <c r="R532">
        <f t="shared" si="16"/>
        <v>12</v>
      </c>
      <c r="S532">
        <f t="shared" si="17"/>
        <v>1</v>
      </c>
    </row>
    <row r="533" spans="1:19" x14ac:dyDescent="0.25">
      <c r="A533" t="s">
        <v>1657</v>
      </c>
      <c r="B533" t="s">
        <v>1199</v>
      </c>
      <c r="C533">
        <v>0.4</v>
      </c>
      <c r="D533">
        <v>565</v>
      </c>
      <c r="E533">
        <v>0</v>
      </c>
      <c r="F533">
        <v>2.5489999999999999</v>
      </c>
      <c r="G533">
        <v>2.5489999999999999</v>
      </c>
      <c r="H533" t="s">
        <v>1208</v>
      </c>
      <c r="I533" s="1">
        <v>37258</v>
      </c>
      <c r="J533" s="1">
        <v>37312</v>
      </c>
      <c r="K533" t="s">
        <v>1124</v>
      </c>
      <c r="L533" t="s">
        <v>1124</v>
      </c>
      <c r="M533" s="1">
        <v>37339</v>
      </c>
      <c r="N533" s="1">
        <v>37339</v>
      </c>
      <c r="O533" t="s">
        <v>1117</v>
      </c>
      <c r="P533">
        <v>1</v>
      </c>
      <c r="Q533" t="s">
        <v>1438</v>
      </c>
      <c r="R533">
        <f t="shared" si="16"/>
        <v>13</v>
      </c>
      <c r="S533">
        <f t="shared" si="17"/>
        <v>1</v>
      </c>
    </row>
    <row r="534" spans="1:19" x14ac:dyDescent="0.25">
      <c r="A534" t="s">
        <v>1658</v>
      </c>
      <c r="B534" t="s">
        <v>1199</v>
      </c>
      <c r="C534">
        <v>1</v>
      </c>
      <c r="D534">
        <v>1000</v>
      </c>
      <c r="E534">
        <v>0</v>
      </c>
      <c r="F534">
        <v>3</v>
      </c>
      <c r="G534">
        <v>3</v>
      </c>
      <c r="H534" t="s">
        <v>1208</v>
      </c>
      <c r="I534" s="1">
        <v>37126</v>
      </c>
      <c r="J534" s="1">
        <v>37310</v>
      </c>
      <c r="K534" s="1">
        <v>37338</v>
      </c>
      <c r="L534" s="1">
        <v>37338</v>
      </c>
      <c r="M534" s="1">
        <v>37338</v>
      </c>
      <c r="N534" s="1">
        <v>37345</v>
      </c>
      <c r="O534" t="s">
        <v>1117</v>
      </c>
      <c r="P534">
        <v>2</v>
      </c>
      <c r="Q534" t="s">
        <v>1215</v>
      </c>
      <c r="R534">
        <f t="shared" si="16"/>
        <v>13</v>
      </c>
      <c r="S534">
        <f t="shared" si="17"/>
        <v>1</v>
      </c>
    </row>
    <row r="535" spans="1:19" x14ac:dyDescent="0.25">
      <c r="A535" t="s">
        <v>1659</v>
      </c>
      <c r="B535" t="s">
        <v>4026</v>
      </c>
      <c r="C535">
        <v>0.38</v>
      </c>
      <c r="D535">
        <v>535</v>
      </c>
      <c r="E535">
        <v>0</v>
      </c>
      <c r="F535">
        <v>3.7530000000000001</v>
      </c>
      <c r="G535">
        <v>3.7530000000000001</v>
      </c>
      <c r="H535" t="s">
        <v>1208</v>
      </c>
      <c r="I535" s="1">
        <v>37258</v>
      </c>
      <c r="J535" s="1">
        <v>37312</v>
      </c>
      <c r="K535" s="1">
        <v>37345</v>
      </c>
      <c r="L535" s="1">
        <v>37345</v>
      </c>
      <c r="M535" s="1">
        <v>37338</v>
      </c>
      <c r="N535" s="1">
        <v>37338</v>
      </c>
      <c r="O535" t="s">
        <v>1117</v>
      </c>
      <c r="P535">
        <v>5</v>
      </c>
      <c r="Q535" t="s">
        <v>1438</v>
      </c>
      <c r="R535">
        <f t="shared" si="16"/>
        <v>12</v>
      </c>
      <c r="S535">
        <f t="shared" si="17"/>
        <v>1</v>
      </c>
    </row>
    <row r="536" spans="1:19" x14ac:dyDescent="0.25">
      <c r="A536" t="s">
        <v>1660</v>
      </c>
      <c r="B536" t="s">
        <v>1199</v>
      </c>
      <c r="C536">
        <v>0.5</v>
      </c>
      <c r="D536">
        <v>1250</v>
      </c>
      <c r="E536">
        <v>0</v>
      </c>
      <c r="F536">
        <v>3</v>
      </c>
      <c r="G536">
        <v>3</v>
      </c>
      <c r="H536" t="s">
        <v>1208</v>
      </c>
      <c r="I536" s="1">
        <v>37126</v>
      </c>
      <c r="J536" s="1">
        <v>37312</v>
      </c>
      <c r="K536" s="1">
        <v>37372</v>
      </c>
      <c r="L536" s="1">
        <v>37372</v>
      </c>
      <c r="M536" s="1">
        <v>37365</v>
      </c>
      <c r="N536" s="1">
        <v>37368</v>
      </c>
      <c r="O536" t="s">
        <v>1117</v>
      </c>
      <c r="P536">
        <v>1</v>
      </c>
      <c r="Q536" t="s">
        <v>1215</v>
      </c>
      <c r="R536">
        <f t="shared" si="16"/>
        <v>17</v>
      </c>
      <c r="S536">
        <f t="shared" si="17"/>
        <v>1</v>
      </c>
    </row>
    <row r="537" spans="1:19" x14ac:dyDescent="0.25">
      <c r="A537" t="s">
        <v>1661</v>
      </c>
      <c r="B537" t="s">
        <v>4028</v>
      </c>
      <c r="C537">
        <v>0.8</v>
      </c>
      <c r="D537">
        <v>1250</v>
      </c>
      <c r="E537">
        <v>0</v>
      </c>
      <c r="F537">
        <v>30</v>
      </c>
      <c r="G537">
        <v>30</v>
      </c>
      <c r="H537" t="s">
        <v>1208</v>
      </c>
      <c r="I537" s="1">
        <v>37107</v>
      </c>
      <c r="J537" s="1">
        <v>37313</v>
      </c>
      <c r="K537" s="1">
        <v>37337</v>
      </c>
      <c r="L537" s="1">
        <v>37337</v>
      </c>
      <c r="M537" s="1">
        <v>37337</v>
      </c>
      <c r="N537" s="1">
        <v>37337</v>
      </c>
      <c r="O537" t="s">
        <v>1117</v>
      </c>
      <c r="P537">
        <v>2</v>
      </c>
      <c r="Q537" t="s">
        <v>1215</v>
      </c>
      <c r="R537">
        <f t="shared" si="16"/>
        <v>12</v>
      </c>
      <c r="S537">
        <f t="shared" si="17"/>
        <v>1</v>
      </c>
    </row>
    <row r="538" spans="1:19" x14ac:dyDescent="0.25">
      <c r="A538" t="s">
        <v>1662</v>
      </c>
      <c r="B538" t="s">
        <v>1199</v>
      </c>
      <c r="C538">
        <v>0.33</v>
      </c>
      <c r="D538">
        <v>360</v>
      </c>
      <c r="E538">
        <v>0</v>
      </c>
      <c r="F538">
        <v>8</v>
      </c>
      <c r="G538">
        <v>8</v>
      </c>
      <c r="H538" t="s">
        <v>1208</v>
      </c>
      <c r="I538" s="1">
        <v>37159</v>
      </c>
      <c r="J538" s="1">
        <v>37312</v>
      </c>
      <c r="K538" s="1">
        <v>37340</v>
      </c>
      <c r="L538" s="1">
        <v>37340</v>
      </c>
      <c r="M538" s="1">
        <v>37340</v>
      </c>
      <c r="N538" s="1">
        <v>37340</v>
      </c>
      <c r="O538" t="s">
        <v>1117</v>
      </c>
      <c r="P538">
        <v>1</v>
      </c>
      <c r="Q538" t="s">
        <v>1438</v>
      </c>
      <c r="R538">
        <f t="shared" si="16"/>
        <v>13</v>
      </c>
      <c r="S538">
        <f t="shared" si="17"/>
        <v>1</v>
      </c>
    </row>
    <row r="539" spans="1:19" x14ac:dyDescent="0.25">
      <c r="A539" t="s">
        <v>1663</v>
      </c>
      <c r="B539" t="s">
        <v>1199</v>
      </c>
      <c r="C539">
        <v>0.7</v>
      </c>
      <c r="D539">
        <v>1000</v>
      </c>
      <c r="E539">
        <v>0</v>
      </c>
      <c r="F539">
        <v>32</v>
      </c>
      <c r="G539">
        <v>32</v>
      </c>
      <c r="H539" t="s">
        <v>1208</v>
      </c>
      <c r="I539" s="1">
        <v>37108</v>
      </c>
      <c r="J539" s="1">
        <v>37313</v>
      </c>
      <c r="K539" s="1">
        <v>37317</v>
      </c>
      <c r="L539" s="1">
        <v>37317</v>
      </c>
      <c r="M539" s="1">
        <v>37320</v>
      </c>
      <c r="N539" s="1">
        <v>37320</v>
      </c>
      <c r="O539" t="s">
        <v>1117</v>
      </c>
      <c r="P539">
        <v>9</v>
      </c>
      <c r="Q539" t="s">
        <v>1215</v>
      </c>
      <c r="R539">
        <f t="shared" si="16"/>
        <v>10</v>
      </c>
      <c r="S539">
        <f t="shared" si="17"/>
        <v>1</v>
      </c>
    </row>
    <row r="540" spans="1:19" x14ac:dyDescent="0.25">
      <c r="A540" t="s">
        <v>1664</v>
      </c>
      <c r="B540" t="s">
        <v>4026</v>
      </c>
      <c r="C540">
        <v>0.4</v>
      </c>
      <c r="D540">
        <v>435</v>
      </c>
      <c r="E540">
        <v>0</v>
      </c>
      <c r="F540">
        <v>4.226</v>
      </c>
      <c r="G540">
        <v>4.226</v>
      </c>
      <c r="H540" t="s">
        <v>1208</v>
      </c>
      <c r="I540" s="1">
        <v>37258</v>
      </c>
      <c r="J540" s="1">
        <v>37312</v>
      </c>
      <c r="K540" s="1">
        <v>37345</v>
      </c>
      <c r="L540" s="1">
        <v>37345</v>
      </c>
      <c r="M540" s="1">
        <v>37338</v>
      </c>
      <c r="N540" s="1">
        <v>37338</v>
      </c>
      <c r="O540" t="s">
        <v>1117</v>
      </c>
      <c r="P540">
        <v>2</v>
      </c>
      <c r="Q540" t="s">
        <v>1438</v>
      </c>
      <c r="R540">
        <f t="shared" si="16"/>
        <v>12</v>
      </c>
      <c r="S540">
        <f t="shared" si="17"/>
        <v>1</v>
      </c>
    </row>
    <row r="541" spans="1:19" x14ac:dyDescent="0.25">
      <c r="A541" t="s">
        <v>1665</v>
      </c>
      <c r="B541" t="s">
        <v>1199</v>
      </c>
      <c r="C541">
        <v>0.26</v>
      </c>
      <c r="D541">
        <v>535</v>
      </c>
      <c r="E541">
        <v>0</v>
      </c>
      <c r="F541">
        <v>3.085</v>
      </c>
      <c r="G541">
        <v>3.085</v>
      </c>
      <c r="H541" t="s">
        <v>1208</v>
      </c>
      <c r="I541" s="1">
        <v>37258</v>
      </c>
      <c r="J541" s="1">
        <v>37312</v>
      </c>
      <c r="K541" s="1">
        <v>37333</v>
      </c>
      <c r="L541" s="1">
        <v>37333</v>
      </c>
      <c r="M541" s="1">
        <v>37333</v>
      </c>
      <c r="N541" s="1">
        <v>37333</v>
      </c>
      <c r="O541" t="s">
        <v>1117</v>
      </c>
      <c r="P541">
        <v>1</v>
      </c>
      <c r="Q541" t="s">
        <v>1438</v>
      </c>
      <c r="R541">
        <f t="shared" si="16"/>
        <v>12</v>
      </c>
      <c r="S541">
        <f t="shared" si="17"/>
        <v>1</v>
      </c>
    </row>
    <row r="542" spans="1:19" x14ac:dyDescent="0.25">
      <c r="A542" t="s">
        <v>1666</v>
      </c>
      <c r="B542" t="s">
        <v>4026</v>
      </c>
      <c r="C542">
        <v>0.4</v>
      </c>
      <c r="D542">
        <v>465</v>
      </c>
      <c r="E542">
        <v>0</v>
      </c>
      <c r="F542">
        <v>3.5129999999999999</v>
      </c>
      <c r="G542">
        <v>3.5129999999999999</v>
      </c>
      <c r="H542" t="s">
        <v>1208</v>
      </c>
      <c r="I542" s="1">
        <v>37258</v>
      </c>
      <c r="J542" s="1">
        <v>37312</v>
      </c>
      <c r="K542" s="1">
        <v>37332</v>
      </c>
      <c r="L542" s="1">
        <v>37332</v>
      </c>
      <c r="M542" s="1">
        <v>37332</v>
      </c>
      <c r="N542" s="1">
        <v>37332</v>
      </c>
      <c r="O542" t="s">
        <v>1117</v>
      </c>
      <c r="P542">
        <v>1</v>
      </c>
      <c r="Q542" t="s">
        <v>1438</v>
      </c>
      <c r="R542">
        <f t="shared" si="16"/>
        <v>12</v>
      </c>
      <c r="S542">
        <f t="shared" si="17"/>
        <v>1</v>
      </c>
    </row>
    <row r="543" spans="1:19" x14ac:dyDescent="0.25">
      <c r="A543" t="s">
        <v>1667</v>
      </c>
      <c r="B543" t="s">
        <v>1199</v>
      </c>
      <c r="C543">
        <v>0.4</v>
      </c>
      <c r="D543">
        <v>550</v>
      </c>
      <c r="E543">
        <v>0</v>
      </c>
      <c r="F543">
        <v>2.7930000000000001</v>
      </c>
      <c r="G543">
        <v>2.7930000000000001</v>
      </c>
      <c r="H543" t="s">
        <v>1208</v>
      </c>
      <c r="I543" s="1">
        <v>37258</v>
      </c>
      <c r="J543" s="1">
        <v>37312</v>
      </c>
      <c r="K543" s="1">
        <v>37332</v>
      </c>
      <c r="L543" s="1">
        <v>37332</v>
      </c>
      <c r="M543" s="1">
        <v>37332</v>
      </c>
      <c r="N543" s="1">
        <v>37332</v>
      </c>
      <c r="O543" t="s">
        <v>1117</v>
      </c>
      <c r="P543">
        <v>2</v>
      </c>
      <c r="Q543" t="s">
        <v>1438</v>
      </c>
      <c r="R543">
        <f t="shared" si="16"/>
        <v>12</v>
      </c>
      <c r="S543">
        <f t="shared" si="17"/>
        <v>1</v>
      </c>
    </row>
    <row r="544" spans="1:19" x14ac:dyDescent="0.25">
      <c r="A544" t="s">
        <v>1668</v>
      </c>
      <c r="B544" t="s">
        <v>1199</v>
      </c>
      <c r="C544">
        <v>0.28999999999999998</v>
      </c>
      <c r="D544">
        <v>410</v>
      </c>
      <c r="E544">
        <v>0</v>
      </c>
      <c r="F544">
        <v>40</v>
      </c>
      <c r="G544">
        <v>40</v>
      </c>
      <c r="H544" t="s">
        <v>1208</v>
      </c>
      <c r="I544" s="1">
        <v>37159</v>
      </c>
      <c r="J544" s="1">
        <v>37312</v>
      </c>
      <c r="K544" s="1">
        <v>37337</v>
      </c>
      <c r="L544" s="1">
        <v>37337</v>
      </c>
      <c r="M544" s="1">
        <v>37337</v>
      </c>
      <c r="N544" s="1">
        <v>37337</v>
      </c>
      <c r="O544" t="s">
        <v>1117</v>
      </c>
      <c r="P544">
        <v>1</v>
      </c>
      <c r="Q544" t="s">
        <v>1438</v>
      </c>
      <c r="R544">
        <f t="shared" si="16"/>
        <v>12</v>
      </c>
      <c r="S544">
        <f t="shared" si="17"/>
        <v>1</v>
      </c>
    </row>
    <row r="545" spans="1:19" x14ac:dyDescent="0.25">
      <c r="A545" t="s">
        <v>1669</v>
      </c>
      <c r="B545" t="s">
        <v>4026</v>
      </c>
      <c r="C545">
        <v>0.5</v>
      </c>
      <c r="D545">
        <v>233</v>
      </c>
      <c r="E545">
        <v>0</v>
      </c>
      <c r="F545">
        <v>22.5</v>
      </c>
      <c r="G545">
        <v>22.5</v>
      </c>
      <c r="H545" t="s">
        <v>1208</v>
      </c>
      <c r="I545" s="1">
        <v>37108</v>
      </c>
      <c r="J545" s="1">
        <v>37313</v>
      </c>
      <c r="K545" s="1">
        <v>37328</v>
      </c>
      <c r="L545" s="1">
        <v>37328</v>
      </c>
      <c r="M545" s="1">
        <v>37327</v>
      </c>
      <c r="N545" s="1">
        <v>37327</v>
      </c>
      <c r="O545" t="s">
        <v>1117</v>
      </c>
      <c r="P545">
        <v>1</v>
      </c>
      <c r="Q545" t="s">
        <v>1215</v>
      </c>
      <c r="R545">
        <f t="shared" si="16"/>
        <v>11</v>
      </c>
      <c r="S545">
        <f t="shared" si="17"/>
        <v>1</v>
      </c>
    </row>
    <row r="546" spans="1:19" x14ac:dyDescent="0.25">
      <c r="A546" t="s">
        <v>1670</v>
      </c>
      <c r="B546" t="s">
        <v>3631</v>
      </c>
      <c r="C546">
        <v>0.48</v>
      </c>
      <c r="D546">
        <v>321</v>
      </c>
      <c r="E546">
        <v>0</v>
      </c>
      <c r="F546">
        <v>5.1520000000000001</v>
      </c>
      <c r="G546">
        <v>2.8010000000000002</v>
      </c>
      <c r="H546" t="s">
        <v>1208</v>
      </c>
      <c r="I546" s="1">
        <v>37159</v>
      </c>
      <c r="J546" s="1">
        <v>37313</v>
      </c>
      <c r="K546" s="1">
        <v>37325</v>
      </c>
      <c r="L546" s="1">
        <v>37325</v>
      </c>
      <c r="M546" s="1">
        <v>37324</v>
      </c>
      <c r="N546" s="1">
        <v>37324</v>
      </c>
      <c r="O546" t="s">
        <v>1117</v>
      </c>
      <c r="P546">
        <v>2</v>
      </c>
      <c r="Q546" t="s">
        <v>1215</v>
      </c>
      <c r="R546">
        <f t="shared" si="16"/>
        <v>10</v>
      </c>
      <c r="S546">
        <f t="shared" si="17"/>
        <v>0</v>
      </c>
    </row>
    <row r="547" spans="1:19" x14ac:dyDescent="0.25">
      <c r="A547" t="s">
        <v>1671</v>
      </c>
      <c r="B547" t="s">
        <v>1199</v>
      </c>
      <c r="C547">
        <v>0.4</v>
      </c>
      <c r="D547">
        <v>615</v>
      </c>
      <c r="E547">
        <v>0</v>
      </c>
      <c r="F547">
        <v>6.03</v>
      </c>
      <c r="G547">
        <v>6.03</v>
      </c>
      <c r="H547" t="s">
        <v>1208</v>
      </c>
      <c r="I547" s="1">
        <v>37258</v>
      </c>
      <c r="J547" s="1">
        <v>37312</v>
      </c>
      <c r="K547" t="s">
        <v>1124</v>
      </c>
      <c r="L547" t="s">
        <v>1124</v>
      </c>
      <c r="M547" s="1">
        <v>37386</v>
      </c>
      <c r="N547" s="1">
        <v>37386</v>
      </c>
      <c r="O547" t="s">
        <v>1117</v>
      </c>
      <c r="P547">
        <v>4</v>
      </c>
      <c r="Q547" t="s">
        <v>1438</v>
      </c>
      <c r="R547">
        <f t="shared" si="16"/>
        <v>19</v>
      </c>
      <c r="S547">
        <f t="shared" si="17"/>
        <v>1</v>
      </c>
    </row>
    <row r="548" spans="1:19" x14ac:dyDescent="0.25">
      <c r="A548" t="s">
        <v>1672</v>
      </c>
      <c r="B548" t="s">
        <v>1199</v>
      </c>
      <c r="C548">
        <v>0.8</v>
      </c>
      <c r="D548">
        <v>1250</v>
      </c>
      <c r="E548">
        <v>0</v>
      </c>
      <c r="F548">
        <v>6</v>
      </c>
      <c r="G548">
        <v>6</v>
      </c>
      <c r="H548" t="s">
        <v>1208</v>
      </c>
      <c r="I548" s="1">
        <v>37126</v>
      </c>
      <c r="J548" s="1">
        <v>37312</v>
      </c>
      <c r="K548" s="1">
        <v>37383</v>
      </c>
      <c r="L548" s="1">
        <v>37383</v>
      </c>
      <c r="M548" s="1">
        <v>37337</v>
      </c>
      <c r="N548" s="1">
        <v>37337</v>
      </c>
      <c r="O548" t="s">
        <v>1117</v>
      </c>
      <c r="P548">
        <v>8</v>
      </c>
      <c r="Q548" t="s">
        <v>1215</v>
      </c>
      <c r="R548">
        <f t="shared" si="16"/>
        <v>12</v>
      </c>
      <c r="S548">
        <f t="shared" si="17"/>
        <v>1</v>
      </c>
    </row>
    <row r="549" spans="1:19" x14ac:dyDescent="0.25">
      <c r="A549" t="s">
        <v>1673</v>
      </c>
      <c r="B549" t="s">
        <v>4028</v>
      </c>
      <c r="C549">
        <v>0.4</v>
      </c>
      <c r="D549">
        <v>435</v>
      </c>
      <c r="E549">
        <v>0</v>
      </c>
      <c r="F549">
        <v>3.81</v>
      </c>
      <c r="G549">
        <v>3.81</v>
      </c>
      <c r="H549" t="s">
        <v>1208</v>
      </c>
      <c r="I549" s="1">
        <v>37258</v>
      </c>
      <c r="J549" s="1">
        <v>37312</v>
      </c>
      <c r="K549" s="1">
        <v>37333</v>
      </c>
      <c r="L549" s="1">
        <v>37333</v>
      </c>
      <c r="M549" s="1">
        <v>37333</v>
      </c>
      <c r="N549" s="1">
        <v>37338</v>
      </c>
      <c r="O549" t="s">
        <v>1117</v>
      </c>
      <c r="P549">
        <v>2</v>
      </c>
      <c r="Q549" t="s">
        <v>1438</v>
      </c>
      <c r="R549">
        <f t="shared" si="16"/>
        <v>12</v>
      </c>
      <c r="S549">
        <f t="shared" si="17"/>
        <v>1</v>
      </c>
    </row>
    <row r="550" spans="1:19" x14ac:dyDescent="0.25">
      <c r="A550" t="s">
        <v>1674</v>
      </c>
      <c r="B550" t="s">
        <v>1199</v>
      </c>
      <c r="C550">
        <v>0.55000000000000004</v>
      </c>
      <c r="D550">
        <v>1220</v>
      </c>
      <c r="E550">
        <v>0</v>
      </c>
      <c r="F550">
        <v>22.616</v>
      </c>
      <c r="G550">
        <v>4.93</v>
      </c>
      <c r="H550" t="s">
        <v>1208</v>
      </c>
      <c r="I550" s="1">
        <v>37159</v>
      </c>
      <c r="J550" s="1">
        <v>37313</v>
      </c>
      <c r="K550" t="s">
        <v>1124</v>
      </c>
      <c r="L550" t="s">
        <v>1124</v>
      </c>
      <c r="M550" s="1">
        <v>37334</v>
      </c>
      <c r="N550" s="1">
        <v>37334</v>
      </c>
      <c r="O550" t="s">
        <v>1117</v>
      </c>
      <c r="P550">
        <v>1</v>
      </c>
      <c r="Q550" t="s">
        <v>1215</v>
      </c>
      <c r="R550">
        <f t="shared" si="16"/>
        <v>12</v>
      </c>
      <c r="S550">
        <f t="shared" si="17"/>
        <v>0</v>
      </c>
    </row>
    <row r="551" spans="1:19" x14ac:dyDescent="0.25">
      <c r="A551" t="s">
        <v>1675</v>
      </c>
      <c r="B551" t="s">
        <v>4026</v>
      </c>
      <c r="C551">
        <v>0.55000000000000004</v>
      </c>
      <c r="D551">
        <v>330</v>
      </c>
      <c r="E551">
        <v>0</v>
      </c>
      <c r="F551">
        <v>2.64</v>
      </c>
      <c r="G551">
        <v>2.64</v>
      </c>
      <c r="H551" t="s">
        <v>1208</v>
      </c>
      <c r="I551" s="1">
        <v>37159</v>
      </c>
      <c r="J551" s="1">
        <v>37313</v>
      </c>
      <c r="K551" s="1">
        <v>37328</v>
      </c>
      <c r="L551" s="1">
        <v>37328</v>
      </c>
      <c r="M551" s="1">
        <v>37327</v>
      </c>
      <c r="N551" s="1">
        <v>37327</v>
      </c>
      <c r="O551" t="s">
        <v>1117</v>
      </c>
      <c r="P551">
        <v>4</v>
      </c>
      <c r="Q551" t="s">
        <v>1215</v>
      </c>
      <c r="R551">
        <f t="shared" si="16"/>
        <v>11</v>
      </c>
      <c r="S551">
        <f t="shared" si="17"/>
        <v>1</v>
      </c>
    </row>
    <row r="552" spans="1:19" x14ac:dyDescent="0.25">
      <c r="A552" t="s">
        <v>1676</v>
      </c>
      <c r="B552" t="s">
        <v>1199</v>
      </c>
      <c r="C552">
        <v>1</v>
      </c>
      <c r="D552">
        <v>1250</v>
      </c>
      <c r="E552">
        <v>0</v>
      </c>
      <c r="F552">
        <v>22</v>
      </c>
      <c r="G552">
        <v>22</v>
      </c>
      <c r="H552" t="s">
        <v>1208</v>
      </c>
      <c r="I552" s="1">
        <v>37114</v>
      </c>
      <c r="J552" s="1">
        <v>37313</v>
      </c>
      <c r="K552" s="1">
        <v>37321</v>
      </c>
      <c r="L552" s="1">
        <v>37321</v>
      </c>
      <c r="M552" s="1">
        <v>37324</v>
      </c>
      <c r="N552" s="1">
        <v>37324</v>
      </c>
      <c r="O552" t="s">
        <v>1117</v>
      </c>
      <c r="P552">
        <v>1</v>
      </c>
      <c r="Q552" t="s">
        <v>1215</v>
      </c>
      <c r="R552">
        <f t="shared" si="16"/>
        <v>10</v>
      </c>
      <c r="S552">
        <f t="shared" si="17"/>
        <v>1</v>
      </c>
    </row>
    <row r="553" spans="1:19" x14ac:dyDescent="0.25">
      <c r="A553" t="s">
        <v>1677</v>
      </c>
      <c r="B553" t="s">
        <v>1199</v>
      </c>
      <c r="C553">
        <v>0.6</v>
      </c>
      <c r="D553">
        <v>1250</v>
      </c>
      <c r="E553">
        <v>0</v>
      </c>
      <c r="F553">
        <v>3</v>
      </c>
      <c r="G553">
        <v>3</v>
      </c>
      <c r="H553" t="s">
        <v>1208</v>
      </c>
      <c r="I553" s="1">
        <v>37122</v>
      </c>
      <c r="J553" s="1">
        <v>37324</v>
      </c>
      <c r="K553" s="1">
        <v>37375</v>
      </c>
      <c r="L553" s="1">
        <v>37375</v>
      </c>
      <c r="M553" s="1">
        <v>37368</v>
      </c>
      <c r="N553" s="1">
        <v>37368</v>
      </c>
      <c r="O553" t="s">
        <v>1117</v>
      </c>
      <c r="P553">
        <v>1</v>
      </c>
      <c r="Q553" t="s">
        <v>1215</v>
      </c>
      <c r="R553">
        <f t="shared" si="16"/>
        <v>17</v>
      </c>
      <c r="S553">
        <f t="shared" si="17"/>
        <v>1</v>
      </c>
    </row>
    <row r="554" spans="1:19" x14ac:dyDescent="0.25">
      <c r="A554" t="s">
        <v>1678</v>
      </c>
      <c r="B554" t="s">
        <v>1199</v>
      </c>
      <c r="C554">
        <v>0.5</v>
      </c>
      <c r="D554">
        <v>1250</v>
      </c>
      <c r="E554">
        <v>0</v>
      </c>
      <c r="F554">
        <v>9</v>
      </c>
      <c r="G554">
        <v>9</v>
      </c>
      <c r="H554" t="s">
        <v>1208</v>
      </c>
      <c r="I554" s="1">
        <v>37128</v>
      </c>
      <c r="J554" s="1">
        <v>37313</v>
      </c>
      <c r="K554" t="s">
        <v>1124</v>
      </c>
      <c r="L554" t="s">
        <v>1124</v>
      </c>
      <c r="M554" s="1">
        <v>37337</v>
      </c>
      <c r="N554" s="1">
        <v>37337</v>
      </c>
      <c r="O554" t="s">
        <v>1117</v>
      </c>
      <c r="P554">
        <v>5</v>
      </c>
      <c r="Q554" t="s">
        <v>1215</v>
      </c>
      <c r="R554">
        <f t="shared" si="16"/>
        <v>12</v>
      </c>
      <c r="S554">
        <f t="shared" si="17"/>
        <v>1</v>
      </c>
    </row>
    <row r="555" spans="1:19" x14ac:dyDescent="0.25">
      <c r="A555" t="s">
        <v>1679</v>
      </c>
      <c r="B555" t="s">
        <v>4028</v>
      </c>
      <c r="C555">
        <v>0.33</v>
      </c>
      <c r="D555">
        <v>512</v>
      </c>
      <c r="E555">
        <v>0</v>
      </c>
      <c r="F555">
        <v>3.3519999999999999</v>
      </c>
      <c r="G555">
        <v>3.3519999999999999</v>
      </c>
      <c r="H555" t="s">
        <v>1208</v>
      </c>
      <c r="I555" s="1">
        <v>37258</v>
      </c>
      <c r="J555" s="1">
        <v>37312</v>
      </c>
      <c r="K555" s="1">
        <v>37333</v>
      </c>
      <c r="L555" s="1">
        <v>37333</v>
      </c>
      <c r="M555" s="1">
        <v>37333</v>
      </c>
      <c r="N555" s="1">
        <v>37333</v>
      </c>
      <c r="O555" t="s">
        <v>1117</v>
      </c>
      <c r="P555">
        <v>3</v>
      </c>
      <c r="Q555" t="s">
        <v>1438</v>
      </c>
      <c r="R555">
        <f t="shared" si="16"/>
        <v>12</v>
      </c>
      <c r="S555">
        <f t="shared" si="17"/>
        <v>1</v>
      </c>
    </row>
    <row r="556" spans="1:19" x14ac:dyDescent="0.25">
      <c r="A556" t="s">
        <v>1680</v>
      </c>
      <c r="B556" t="s">
        <v>1199</v>
      </c>
      <c r="C556">
        <v>0.6</v>
      </c>
      <c r="D556">
        <v>1250</v>
      </c>
      <c r="E556">
        <v>0</v>
      </c>
      <c r="F556">
        <v>58.076000000000001</v>
      </c>
      <c r="G556">
        <v>9.3740000000000006</v>
      </c>
      <c r="H556" t="s">
        <v>1208</v>
      </c>
      <c r="I556" s="1">
        <v>37120</v>
      </c>
      <c r="J556" s="1">
        <v>37312</v>
      </c>
      <c r="K556" s="1">
        <v>37314</v>
      </c>
      <c r="L556" s="1">
        <v>37314</v>
      </c>
      <c r="M556" s="1">
        <v>37258</v>
      </c>
      <c r="N556" s="1">
        <v>37343</v>
      </c>
      <c r="O556" t="s">
        <v>1117</v>
      </c>
      <c r="P556">
        <v>13</v>
      </c>
      <c r="Q556" t="s">
        <v>1215</v>
      </c>
      <c r="R556">
        <f t="shared" si="16"/>
        <v>13</v>
      </c>
      <c r="S556">
        <f t="shared" si="17"/>
        <v>0</v>
      </c>
    </row>
    <row r="557" spans="1:19" x14ac:dyDescent="0.25">
      <c r="A557" t="s">
        <v>1681</v>
      </c>
      <c r="B557" t="s">
        <v>1199</v>
      </c>
      <c r="C557">
        <v>1</v>
      </c>
      <c r="D557">
        <v>625</v>
      </c>
      <c r="E557">
        <v>0</v>
      </c>
      <c r="F557">
        <v>10</v>
      </c>
      <c r="G557">
        <v>10</v>
      </c>
      <c r="H557" t="s">
        <v>1208</v>
      </c>
      <c r="I557" s="1">
        <v>37126</v>
      </c>
      <c r="J557" s="1">
        <v>37313</v>
      </c>
      <c r="K557" s="1">
        <v>37328</v>
      </c>
      <c r="L557" s="1">
        <v>37328</v>
      </c>
      <c r="M557" s="1">
        <v>37324</v>
      </c>
      <c r="N557" s="1">
        <v>37324</v>
      </c>
      <c r="O557" t="s">
        <v>1117</v>
      </c>
      <c r="P557">
        <v>1</v>
      </c>
      <c r="Q557" t="s">
        <v>1215</v>
      </c>
      <c r="R557">
        <f t="shared" si="16"/>
        <v>10</v>
      </c>
      <c r="S557">
        <f t="shared" si="17"/>
        <v>1</v>
      </c>
    </row>
    <row r="558" spans="1:19" x14ac:dyDescent="0.25">
      <c r="A558" t="s">
        <v>1682</v>
      </c>
      <c r="B558" t="s">
        <v>1199</v>
      </c>
      <c r="C558">
        <v>0.26</v>
      </c>
      <c r="D558">
        <v>410</v>
      </c>
      <c r="E558">
        <v>0</v>
      </c>
      <c r="F558">
        <v>10</v>
      </c>
      <c r="G558">
        <v>3.8780000000000001</v>
      </c>
      <c r="H558" t="s">
        <v>1208</v>
      </c>
      <c r="I558" s="1">
        <v>37159</v>
      </c>
      <c r="J558" s="1">
        <v>37312</v>
      </c>
      <c r="K558" s="1">
        <v>37335</v>
      </c>
      <c r="L558" s="1">
        <v>37335</v>
      </c>
      <c r="M558" s="1">
        <v>37335</v>
      </c>
      <c r="N558" s="1">
        <v>37335</v>
      </c>
      <c r="O558" t="s">
        <v>1117</v>
      </c>
      <c r="P558">
        <v>2</v>
      </c>
      <c r="Q558" t="s">
        <v>1438</v>
      </c>
      <c r="R558">
        <f t="shared" si="16"/>
        <v>12</v>
      </c>
      <c r="S558">
        <f t="shared" si="17"/>
        <v>0</v>
      </c>
    </row>
    <row r="559" spans="1:19" x14ac:dyDescent="0.25">
      <c r="A559" t="s">
        <v>1683</v>
      </c>
      <c r="B559" t="s">
        <v>4028</v>
      </c>
      <c r="C559">
        <v>0.6</v>
      </c>
      <c r="D559">
        <v>1250</v>
      </c>
      <c r="E559">
        <v>0</v>
      </c>
      <c r="F559">
        <v>43.07</v>
      </c>
      <c r="G559">
        <v>21.212</v>
      </c>
      <c r="H559" t="s">
        <v>1208</v>
      </c>
      <c r="I559" s="1">
        <v>37159</v>
      </c>
      <c r="J559" s="1">
        <v>37313</v>
      </c>
      <c r="K559" s="1">
        <v>37336</v>
      </c>
      <c r="L559" s="1">
        <v>37336</v>
      </c>
      <c r="M559" s="1">
        <v>37343</v>
      </c>
      <c r="N559" s="1">
        <v>37343</v>
      </c>
      <c r="O559" t="s">
        <v>1117</v>
      </c>
      <c r="P559">
        <v>1</v>
      </c>
      <c r="Q559" t="s">
        <v>1215</v>
      </c>
      <c r="R559">
        <f t="shared" si="16"/>
        <v>13</v>
      </c>
      <c r="S559">
        <f t="shared" si="17"/>
        <v>0</v>
      </c>
    </row>
    <row r="560" spans="1:19" x14ac:dyDescent="0.25">
      <c r="A560" t="s">
        <v>1684</v>
      </c>
      <c r="B560" t="s">
        <v>4028</v>
      </c>
      <c r="C560">
        <v>0.38</v>
      </c>
      <c r="D560">
        <v>512</v>
      </c>
      <c r="E560">
        <v>0</v>
      </c>
      <c r="F560">
        <v>60</v>
      </c>
      <c r="G560">
        <v>60</v>
      </c>
      <c r="H560" t="s">
        <v>1208</v>
      </c>
      <c r="I560" s="1">
        <v>37159</v>
      </c>
      <c r="J560" s="1">
        <v>37312</v>
      </c>
      <c r="K560" t="s">
        <v>1124</v>
      </c>
      <c r="L560" t="s">
        <v>1124</v>
      </c>
      <c r="M560" s="1">
        <v>37337</v>
      </c>
      <c r="N560" s="1">
        <v>37337</v>
      </c>
      <c r="O560" t="s">
        <v>1117</v>
      </c>
      <c r="P560">
        <v>2</v>
      </c>
      <c r="Q560" t="s">
        <v>1438</v>
      </c>
      <c r="R560">
        <f t="shared" si="16"/>
        <v>12</v>
      </c>
      <c r="S560">
        <f t="shared" si="17"/>
        <v>1</v>
      </c>
    </row>
    <row r="561" spans="1:19" x14ac:dyDescent="0.25">
      <c r="A561" t="s">
        <v>1685</v>
      </c>
      <c r="B561" t="s">
        <v>1199</v>
      </c>
      <c r="C561">
        <v>0.38</v>
      </c>
      <c r="D561">
        <v>510</v>
      </c>
      <c r="E561">
        <v>0</v>
      </c>
      <c r="F561">
        <v>54</v>
      </c>
      <c r="G561">
        <v>12.525</v>
      </c>
      <c r="H561" t="s">
        <v>1208</v>
      </c>
      <c r="I561" s="1">
        <v>37159</v>
      </c>
      <c r="J561" s="1">
        <v>37312</v>
      </c>
      <c r="K561" s="1">
        <v>37345</v>
      </c>
      <c r="L561" s="1">
        <v>37345</v>
      </c>
      <c r="M561" s="1">
        <v>37338</v>
      </c>
      <c r="N561" s="1">
        <v>37338</v>
      </c>
      <c r="O561" t="s">
        <v>1117</v>
      </c>
      <c r="P561">
        <v>1</v>
      </c>
      <c r="Q561" t="s">
        <v>1438</v>
      </c>
      <c r="R561">
        <f t="shared" si="16"/>
        <v>12</v>
      </c>
      <c r="S561">
        <f t="shared" si="17"/>
        <v>0</v>
      </c>
    </row>
    <row r="562" spans="1:19" x14ac:dyDescent="0.25">
      <c r="A562" t="s">
        <v>1686</v>
      </c>
      <c r="B562" t="s">
        <v>4027</v>
      </c>
      <c r="C562">
        <v>0.4</v>
      </c>
      <c r="D562">
        <v>565</v>
      </c>
      <c r="E562">
        <v>0</v>
      </c>
      <c r="F562">
        <v>11</v>
      </c>
      <c r="G562">
        <v>11</v>
      </c>
      <c r="H562" t="s">
        <v>1208</v>
      </c>
      <c r="I562" s="1">
        <v>37159</v>
      </c>
      <c r="J562" s="1">
        <v>37312</v>
      </c>
      <c r="K562" s="1">
        <v>37345</v>
      </c>
      <c r="L562" s="1">
        <v>37345</v>
      </c>
      <c r="M562" s="1">
        <v>37338</v>
      </c>
      <c r="N562" s="1">
        <v>37339</v>
      </c>
      <c r="O562" t="s">
        <v>1117</v>
      </c>
      <c r="P562">
        <v>4</v>
      </c>
      <c r="Q562" t="s">
        <v>1438</v>
      </c>
      <c r="R562">
        <f t="shared" si="16"/>
        <v>13</v>
      </c>
      <c r="S562">
        <f t="shared" si="17"/>
        <v>1</v>
      </c>
    </row>
    <row r="563" spans="1:19" x14ac:dyDescent="0.25">
      <c r="A563" t="s">
        <v>1687</v>
      </c>
      <c r="B563" t="s">
        <v>1199</v>
      </c>
      <c r="C563">
        <v>0.33</v>
      </c>
      <c r="D563">
        <v>615</v>
      </c>
      <c r="E563">
        <v>0</v>
      </c>
      <c r="F563">
        <v>2.839</v>
      </c>
      <c r="G563">
        <v>2.839</v>
      </c>
      <c r="H563" t="s">
        <v>1208</v>
      </c>
      <c r="I563" s="1">
        <v>37258</v>
      </c>
      <c r="J563" s="1">
        <v>37312</v>
      </c>
      <c r="K563" s="1">
        <v>37333</v>
      </c>
      <c r="L563" s="1">
        <v>37333</v>
      </c>
      <c r="M563" s="1">
        <v>37333</v>
      </c>
      <c r="N563" s="1">
        <v>37345</v>
      </c>
      <c r="O563" t="s">
        <v>1117</v>
      </c>
      <c r="P563">
        <v>2</v>
      </c>
      <c r="Q563" t="s">
        <v>1438</v>
      </c>
      <c r="R563">
        <f t="shared" si="16"/>
        <v>13</v>
      </c>
      <c r="S563">
        <f t="shared" si="17"/>
        <v>1</v>
      </c>
    </row>
    <row r="564" spans="1:19" x14ac:dyDescent="0.25">
      <c r="A564" t="s">
        <v>1688</v>
      </c>
      <c r="B564" t="s">
        <v>1199</v>
      </c>
      <c r="C564">
        <v>0.57999999999999996</v>
      </c>
      <c r="D564">
        <v>80.5</v>
      </c>
      <c r="E564">
        <v>0</v>
      </c>
      <c r="F564">
        <v>20</v>
      </c>
      <c r="G564">
        <v>20</v>
      </c>
      <c r="H564" t="s">
        <v>1208</v>
      </c>
      <c r="I564" s="1">
        <v>37257</v>
      </c>
      <c r="J564" s="1">
        <v>37312</v>
      </c>
      <c r="K564" s="1">
        <v>37339</v>
      </c>
      <c r="L564" s="1">
        <v>37339</v>
      </c>
      <c r="M564" s="1">
        <v>37332</v>
      </c>
      <c r="N564" s="1">
        <v>37332</v>
      </c>
      <c r="O564" t="s">
        <v>1117</v>
      </c>
      <c r="P564">
        <v>1</v>
      </c>
      <c r="Q564" t="s">
        <v>1438</v>
      </c>
      <c r="R564">
        <f t="shared" si="16"/>
        <v>12</v>
      </c>
      <c r="S564">
        <f t="shared" si="17"/>
        <v>1</v>
      </c>
    </row>
    <row r="565" spans="1:19" x14ac:dyDescent="0.25">
      <c r="A565" t="s">
        <v>1689</v>
      </c>
      <c r="B565" t="s">
        <v>1199</v>
      </c>
      <c r="C565">
        <v>0.57999999999999996</v>
      </c>
      <c r="D565">
        <v>78.5</v>
      </c>
      <c r="E565">
        <v>0</v>
      </c>
      <c r="F565">
        <v>2.5870000000000002</v>
      </c>
      <c r="G565">
        <v>2.5870000000000002</v>
      </c>
      <c r="H565" t="s">
        <v>1208</v>
      </c>
      <c r="I565" s="1">
        <v>37257</v>
      </c>
      <c r="J565" s="1">
        <v>37312</v>
      </c>
      <c r="K565" s="1">
        <v>37338</v>
      </c>
      <c r="L565" s="1">
        <v>37338</v>
      </c>
      <c r="M565" s="1">
        <v>37331</v>
      </c>
      <c r="N565" s="1">
        <v>37331</v>
      </c>
      <c r="O565" t="s">
        <v>1117</v>
      </c>
      <c r="P565">
        <v>2</v>
      </c>
      <c r="Q565" t="s">
        <v>1438</v>
      </c>
      <c r="R565">
        <f t="shared" si="16"/>
        <v>11</v>
      </c>
      <c r="S565">
        <f t="shared" si="17"/>
        <v>1</v>
      </c>
    </row>
    <row r="566" spans="1:19" x14ac:dyDescent="0.25">
      <c r="A566" t="s">
        <v>1690</v>
      </c>
      <c r="B566" t="s">
        <v>4028</v>
      </c>
      <c r="C566">
        <v>0.57999999999999996</v>
      </c>
      <c r="D566">
        <v>80.5</v>
      </c>
      <c r="E566">
        <v>0</v>
      </c>
      <c r="F566">
        <v>10.01</v>
      </c>
      <c r="G566">
        <v>10.01</v>
      </c>
      <c r="H566" t="s">
        <v>1208</v>
      </c>
      <c r="I566" s="1">
        <v>37257</v>
      </c>
      <c r="J566" s="1">
        <v>37312</v>
      </c>
      <c r="K566" s="1">
        <v>37338</v>
      </c>
      <c r="L566" s="1">
        <v>37338</v>
      </c>
      <c r="M566" s="1">
        <v>37332</v>
      </c>
      <c r="N566" s="1">
        <v>37332</v>
      </c>
      <c r="O566" t="s">
        <v>1117</v>
      </c>
      <c r="P566">
        <v>1</v>
      </c>
      <c r="Q566" t="s">
        <v>1438</v>
      </c>
      <c r="R566">
        <f t="shared" si="16"/>
        <v>12</v>
      </c>
      <c r="S566">
        <f t="shared" si="17"/>
        <v>1</v>
      </c>
    </row>
    <row r="567" spans="1:19" x14ac:dyDescent="0.25">
      <c r="A567" t="s">
        <v>1691</v>
      </c>
      <c r="B567" t="s">
        <v>1199</v>
      </c>
      <c r="C567">
        <v>0.57999999999999996</v>
      </c>
      <c r="D567">
        <v>80.5</v>
      </c>
      <c r="E567">
        <v>0</v>
      </c>
      <c r="F567">
        <v>5.133</v>
      </c>
      <c r="G567">
        <v>5.133</v>
      </c>
      <c r="H567" t="s">
        <v>1208</v>
      </c>
      <c r="I567" s="1">
        <v>37257</v>
      </c>
      <c r="J567" s="1">
        <v>37312</v>
      </c>
      <c r="K567" s="1">
        <v>37338</v>
      </c>
      <c r="L567" s="1">
        <v>37338</v>
      </c>
      <c r="M567" s="1">
        <v>37331</v>
      </c>
      <c r="N567" s="1">
        <v>37332</v>
      </c>
      <c r="O567" t="s">
        <v>1117</v>
      </c>
      <c r="P567">
        <v>1</v>
      </c>
      <c r="Q567" t="s">
        <v>1438</v>
      </c>
      <c r="R567">
        <f t="shared" si="16"/>
        <v>12</v>
      </c>
      <c r="S567">
        <f t="shared" si="17"/>
        <v>1</v>
      </c>
    </row>
    <row r="568" spans="1:19" x14ac:dyDescent="0.25">
      <c r="A568" t="s">
        <v>1692</v>
      </c>
      <c r="B568" t="s">
        <v>4026</v>
      </c>
      <c r="C568">
        <v>0.6</v>
      </c>
      <c r="D568">
        <v>1250</v>
      </c>
      <c r="E568">
        <v>0</v>
      </c>
      <c r="F568">
        <v>3</v>
      </c>
      <c r="G568">
        <v>3</v>
      </c>
      <c r="H568" t="s">
        <v>1208</v>
      </c>
      <c r="I568" s="1">
        <v>37116</v>
      </c>
      <c r="J568" s="1">
        <v>37324</v>
      </c>
      <c r="K568" s="1">
        <v>37375</v>
      </c>
      <c r="L568" s="1">
        <v>37375</v>
      </c>
      <c r="M568" s="1">
        <v>37368</v>
      </c>
      <c r="N568" s="1">
        <v>37368</v>
      </c>
      <c r="O568" t="s">
        <v>1117</v>
      </c>
      <c r="P568">
        <v>3</v>
      </c>
      <c r="Q568" t="s">
        <v>1215</v>
      </c>
      <c r="R568">
        <f t="shared" si="16"/>
        <v>17</v>
      </c>
      <c r="S568">
        <f t="shared" si="17"/>
        <v>1</v>
      </c>
    </row>
    <row r="569" spans="1:19" x14ac:dyDescent="0.25">
      <c r="A569" t="s">
        <v>1693</v>
      </c>
      <c r="B569" t="s">
        <v>4028</v>
      </c>
      <c r="C569">
        <v>0.26</v>
      </c>
      <c r="D569">
        <v>410</v>
      </c>
      <c r="E569">
        <v>0</v>
      </c>
      <c r="F569">
        <v>20</v>
      </c>
      <c r="G569">
        <v>20</v>
      </c>
      <c r="H569" t="s">
        <v>1208</v>
      </c>
      <c r="I569" s="1">
        <v>37258</v>
      </c>
      <c r="J569" s="1">
        <v>37312</v>
      </c>
      <c r="K569" s="1">
        <v>37335</v>
      </c>
      <c r="L569" s="1">
        <v>37335</v>
      </c>
      <c r="M569" s="1">
        <v>37335</v>
      </c>
      <c r="N569" s="1">
        <v>37335</v>
      </c>
      <c r="O569" t="s">
        <v>1117</v>
      </c>
      <c r="P569">
        <v>2</v>
      </c>
      <c r="Q569" t="s">
        <v>1438</v>
      </c>
      <c r="R569">
        <f t="shared" si="16"/>
        <v>12</v>
      </c>
      <c r="S569">
        <f t="shared" si="17"/>
        <v>1</v>
      </c>
    </row>
    <row r="570" spans="1:19" x14ac:dyDescent="0.25">
      <c r="A570" t="s">
        <v>1694</v>
      </c>
      <c r="B570" t="s">
        <v>4026</v>
      </c>
      <c r="C570">
        <v>0.28999999999999998</v>
      </c>
      <c r="D570">
        <v>485</v>
      </c>
      <c r="E570">
        <v>0</v>
      </c>
      <c r="F570">
        <v>6</v>
      </c>
      <c r="G570">
        <v>2.298</v>
      </c>
      <c r="H570" t="s">
        <v>1208</v>
      </c>
      <c r="I570" s="1">
        <v>37159</v>
      </c>
      <c r="J570" s="1">
        <v>37312</v>
      </c>
      <c r="K570" t="s">
        <v>1124</v>
      </c>
      <c r="L570" t="s">
        <v>1124</v>
      </c>
      <c r="M570" s="1">
        <v>37335</v>
      </c>
      <c r="N570" s="1">
        <v>37337</v>
      </c>
      <c r="O570" t="s">
        <v>1117</v>
      </c>
      <c r="P570">
        <v>1</v>
      </c>
      <c r="Q570" t="s">
        <v>1438</v>
      </c>
      <c r="R570">
        <f t="shared" si="16"/>
        <v>12</v>
      </c>
      <c r="S570">
        <f t="shared" si="17"/>
        <v>0</v>
      </c>
    </row>
    <row r="571" spans="1:19" x14ac:dyDescent="0.25">
      <c r="A571" t="s">
        <v>1695</v>
      </c>
      <c r="B571" t="s">
        <v>4028</v>
      </c>
      <c r="C571">
        <v>0.57999999999999996</v>
      </c>
      <c r="D571">
        <v>80.5</v>
      </c>
      <c r="E571">
        <v>0</v>
      </c>
      <c r="F571">
        <v>6</v>
      </c>
      <c r="G571">
        <v>6</v>
      </c>
      <c r="H571" t="s">
        <v>1208</v>
      </c>
      <c r="I571" s="1">
        <v>37124</v>
      </c>
      <c r="J571" s="1">
        <v>37312</v>
      </c>
      <c r="K571" s="1">
        <v>37339</v>
      </c>
      <c r="L571" s="1">
        <v>37339</v>
      </c>
      <c r="M571" s="1">
        <v>37332</v>
      </c>
      <c r="N571" s="1">
        <v>37332</v>
      </c>
      <c r="O571" t="s">
        <v>1117</v>
      </c>
      <c r="P571">
        <v>1</v>
      </c>
      <c r="Q571" t="s">
        <v>1438</v>
      </c>
      <c r="R571">
        <f t="shared" si="16"/>
        <v>12</v>
      </c>
      <c r="S571">
        <f t="shared" si="17"/>
        <v>1</v>
      </c>
    </row>
    <row r="572" spans="1:19" x14ac:dyDescent="0.25">
      <c r="A572" t="s">
        <v>1696</v>
      </c>
      <c r="B572" t="s">
        <v>4027</v>
      </c>
      <c r="C572">
        <v>0.28999999999999998</v>
      </c>
      <c r="D572">
        <v>485</v>
      </c>
      <c r="E572">
        <v>0</v>
      </c>
      <c r="F572">
        <v>5.0670000000000002</v>
      </c>
      <c r="G572">
        <v>5.0670000000000002</v>
      </c>
      <c r="H572" t="s">
        <v>1208</v>
      </c>
      <c r="I572" s="1">
        <v>37258</v>
      </c>
      <c r="J572" s="1">
        <v>37312</v>
      </c>
      <c r="K572" t="s">
        <v>1124</v>
      </c>
      <c r="L572" t="s">
        <v>1124</v>
      </c>
      <c r="M572" s="1">
        <v>37337</v>
      </c>
      <c r="N572" s="1">
        <v>37337</v>
      </c>
      <c r="O572" t="s">
        <v>1117</v>
      </c>
      <c r="P572">
        <v>3</v>
      </c>
      <c r="Q572" t="s">
        <v>1438</v>
      </c>
      <c r="R572">
        <f t="shared" si="16"/>
        <v>12</v>
      </c>
      <c r="S572">
        <f t="shared" si="17"/>
        <v>1</v>
      </c>
    </row>
    <row r="573" spans="1:19" x14ac:dyDescent="0.25">
      <c r="A573" t="s">
        <v>1697</v>
      </c>
      <c r="B573" t="s">
        <v>1199</v>
      </c>
      <c r="C573">
        <v>0.8</v>
      </c>
      <c r="D573">
        <v>38</v>
      </c>
      <c r="E573">
        <v>0</v>
      </c>
      <c r="F573">
        <v>20</v>
      </c>
      <c r="G573">
        <v>20</v>
      </c>
      <c r="H573" t="s">
        <v>1208</v>
      </c>
      <c r="I573" s="1">
        <v>37124</v>
      </c>
      <c r="J573" s="1">
        <v>37307</v>
      </c>
      <c r="K573" s="1">
        <v>37371</v>
      </c>
      <c r="L573" s="1">
        <v>37371</v>
      </c>
      <c r="M573" s="1">
        <v>37329</v>
      </c>
      <c r="N573" s="1">
        <v>37368</v>
      </c>
      <c r="O573" t="s">
        <v>1117</v>
      </c>
      <c r="P573">
        <v>2</v>
      </c>
      <c r="Q573" t="s">
        <v>1438</v>
      </c>
      <c r="R573">
        <f t="shared" si="16"/>
        <v>17</v>
      </c>
      <c r="S573">
        <f t="shared" si="17"/>
        <v>1</v>
      </c>
    </row>
    <row r="574" spans="1:19" x14ac:dyDescent="0.25">
      <c r="A574" t="s">
        <v>1698</v>
      </c>
      <c r="B574" t="s">
        <v>4026</v>
      </c>
      <c r="C574">
        <v>0.33</v>
      </c>
      <c r="D574">
        <v>410</v>
      </c>
      <c r="E574">
        <v>0</v>
      </c>
      <c r="F574">
        <v>5.39</v>
      </c>
      <c r="G574">
        <v>5.39</v>
      </c>
      <c r="H574" t="s">
        <v>1208</v>
      </c>
      <c r="I574" s="1">
        <v>37258</v>
      </c>
      <c r="J574" s="1">
        <v>37312</v>
      </c>
      <c r="K574" s="1">
        <v>37345</v>
      </c>
      <c r="L574" s="1">
        <v>37345</v>
      </c>
      <c r="M574" s="1">
        <v>37345</v>
      </c>
      <c r="N574" s="1">
        <v>37345</v>
      </c>
      <c r="O574" t="s">
        <v>1117</v>
      </c>
      <c r="P574">
        <v>1</v>
      </c>
      <c r="Q574" t="s">
        <v>1438</v>
      </c>
      <c r="R574">
        <f t="shared" si="16"/>
        <v>13</v>
      </c>
      <c r="S574">
        <f t="shared" si="17"/>
        <v>1</v>
      </c>
    </row>
    <row r="575" spans="1:19" x14ac:dyDescent="0.25">
      <c r="A575" t="s">
        <v>1699</v>
      </c>
      <c r="B575" t="s">
        <v>1199</v>
      </c>
      <c r="C575">
        <v>0.8</v>
      </c>
      <c r="D575">
        <v>48</v>
      </c>
      <c r="E575">
        <v>0</v>
      </c>
      <c r="F575">
        <v>10.5</v>
      </c>
      <c r="G575">
        <v>10.5</v>
      </c>
      <c r="H575" t="s">
        <v>1208</v>
      </c>
      <c r="I575" s="1">
        <v>37124</v>
      </c>
      <c r="J575" s="1">
        <v>37312</v>
      </c>
      <c r="K575" s="1">
        <v>37371</v>
      </c>
      <c r="L575" s="1">
        <v>37371</v>
      </c>
      <c r="M575" s="1">
        <v>37330</v>
      </c>
      <c r="N575" s="1">
        <v>37330</v>
      </c>
      <c r="O575" t="s">
        <v>1117</v>
      </c>
      <c r="P575">
        <v>3</v>
      </c>
      <c r="Q575" t="s">
        <v>1438</v>
      </c>
      <c r="R575">
        <f t="shared" si="16"/>
        <v>11</v>
      </c>
      <c r="S575">
        <f t="shared" si="17"/>
        <v>1</v>
      </c>
    </row>
    <row r="576" spans="1:19" x14ac:dyDescent="0.25">
      <c r="A576" t="s">
        <v>1700</v>
      </c>
      <c r="B576" t="s">
        <v>4027</v>
      </c>
      <c r="C576">
        <v>0.33</v>
      </c>
      <c r="D576">
        <v>485</v>
      </c>
      <c r="E576">
        <v>0</v>
      </c>
      <c r="F576">
        <v>5.4269999999999996</v>
      </c>
      <c r="G576">
        <v>5.4269999999999996</v>
      </c>
      <c r="H576" t="s">
        <v>1208</v>
      </c>
      <c r="I576" s="1">
        <v>37258</v>
      </c>
      <c r="J576" s="1">
        <v>37312</v>
      </c>
      <c r="K576" s="1">
        <v>37338</v>
      </c>
      <c r="L576" s="1">
        <v>37338</v>
      </c>
      <c r="M576" s="1">
        <v>37338</v>
      </c>
      <c r="N576" s="1">
        <v>37338</v>
      </c>
      <c r="O576" t="s">
        <v>1117</v>
      </c>
      <c r="P576">
        <v>2</v>
      </c>
      <c r="Q576" t="s">
        <v>1438</v>
      </c>
      <c r="R576">
        <f t="shared" si="16"/>
        <v>12</v>
      </c>
      <c r="S576">
        <f t="shared" si="17"/>
        <v>1</v>
      </c>
    </row>
    <row r="577" spans="1:19" x14ac:dyDescent="0.25">
      <c r="A577" t="s">
        <v>1701</v>
      </c>
      <c r="B577" t="s">
        <v>4028</v>
      </c>
      <c r="C577">
        <v>0.6</v>
      </c>
      <c r="D577">
        <v>1250</v>
      </c>
      <c r="E577">
        <v>0</v>
      </c>
      <c r="F577">
        <v>21</v>
      </c>
      <c r="G577">
        <v>21</v>
      </c>
      <c r="H577" t="s">
        <v>1208</v>
      </c>
      <c r="I577" s="1">
        <v>37128</v>
      </c>
      <c r="J577" s="1">
        <v>37313</v>
      </c>
      <c r="K577" s="1">
        <v>37341</v>
      </c>
      <c r="L577" s="1">
        <v>37341</v>
      </c>
      <c r="M577" s="1">
        <v>37341</v>
      </c>
      <c r="N577" s="1">
        <v>37343</v>
      </c>
      <c r="O577" t="s">
        <v>1117</v>
      </c>
      <c r="P577">
        <v>6</v>
      </c>
      <c r="Q577" t="s">
        <v>1215</v>
      </c>
      <c r="R577">
        <f t="shared" si="16"/>
        <v>13</v>
      </c>
      <c r="S577">
        <f t="shared" si="17"/>
        <v>1</v>
      </c>
    </row>
    <row r="578" spans="1:19" x14ac:dyDescent="0.25">
      <c r="A578" t="s">
        <v>1702</v>
      </c>
      <c r="B578" t="s">
        <v>3631</v>
      </c>
      <c r="C578">
        <v>0.33</v>
      </c>
      <c r="D578">
        <v>510</v>
      </c>
      <c r="E578">
        <v>0</v>
      </c>
      <c r="F578">
        <v>18</v>
      </c>
      <c r="G578">
        <v>10.802</v>
      </c>
      <c r="H578" t="s">
        <v>1208</v>
      </c>
      <c r="I578" s="1">
        <v>37159</v>
      </c>
      <c r="J578" s="1">
        <v>37312</v>
      </c>
      <c r="K578" s="1">
        <v>37344</v>
      </c>
      <c r="L578" s="1">
        <v>37344</v>
      </c>
      <c r="M578" s="1">
        <v>37344</v>
      </c>
      <c r="N578" s="1">
        <v>37344</v>
      </c>
      <c r="O578" t="s">
        <v>1117</v>
      </c>
      <c r="P578">
        <v>2</v>
      </c>
      <c r="Q578" t="s">
        <v>1438</v>
      </c>
      <c r="R578">
        <f t="shared" si="16"/>
        <v>13</v>
      </c>
      <c r="S578">
        <f t="shared" si="17"/>
        <v>0</v>
      </c>
    </row>
    <row r="579" spans="1:19" x14ac:dyDescent="0.25">
      <c r="A579" t="s">
        <v>1703</v>
      </c>
      <c r="B579" t="s">
        <v>4028</v>
      </c>
      <c r="C579">
        <v>0.7</v>
      </c>
      <c r="D579">
        <v>1250</v>
      </c>
      <c r="E579">
        <v>0</v>
      </c>
      <c r="F579">
        <v>75</v>
      </c>
      <c r="G579">
        <v>55.994</v>
      </c>
      <c r="H579" t="s">
        <v>1208</v>
      </c>
      <c r="I579" s="1">
        <v>37120</v>
      </c>
      <c r="J579" s="1">
        <v>37312</v>
      </c>
      <c r="K579" s="1">
        <v>37314</v>
      </c>
      <c r="L579" s="1">
        <v>37314</v>
      </c>
      <c r="M579" s="1">
        <v>37320</v>
      </c>
      <c r="N579" s="1">
        <v>37343</v>
      </c>
      <c r="O579" t="s">
        <v>1117</v>
      </c>
      <c r="P579">
        <v>14</v>
      </c>
      <c r="Q579" t="s">
        <v>1215</v>
      </c>
      <c r="R579">
        <f t="shared" ref="R579:R642" si="18">WEEKNUM(N579,1)</f>
        <v>13</v>
      </c>
      <c r="S579">
        <f t="shared" ref="S579:S642" si="19">IF(AND(F579=G579, M579&lt;=N579), 1,0)</f>
        <v>0</v>
      </c>
    </row>
    <row r="580" spans="1:19" x14ac:dyDescent="0.25">
      <c r="A580" t="s">
        <v>1704</v>
      </c>
      <c r="B580" t="s">
        <v>1199</v>
      </c>
      <c r="C580">
        <v>0.38</v>
      </c>
      <c r="D580">
        <v>485</v>
      </c>
      <c r="E580">
        <v>0</v>
      </c>
      <c r="F580">
        <v>27</v>
      </c>
      <c r="G580">
        <v>3.4140000000000001</v>
      </c>
      <c r="H580" t="s">
        <v>1208</v>
      </c>
      <c r="I580" s="1">
        <v>37159</v>
      </c>
      <c r="J580" s="1">
        <v>37312</v>
      </c>
      <c r="K580" t="s">
        <v>1124</v>
      </c>
      <c r="L580" t="s">
        <v>1124</v>
      </c>
      <c r="M580" s="1">
        <v>37337</v>
      </c>
      <c r="N580" s="1">
        <v>37338</v>
      </c>
      <c r="O580" t="s">
        <v>1117</v>
      </c>
      <c r="P580">
        <v>3</v>
      </c>
      <c r="Q580" t="s">
        <v>1438</v>
      </c>
      <c r="R580">
        <f t="shared" si="18"/>
        <v>12</v>
      </c>
      <c r="S580">
        <f t="shared" si="19"/>
        <v>0</v>
      </c>
    </row>
    <row r="581" spans="1:19" x14ac:dyDescent="0.25">
      <c r="A581" t="s">
        <v>1705</v>
      </c>
      <c r="B581" t="s">
        <v>4027</v>
      </c>
      <c r="C581">
        <v>0.5</v>
      </c>
      <c r="D581">
        <v>1250</v>
      </c>
      <c r="E581">
        <v>0</v>
      </c>
      <c r="F581">
        <v>20</v>
      </c>
      <c r="G581">
        <v>6.7039999999999997</v>
      </c>
      <c r="H581" t="s">
        <v>1208</v>
      </c>
      <c r="I581" s="1">
        <v>37119</v>
      </c>
      <c r="J581" s="1">
        <v>37313</v>
      </c>
      <c r="K581" t="s">
        <v>1124</v>
      </c>
      <c r="L581" t="s">
        <v>1124</v>
      </c>
      <c r="M581" s="1">
        <v>37337</v>
      </c>
      <c r="N581" s="1">
        <v>37337</v>
      </c>
      <c r="O581" t="s">
        <v>1117</v>
      </c>
      <c r="P581">
        <v>1</v>
      </c>
      <c r="Q581" t="s">
        <v>1215</v>
      </c>
      <c r="R581">
        <f t="shared" si="18"/>
        <v>12</v>
      </c>
      <c r="S581">
        <f t="shared" si="19"/>
        <v>0</v>
      </c>
    </row>
    <row r="582" spans="1:19" x14ac:dyDescent="0.25">
      <c r="A582" t="s">
        <v>1706</v>
      </c>
      <c r="B582" t="s">
        <v>1199</v>
      </c>
      <c r="C582">
        <v>0.7</v>
      </c>
      <c r="D582">
        <v>1250</v>
      </c>
      <c r="E582">
        <v>0</v>
      </c>
      <c r="F582">
        <v>12</v>
      </c>
      <c r="G582">
        <v>12</v>
      </c>
      <c r="H582" t="s">
        <v>1208</v>
      </c>
      <c r="I582" s="1">
        <v>37126</v>
      </c>
      <c r="J582" s="1">
        <v>37312</v>
      </c>
      <c r="K582" s="1">
        <v>37327</v>
      </c>
      <c r="L582" s="1">
        <v>37327</v>
      </c>
      <c r="M582" s="1">
        <v>37321</v>
      </c>
      <c r="N582" s="1">
        <v>37347</v>
      </c>
      <c r="O582" t="s">
        <v>1117</v>
      </c>
      <c r="P582">
        <v>4</v>
      </c>
      <c r="Q582" t="s">
        <v>1215</v>
      </c>
      <c r="R582">
        <f t="shared" si="18"/>
        <v>14</v>
      </c>
      <c r="S582">
        <f t="shared" si="19"/>
        <v>1</v>
      </c>
    </row>
    <row r="583" spans="1:19" x14ac:dyDescent="0.25">
      <c r="A583" t="s">
        <v>1707</v>
      </c>
      <c r="B583" t="s">
        <v>4026</v>
      </c>
      <c r="C583">
        <v>1</v>
      </c>
      <c r="D583">
        <v>1250</v>
      </c>
      <c r="E583">
        <v>0</v>
      </c>
      <c r="F583">
        <v>9</v>
      </c>
      <c r="G583">
        <v>9</v>
      </c>
      <c r="H583" t="s">
        <v>1208</v>
      </c>
      <c r="I583" s="1">
        <v>37132</v>
      </c>
      <c r="J583" s="1">
        <v>37313</v>
      </c>
      <c r="K583" s="1">
        <v>37344</v>
      </c>
      <c r="L583" s="1">
        <v>37344</v>
      </c>
      <c r="M583" s="1">
        <v>37344</v>
      </c>
      <c r="N583" s="1">
        <v>37344</v>
      </c>
      <c r="O583" t="s">
        <v>1117</v>
      </c>
      <c r="P583">
        <v>1</v>
      </c>
      <c r="Q583" t="s">
        <v>1215</v>
      </c>
      <c r="R583">
        <f t="shared" si="18"/>
        <v>13</v>
      </c>
      <c r="S583">
        <f t="shared" si="19"/>
        <v>1</v>
      </c>
    </row>
    <row r="584" spans="1:19" x14ac:dyDescent="0.25">
      <c r="A584" t="s">
        <v>1708</v>
      </c>
      <c r="B584" t="s">
        <v>1199</v>
      </c>
      <c r="C584">
        <v>0.6</v>
      </c>
      <c r="D584">
        <v>1250</v>
      </c>
      <c r="E584">
        <v>0</v>
      </c>
      <c r="F584">
        <v>21</v>
      </c>
      <c r="G584">
        <v>21</v>
      </c>
      <c r="H584" t="s">
        <v>1208</v>
      </c>
      <c r="I584" s="1">
        <v>37133</v>
      </c>
      <c r="J584" s="1">
        <v>37313</v>
      </c>
      <c r="K584" s="1">
        <v>37347</v>
      </c>
      <c r="L584" s="1">
        <v>37347</v>
      </c>
      <c r="M584" s="1">
        <v>37347</v>
      </c>
      <c r="N584" s="1">
        <v>37347</v>
      </c>
      <c r="O584" t="s">
        <v>1117</v>
      </c>
      <c r="P584">
        <v>1</v>
      </c>
      <c r="Q584" t="s">
        <v>1215</v>
      </c>
      <c r="R584">
        <f t="shared" si="18"/>
        <v>14</v>
      </c>
      <c r="S584">
        <f t="shared" si="19"/>
        <v>1</v>
      </c>
    </row>
    <row r="585" spans="1:19" x14ac:dyDescent="0.25">
      <c r="A585" t="s">
        <v>1709</v>
      </c>
      <c r="B585" t="s">
        <v>4028</v>
      </c>
      <c r="C585">
        <v>1.2</v>
      </c>
      <c r="D585">
        <v>1250</v>
      </c>
      <c r="E585">
        <v>0</v>
      </c>
      <c r="F585">
        <v>21</v>
      </c>
      <c r="G585">
        <v>21</v>
      </c>
      <c r="H585" t="s">
        <v>1208</v>
      </c>
      <c r="I585" s="1">
        <v>37126</v>
      </c>
      <c r="J585" s="1">
        <v>37312</v>
      </c>
      <c r="K585" s="1">
        <v>37334</v>
      </c>
      <c r="L585" s="1">
        <v>37334</v>
      </c>
      <c r="M585" s="1">
        <v>37334</v>
      </c>
      <c r="N585" s="1">
        <v>37338</v>
      </c>
      <c r="O585" t="s">
        <v>1117</v>
      </c>
      <c r="P585">
        <v>6</v>
      </c>
      <c r="Q585" t="s">
        <v>1215</v>
      </c>
      <c r="R585">
        <f t="shared" si="18"/>
        <v>12</v>
      </c>
      <c r="S585">
        <f t="shared" si="19"/>
        <v>1</v>
      </c>
    </row>
    <row r="586" spans="1:19" x14ac:dyDescent="0.25">
      <c r="A586" t="s">
        <v>1710</v>
      </c>
      <c r="B586" t="s">
        <v>1199</v>
      </c>
      <c r="C586">
        <v>1.5</v>
      </c>
      <c r="D586">
        <v>1250</v>
      </c>
      <c r="E586">
        <v>0</v>
      </c>
      <c r="F586">
        <v>60</v>
      </c>
      <c r="G586">
        <v>54.863999999999997</v>
      </c>
      <c r="H586" t="s">
        <v>1208</v>
      </c>
      <c r="I586" s="1">
        <v>37110</v>
      </c>
      <c r="J586" s="1">
        <v>37313</v>
      </c>
      <c r="K586" s="1">
        <v>37338</v>
      </c>
      <c r="L586" s="1">
        <v>37338</v>
      </c>
      <c r="M586" s="1">
        <v>37338</v>
      </c>
      <c r="N586" s="1">
        <v>37338</v>
      </c>
      <c r="O586" t="s">
        <v>1117</v>
      </c>
      <c r="P586">
        <v>1</v>
      </c>
      <c r="Q586" t="s">
        <v>1215</v>
      </c>
      <c r="R586">
        <f t="shared" si="18"/>
        <v>12</v>
      </c>
      <c r="S586">
        <f t="shared" si="19"/>
        <v>0</v>
      </c>
    </row>
    <row r="587" spans="1:19" x14ac:dyDescent="0.25">
      <c r="A587" t="s">
        <v>1711</v>
      </c>
      <c r="B587" t="s">
        <v>1199</v>
      </c>
      <c r="C587">
        <v>2</v>
      </c>
      <c r="D587">
        <v>1250</v>
      </c>
      <c r="E587">
        <v>0</v>
      </c>
      <c r="F587">
        <v>9</v>
      </c>
      <c r="G587">
        <v>9</v>
      </c>
      <c r="H587" t="s">
        <v>1208</v>
      </c>
      <c r="I587" s="1">
        <v>37159</v>
      </c>
      <c r="J587" s="1">
        <v>37313</v>
      </c>
      <c r="K587" s="1">
        <v>37313</v>
      </c>
      <c r="L587" s="1">
        <v>37313</v>
      </c>
      <c r="M587" s="1">
        <v>37313</v>
      </c>
      <c r="N587" s="1">
        <v>37338</v>
      </c>
      <c r="O587" t="s">
        <v>1114</v>
      </c>
      <c r="P587">
        <v>1</v>
      </c>
      <c r="Q587" t="s">
        <v>1215</v>
      </c>
      <c r="R587">
        <f t="shared" si="18"/>
        <v>12</v>
      </c>
      <c r="S587">
        <f t="shared" si="19"/>
        <v>1</v>
      </c>
    </row>
    <row r="588" spans="1:19" x14ac:dyDescent="0.25">
      <c r="A588" t="s">
        <v>1712</v>
      </c>
      <c r="B588" t="s">
        <v>4026</v>
      </c>
      <c r="C588">
        <v>0.7</v>
      </c>
      <c r="D588">
        <v>1250</v>
      </c>
      <c r="E588">
        <v>0</v>
      </c>
      <c r="F588">
        <v>30</v>
      </c>
      <c r="G588">
        <v>30</v>
      </c>
      <c r="H588" t="s">
        <v>1208</v>
      </c>
      <c r="I588" s="1">
        <v>37128</v>
      </c>
      <c r="J588" s="1">
        <v>37313</v>
      </c>
      <c r="K588" s="1">
        <v>37347</v>
      </c>
      <c r="L588" s="1">
        <v>37347</v>
      </c>
      <c r="M588" s="1">
        <v>37347</v>
      </c>
      <c r="N588" s="1">
        <v>37347</v>
      </c>
      <c r="O588" t="s">
        <v>1117</v>
      </c>
      <c r="P588">
        <v>2</v>
      </c>
      <c r="Q588" t="s">
        <v>1215</v>
      </c>
      <c r="R588">
        <f t="shared" si="18"/>
        <v>14</v>
      </c>
      <c r="S588">
        <f t="shared" si="19"/>
        <v>1</v>
      </c>
    </row>
    <row r="589" spans="1:19" x14ac:dyDescent="0.25">
      <c r="A589" t="s">
        <v>1713</v>
      </c>
      <c r="B589" t="s">
        <v>1199</v>
      </c>
      <c r="C589">
        <v>3</v>
      </c>
      <c r="D589">
        <v>1250</v>
      </c>
      <c r="E589">
        <v>0</v>
      </c>
      <c r="F589">
        <v>3</v>
      </c>
      <c r="G589">
        <v>3</v>
      </c>
      <c r="H589" t="s">
        <v>1208</v>
      </c>
      <c r="I589" s="1">
        <v>37159</v>
      </c>
      <c r="J589" s="1">
        <v>37319</v>
      </c>
      <c r="K589" s="1">
        <v>37308</v>
      </c>
      <c r="L589" s="1">
        <v>37319</v>
      </c>
      <c r="M589" s="1">
        <v>37260</v>
      </c>
      <c r="N589" s="1">
        <v>37284</v>
      </c>
      <c r="O589" t="s">
        <v>1114</v>
      </c>
      <c r="P589">
        <v>2</v>
      </c>
      <c r="Q589" t="s">
        <v>1215</v>
      </c>
      <c r="R589">
        <f t="shared" si="18"/>
        <v>5</v>
      </c>
      <c r="S589">
        <f t="shared" si="19"/>
        <v>1</v>
      </c>
    </row>
    <row r="590" spans="1:19" x14ac:dyDescent="0.25">
      <c r="A590" t="s">
        <v>1714</v>
      </c>
      <c r="B590" t="s">
        <v>4027</v>
      </c>
      <c r="C590">
        <v>1</v>
      </c>
      <c r="D590">
        <v>1250</v>
      </c>
      <c r="E590">
        <v>0</v>
      </c>
      <c r="F590">
        <v>9</v>
      </c>
      <c r="G590">
        <v>9</v>
      </c>
      <c r="H590" t="s">
        <v>1208</v>
      </c>
      <c r="I590" s="1">
        <v>37128</v>
      </c>
      <c r="J590" s="1">
        <v>37313</v>
      </c>
      <c r="K590" s="1">
        <v>37344</v>
      </c>
      <c r="L590" s="1">
        <v>37344</v>
      </c>
      <c r="M590" s="1">
        <v>37344</v>
      </c>
      <c r="N590" s="1">
        <v>37344</v>
      </c>
      <c r="O590" t="s">
        <v>1117</v>
      </c>
      <c r="P590">
        <v>4</v>
      </c>
      <c r="Q590" t="s">
        <v>1215</v>
      </c>
      <c r="R590">
        <f t="shared" si="18"/>
        <v>13</v>
      </c>
      <c r="S590">
        <f t="shared" si="19"/>
        <v>1</v>
      </c>
    </row>
    <row r="591" spans="1:19" x14ac:dyDescent="0.25">
      <c r="A591" t="s">
        <v>1715</v>
      </c>
      <c r="B591" t="s">
        <v>1199</v>
      </c>
      <c r="C591">
        <v>2</v>
      </c>
      <c r="D591">
        <v>1250</v>
      </c>
      <c r="E591">
        <v>0</v>
      </c>
      <c r="F591">
        <v>3</v>
      </c>
      <c r="G591">
        <v>3</v>
      </c>
      <c r="H591" t="s">
        <v>1208</v>
      </c>
      <c r="I591" s="1">
        <v>37364</v>
      </c>
      <c r="J591" s="1">
        <v>37364</v>
      </c>
      <c r="K591" s="1">
        <v>37375</v>
      </c>
      <c r="L591" s="1">
        <v>37375</v>
      </c>
      <c r="M591" t="s">
        <v>1124</v>
      </c>
      <c r="N591" s="1">
        <f>L591</f>
        <v>37375</v>
      </c>
      <c r="O591" t="s">
        <v>1117</v>
      </c>
      <c r="P591">
        <v>10</v>
      </c>
      <c r="Q591" t="s">
        <v>1215</v>
      </c>
      <c r="R591">
        <f t="shared" si="18"/>
        <v>18</v>
      </c>
      <c r="S591">
        <f t="shared" si="19"/>
        <v>0</v>
      </c>
    </row>
    <row r="592" spans="1:19" x14ac:dyDescent="0.25">
      <c r="A592" t="s">
        <v>1716</v>
      </c>
      <c r="B592" t="s">
        <v>4026</v>
      </c>
      <c r="C592">
        <v>0.5</v>
      </c>
      <c r="D592">
        <v>1250</v>
      </c>
      <c r="E592">
        <v>0</v>
      </c>
      <c r="F592">
        <v>105</v>
      </c>
      <c r="G592">
        <v>105</v>
      </c>
      <c r="H592" t="s">
        <v>1208</v>
      </c>
      <c r="I592" s="1">
        <v>37120</v>
      </c>
      <c r="J592" s="1">
        <v>37313</v>
      </c>
      <c r="K592" s="1">
        <v>37316</v>
      </c>
      <c r="L592" s="1">
        <v>37316</v>
      </c>
      <c r="M592" s="1">
        <v>37321</v>
      </c>
      <c r="N592" s="1">
        <v>37327</v>
      </c>
      <c r="O592" t="s">
        <v>1117</v>
      </c>
      <c r="P592">
        <v>5</v>
      </c>
      <c r="Q592" t="s">
        <v>1215</v>
      </c>
      <c r="R592">
        <f t="shared" si="18"/>
        <v>11</v>
      </c>
      <c r="S592">
        <f t="shared" si="19"/>
        <v>1</v>
      </c>
    </row>
    <row r="593" spans="1:19" x14ac:dyDescent="0.25">
      <c r="A593" t="s">
        <v>1717</v>
      </c>
      <c r="B593" t="s">
        <v>4028</v>
      </c>
      <c r="C593">
        <v>1</v>
      </c>
      <c r="D593">
        <v>625</v>
      </c>
      <c r="E593">
        <v>0</v>
      </c>
      <c r="F593">
        <v>75</v>
      </c>
      <c r="G593">
        <v>75</v>
      </c>
      <c r="H593" t="s">
        <v>1208</v>
      </c>
      <c r="I593" s="1">
        <v>37162</v>
      </c>
      <c r="J593" s="1">
        <v>37314</v>
      </c>
      <c r="K593" s="1">
        <v>37328</v>
      </c>
      <c r="L593" s="1">
        <v>37328</v>
      </c>
      <c r="M593" s="1">
        <v>37322</v>
      </c>
      <c r="N593" s="1">
        <v>37322</v>
      </c>
      <c r="O593" t="s">
        <v>1117</v>
      </c>
      <c r="P593">
        <v>1</v>
      </c>
      <c r="Q593" t="s">
        <v>1215</v>
      </c>
      <c r="R593">
        <f t="shared" si="18"/>
        <v>10</v>
      </c>
      <c r="S593">
        <f t="shared" si="19"/>
        <v>1</v>
      </c>
    </row>
    <row r="594" spans="1:19" x14ac:dyDescent="0.25">
      <c r="A594" t="s">
        <v>1718</v>
      </c>
      <c r="B594" t="s">
        <v>1199</v>
      </c>
      <c r="C594">
        <v>0.4</v>
      </c>
      <c r="D594">
        <v>1250</v>
      </c>
      <c r="E594">
        <v>0</v>
      </c>
      <c r="F594">
        <v>22</v>
      </c>
      <c r="G594">
        <v>22</v>
      </c>
      <c r="H594" t="s">
        <v>1208</v>
      </c>
      <c r="I594" s="1">
        <v>37159</v>
      </c>
      <c r="J594" s="1">
        <v>37314</v>
      </c>
      <c r="K594" s="1">
        <v>37325</v>
      </c>
      <c r="L594" s="1">
        <v>37325</v>
      </c>
      <c r="M594" s="1">
        <v>37333</v>
      </c>
      <c r="N594" s="1">
        <v>37333</v>
      </c>
      <c r="O594" t="s">
        <v>1117</v>
      </c>
      <c r="P594">
        <v>1</v>
      </c>
      <c r="Q594" t="s">
        <v>1215</v>
      </c>
      <c r="R594">
        <f t="shared" si="18"/>
        <v>12</v>
      </c>
      <c r="S594">
        <f t="shared" si="19"/>
        <v>1</v>
      </c>
    </row>
    <row r="595" spans="1:19" x14ac:dyDescent="0.25">
      <c r="A595" t="s">
        <v>1719</v>
      </c>
      <c r="B595" t="s">
        <v>4026</v>
      </c>
      <c r="C595">
        <v>1</v>
      </c>
      <c r="D595">
        <v>625</v>
      </c>
      <c r="E595">
        <v>0</v>
      </c>
      <c r="F595">
        <v>75</v>
      </c>
      <c r="G595">
        <v>75</v>
      </c>
      <c r="H595" t="s">
        <v>1208</v>
      </c>
      <c r="I595" s="1">
        <v>37162</v>
      </c>
      <c r="J595" s="1">
        <v>37314</v>
      </c>
      <c r="K595" s="1">
        <v>37364</v>
      </c>
      <c r="L595" s="1">
        <v>37364</v>
      </c>
      <c r="M595" s="1">
        <v>37322</v>
      </c>
      <c r="N595" s="1">
        <v>37322</v>
      </c>
      <c r="O595" t="s">
        <v>1117</v>
      </c>
      <c r="P595">
        <v>1</v>
      </c>
      <c r="Q595" t="s">
        <v>1215</v>
      </c>
      <c r="R595">
        <f t="shared" si="18"/>
        <v>10</v>
      </c>
      <c r="S595">
        <f t="shared" si="19"/>
        <v>1</v>
      </c>
    </row>
    <row r="596" spans="1:19" x14ac:dyDescent="0.25">
      <c r="A596" t="s">
        <v>1720</v>
      </c>
      <c r="B596" t="s">
        <v>1199</v>
      </c>
      <c r="C596">
        <v>0.9</v>
      </c>
      <c r="D596">
        <v>1250</v>
      </c>
      <c r="E596">
        <v>0</v>
      </c>
      <c r="F596">
        <v>100</v>
      </c>
      <c r="G596">
        <v>100</v>
      </c>
      <c r="H596" t="s">
        <v>1208</v>
      </c>
      <c r="I596" s="1">
        <v>37120</v>
      </c>
      <c r="J596" s="1">
        <v>37312</v>
      </c>
      <c r="K596" s="1">
        <v>37326</v>
      </c>
      <c r="L596" s="1">
        <v>37326</v>
      </c>
      <c r="M596" s="1">
        <v>37332</v>
      </c>
      <c r="N596" s="1">
        <v>37332</v>
      </c>
      <c r="O596" t="s">
        <v>1117</v>
      </c>
      <c r="P596">
        <v>9</v>
      </c>
      <c r="Q596" t="s">
        <v>1215</v>
      </c>
      <c r="R596">
        <f t="shared" si="18"/>
        <v>12</v>
      </c>
      <c r="S596">
        <f t="shared" si="19"/>
        <v>1</v>
      </c>
    </row>
    <row r="597" spans="1:19" x14ac:dyDescent="0.25">
      <c r="A597" t="s">
        <v>1721</v>
      </c>
      <c r="B597" t="s">
        <v>4028</v>
      </c>
      <c r="C597">
        <v>0.57999999999999996</v>
      </c>
      <c r="D597">
        <v>625</v>
      </c>
      <c r="E597">
        <v>0</v>
      </c>
      <c r="F597">
        <v>39</v>
      </c>
      <c r="G597">
        <v>39</v>
      </c>
      <c r="H597" t="s">
        <v>1208</v>
      </c>
      <c r="I597" s="1">
        <v>37159</v>
      </c>
      <c r="J597" s="1">
        <v>37345</v>
      </c>
      <c r="K597" t="s">
        <v>1124</v>
      </c>
      <c r="L597" t="s">
        <v>1124</v>
      </c>
      <c r="M597" s="1">
        <v>37387</v>
      </c>
      <c r="N597" s="1">
        <v>37387</v>
      </c>
      <c r="O597" t="s">
        <v>1117</v>
      </c>
      <c r="P597">
        <v>1</v>
      </c>
      <c r="Q597" t="s">
        <v>1215</v>
      </c>
      <c r="R597">
        <f t="shared" si="18"/>
        <v>19</v>
      </c>
      <c r="S597">
        <f t="shared" si="19"/>
        <v>1</v>
      </c>
    </row>
    <row r="598" spans="1:19" x14ac:dyDescent="0.25">
      <c r="A598" t="s">
        <v>1722</v>
      </c>
      <c r="B598" t="s">
        <v>1199</v>
      </c>
      <c r="C598">
        <v>0.8</v>
      </c>
      <c r="D598">
        <v>1250</v>
      </c>
      <c r="E598">
        <v>0</v>
      </c>
      <c r="F598">
        <v>3</v>
      </c>
      <c r="G598">
        <v>3</v>
      </c>
      <c r="H598" t="s">
        <v>1208</v>
      </c>
      <c r="I598" s="1">
        <v>37126</v>
      </c>
      <c r="J598" s="1">
        <v>37312</v>
      </c>
      <c r="K598" t="s">
        <v>1124</v>
      </c>
      <c r="L598" t="s">
        <v>1124</v>
      </c>
      <c r="M598" s="1">
        <v>37338</v>
      </c>
      <c r="N598" s="1">
        <v>37339</v>
      </c>
      <c r="O598" t="s">
        <v>1117</v>
      </c>
      <c r="P598">
        <v>5</v>
      </c>
      <c r="Q598" t="s">
        <v>1215</v>
      </c>
      <c r="R598">
        <f t="shared" si="18"/>
        <v>13</v>
      </c>
      <c r="S598">
        <f t="shared" si="19"/>
        <v>1</v>
      </c>
    </row>
    <row r="599" spans="1:19" x14ac:dyDescent="0.25">
      <c r="A599" t="s">
        <v>1723</v>
      </c>
      <c r="B599" t="s">
        <v>3601</v>
      </c>
      <c r="C599">
        <v>0.57999999999999996</v>
      </c>
      <c r="D599">
        <v>625</v>
      </c>
      <c r="E599">
        <v>0</v>
      </c>
      <c r="F599">
        <v>22</v>
      </c>
      <c r="G599">
        <v>22</v>
      </c>
      <c r="H599" t="s">
        <v>1208</v>
      </c>
      <c r="I599" s="1">
        <v>37159</v>
      </c>
      <c r="J599" s="1">
        <v>37345</v>
      </c>
      <c r="K599" s="1">
        <v>37373</v>
      </c>
      <c r="L599" s="1">
        <v>37373</v>
      </c>
      <c r="M599" s="1">
        <v>37366</v>
      </c>
      <c r="N599" s="1">
        <v>37387</v>
      </c>
      <c r="O599" t="s">
        <v>1117</v>
      </c>
      <c r="P599">
        <v>1</v>
      </c>
      <c r="Q599" t="s">
        <v>1215</v>
      </c>
      <c r="R599">
        <f t="shared" si="18"/>
        <v>19</v>
      </c>
      <c r="S599">
        <f t="shared" si="19"/>
        <v>1</v>
      </c>
    </row>
    <row r="600" spans="1:19" x14ac:dyDescent="0.25">
      <c r="A600" t="s">
        <v>1724</v>
      </c>
      <c r="B600" t="s">
        <v>1199</v>
      </c>
      <c r="C600">
        <v>1.2</v>
      </c>
      <c r="D600">
        <v>1250</v>
      </c>
      <c r="E600">
        <v>0</v>
      </c>
      <c r="F600">
        <v>6</v>
      </c>
      <c r="G600">
        <v>6</v>
      </c>
      <c r="H600" t="s">
        <v>1208</v>
      </c>
      <c r="I600" s="1">
        <v>37108</v>
      </c>
      <c r="J600" s="1">
        <v>37313</v>
      </c>
      <c r="K600" s="1">
        <v>37344</v>
      </c>
      <c r="L600" s="1">
        <v>37344</v>
      </c>
      <c r="M600" s="1">
        <v>37344</v>
      </c>
      <c r="N600" s="1">
        <v>37344</v>
      </c>
      <c r="O600" t="s">
        <v>1117</v>
      </c>
      <c r="P600">
        <v>1</v>
      </c>
      <c r="Q600" t="s">
        <v>1215</v>
      </c>
      <c r="R600">
        <f t="shared" si="18"/>
        <v>13</v>
      </c>
      <c r="S600">
        <f t="shared" si="19"/>
        <v>1</v>
      </c>
    </row>
    <row r="601" spans="1:19" x14ac:dyDescent="0.25">
      <c r="A601" t="s">
        <v>1725</v>
      </c>
      <c r="B601" t="s">
        <v>4026</v>
      </c>
      <c r="C601">
        <v>0.8</v>
      </c>
      <c r="D601">
        <v>1250</v>
      </c>
      <c r="E601">
        <v>0</v>
      </c>
      <c r="F601">
        <v>6</v>
      </c>
      <c r="G601">
        <v>6</v>
      </c>
      <c r="H601" t="s">
        <v>1208</v>
      </c>
      <c r="I601" s="1">
        <v>37108</v>
      </c>
      <c r="J601" s="1">
        <v>37313</v>
      </c>
      <c r="K601" s="1">
        <v>37384</v>
      </c>
      <c r="L601" s="1">
        <v>37384</v>
      </c>
      <c r="M601" s="1">
        <v>37271</v>
      </c>
      <c r="N601" s="1">
        <v>37343</v>
      </c>
      <c r="O601" t="s">
        <v>1117</v>
      </c>
      <c r="P601">
        <v>1</v>
      </c>
      <c r="Q601" t="s">
        <v>1215</v>
      </c>
      <c r="R601">
        <f t="shared" si="18"/>
        <v>13</v>
      </c>
      <c r="S601">
        <f t="shared" si="19"/>
        <v>1</v>
      </c>
    </row>
    <row r="602" spans="1:19" x14ac:dyDescent="0.25">
      <c r="A602" t="s">
        <v>1726</v>
      </c>
      <c r="B602" t="s">
        <v>1199</v>
      </c>
      <c r="C602">
        <v>0.4</v>
      </c>
      <c r="D602">
        <v>615</v>
      </c>
      <c r="E602">
        <v>0</v>
      </c>
      <c r="F602">
        <v>100</v>
      </c>
      <c r="G602">
        <v>14.637</v>
      </c>
      <c r="H602" t="s">
        <v>1208</v>
      </c>
      <c r="I602" s="1">
        <v>37108</v>
      </c>
      <c r="J602" s="1">
        <v>37312</v>
      </c>
      <c r="K602" s="1">
        <v>37344</v>
      </c>
      <c r="L602" s="1">
        <v>37344</v>
      </c>
      <c r="M602" s="1">
        <v>37344</v>
      </c>
      <c r="N602" s="1">
        <v>37344</v>
      </c>
      <c r="O602" t="s">
        <v>1117</v>
      </c>
      <c r="P602">
        <v>1</v>
      </c>
      <c r="Q602" t="s">
        <v>1438</v>
      </c>
      <c r="R602">
        <f t="shared" si="18"/>
        <v>13</v>
      </c>
      <c r="S602">
        <f t="shared" si="19"/>
        <v>0</v>
      </c>
    </row>
    <row r="603" spans="1:19" x14ac:dyDescent="0.25">
      <c r="A603" t="s">
        <v>1727</v>
      </c>
      <c r="B603" t="s">
        <v>4028</v>
      </c>
      <c r="C603">
        <v>3</v>
      </c>
      <c r="D603">
        <v>1250</v>
      </c>
      <c r="E603">
        <v>0</v>
      </c>
      <c r="F603">
        <v>3</v>
      </c>
      <c r="G603">
        <v>3</v>
      </c>
      <c r="H603" t="s">
        <v>1208</v>
      </c>
      <c r="I603" s="1">
        <v>37159</v>
      </c>
      <c r="J603" s="1">
        <v>37319</v>
      </c>
      <c r="K603" s="1">
        <v>37308</v>
      </c>
      <c r="L603" s="1">
        <v>37319</v>
      </c>
      <c r="M603" s="1">
        <v>37260</v>
      </c>
      <c r="N603" s="1">
        <v>37284</v>
      </c>
      <c r="O603" t="s">
        <v>1114</v>
      </c>
      <c r="P603">
        <v>5</v>
      </c>
      <c r="Q603" t="s">
        <v>1215</v>
      </c>
      <c r="R603">
        <f t="shared" si="18"/>
        <v>5</v>
      </c>
      <c r="S603">
        <f t="shared" si="19"/>
        <v>1</v>
      </c>
    </row>
    <row r="604" spans="1:19" x14ac:dyDescent="0.25">
      <c r="A604" t="s">
        <v>1728</v>
      </c>
      <c r="B604" t="s">
        <v>4028</v>
      </c>
      <c r="C604">
        <v>0.5</v>
      </c>
      <c r="D604">
        <v>1000</v>
      </c>
      <c r="E604">
        <v>0</v>
      </c>
      <c r="F604">
        <v>30</v>
      </c>
      <c r="G604">
        <v>20.385999999999999</v>
      </c>
      <c r="H604" t="s">
        <v>1208</v>
      </c>
      <c r="I604" s="1">
        <v>37159</v>
      </c>
      <c r="J604" s="1">
        <v>37314</v>
      </c>
      <c r="K604" s="1">
        <v>37320</v>
      </c>
      <c r="L604" s="1">
        <v>37320</v>
      </c>
      <c r="M604" s="1">
        <v>37271</v>
      </c>
      <c r="N604" s="1">
        <v>37271</v>
      </c>
      <c r="O604" t="s">
        <v>1117</v>
      </c>
      <c r="P604">
        <v>3</v>
      </c>
      <c r="Q604" t="s">
        <v>1215</v>
      </c>
      <c r="R604">
        <f t="shared" si="18"/>
        <v>3</v>
      </c>
      <c r="S604">
        <f t="shared" si="19"/>
        <v>0</v>
      </c>
    </row>
    <row r="605" spans="1:19" x14ac:dyDescent="0.25">
      <c r="A605" t="s">
        <v>1729</v>
      </c>
      <c r="B605" t="s">
        <v>4028</v>
      </c>
      <c r="C605">
        <v>0.26</v>
      </c>
      <c r="D605">
        <v>485</v>
      </c>
      <c r="E605">
        <v>0</v>
      </c>
      <c r="F605">
        <v>23.8</v>
      </c>
      <c r="G605">
        <v>23.8</v>
      </c>
      <c r="H605" t="s">
        <v>1208</v>
      </c>
      <c r="I605" s="1">
        <v>37258</v>
      </c>
      <c r="J605" s="1">
        <v>37312</v>
      </c>
      <c r="K605" s="1">
        <v>37331</v>
      </c>
      <c r="L605" s="1">
        <v>37331</v>
      </c>
      <c r="M605" s="1">
        <v>37331</v>
      </c>
      <c r="N605" s="1">
        <v>37331</v>
      </c>
      <c r="O605" t="s">
        <v>1117</v>
      </c>
      <c r="P605">
        <v>4</v>
      </c>
      <c r="Q605" t="s">
        <v>1438</v>
      </c>
      <c r="R605">
        <f t="shared" si="18"/>
        <v>11</v>
      </c>
      <c r="S605">
        <f t="shared" si="19"/>
        <v>1</v>
      </c>
    </row>
    <row r="606" spans="1:19" x14ac:dyDescent="0.25">
      <c r="A606" t="s">
        <v>1730</v>
      </c>
      <c r="B606" t="s">
        <v>1199</v>
      </c>
      <c r="C606">
        <v>0.5</v>
      </c>
      <c r="D606">
        <v>1250</v>
      </c>
      <c r="E606">
        <v>0</v>
      </c>
      <c r="F606">
        <v>6</v>
      </c>
      <c r="G606">
        <v>6</v>
      </c>
      <c r="H606" t="s">
        <v>1208</v>
      </c>
      <c r="I606" s="1">
        <v>37159</v>
      </c>
      <c r="J606" s="1">
        <v>37320</v>
      </c>
      <c r="K606" s="1">
        <v>37310</v>
      </c>
      <c r="L606" s="1">
        <v>37320</v>
      </c>
      <c r="M606" s="1">
        <v>37272</v>
      </c>
      <c r="N606" s="1">
        <v>37273</v>
      </c>
      <c r="O606" t="s">
        <v>1114</v>
      </c>
      <c r="P606">
        <v>3</v>
      </c>
      <c r="Q606" t="s">
        <v>1215</v>
      </c>
      <c r="R606">
        <f t="shared" si="18"/>
        <v>3</v>
      </c>
      <c r="S606">
        <f t="shared" si="19"/>
        <v>1</v>
      </c>
    </row>
    <row r="607" spans="1:19" x14ac:dyDescent="0.25">
      <c r="A607" t="s">
        <v>1731</v>
      </c>
      <c r="B607" t="s">
        <v>3601</v>
      </c>
      <c r="C607">
        <v>0.4</v>
      </c>
      <c r="D607">
        <v>600</v>
      </c>
      <c r="E607">
        <v>0</v>
      </c>
      <c r="F607">
        <v>2.6080000000000001</v>
      </c>
      <c r="G607">
        <v>2.6080000000000001</v>
      </c>
      <c r="H607" t="s">
        <v>1208</v>
      </c>
      <c r="I607" s="1">
        <v>37258</v>
      </c>
      <c r="J607" s="1">
        <v>37312</v>
      </c>
      <c r="K607" t="s">
        <v>1124</v>
      </c>
      <c r="L607" t="s">
        <v>1124</v>
      </c>
      <c r="M607" s="1">
        <v>37339</v>
      </c>
      <c r="N607" s="1">
        <v>37339</v>
      </c>
      <c r="O607" t="s">
        <v>1117</v>
      </c>
      <c r="P607">
        <v>1</v>
      </c>
      <c r="Q607" t="s">
        <v>1438</v>
      </c>
      <c r="R607">
        <f t="shared" si="18"/>
        <v>13</v>
      </c>
      <c r="S607">
        <f t="shared" si="19"/>
        <v>1</v>
      </c>
    </row>
    <row r="608" spans="1:19" x14ac:dyDescent="0.25">
      <c r="A608" t="s">
        <v>1732</v>
      </c>
      <c r="B608" t="s">
        <v>1199</v>
      </c>
      <c r="C608">
        <v>0.46</v>
      </c>
      <c r="D608">
        <v>50.4</v>
      </c>
      <c r="E608">
        <v>0</v>
      </c>
      <c r="F608">
        <v>36</v>
      </c>
      <c r="G608">
        <v>36</v>
      </c>
      <c r="H608" t="s">
        <v>1208</v>
      </c>
      <c r="I608" s="1">
        <v>37159</v>
      </c>
      <c r="J608" s="1">
        <v>37345</v>
      </c>
      <c r="K608" t="s">
        <v>1124</v>
      </c>
      <c r="L608" t="s">
        <v>1124</v>
      </c>
      <c r="M608" s="1">
        <v>37352</v>
      </c>
      <c r="N608" s="1">
        <v>37352</v>
      </c>
      <c r="O608" t="s">
        <v>1117</v>
      </c>
      <c r="P608">
        <v>1</v>
      </c>
      <c r="Q608" t="s">
        <v>1215</v>
      </c>
      <c r="R608">
        <f t="shared" si="18"/>
        <v>14</v>
      </c>
      <c r="S608">
        <f t="shared" si="19"/>
        <v>1</v>
      </c>
    </row>
    <row r="609" spans="1:19" x14ac:dyDescent="0.25">
      <c r="A609" t="s">
        <v>1733</v>
      </c>
      <c r="B609" t="s">
        <v>4026</v>
      </c>
      <c r="C609">
        <v>0.5</v>
      </c>
      <c r="D609">
        <v>1250</v>
      </c>
      <c r="E609">
        <v>0</v>
      </c>
      <c r="F609">
        <v>3</v>
      </c>
      <c r="G609">
        <v>3</v>
      </c>
      <c r="H609" t="s">
        <v>1208</v>
      </c>
      <c r="I609" s="1">
        <v>37159</v>
      </c>
      <c r="J609" s="1">
        <v>37320</v>
      </c>
      <c r="K609" s="1">
        <v>37310</v>
      </c>
      <c r="L609" s="1">
        <v>37320</v>
      </c>
      <c r="M609" s="1">
        <v>37272</v>
      </c>
      <c r="N609" s="1">
        <v>37273</v>
      </c>
      <c r="O609" t="s">
        <v>1114</v>
      </c>
      <c r="P609">
        <v>1</v>
      </c>
      <c r="Q609" t="s">
        <v>1215</v>
      </c>
      <c r="R609">
        <f t="shared" si="18"/>
        <v>3</v>
      </c>
      <c r="S609">
        <f t="shared" si="19"/>
        <v>1</v>
      </c>
    </row>
    <row r="610" spans="1:19" x14ac:dyDescent="0.25">
      <c r="A610" t="s">
        <v>1734</v>
      </c>
      <c r="B610" t="s">
        <v>4027</v>
      </c>
      <c r="C610">
        <v>0.26</v>
      </c>
      <c r="D610">
        <v>515</v>
      </c>
      <c r="E610">
        <v>0</v>
      </c>
      <c r="F610">
        <v>17.402999999999999</v>
      </c>
      <c r="G610">
        <v>17.402999999999999</v>
      </c>
      <c r="H610" t="s">
        <v>1208</v>
      </c>
      <c r="I610" s="1">
        <v>37258</v>
      </c>
      <c r="J610" s="1">
        <v>37312</v>
      </c>
      <c r="K610" t="s">
        <v>1124</v>
      </c>
      <c r="L610" t="s">
        <v>1124</v>
      </c>
      <c r="M610" s="1">
        <v>37335</v>
      </c>
      <c r="N610" s="1">
        <v>37344</v>
      </c>
      <c r="O610" t="s">
        <v>1117</v>
      </c>
      <c r="P610">
        <v>3</v>
      </c>
      <c r="Q610" t="s">
        <v>1438</v>
      </c>
      <c r="R610">
        <f t="shared" si="18"/>
        <v>13</v>
      </c>
      <c r="S610">
        <f t="shared" si="19"/>
        <v>1</v>
      </c>
    </row>
    <row r="611" spans="1:19" x14ac:dyDescent="0.25">
      <c r="A611" t="s">
        <v>1735</v>
      </c>
      <c r="B611" t="s">
        <v>3601</v>
      </c>
      <c r="C611">
        <v>0.7</v>
      </c>
      <c r="D611">
        <v>1250</v>
      </c>
      <c r="E611">
        <v>0</v>
      </c>
      <c r="F611">
        <v>3</v>
      </c>
      <c r="G611">
        <v>3</v>
      </c>
      <c r="H611" t="s">
        <v>1208</v>
      </c>
      <c r="I611" s="1">
        <v>37159</v>
      </c>
      <c r="J611" s="1">
        <v>37320</v>
      </c>
      <c r="K611" s="1">
        <v>37375</v>
      </c>
      <c r="L611" s="1">
        <v>37375</v>
      </c>
      <c r="M611" s="1">
        <v>37368</v>
      </c>
      <c r="N611" s="1">
        <v>37368</v>
      </c>
      <c r="O611" t="s">
        <v>1117</v>
      </c>
      <c r="P611">
        <v>6</v>
      </c>
      <c r="Q611" t="s">
        <v>1215</v>
      </c>
      <c r="R611">
        <f t="shared" si="18"/>
        <v>17</v>
      </c>
      <c r="S611">
        <f t="shared" si="19"/>
        <v>1</v>
      </c>
    </row>
    <row r="612" spans="1:19" x14ac:dyDescent="0.25">
      <c r="A612" t="s">
        <v>1736</v>
      </c>
      <c r="B612" t="s">
        <v>1199</v>
      </c>
      <c r="C612">
        <v>0.4</v>
      </c>
      <c r="D612">
        <v>1000</v>
      </c>
      <c r="E612">
        <v>0</v>
      </c>
      <c r="F612">
        <v>30</v>
      </c>
      <c r="G612">
        <v>19.687999999999999</v>
      </c>
      <c r="H612" t="s">
        <v>1208</v>
      </c>
      <c r="I612" s="1">
        <v>37159</v>
      </c>
      <c r="J612" s="1">
        <v>37314</v>
      </c>
      <c r="K612" s="1">
        <v>37320</v>
      </c>
      <c r="L612" s="1">
        <v>37320</v>
      </c>
      <c r="M612" s="1">
        <v>37269</v>
      </c>
      <c r="N612" s="1">
        <v>37269</v>
      </c>
      <c r="O612" t="s">
        <v>1117</v>
      </c>
      <c r="P612">
        <v>5</v>
      </c>
      <c r="Q612" t="s">
        <v>1215</v>
      </c>
      <c r="R612">
        <f t="shared" si="18"/>
        <v>3</v>
      </c>
      <c r="S612">
        <f t="shared" si="19"/>
        <v>0</v>
      </c>
    </row>
    <row r="613" spans="1:19" x14ac:dyDescent="0.25">
      <c r="A613" t="s">
        <v>1737</v>
      </c>
      <c r="B613" t="s">
        <v>1199</v>
      </c>
      <c r="C613">
        <v>0.7</v>
      </c>
      <c r="D613">
        <v>1250</v>
      </c>
      <c r="E613">
        <v>0</v>
      </c>
      <c r="F613">
        <v>6</v>
      </c>
      <c r="G613">
        <v>6</v>
      </c>
      <c r="H613" t="s">
        <v>1208</v>
      </c>
      <c r="I613" s="1">
        <v>37159</v>
      </c>
      <c r="J613" s="1">
        <v>37320</v>
      </c>
      <c r="K613" s="1">
        <v>37375</v>
      </c>
      <c r="L613" s="1">
        <v>37375</v>
      </c>
      <c r="M613" s="1">
        <v>37368</v>
      </c>
      <c r="N613" s="1">
        <v>37368</v>
      </c>
      <c r="O613" t="s">
        <v>1117</v>
      </c>
      <c r="P613">
        <v>3</v>
      </c>
      <c r="Q613" t="s">
        <v>1215</v>
      </c>
      <c r="R613">
        <f t="shared" si="18"/>
        <v>17</v>
      </c>
      <c r="S613">
        <f t="shared" si="19"/>
        <v>1</v>
      </c>
    </row>
    <row r="614" spans="1:19" x14ac:dyDescent="0.25">
      <c r="A614" t="s">
        <v>1738</v>
      </c>
      <c r="B614" t="s">
        <v>4026</v>
      </c>
      <c r="C614">
        <v>0.45</v>
      </c>
      <c r="D614">
        <v>119</v>
      </c>
      <c r="E614">
        <v>0</v>
      </c>
      <c r="F614">
        <v>17.5</v>
      </c>
      <c r="G614">
        <v>17.5</v>
      </c>
      <c r="H614" t="s">
        <v>1208</v>
      </c>
      <c r="I614" s="1">
        <v>37159</v>
      </c>
      <c r="J614" s="1">
        <v>37314</v>
      </c>
      <c r="K614" s="1">
        <v>37337</v>
      </c>
      <c r="L614" s="1">
        <v>37337</v>
      </c>
      <c r="M614" s="1">
        <v>37337</v>
      </c>
      <c r="N614" s="1">
        <v>37337</v>
      </c>
      <c r="O614" t="s">
        <v>1117</v>
      </c>
      <c r="P614">
        <v>4</v>
      </c>
      <c r="Q614" t="s">
        <v>1215</v>
      </c>
      <c r="R614">
        <f t="shared" si="18"/>
        <v>12</v>
      </c>
      <c r="S614">
        <f t="shared" si="19"/>
        <v>1</v>
      </c>
    </row>
    <row r="615" spans="1:19" x14ac:dyDescent="0.25">
      <c r="A615" t="s">
        <v>1739</v>
      </c>
      <c r="B615" t="s">
        <v>1199</v>
      </c>
      <c r="C615">
        <v>0.44500000000000001</v>
      </c>
      <c r="D615">
        <v>1219.2</v>
      </c>
      <c r="E615">
        <v>0</v>
      </c>
      <c r="F615">
        <v>18.14</v>
      </c>
      <c r="G615">
        <v>9.9169999999999998</v>
      </c>
      <c r="H615" t="s">
        <v>1208</v>
      </c>
      <c r="I615" s="1">
        <v>37159</v>
      </c>
      <c r="J615" s="1">
        <v>37325</v>
      </c>
      <c r="K615" s="1">
        <v>37371</v>
      </c>
      <c r="L615" s="1">
        <v>37371</v>
      </c>
      <c r="M615" s="1">
        <v>37236</v>
      </c>
      <c r="N615" s="1">
        <v>37236</v>
      </c>
      <c r="O615" t="s">
        <v>1117</v>
      </c>
      <c r="P615">
        <v>1</v>
      </c>
      <c r="Q615" t="s">
        <v>1215</v>
      </c>
      <c r="R615">
        <f t="shared" si="18"/>
        <v>50</v>
      </c>
      <c r="S615">
        <f t="shared" si="19"/>
        <v>0</v>
      </c>
    </row>
    <row r="616" spans="1:19" x14ac:dyDescent="0.25">
      <c r="A616" t="s">
        <v>1740</v>
      </c>
      <c r="B616" t="s">
        <v>3521</v>
      </c>
      <c r="C616">
        <v>0.6</v>
      </c>
      <c r="D616">
        <v>1250</v>
      </c>
      <c r="E616">
        <v>0</v>
      </c>
      <c r="F616">
        <v>21</v>
      </c>
      <c r="G616">
        <v>21</v>
      </c>
      <c r="H616" t="s">
        <v>1208</v>
      </c>
      <c r="I616" s="1">
        <v>37120</v>
      </c>
      <c r="J616" s="1">
        <v>37313</v>
      </c>
      <c r="K616" s="1">
        <v>37328</v>
      </c>
      <c r="L616" s="1">
        <v>37328</v>
      </c>
      <c r="M616" s="1">
        <v>37329</v>
      </c>
      <c r="N616" s="1">
        <v>37329</v>
      </c>
      <c r="O616" t="s">
        <v>1117</v>
      </c>
      <c r="P616">
        <v>1</v>
      </c>
      <c r="Q616" t="s">
        <v>1215</v>
      </c>
      <c r="R616">
        <f t="shared" si="18"/>
        <v>11</v>
      </c>
      <c r="S616">
        <f t="shared" si="19"/>
        <v>1</v>
      </c>
    </row>
    <row r="617" spans="1:19" x14ac:dyDescent="0.25">
      <c r="A617" t="s">
        <v>1741</v>
      </c>
      <c r="B617" t="s">
        <v>1199</v>
      </c>
      <c r="C617">
        <v>0.5</v>
      </c>
      <c r="D617">
        <v>1250</v>
      </c>
      <c r="E617">
        <v>0</v>
      </c>
      <c r="F617">
        <v>6</v>
      </c>
      <c r="G617">
        <v>6</v>
      </c>
      <c r="H617" t="s">
        <v>1208</v>
      </c>
      <c r="I617" s="1">
        <v>37123</v>
      </c>
      <c r="J617" s="1">
        <v>37312</v>
      </c>
      <c r="K617" s="1">
        <v>37328</v>
      </c>
      <c r="L617" s="1">
        <v>37328</v>
      </c>
      <c r="M617" s="1">
        <v>37327</v>
      </c>
      <c r="N617" s="1">
        <v>37327</v>
      </c>
      <c r="O617" t="s">
        <v>1117</v>
      </c>
      <c r="P617">
        <v>3</v>
      </c>
      <c r="Q617" t="s">
        <v>1215</v>
      </c>
      <c r="R617">
        <f t="shared" si="18"/>
        <v>11</v>
      </c>
      <c r="S617">
        <f t="shared" si="19"/>
        <v>1</v>
      </c>
    </row>
    <row r="618" spans="1:19" x14ac:dyDescent="0.25">
      <c r="A618" t="s">
        <v>1742</v>
      </c>
      <c r="B618" t="s">
        <v>1199</v>
      </c>
      <c r="C618">
        <v>0.6</v>
      </c>
      <c r="D618">
        <v>1250</v>
      </c>
      <c r="E618">
        <v>0</v>
      </c>
      <c r="F618">
        <v>21</v>
      </c>
      <c r="G618">
        <v>21</v>
      </c>
      <c r="H618" t="s">
        <v>1208</v>
      </c>
      <c r="I618" s="1">
        <v>37128</v>
      </c>
      <c r="J618" s="1">
        <v>37313</v>
      </c>
      <c r="K618" s="1">
        <v>37347</v>
      </c>
      <c r="L618" s="1">
        <v>37347</v>
      </c>
      <c r="M618" s="1">
        <v>37347</v>
      </c>
      <c r="N618" s="1">
        <v>37347</v>
      </c>
      <c r="O618" t="s">
        <v>1117</v>
      </c>
      <c r="P618">
        <v>1</v>
      </c>
      <c r="Q618" t="s">
        <v>1215</v>
      </c>
      <c r="R618">
        <f t="shared" si="18"/>
        <v>14</v>
      </c>
      <c r="S618">
        <f t="shared" si="19"/>
        <v>1</v>
      </c>
    </row>
    <row r="619" spans="1:19" x14ac:dyDescent="0.25">
      <c r="A619" t="s">
        <v>1743</v>
      </c>
      <c r="B619" t="s">
        <v>1199</v>
      </c>
      <c r="C619">
        <v>0.6</v>
      </c>
      <c r="D619">
        <v>1000</v>
      </c>
      <c r="E619">
        <v>0</v>
      </c>
      <c r="F619">
        <v>64</v>
      </c>
      <c r="G619">
        <v>64</v>
      </c>
      <c r="H619" t="s">
        <v>1208</v>
      </c>
      <c r="I619" s="1">
        <v>37108</v>
      </c>
      <c r="J619" s="1">
        <v>37313</v>
      </c>
      <c r="K619" s="1">
        <v>37332</v>
      </c>
      <c r="L619" s="1">
        <v>37332</v>
      </c>
      <c r="M619" s="1">
        <v>37332</v>
      </c>
      <c r="N619" s="1">
        <v>37332</v>
      </c>
      <c r="O619" t="s">
        <v>1117</v>
      </c>
      <c r="P619">
        <v>2</v>
      </c>
      <c r="Q619" t="s">
        <v>1215</v>
      </c>
      <c r="R619">
        <f t="shared" si="18"/>
        <v>12</v>
      </c>
      <c r="S619">
        <f t="shared" si="19"/>
        <v>1</v>
      </c>
    </row>
    <row r="620" spans="1:19" x14ac:dyDescent="0.25">
      <c r="A620" t="s">
        <v>1744</v>
      </c>
      <c r="B620" t="s">
        <v>1199</v>
      </c>
      <c r="C620">
        <v>0.6</v>
      </c>
      <c r="D620">
        <v>1250</v>
      </c>
      <c r="E620">
        <v>0</v>
      </c>
      <c r="F620">
        <v>185</v>
      </c>
      <c r="G620">
        <v>185</v>
      </c>
      <c r="H620" t="s">
        <v>1208</v>
      </c>
      <c r="I620" s="1">
        <v>37120</v>
      </c>
      <c r="J620" s="1">
        <v>37313</v>
      </c>
      <c r="K620" s="1">
        <v>37344</v>
      </c>
      <c r="L620" s="1">
        <v>37344</v>
      </c>
      <c r="M620" s="1">
        <v>37344</v>
      </c>
      <c r="N620" s="1">
        <v>37347</v>
      </c>
      <c r="O620" t="s">
        <v>1117</v>
      </c>
      <c r="P620">
        <v>6</v>
      </c>
      <c r="Q620" t="s">
        <v>1215</v>
      </c>
      <c r="R620">
        <f t="shared" si="18"/>
        <v>14</v>
      </c>
      <c r="S620">
        <f t="shared" si="19"/>
        <v>1</v>
      </c>
    </row>
    <row r="621" spans="1:19" x14ac:dyDescent="0.25">
      <c r="A621" t="s">
        <v>1745</v>
      </c>
      <c r="B621" t="s">
        <v>4027</v>
      </c>
      <c r="C621">
        <v>1</v>
      </c>
      <c r="D621">
        <v>1250</v>
      </c>
      <c r="E621">
        <v>0</v>
      </c>
      <c r="F621">
        <v>75</v>
      </c>
      <c r="G621">
        <v>75</v>
      </c>
      <c r="H621" t="s">
        <v>1208</v>
      </c>
      <c r="I621" s="1">
        <v>37120</v>
      </c>
      <c r="J621" s="1">
        <v>37312</v>
      </c>
      <c r="K621" s="1">
        <v>37334</v>
      </c>
      <c r="L621" s="1">
        <v>37334</v>
      </c>
      <c r="M621" s="1">
        <v>37334</v>
      </c>
      <c r="N621" s="1">
        <v>37344</v>
      </c>
      <c r="O621" t="s">
        <v>1117</v>
      </c>
      <c r="P621">
        <v>10</v>
      </c>
      <c r="Q621" t="s">
        <v>1215</v>
      </c>
      <c r="R621">
        <f t="shared" si="18"/>
        <v>13</v>
      </c>
      <c r="S621">
        <f t="shared" si="19"/>
        <v>1</v>
      </c>
    </row>
    <row r="622" spans="1:19" x14ac:dyDescent="0.25">
      <c r="A622" t="s">
        <v>1746</v>
      </c>
      <c r="B622" t="s">
        <v>3601</v>
      </c>
      <c r="C622">
        <v>1.2</v>
      </c>
      <c r="D622">
        <v>1250</v>
      </c>
      <c r="E622">
        <v>0</v>
      </c>
      <c r="F622">
        <v>75</v>
      </c>
      <c r="G622">
        <v>75</v>
      </c>
      <c r="H622" t="s">
        <v>1208</v>
      </c>
      <c r="I622" s="1">
        <v>37120</v>
      </c>
      <c r="J622" s="1">
        <v>37312</v>
      </c>
      <c r="K622" s="1">
        <v>37320</v>
      </c>
      <c r="L622" s="1">
        <v>37320</v>
      </c>
      <c r="M622" s="1">
        <v>37323</v>
      </c>
      <c r="N622" s="1">
        <v>37338</v>
      </c>
      <c r="O622" t="s">
        <v>1117</v>
      </c>
      <c r="P622">
        <v>11</v>
      </c>
      <c r="Q622" t="s">
        <v>1215</v>
      </c>
      <c r="R622">
        <f t="shared" si="18"/>
        <v>12</v>
      </c>
      <c r="S622">
        <f t="shared" si="19"/>
        <v>1</v>
      </c>
    </row>
    <row r="623" spans="1:19" x14ac:dyDescent="0.25">
      <c r="A623" t="s">
        <v>1747</v>
      </c>
      <c r="B623" t="s">
        <v>1199</v>
      </c>
      <c r="C623">
        <v>0.3</v>
      </c>
      <c r="D623">
        <v>615</v>
      </c>
      <c r="E623">
        <v>0</v>
      </c>
      <c r="F623">
        <v>2.5049999999999999</v>
      </c>
      <c r="G623">
        <v>2.5049999999999999</v>
      </c>
      <c r="H623" t="s">
        <v>1208</v>
      </c>
      <c r="I623" s="1">
        <v>37258</v>
      </c>
      <c r="J623" s="1">
        <v>37312</v>
      </c>
      <c r="K623" s="1">
        <v>37336</v>
      </c>
      <c r="L623" s="1">
        <v>37336</v>
      </c>
      <c r="M623" s="1">
        <v>37336</v>
      </c>
      <c r="N623" s="1">
        <v>37336</v>
      </c>
      <c r="O623" t="s">
        <v>1117</v>
      </c>
      <c r="P623">
        <v>1</v>
      </c>
      <c r="Q623" t="s">
        <v>1438</v>
      </c>
      <c r="R623">
        <f t="shared" si="18"/>
        <v>12</v>
      </c>
      <c r="S623">
        <f t="shared" si="19"/>
        <v>1</v>
      </c>
    </row>
    <row r="624" spans="1:19" x14ac:dyDescent="0.25">
      <c r="A624" t="s">
        <v>1748</v>
      </c>
      <c r="B624" t="s">
        <v>1199</v>
      </c>
      <c r="C624">
        <v>1</v>
      </c>
      <c r="D624">
        <v>320</v>
      </c>
      <c r="E624">
        <v>0</v>
      </c>
      <c r="F624">
        <v>20.535</v>
      </c>
      <c r="G624">
        <v>20.535</v>
      </c>
      <c r="H624" t="s">
        <v>1208</v>
      </c>
      <c r="I624" s="1">
        <v>37343</v>
      </c>
      <c r="J624" s="1">
        <v>37381</v>
      </c>
      <c r="K624" t="s">
        <v>1124</v>
      </c>
      <c r="L624" t="s">
        <v>1124</v>
      </c>
      <c r="M624" t="s">
        <v>1124</v>
      </c>
      <c r="N624" s="1">
        <v>37368</v>
      </c>
      <c r="O624" t="s">
        <v>1117</v>
      </c>
      <c r="P624">
        <v>2</v>
      </c>
      <c r="Q624" t="s">
        <v>1215</v>
      </c>
      <c r="R624">
        <f t="shared" si="18"/>
        <v>17</v>
      </c>
      <c r="S624">
        <f t="shared" si="19"/>
        <v>0</v>
      </c>
    </row>
    <row r="625" spans="1:19" x14ac:dyDescent="0.25">
      <c r="A625" t="s">
        <v>1749</v>
      </c>
      <c r="B625" t="s">
        <v>1199</v>
      </c>
      <c r="C625">
        <v>0.5</v>
      </c>
      <c r="D625">
        <v>1000</v>
      </c>
      <c r="E625">
        <v>0</v>
      </c>
      <c r="F625">
        <v>64</v>
      </c>
      <c r="G625">
        <v>64</v>
      </c>
      <c r="H625" t="s">
        <v>1208</v>
      </c>
      <c r="I625" s="1">
        <v>37108</v>
      </c>
      <c r="J625" s="1">
        <v>37313</v>
      </c>
      <c r="K625" s="1">
        <v>37314</v>
      </c>
      <c r="L625" s="1">
        <v>37314</v>
      </c>
      <c r="M625" s="1">
        <v>37320</v>
      </c>
      <c r="N625" s="1">
        <v>37320</v>
      </c>
      <c r="O625" t="s">
        <v>1117</v>
      </c>
      <c r="P625">
        <v>1</v>
      </c>
      <c r="Q625" t="s">
        <v>1215</v>
      </c>
      <c r="R625">
        <f t="shared" si="18"/>
        <v>10</v>
      </c>
      <c r="S625">
        <f t="shared" si="19"/>
        <v>1</v>
      </c>
    </row>
    <row r="626" spans="1:19" x14ac:dyDescent="0.25">
      <c r="A626" t="s">
        <v>1750</v>
      </c>
      <c r="B626" t="s">
        <v>4027</v>
      </c>
      <c r="C626">
        <v>0.7</v>
      </c>
      <c r="D626">
        <v>1250</v>
      </c>
      <c r="E626">
        <v>0</v>
      </c>
      <c r="F626">
        <v>175</v>
      </c>
      <c r="G626">
        <v>175</v>
      </c>
      <c r="H626" t="s">
        <v>1208</v>
      </c>
      <c r="I626" s="1">
        <v>37120</v>
      </c>
      <c r="J626" s="1">
        <v>37313</v>
      </c>
      <c r="K626" s="1">
        <v>37318</v>
      </c>
      <c r="L626" s="1">
        <v>37318</v>
      </c>
      <c r="M626" s="1">
        <v>37322</v>
      </c>
      <c r="N626" s="1">
        <v>37347</v>
      </c>
      <c r="O626" t="s">
        <v>1117</v>
      </c>
      <c r="P626">
        <v>7</v>
      </c>
      <c r="Q626" t="s">
        <v>1215</v>
      </c>
      <c r="R626">
        <f t="shared" si="18"/>
        <v>14</v>
      </c>
      <c r="S626">
        <f t="shared" si="19"/>
        <v>1</v>
      </c>
    </row>
    <row r="627" spans="1:19" x14ac:dyDescent="0.25">
      <c r="A627" t="s">
        <v>1751</v>
      </c>
      <c r="B627" t="s">
        <v>1199</v>
      </c>
      <c r="C627">
        <v>0.6</v>
      </c>
      <c r="D627">
        <v>1220</v>
      </c>
      <c r="E627">
        <v>0</v>
      </c>
      <c r="F627">
        <v>70</v>
      </c>
      <c r="G627">
        <v>70</v>
      </c>
      <c r="H627" t="s">
        <v>1208</v>
      </c>
      <c r="I627" s="1">
        <v>37159</v>
      </c>
      <c r="J627" s="1">
        <v>37312</v>
      </c>
      <c r="K627" s="1">
        <v>37340</v>
      </c>
      <c r="L627" s="1">
        <v>37340</v>
      </c>
      <c r="M627" s="1">
        <v>37340</v>
      </c>
      <c r="N627" s="1">
        <v>37340</v>
      </c>
      <c r="O627" t="s">
        <v>1117</v>
      </c>
      <c r="P627">
        <v>2</v>
      </c>
      <c r="Q627" t="s">
        <v>1215</v>
      </c>
      <c r="R627">
        <f t="shared" si="18"/>
        <v>13</v>
      </c>
      <c r="S627">
        <f t="shared" si="19"/>
        <v>1</v>
      </c>
    </row>
    <row r="628" spans="1:19" x14ac:dyDescent="0.25">
      <c r="A628" t="s">
        <v>1752</v>
      </c>
      <c r="B628" t="s">
        <v>4028</v>
      </c>
      <c r="C628">
        <v>0.7</v>
      </c>
      <c r="D628">
        <v>1250</v>
      </c>
      <c r="E628">
        <v>0</v>
      </c>
      <c r="F628">
        <v>3</v>
      </c>
      <c r="G628">
        <v>3</v>
      </c>
      <c r="H628" t="s">
        <v>1208</v>
      </c>
      <c r="I628" s="1">
        <v>37126</v>
      </c>
      <c r="J628" s="1">
        <v>37313</v>
      </c>
      <c r="K628" s="1">
        <v>37311</v>
      </c>
      <c r="L628" s="1">
        <v>37313</v>
      </c>
      <c r="M628" s="1">
        <v>37263</v>
      </c>
      <c r="N628" s="1">
        <v>37263</v>
      </c>
      <c r="O628" t="s">
        <v>1114</v>
      </c>
      <c r="P628">
        <v>2</v>
      </c>
      <c r="Q628" t="s">
        <v>1215</v>
      </c>
      <c r="R628">
        <f t="shared" si="18"/>
        <v>2</v>
      </c>
      <c r="S628">
        <f t="shared" si="19"/>
        <v>1</v>
      </c>
    </row>
    <row r="629" spans="1:19" x14ac:dyDescent="0.25">
      <c r="A629" t="s">
        <v>1753</v>
      </c>
      <c r="B629" t="s">
        <v>4028</v>
      </c>
      <c r="C629">
        <v>0.4</v>
      </c>
      <c r="D629">
        <v>485</v>
      </c>
      <c r="E629">
        <v>0</v>
      </c>
      <c r="F629">
        <v>18</v>
      </c>
      <c r="G629">
        <v>2.8250000000000002</v>
      </c>
      <c r="H629" t="s">
        <v>1208</v>
      </c>
      <c r="I629" s="1">
        <v>37159</v>
      </c>
      <c r="J629" s="1">
        <v>37312</v>
      </c>
      <c r="K629" s="1">
        <v>37341</v>
      </c>
      <c r="L629" s="1">
        <v>37341</v>
      </c>
      <c r="M629" s="1">
        <v>37334</v>
      </c>
      <c r="N629" s="1">
        <v>37334</v>
      </c>
      <c r="O629" t="s">
        <v>1117</v>
      </c>
      <c r="P629">
        <v>8</v>
      </c>
      <c r="Q629" t="s">
        <v>1438</v>
      </c>
      <c r="R629">
        <f t="shared" si="18"/>
        <v>12</v>
      </c>
      <c r="S629">
        <f t="shared" si="19"/>
        <v>0</v>
      </c>
    </row>
    <row r="630" spans="1:19" x14ac:dyDescent="0.25">
      <c r="A630" t="s">
        <v>1754</v>
      </c>
      <c r="B630" t="s">
        <v>4026</v>
      </c>
      <c r="C630">
        <v>0.4</v>
      </c>
      <c r="D630">
        <v>585</v>
      </c>
      <c r="E630">
        <v>0</v>
      </c>
      <c r="F630">
        <v>9.6</v>
      </c>
      <c r="G630">
        <v>3.3279999999999998</v>
      </c>
      <c r="H630" t="s">
        <v>1208</v>
      </c>
      <c r="I630" s="1">
        <v>37159</v>
      </c>
      <c r="J630" s="1">
        <v>37312</v>
      </c>
      <c r="K630" s="1">
        <v>37339</v>
      </c>
      <c r="L630" s="1">
        <v>37339</v>
      </c>
      <c r="M630" s="1">
        <v>37339</v>
      </c>
      <c r="N630" s="1">
        <v>37339</v>
      </c>
      <c r="O630" t="s">
        <v>1117</v>
      </c>
      <c r="P630">
        <v>10</v>
      </c>
      <c r="Q630" t="s">
        <v>1438</v>
      </c>
      <c r="R630">
        <f t="shared" si="18"/>
        <v>13</v>
      </c>
      <c r="S630">
        <f t="shared" si="19"/>
        <v>0</v>
      </c>
    </row>
    <row r="631" spans="1:19" x14ac:dyDescent="0.25">
      <c r="A631" t="s">
        <v>1755</v>
      </c>
      <c r="B631" t="s">
        <v>1199</v>
      </c>
      <c r="C631">
        <v>0.26</v>
      </c>
      <c r="D631">
        <v>600</v>
      </c>
      <c r="E631">
        <v>0</v>
      </c>
      <c r="F631">
        <v>19.600000000000001</v>
      </c>
      <c r="G631">
        <v>19.600000000000001</v>
      </c>
      <c r="H631" t="s">
        <v>1208</v>
      </c>
      <c r="I631" s="1">
        <v>37258</v>
      </c>
      <c r="J631" s="1">
        <v>37312</v>
      </c>
      <c r="K631" s="1">
        <v>37330</v>
      </c>
      <c r="L631" s="1">
        <v>37330</v>
      </c>
      <c r="M631" s="1">
        <v>37330</v>
      </c>
      <c r="N631" s="1">
        <v>37346</v>
      </c>
      <c r="O631" t="s">
        <v>1117</v>
      </c>
      <c r="P631">
        <v>6</v>
      </c>
      <c r="Q631" t="s">
        <v>1438</v>
      </c>
      <c r="R631">
        <f t="shared" si="18"/>
        <v>14</v>
      </c>
      <c r="S631">
        <f t="shared" si="19"/>
        <v>1</v>
      </c>
    </row>
    <row r="632" spans="1:19" x14ac:dyDescent="0.25">
      <c r="A632" t="s">
        <v>1756</v>
      </c>
      <c r="B632" t="s">
        <v>4026</v>
      </c>
      <c r="C632">
        <v>2</v>
      </c>
      <c r="D632">
        <v>1000</v>
      </c>
      <c r="E632">
        <v>0</v>
      </c>
      <c r="F632">
        <v>5</v>
      </c>
      <c r="G632">
        <v>5</v>
      </c>
      <c r="H632" t="s">
        <v>1208</v>
      </c>
      <c r="I632" s="1">
        <v>37159</v>
      </c>
      <c r="J632" s="1">
        <v>37323</v>
      </c>
      <c r="K632" s="1">
        <v>37353</v>
      </c>
      <c r="L632" s="1">
        <v>37353</v>
      </c>
      <c r="M632" s="1">
        <v>37353</v>
      </c>
      <c r="N632" s="1">
        <v>37360</v>
      </c>
      <c r="O632" t="s">
        <v>1117</v>
      </c>
      <c r="P632">
        <v>4</v>
      </c>
      <c r="Q632" t="s">
        <v>1215</v>
      </c>
      <c r="R632">
        <f t="shared" si="18"/>
        <v>16</v>
      </c>
      <c r="S632">
        <f t="shared" si="19"/>
        <v>1</v>
      </c>
    </row>
    <row r="633" spans="1:19" x14ac:dyDescent="0.25">
      <c r="A633" t="s">
        <v>1757</v>
      </c>
      <c r="B633" t="s">
        <v>1199</v>
      </c>
      <c r="C633">
        <v>1</v>
      </c>
      <c r="D633">
        <v>1250</v>
      </c>
      <c r="E633">
        <v>0</v>
      </c>
      <c r="F633">
        <v>20</v>
      </c>
      <c r="G633">
        <v>15</v>
      </c>
      <c r="H633" t="s">
        <v>1208</v>
      </c>
      <c r="I633" s="1">
        <v>37348</v>
      </c>
      <c r="J633" s="1">
        <v>37363</v>
      </c>
      <c r="K633" s="1">
        <v>37363</v>
      </c>
      <c r="L633" s="1">
        <v>37363</v>
      </c>
      <c r="M633" s="1">
        <v>37363</v>
      </c>
      <c r="N633" s="1">
        <v>37363</v>
      </c>
      <c r="O633" t="s">
        <v>1114</v>
      </c>
      <c r="P633">
        <v>1</v>
      </c>
      <c r="Q633" t="s">
        <v>1215</v>
      </c>
      <c r="R633">
        <f t="shared" si="18"/>
        <v>16</v>
      </c>
      <c r="S633">
        <f t="shared" si="19"/>
        <v>0</v>
      </c>
    </row>
    <row r="634" spans="1:19" x14ac:dyDescent="0.25">
      <c r="A634" t="s">
        <v>1758</v>
      </c>
      <c r="B634" t="s">
        <v>4026</v>
      </c>
      <c r="C634">
        <v>1.5</v>
      </c>
      <c r="D634">
        <v>1250</v>
      </c>
      <c r="E634">
        <v>0</v>
      </c>
      <c r="F634">
        <v>10</v>
      </c>
      <c r="G634">
        <v>10</v>
      </c>
      <c r="H634" t="s">
        <v>1208</v>
      </c>
      <c r="I634" s="1">
        <v>37120</v>
      </c>
      <c r="J634" s="1">
        <v>37312</v>
      </c>
      <c r="K634" s="1">
        <v>37312</v>
      </c>
      <c r="L634" s="1">
        <v>37312</v>
      </c>
      <c r="M634" s="1">
        <v>37312</v>
      </c>
      <c r="N634" s="1">
        <v>37338</v>
      </c>
      <c r="O634" t="s">
        <v>1114</v>
      </c>
      <c r="P634">
        <v>12</v>
      </c>
      <c r="Q634" t="s">
        <v>1215</v>
      </c>
      <c r="R634">
        <f t="shared" si="18"/>
        <v>12</v>
      </c>
      <c r="S634">
        <f t="shared" si="19"/>
        <v>1</v>
      </c>
    </row>
    <row r="635" spans="1:19" x14ac:dyDescent="0.25">
      <c r="A635" t="s">
        <v>1759</v>
      </c>
      <c r="B635" t="s">
        <v>1199</v>
      </c>
      <c r="C635">
        <v>0.55000000000000004</v>
      </c>
      <c r="D635">
        <v>1250</v>
      </c>
      <c r="E635">
        <v>0</v>
      </c>
      <c r="F635">
        <v>20</v>
      </c>
      <c r="G635">
        <v>20</v>
      </c>
      <c r="H635" t="s">
        <v>1208</v>
      </c>
      <c r="I635" s="1">
        <v>37108</v>
      </c>
      <c r="J635" s="1">
        <v>37313</v>
      </c>
      <c r="K635" s="1">
        <v>37315</v>
      </c>
      <c r="L635" s="1">
        <v>37315</v>
      </c>
      <c r="M635" s="1">
        <v>37321</v>
      </c>
      <c r="N635" s="1">
        <v>37321</v>
      </c>
      <c r="O635" t="s">
        <v>1117</v>
      </c>
      <c r="P635">
        <v>1</v>
      </c>
      <c r="Q635" t="s">
        <v>1215</v>
      </c>
      <c r="R635">
        <f t="shared" si="18"/>
        <v>10</v>
      </c>
      <c r="S635">
        <f t="shared" si="19"/>
        <v>1</v>
      </c>
    </row>
    <row r="636" spans="1:19" x14ac:dyDescent="0.25">
      <c r="A636" t="s">
        <v>1760</v>
      </c>
      <c r="B636" t="s">
        <v>1199</v>
      </c>
      <c r="C636">
        <v>0.6</v>
      </c>
      <c r="D636">
        <v>1250</v>
      </c>
      <c r="E636">
        <v>0</v>
      </c>
      <c r="F636">
        <v>28</v>
      </c>
      <c r="G636">
        <v>16.364000000000001</v>
      </c>
      <c r="H636" t="s">
        <v>1208</v>
      </c>
      <c r="I636" s="1">
        <v>37159</v>
      </c>
      <c r="J636" s="1">
        <v>37313</v>
      </c>
      <c r="K636" s="1">
        <v>37328</v>
      </c>
      <c r="L636" s="1">
        <v>37328</v>
      </c>
      <c r="M636" s="1">
        <v>37329</v>
      </c>
      <c r="N636" s="1">
        <v>37329</v>
      </c>
      <c r="O636" t="s">
        <v>1117</v>
      </c>
      <c r="P636">
        <v>3</v>
      </c>
      <c r="Q636" t="s">
        <v>1215</v>
      </c>
      <c r="R636">
        <f t="shared" si="18"/>
        <v>11</v>
      </c>
      <c r="S636">
        <f t="shared" si="19"/>
        <v>0</v>
      </c>
    </row>
    <row r="637" spans="1:19" x14ac:dyDescent="0.25">
      <c r="A637" t="s">
        <v>1761</v>
      </c>
      <c r="B637" t="s">
        <v>1199</v>
      </c>
      <c r="C637">
        <v>0.5</v>
      </c>
      <c r="D637">
        <v>1250</v>
      </c>
      <c r="E637">
        <v>0</v>
      </c>
      <c r="F637">
        <v>8</v>
      </c>
      <c r="G637">
        <v>8</v>
      </c>
      <c r="H637" t="s">
        <v>1208</v>
      </c>
      <c r="I637" s="1">
        <v>37122</v>
      </c>
      <c r="J637" s="1">
        <v>37324</v>
      </c>
      <c r="K637" s="1">
        <v>37372</v>
      </c>
      <c r="L637" s="1">
        <v>37372</v>
      </c>
      <c r="M637" s="1">
        <v>37365</v>
      </c>
      <c r="N637" s="1">
        <v>37368</v>
      </c>
      <c r="O637" t="s">
        <v>1117</v>
      </c>
      <c r="P637">
        <v>1</v>
      </c>
      <c r="Q637" t="s">
        <v>1215</v>
      </c>
      <c r="R637">
        <f t="shared" si="18"/>
        <v>17</v>
      </c>
      <c r="S637">
        <f t="shared" si="19"/>
        <v>1</v>
      </c>
    </row>
    <row r="638" spans="1:19" x14ac:dyDescent="0.25">
      <c r="A638" t="s">
        <v>1762</v>
      </c>
      <c r="B638" t="s">
        <v>1199</v>
      </c>
      <c r="C638">
        <v>0.26</v>
      </c>
      <c r="D638">
        <v>600</v>
      </c>
      <c r="E638">
        <v>0</v>
      </c>
      <c r="F638">
        <v>9.82</v>
      </c>
      <c r="G638">
        <v>9.82</v>
      </c>
      <c r="H638" t="s">
        <v>1208</v>
      </c>
      <c r="I638" s="1">
        <v>37258</v>
      </c>
      <c r="J638" s="1">
        <v>37312</v>
      </c>
      <c r="K638" s="1">
        <v>37330</v>
      </c>
      <c r="L638" s="1">
        <v>37330</v>
      </c>
      <c r="M638" s="1">
        <v>37330</v>
      </c>
      <c r="N638" s="1">
        <v>37346</v>
      </c>
      <c r="O638" t="s">
        <v>1117</v>
      </c>
      <c r="P638">
        <v>3</v>
      </c>
      <c r="Q638" t="s">
        <v>1438</v>
      </c>
      <c r="R638">
        <f t="shared" si="18"/>
        <v>14</v>
      </c>
      <c r="S638">
        <f t="shared" si="19"/>
        <v>1</v>
      </c>
    </row>
    <row r="639" spans="1:19" x14ac:dyDescent="0.25">
      <c r="A639" t="s">
        <v>1763</v>
      </c>
      <c r="B639" t="s">
        <v>4026</v>
      </c>
      <c r="C639">
        <v>2</v>
      </c>
      <c r="D639">
        <v>1250</v>
      </c>
      <c r="E639">
        <v>0</v>
      </c>
      <c r="F639">
        <v>20</v>
      </c>
      <c r="G639">
        <v>20</v>
      </c>
      <c r="H639" t="s">
        <v>1208</v>
      </c>
      <c r="I639" s="1">
        <v>37114</v>
      </c>
      <c r="J639" s="1">
        <v>37313</v>
      </c>
      <c r="K639" s="1">
        <v>37338</v>
      </c>
      <c r="L639" s="1">
        <v>37338</v>
      </c>
      <c r="M639" s="1">
        <v>37338</v>
      </c>
      <c r="N639" s="1">
        <v>37338</v>
      </c>
      <c r="O639" t="s">
        <v>1117</v>
      </c>
      <c r="P639">
        <v>3</v>
      </c>
      <c r="Q639" t="s">
        <v>1215</v>
      </c>
      <c r="R639">
        <f t="shared" si="18"/>
        <v>12</v>
      </c>
      <c r="S639">
        <f t="shared" si="19"/>
        <v>1</v>
      </c>
    </row>
    <row r="640" spans="1:19" x14ac:dyDescent="0.25">
      <c r="A640" t="s">
        <v>1764</v>
      </c>
      <c r="B640" t="s">
        <v>1199</v>
      </c>
      <c r="C640">
        <v>0.8</v>
      </c>
      <c r="D640">
        <v>1250</v>
      </c>
      <c r="E640">
        <v>0</v>
      </c>
      <c r="F640">
        <v>100</v>
      </c>
      <c r="G640">
        <v>75.944000000000003</v>
      </c>
      <c r="H640" t="s">
        <v>1208</v>
      </c>
      <c r="I640" s="1">
        <v>37120</v>
      </c>
      <c r="J640" s="1">
        <v>37312</v>
      </c>
      <c r="K640" t="s">
        <v>1124</v>
      </c>
      <c r="L640" t="s">
        <v>1124</v>
      </c>
      <c r="M640" s="1">
        <v>37339</v>
      </c>
      <c r="N640" s="1">
        <v>37339</v>
      </c>
      <c r="O640" t="s">
        <v>1117</v>
      </c>
      <c r="P640">
        <v>8</v>
      </c>
      <c r="Q640" t="s">
        <v>1215</v>
      </c>
      <c r="R640">
        <f t="shared" si="18"/>
        <v>13</v>
      </c>
      <c r="S640">
        <f t="shared" si="19"/>
        <v>0</v>
      </c>
    </row>
    <row r="641" spans="1:19" x14ac:dyDescent="0.25">
      <c r="A641" t="s">
        <v>1765</v>
      </c>
      <c r="B641" t="s">
        <v>1199</v>
      </c>
      <c r="C641">
        <v>0.26</v>
      </c>
      <c r="D641">
        <v>515</v>
      </c>
      <c r="E641">
        <v>0</v>
      </c>
      <c r="F641">
        <v>8.43</v>
      </c>
      <c r="G641">
        <v>8.43</v>
      </c>
      <c r="H641" t="s">
        <v>1208</v>
      </c>
      <c r="I641" s="1">
        <v>37258</v>
      </c>
      <c r="J641" s="1">
        <v>37312</v>
      </c>
      <c r="K641" s="1">
        <v>37344</v>
      </c>
      <c r="L641" s="1">
        <v>37344</v>
      </c>
      <c r="M641" s="1">
        <v>37344</v>
      </c>
      <c r="N641" s="1">
        <v>37344</v>
      </c>
      <c r="O641" t="s">
        <v>1117</v>
      </c>
      <c r="P641">
        <v>5</v>
      </c>
      <c r="Q641" t="s">
        <v>1438</v>
      </c>
      <c r="R641">
        <f t="shared" si="18"/>
        <v>13</v>
      </c>
      <c r="S641">
        <f t="shared" si="19"/>
        <v>1</v>
      </c>
    </row>
    <row r="642" spans="1:19" x14ac:dyDescent="0.25">
      <c r="A642" t="s">
        <v>4031</v>
      </c>
      <c r="B642" t="s">
        <v>3631</v>
      </c>
      <c r="C642">
        <v>1.2</v>
      </c>
      <c r="D642">
        <v>1000</v>
      </c>
      <c r="E642">
        <v>0</v>
      </c>
      <c r="F642">
        <v>3</v>
      </c>
      <c r="G642">
        <v>3</v>
      </c>
      <c r="H642" t="s">
        <v>1208</v>
      </c>
      <c r="I642" s="1">
        <v>37159</v>
      </c>
      <c r="J642" s="1">
        <v>37319</v>
      </c>
      <c r="K642" t="s">
        <v>1124</v>
      </c>
      <c r="L642" t="s">
        <v>1124</v>
      </c>
      <c r="M642" s="1">
        <v>37345</v>
      </c>
      <c r="N642" s="1">
        <v>37352</v>
      </c>
      <c r="O642" t="s">
        <v>1117</v>
      </c>
      <c r="P642">
        <v>8</v>
      </c>
      <c r="Q642" t="s">
        <v>1215</v>
      </c>
      <c r="R642">
        <f t="shared" si="18"/>
        <v>14</v>
      </c>
      <c r="S642">
        <f t="shared" si="19"/>
        <v>1</v>
      </c>
    </row>
    <row r="643" spans="1:19" x14ac:dyDescent="0.25">
      <c r="A643" t="s">
        <v>1766</v>
      </c>
      <c r="B643" t="s">
        <v>1199</v>
      </c>
      <c r="C643">
        <v>0.57999999999999996</v>
      </c>
      <c r="D643">
        <v>625</v>
      </c>
      <c r="E643">
        <v>0</v>
      </c>
      <c r="F643">
        <v>19.998999999999999</v>
      </c>
      <c r="G643">
        <v>19.998999999999999</v>
      </c>
      <c r="H643" t="s">
        <v>1208</v>
      </c>
      <c r="I643" s="1">
        <v>37159</v>
      </c>
      <c r="J643" s="1">
        <v>37345</v>
      </c>
      <c r="K643" s="1">
        <v>37373</v>
      </c>
      <c r="L643" s="1">
        <v>37373</v>
      </c>
      <c r="M643" s="1">
        <v>37366</v>
      </c>
      <c r="N643" s="1">
        <v>37387</v>
      </c>
      <c r="O643" t="s">
        <v>1117</v>
      </c>
      <c r="P643">
        <v>1</v>
      </c>
      <c r="Q643" t="s">
        <v>1215</v>
      </c>
      <c r="R643">
        <f t="shared" ref="R643:R706" si="20">WEEKNUM(N643,1)</f>
        <v>19</v>
      </c>
      <c r="S643">
        <f t="shared" ref="S643:S706" si="21">IF(AND(F643=G643, M643&lt;=N643), 1,0)</f>
        <v>1</v>
      </c>
    </row>
    <row r="644" spans="1:19" x14ac:dyDescent="0.25">
      <c r="A644" t="s">
        <v>1767</v>
      </c>
      <c r="B644" t="s">
        <v>4028</v>
      </c>
      <c r="C644">
        <v>1</v>
      </c>
      <c r="D644">
        <v>1000</v>
      </c>
      <c r="E644">
        <v>0</v>
      </c>
      <c r="F644">
        <v>3</v>
      </c>
      <c r="G644">
        <v>3</v>
      </c>
      <c r="H644" t="s">
        <v>1208</v>
      </c>
      <c r="I644" s="1">
        <v>37159</v>
      </c>
      <c r="J644" s="1">
        <v>37312</v>
      </c>
      <c r="K644" s="1">
        <v>37347</v>
      </c>
      <c r="L644" s="1">
        <v>37347</v>
      </c>
      <c r="M644" s="1">
        <v>37345</v>
      </c>
      <c r="N644" s="1">
        <v>37345</v>
      </c>
      <c r="O644" t="s">
        <v>1117</v>
      </c>
      <c r="P644">
        <v>1</v>
      </c>
      <c r="Q644" t="s">
        <v>1215</v>
      </c>
      <c r="R644">
        <f t="shared" si="20"/>
        <v>13</v>
      </c>
      <c r="S644">
        <f t="shared" si="21"/>
        <v>1</v>
      </c>
    </row>
    <row r="645" spans="1:19" x14ac:dyDescent="0.25">
      <c r="A645" t="s">
        <v>1768</v>
      </c>
      <c r="B645" t="s">
        <v>1199</v>
      </c>
      <c r="C645">
        <v>0.8</v>
      </c>
      <c r="D645">
        <v>1000</v>
      </c>
      <c r="E645">
        <v>0</v>
      </c>
      <c r="F645">
        <v>6</v>
      </c>
      <c r="G645">
        <v>6</v>
      </c>
      <c r="H645" t="s">
        <v>1208</v>
      </c>
      <c r="I645" s="1">
        <v>37159</v>
      </c>
      <c r="J645" s="1">
        <v>37323</v>
      </c>
      <c r="K645" s="1">
        <v>37353</v>
      </c>
      <c r="L645" s="1">
        <v>37353</v>
      </c>
      <c r="M645" s="1">
        <v>37353</v>
      </c>
      <c r="N645" s="1">
        <v>37353</v>
      </c>
      <c r="O645" t="s">
        <v>1117</v>
      </c>
      <c r="P645">
        <v>2</v>
      </c>
      <c r="Q645" t="s">
        <v>1215</v>
      </c>
      <c r="R645">
        <f t="shared" si="20"/>
        <v>15</v>
      </c>
      <c r="S645">
        <f t="shared" si="21"/>
        <v>1</v>
      </c>
    </row>
    <row r="646" spans="1:19" x14ac:dyDescent="0.25">
      <c r="A646" t="s">
        <v>1769</v>
      </c>
      <c r="B646" t="s">
        <v>1199</v>
      </c>
      <c r="C646">
        <v>1.5</v>
      </c>
      <c r="D646">
        <v>1250</v>
      </c>
      <c r="E646">
        <v>0</v>
      </c>
      <c r="F646">
        <v>50</v>
      </c>
      <c r="G646">
        <v>50</v>
      </c>
      <c r="H646" t="s">
        <v>1208</v>
      </c>
      <c r="I646" s="1">
        <v>37126</v>
      </c>
      <c r="J646" s="1">
        <v>37313</v>
      </c>
      <c r="K646" s="1">
        <v>37338</v>
      </c>
      <c r="L646" s="1">
        <v>37338</v>
      </c>
      <c r="M646" s="1">
        <v>37338</v>
      </c>
      <c r="N646" s="1">
        <v>37338</v>
      </c>
      <c r="O646" t="s">
        <v>1117</v>
      </c>
      <c r="P646">
        <v>1</v>
      </c>
      <c r="Q646" t="s">
        <v>1215</v>
      </c>
      <c r="R646">
        <f t="shared" si="20"/>
        <v>12</v>
      </c>
      <c r="S646">
        <f t="shared" si="21"/>
        <v>1</v>
      </c>
    </row>
    <row r="647" spans="1:19" x14ac:dyDescent="0.25">
      <c r="A647" t="s">
        <v>1770</v>
      </c>
      <c r="B647" t="s">
        <v>4026</v>
      </c>
      <c r="C647">
        <v>0.26</v>
      </c>
      <c r="D647">
        <v>550</v>
      </c>
      <c r="E647">
        <v>0</v>
      </c>
      <c r="F647">
        <v>9</v>
      </c>
      <c r="G647">
        <v>9</v>
      </c>
      <c r="H647" t="s">
        <v>1208</v>
      </c>
      <c r="I647" s="1">
        <v>37258</v>
      </c>
      <c r="J647" s="1">
        <v>37312</v>
      </c>
      <c r="K647" s="1">
        <v>37332</v>
      </c>
      <c r="L647" s="1">
        <v>37332</v>
      </c>
      <c r="M647" s="1">
        <v>37332</v>
      </c>
      <c r="N647" s="1">
        <v>37346</v>
      </c>
      <c r="O647" t="s">
        <v>1117</v>
      </c>
      <c r="P647">
        <v>10</v>
      </c>
      <c r="Q647" t="s">
        <v>1438</v>
      </c>
      <c r="R647">
        <f t="shared" si="20"/>
        <v>14</v>
      </c>
      <c r="S647">
        <f t="shared" si="21"/>
        <v>1</v>
      </c>
    </row>
    <row r="648" spans="1:19" x14ac:dyDescent="0.25">
      <c r="A648" t="s">
        <v>1771</v>
      </c>
      <c r="B648" t="s">
        <v>4028</v>
      </c>
      <c r="C648">
        <v>1</v>
      </c>
      <c r="D648">
        <v>1000</v>
      </c>
      <c r="E648">
        <v>0</v>
      </c>
      <c r="F648">
        <v>3</v>
      </c>
      <c r="G648">
        <v>3</v>
      </c>
      <c r="H648" t="s">
        <v>1208</v>
      </c>
      <c r="I648" s="1">
        <v>37159</v>
      </c>
      <c r="J648" s="1">
        <v>37323</v>
      </c>
      <c r="K648" s="1">
        <v>37347</v>
      </c>
      <c r="L648" s="1">
        <v>37347</v>
      </c>
      <c r="M648" s="1">
        <v>37345</v>
      </c>
      <c r="N648" s="1">
        <v>37345</v>
      </c>
      <c r="O648" t="s">
        <v>1117</v>
      </c>
      <c r="P648">
        <v>1</v>
      </c>
      <c r="Q648" t="s">
        <v>1215</v>
      </c>
      <c r="R648">
        <f t="shared" si="20"/>
        <v>13</v>
      </c>
      <c r="S648">
        <f t="shared" si="21"/>
        <v>1</v>
      </c>
    </row>
    <row r="649" spans="1:19" x14ac:dyDescent="0.25">
      <c r="A649" t="s">
        <v>1772</v>
      </c>
      <c r="B649" t="s">
        <v>4026</v>
      </c>
      <c r="C649">
        <v>0.5</v>
      </c>
      <c r="D649">
        <v>625</v>
      </c>
      <c r="E649">
        <v>0</v>
      </c>
      <c r="F649">
        <v>9.9990000000000006</v>
      </c>
      <c r="G649">
        <v>9.9990000000000006</v>
      </c>
      <c r="H649" t="s">
        <v>1208</v>
      </c>
      <c r="I649" s="1">
        <v>37159</v>
      </c>
      <c r="J649" s="1">
        <v>37345</v>
      </c>
      <c r="K649" s="1">
        <v>37373</v>
      </c>
      <c r="L649" s="1">
        <v>37373</v>
      </c>
      <c r="M649" s="1">
        <v>37366</v>
      </c>
      <c r="N649" s="1">
        <v>37366</v>
      </c>
      <c r="O649" t="s">
        <v>1117</v>
      </c>
      <c r="P649">
        <v>1</v>
      </c>
      <c r="Q649" t="s">
        <v>1215</v>
      </c>
      <c r="R649">
        <f t="shared" si="20"/>
        <v>16</v>
      </c>
      <c r="S649">
        <f t="shared" si="21"/>
        <v>1</v>
      </c>
    </row>
    <row r="650" spans="1:19" x14ac:dyDescent="0.25">
      <c r="A650" t="s">
        <v>1773</v>
      </c>
      <c r="B650" t="s">
        <v>4026</v>
      </c>
      <c r="C650">
        <v>0.6</v>
      </c>
      <c r="D650">
        <v>1250</v>
      </c>
      <c r="E650">
        <v>0</v>
      </c>
      <c r="F650">
        <v>12</v>
      </c>
      <c r="G650">
        <v>12</v>
      </c>
      <c r="H650" t="s">
        <v>1208</v>
      </c>
      <c r="I650" s="1">
        <v>37159</v>
      </c>
      <c r="J650" s="1">
        <v>37313</v>
      </c>
      <c r="K650" s="1">
        <v>37353</v>
      </c>
      <c r="L650" s="1">
        <v>37353</v>
      </c>
      <c r="M650" s="1">
        <v>37331</v>
      </c>
      <c r="N650" s="1">
        <v>37331</v>
      </c>
      <c r="O650" t="s">
        <v>1117</v>
      </c>
      <c r="P650">
        <v>2</v>
      </c>
      <c r="Q650" t="s">
        <v>1215</v>
      </c>
      <c r="R650">
        <f t="shared" si="20"/>
        <v>11</v>
      </c>
      <c r="S650">
        <f t="shared" si="21"/>
        <v>1</v>
      </c>
    </row>
    <row r="651" spans="1:19" x14ac:dyDescent="0.25">
      <c r="A651" t="s">
        <v>1774</v>
      </c>
      <c r="B651" t="s">
        <v>4028</v>
      </c>
      <c r="C651">
        <v>0.8</v>
      </c>
      <c r="D651">
        <v>1250</v>
      </c>
      <c r="E651">
        <v>0</v>
      </c>
      <c r="F651">
        <v>20</v>
      </c>
      <c r="G651">
        <v>20</v>
      </c>
      <c r="H651" t="s">
        <v>1208</v>
      </c>
      <c r="I651" s="1">
        <v>37159</v>
      </c>
      <c r="J651" s="1">
        <v>37313</v>
      </c>
      <c r="K651" s="1">
        <v>37345</v>
      </c>
      <c r="L651" s="1">
        <v>37345</v>
      </c>
      <c r="M651" s="1">
        <v>37343</v>
      </c>
      <c r="N651" s="1">
        <v>37343</v>
      </c>
      <c r="O651" t="s">
        <v>1117</v>
      </c>
      <c r="P651">
        <v>4</v>
      </c>
      <c r="Q651" t="s">
        <v>1215</v>
      </c>
      <c r="R651">
        <f t="shared" si="20"/>
        <v>13</v>
      </c>
      <c r="S651">
        <f t="shared" si="21"/>
        <v>1</v>
      </c>
    </row>
    <row r="652" spans="1:19" x14ac:dyDescent="0.25">
      <c r="A652" t="s">
        <v>1775</v>
      </c>
      <c r="B652" t="s">
        <v>1199</v>
      </c>
      <c r="C652">
        <v>0.5</v>
      </c>
      <c r="D652">
        <v>1250</v>
      </c>
      <c r="E652">
        <v>0</v>
      </c>
      <c r="F652">
        <v>12</v>
      </c>
      <c r="G652">
        <v>12</v>
      </c>
      <c r="H652" t="s">
        <v>1208</v>
      </c>
      <c r="I652" s="1">
        <v>37126</v>
      </c>
      <c r="J652" s="1">
        <v>37312</v>
      </c>
      <c r="K652" s="1">
        <v>37328</v>
      </c>
      <c r="L652" s="1">
        <v>37328</v>
      </c>
      <c r="M652" s="1">
        <v>37327</v>
      </c>
      <c r="N652" s="1">
        <v>37327</v>
      </c>
      <c r="O652" t="s">
        <v>1117</v>
      </c>
      <c r="P652">
        <v>3</v>
      </c>
      <c r="Q652" t="s">
        <v>1215</v>
      </c>
      <c r="R652">
        <f t="shared" si="20"/>
        <v>11</v>
      </c>
      <c r="S652">
        <f t="shared" si="21"/>
        <v>1</v>
      </c>
    </row>
    <row r="653" spans="1:19" x14ac:dyDescent="0.25">
      <c r="A653" t="s">
        <v>1776</v>
      </c>
      <c r="B653" t="s">
        <v>4027</v>
      </c>
      <c r="C653">
        <v>1.5</v>
      </c>
      <c r="D653">
        <v>1000</v>
      </c>
      <c r="E653">
        <v>0</v>
      </c>
      <c r="F653">
        <v>5</v>
      </c>
      <c r="G653">
        <v>5</v>
      </c>
      <c r="H653" t="s">
        <v>1208</v>
      </c>
      <c r="I653" s="1">
        <v>37159</v>
      </c>
      <c r="J653" s="1">
        <v>37323</v>
      </c>
      <c r="K653" s="1">
        <v>37354</v>
      </c>
      <c r="L653" s="1">
        <v>37354</v>
      </c>
      <c r="M653" s="1">
        <v>37354</v>
      </c>
      <c r="N653" s="1">
        <v>37354</v>
      </c>
      <c r="O653" t="s">
        <v>1117</v>
      </c>
      <c r="P653">
        <v>3</v>
      </c>
      <c r="Q653" t="s">
        <v>1215</v>
      </c>
      <c r="R653">
        <f t="shared" si="20"/>
        <v>15</v>
      </c>
      <c r="S653">
        <f t="shared" si="21"/>
        <v>1</v>
      </c>
    </row>
    <row r="654" spans="1:19" x14ac:dyDescent="0.25">
      <c r="A654" t="s">
        <v>1777</v>
      </c>
      <c r="B654" t="s">
        <v>1199</v>
      </c>
      <c r="C654">
        <v>0.6</v>
      </c>
      <c r="D654">
        <v>63</v>
      </c>
      <c r="E654">
        <v>0</v>
      </c>
      <c r="F654">
        <v>4</v>
      </c>
      <c r="G654">
        <v>4</v>
      </c>
      <c r="H654" t="s">
        <v>1208</v>
      </c>
      <c r="I654" s="1">
        <v>37114</v>
      </c>
      <c r="J654" s="1">
        <v>37314</v>
      </c>
      <c r="K654" s="1">
        <v>37348</v>
      </c>
      <c r="L654" s="1">
        <v>37348</v>
      </c>
      <c r="M654" s="1">
        <v>37344</v>
      </c>
      <c r="N654" s="1">
        <v>37389</v>
      </c>
      <c r="O654" t="s">
        <v>1117</v>
      </c>
      <c r="P654">
        <v>6</v>
      </c>
      <c r="Q654" t="s">
        <v>1215</v>
      </c>
      <c r="R654">
        <f t="shared" si="20"/>
        <v>20</v>
      </c>
      <c r="S654">
        <f t="shared" si="21"/>
        <v>1</v>
      </c>
    </row>
    <row r="655" spans="1:19" x14ac:dyDescent="0.25">
      <c r="A655" t="s">
        <v>1778</v>
      </c>
      <c r="B655" t="s">
        <v>1199</v>
      </c>
      <c r="C655">
        <v>0.6</v>
      </c>
      <c r="D655">
        <v>1250</v>
      </c>
      <c r="E655">
        <v>0</v>
      </c>
      <c r="F655">
        <v>3</v>
      </c>
      <c r="G655">
        <v>3</v>
      </c>
      <c r="H655" t="s">
        <v>1208</v>
      </c>
      <c r="I655" s="1">
        <v>37110</v>
      </c>
      <c r="J655" s="1">
        <v>37324</v>
      </c>
      <c r="K655" s="1">
        <v>37375</v>
      </c>
      <c r="L655" s="1">
        <v>37375</v>
      </c>
      <c r="M655" s="1">
        <v>37368</v>
      </c>
      <c r="N655" s="1">
        <v>37368</v>
      </c>
      <c r="O655" t="s">
        <v>1117</v>
      </c>
      <c r="P655">
        <v>1</v>
      </c>
      <c r="Q655" t="s">
        <v>1215</v>
      </c>
      <c r="R655">
        <f t="shared" si="20"/>
        <v>17</v>
      </c>
      <c r="S655">
        <f t="shared" si="21"/>
        <v>1</v>
      </c>
    </row>
    <row r="656" spans="1:19" x14ac:dyDescent="0.25">
      <c r="A656" t="s">
        <v>1779</v>
      </c>
      <c r="B656" t="s">
        <v>4026</v>
      </c>
      <c r="C656">
        <v>2</v>
      </c>
      <c r="D656">
        <v>1250</v>
      </c>
      <c r="E656">
        <v>0</v>
      </c>
      <c r="F656">
        <v>9</v>
      </c>
      <c r="G656">
        <v>9</v>
      </c>
      <c r="H656" t="s">
        <v>1208</v>
      </c>
      <c r="I656" s="1">
        <v>37159</v>
      </c>
      <c r="J656" s="1">
        <v>37313</v>
      </c>
      <c r="K656" s="1">
        <v>37313</v>
      </c>
      <c r="L656" s="1">
        <v>37313</v>
      </c>
      <c r="M656" s="1">
        <v>37313</v>
      </c>
      <c r="N656" s="1">
        <v>37338</v>
      </c>
      <c r="O656" t="s">
        <v>1114</v>
      </c>
      <c r="P656">
        <v>1</v>
      </c>
      <c r="Q656" t="s">
        <v>1215</v>
      </c>
      <c r="R656">
        <f t="shared" si="20"/>
        <v>12</v>
      </c>
      <c r="S656">
        <f t="shared" si="21"/>
        <v>1</v>
      </c>
    </row>
    <row r="657" spans="1:19" x14ac:dyDescent="0.25">
      <c r="A657" t="s">
        <v>1780</v>
      </c>
      <c r="B657" t="s">
        <v>1199</v>
      </c>
      <c r="C657">
        <v>1.2</v>
      </c>
      <c r="D657">
        <v>1250</v>
      </c>
      <c r="E657">
        <v>0</v>
      </c>
      <c r="F657">
        <v>30</v>
      </c>
      <c r="G657">
        <v>30</v>
      </c>
      <c r="H657" t="s">
        <v>1208</v>
      </c>
      <c r="I657" s="1">
        <v>37159</v>
      </c>
      <c r="J657" s="1">
        <v>37313</v>
      </c>
      <c r="K657" s="1">
        <v>37338</v>
      </c>
      <c r="L657" s="1">
        <v>37338</v>
      </c>
      <c r="M657" s="1">
        <v>37338</v>
      </c>
      <c r="N657" s="1">
        <v>37338</v>
      </c>
      <c r="O657" t="s">
        <v>1117</v>
      </c>
      <c r="P657">
        <v>1</v>
      </c>
      <c r="Q657" t="s">
        <v>1215</v>
      </c>
      <c r="R657">
        <f t="shared" si="20"/>
        <v>12</v>
      </c>
      <c r="S657">
        <f t="shared" si="21"/>
        <v>1</v>
      </c>
    </row>
    <row r="658" spans="1:19" x14ac:dyDescent="0.25">
      <c r="A658" t="s">
        <v>1781</v>
      </c>
      <c r="B658" t="s">
        <v>4028</v>
      </c>
      <c r="C658">
        <v>0.5</v>
      </c>
      <c r="D658">
        <v>1220</v>
      </c>
      <c r="E658">
        <v>0</v>
      </c>
      <c r="F658">
        <v>39</v>
      </c>
      <c r="G658">
        <v>39</v>
      </c>
      <c r="H658" t="s">
        <v>1208</v>
      </c>
      <c r="I658" s="1">
        <v>37159</v>
      </c>
      <c r="J658" s="1">
        <v>37312</v>
      </c>
      <c r="K658" s="1">
        <v>37332</v>
      </c>
      <c r="L658" s="1">
        <v>37332</v>
      </c>
      <c r="M658" s="1">
        <v>37332</v>
      </c>
      <c r="N658" s="1">
        <v>37332</v>
      </c>
      <c r="O658" t="s">
        <v>1117</v>
      </c>
      <c r="P658">
        <v>1</v>
      </c>
      <c r="Q658" t="s">
        <v>1215</v>
      </c>
      <c r="R658">
        <f t="shared" si="20"/>
        <v>12</v>
      </c>
      <c r="S658">
        <f t="shared" si="21"/>
        <v>1</v>
      </c>
    </row>
    <row r="659" spans="1:19" x14ac:dyDescent="0.25">
      <c r="A659" t="s">
        <v>1782</v>
      </c>
      <c r="B659" t="s">
        <v>4028</v>
      </c>
      <c r="C659">
        <v>0.26</v>
      </c>
      <c r="D659">
        <v>500</v>
      </c>
      <c r="E659">
        <v>0</v>
      </c>
      <c r="F659">
        <v>8.18</v>
      </c>
      <c r="G659">
        <v>8.18</v>
      </c>
      <c r="H659" t="s">
        <v>1208</v>
      </c>
      <c r="I659" s="1">
        <v>37258</v>
      </c>
      <c r="J659" s="1">
        <v>37312</v>
      </c>
      <c r="K659" s="1">
        <v>37332</v>
      </c>
      <c r="L659" s="1">
        <v>37332</v>
      </c>
      <c r="M659" s="1">
        <v>37332</v>
      </c>
      <c r="N659" s="1">
        <v>37344</v>
      </c>
      <c r="O659" t="s">
        <v>1117</v>
      </c>
      <c r="P659">
        <v>2</v>
      </c>
      <c r="Q659" t="s">
        <v>1438</v>
      </c>
      <c r="R659">
        <f t="shared" si="20"/>
        <v>13</v>
      </c>
      <c r="S659">
        <f t="shared" si="21"/>
        <v>1</v>
      </c>
    </row>
    <row r="660" spans="1:19" x14ac:dyDescent="0.25">
      <c r="A660" t="s">
        <v>1783</v>
      </c>
      <c r="B660" t="s">
        <v>1199</v>
      </c>
      <c r="C660">
        <v>0.26</v>
      </c>
      <c r="D660">
        <v>550</v>
      </c>
      <c r="E660">
        <v>0</v>
      </c>
      <c r="F660">
        <v>9</v>
      </c>
      <c r="G660">
        <v>9</v>
      </c>
      <c r="H660" t="s">
        <v>1208</v>
      </c>
      <c r="I660" s="1">
        <v>37258</v>
      </c>
      <c r="J660" s="1">
        <v>37312</v>
      </c>
      <c r="K660" s="1">
        <v>37346</v>
      </c>
      <c r="L660" s="1">
        <v>37346</v>
      </c>
      <c r="M660" s="1">
        <v>37346</v>
      </c>
      <c r="N660" s="1">
        <v>37346</v>
      </c>
      <c r="O660" t="s">
        <v>1117</v>
      </c>
      <c r="P660">
        <v>7</v>
      </c>
      <c r="Q660" t="s">
        <v>1438</v>
      </c>
      <c r="R660">
        <f t="shared" si="20"/>
        <v>14</v>
      </c>
      <c r="S660">
        <f t="shared" si="21"/>
        <v>1</v>
      </c>
    </row>
    <row r="661" spans="1:19" x14ac:dyDescent="0.25">
      <c r="A661" t="s">
        <v>1784</v>
      </c>
      <c r="B661" t="s">
        <v>4026</v>
      </c>
      <c r="C661">
        <v>0.26</v>
      </c>
      <c r="D661">
        <v>565</v>
      </c>
      <c r="E661">
        <v>0</v>
      </c>
      <c r="F661">
        <v>18.797999999999998</v>
      </c>
      <c r="G661">
        <v>18.797999999999998</v>
      </c>
      <c r="H661" t="s">
        <v>1208</v>
      </c>
      <c r="I661" s="1">
        <v>37258</v>
      </c>
      <c r="J661" s="1">
        <v>37312</v>
      </c>
      <c r="K661" s="1">
        <v>37332</v>
      </c>
      <c r="L661" s="1">
        <v>37332</v>
      </c>
      <c r="M661" s="1">
        <v>37332</v>
      </c>
      <c r="N661" s="1">
        <v>37332</v>
      </c>
      <c r="O661" t="s">
        <v>1117</v>
      </c>
      <c r="P661">
        <v>9</v>
      </c>
      <c r="Q661" t="s">
        <v>1438</v>
      </c>
      <c r="R661">
        <f t="shared" si="20"/>
        <v>12</v>
      </c>
      <c r="S661">
        <f t="shared" si="21"/>
        <v>1</v>
      </c>
    </row>
    <row r="662" spans="1:19" x14ac:dyDescent="0.25">
      <c r="A662" t="s">
        <v>1785</v>
      </c>
      <c r="B662" t="s">
        <v>4026</v>
      </c>
      <c r="C662">
        <v>0.26</v>
      </c>
      <c r="D662">
        <v>535</v>
      </c>
      <c r="E662">
        <v>0</v>
      </c>
      <c r="F662">
        <v>26.3</v>
      </c>
      <c r="G662">
        <v>26.3</v>
      </c>
      <c r="H662" t="s">
        <v>1208</v>
      </c>
      <c r="I662" s="1">
        <v>37258</v>
      </c>
      <c r="J662" s="1">
        <v>37312</v>
      </c>
      <c r="K662" s="1">
        <v>37331</v>
      </c>
      <c r="L662" s="1">
        <v>37331</v>
      </c>
      <c r="M662" s="1">
        <v>37331</v>
      </c>
      <c r="N662" s="1">
        <v>37346</v>
      </c>
      <c r="O662" t="s">
        <v>1117</v>
      </c>
      <c r="P662">
        <v>5</v>
      </c>
      <c r="Q662" t="s">
        <v>1438</v>
      </c>
      <c r="R662">
        <f t="shared" si="20"/>
        <v>14</v>
      </c>
      <c r="S662">
        <f t="shared" si="21"/>
        <v>1</v>
      </c>
    </row>
    <row r="663" spans="1:19" x14ac:dyDescent="0.25">
      <c r="A663" t="s">
        <v>1786</v>
      </c>
      <c r="B663" t="s">
        <v>4027</v>
      </c>
      <c r="C663">
        <v>0.8</v>
      </c>
      <c r="D663">
        <v>1250</v>
      </c>
      <c r="E663">
        <v>0</v>
      </c>
      <c r="F663">
        <v>10</v>
      </c>
      <c r="G663">
        <v>10</v>
      </c>
      <c r="H663" t="s">
        <v>1208</v>
      </c>
      <c r="I663" s="1">
        <v>37124</v>
      </c>
      <c r="J663" s="1">
        <v>37313</v>
      </c>
      <c r="K663" s="1">
        <v>37375</v>
      </c>
      <c r="L663" s="1">
        <v>37375</v>
      </c>
      <c r="M663" s="1">
        <v>37344</v>
      </c>
      <c r="N663" s="1">
        <v>37344</v>
      </c>
      <c r="O663" t="s">
        <v>1117</v>
      </c>
      <c r="P663">
        <v>2</v>
      </c>
      <c r="Q663" t="s">
        <v>1215</v>
      </c>
      <c r="R663">
        <f t="shared" si="20"/>
        <v>13</v>
      </c>
      <c r="S663">
        <f t="shared" si="21"/>
        <v>1</v>
      </c>
    </row>
    <row r="664" spans="1:19" x14ac:dyDescent="0.25">
      <c r="A664" t="s">
        <v>1787</v>
      </c>
      <c r="B664" t="s">
        <v>4028</v>
      </c>
      <c r="C664">
        <v>0.26</v>
      </c>
      <c r="D664">
        <v>500</v>
      </c>
      <c r="E664">
        <v>0</v>
      </c>
      <c r="F664">
        <v>16.399999999999999</v>
      </c>
      <c r="G664">
        <v>16.399999999999999</v>
      </c>
      <c r="H664" t="s">
        <v>1208</v>
      </c>
      <c r="I664" s="1">
        <v>37258</v>
      </c>
      <c r="J664" s="1">
        <v>37312</v>
      </c>
      <c r="K664" s="1">
        <v>37344</v>
      </c>
      <c r="L664" s="1">
        <v>37344</v>
      </c>
      <c r="M664" s="1">
        <v>37344</v>
      </c>
      <c r="N664" s="1">
        <v>37344</v>
      </c>
      <c r="O664" t="s">
        <v>1117</v>
      </c>
      <c r="P664">
        <v>8</v>
      </c>
      <c r="Q664" t="s">
        <v>1438</v>
      </c>
      <c r="R664">
        <f t="shared" si="20"/>
        <v>13</v>
      </c>
      <c r="S664">
        <f t="shared" si="21"/>
        <v>1</v>
      </c>
    </row>
    <row r="665" spans="1:19" x14ac:dyDescent="0.25">
      <c r="A665" t="s">
        <v>1788</v>
      </c>
      <c r="B665" t="s">
        <v>1199</v>
      </c>
      <c r="C665">
        <v>0.6</v>
      </c>
      <c r="D665">
        <v>1250</v>
      </c>
      <c r="E665">
        <v>0</v>
      </c>
      <c r="F665">
        <v>6</v>
      </c>
      <c r="G665">
        <v>6</v>
      </c>
      <c r="H665" t="s">
        <v>1208</v>
      </c>
      <c r="I665" s="1">
        <v>37159</v>
      </c>
      <c r="J665" s="1">
        <v>37320</v>
      </c>
      <c r="K665" s="1">
        <v>37311</v>
      </c>
      <c r="L665" s="1">
        <v>37320</v>
      </c>
      <c r="M665" s="1">
        <v>37266</v>
      </c>
      <c r="N665" s="1">
        <v>37284</v>
      </c>
      <c r="O665" t="s">
        <v>1114</v>
      </c>
      <c r="P665">
        <v>1</v>
      </c>
      <c r="Q665" t="s">
        <v>1215</v>
      </c>
      <c r="R665">
        <f t="shared" si="20"/>
        <v>5</v>
      </c>
      <c r="S665">
        <f t="shared" si="21"/>
        <v>1</v>
      </c>
    </row>
    <row r="666" spans="1:19" x14ac:dyDescent="0.25">
      <c r="A666" t="s">
        <v>1789</v>
      </c>
      <c r="B666" t="s">
        <v>4028</v>
      </c>
      <c r="C666">
        <v>0.26</v>
      </c>
      <c r="D666">
        <v>585</v>
      </c>
      <c r="E666">
        <v>0</v>
      </c>
      <c r="F666">
        <v>28.7</v>
      </c>
      <c r="G666">
        <v>28.7</v>
      </c>
      <c r="H666" t="s">
        <v>1208</v>
      </c>
      <c r="I666" s="1">
        <v>37258</v>
      </c>
      <c r="J666" s="1">
        <v>37312</v>
      </c>
      <c r="K666" s="1">
        <v>37345</v>
      </c>
      <c r="L666" s="1">
        <v>37345</v>
      </c>
      <c r="M666" s="1">
        <v>37345</v>
      </c>
      <c r="N666" s="1">
        <v>37345</v>
      </c>
      <c r="O666" t="s">
        <v>1117</v>
      </c>
      <c r="P666">
        <v>2</v>
      </c>
      <c r="Q666" t="s">
        <v>1438</v>
      </c>
      <c r="R666">
        <f t="shared" si="20"/>
        <v>13</v>
      </c>
      <c r="S666">
        <f t="shared" si="21"/>
        <v>1</v>
      </c>
    </row>
    <row r="667" spans="1:19" x14ac:dyDescent="0.25">
      <c r="A667" t="s">
        <v>1790</v>
      </c>
      <c r="B667" t="s">
        <v>1199</v>
      </c>
      <c r="C667">
        <v>0.26</v>
      </c>
      <c r="D667">
        <v>615</v>
      </c>
      <c r="E667">
        <v>0</v>
      </c>
      <c r="F667">
        <v>30.2</v>
      </c>
      <c r="G667">
        <v>30.2</v>
      </c>
      <c r="H667" t="s">
        <v>1208</v>
      </c>
      <c r="I667" s="1">
        <v>37258</v>
      </c>
      <c r="J667" s="1">
        <v>37312</v>
      </c>
      <c r="K667" t="s">
        <v>1124</v>
      </c>
      <c r="L667" t="s">
        <v>1124</v>
      </c>
      <c r="M667" s="1">
        <v>37379</v>
      </c>
      <c r="N667" s="1">
        <v>37379</v>
      </c>
      <c r="O667" t="s">
        <v>1117</v>
      </c>
      <c r="P667">
        <v>1</v>
      </c>
      <c r="Q667" t="s">
        <v>1438</v>
      </c>
      <c r="R667">
        <f t="shared" si="20"/>
        <v>18</v>
      </c>
      <c r="S667">
        <f t="shared" si="21"/>
        <v>1</v>
      </c>
    </row>
    <row r="668" spans="1:19" x14ac:dyDescent="0.25">
      <c r="A668" t="s">
        <v>1791</v>
      </c>
      <c r="B668" t="s">
        <v>4026</v>
      </c>
      <c r="C668">
        <v>0.4</v>
      </c>
      <c r="D668">
        <v>580</v>
      </c>
      <c r="E668">
        <v>0</v>
      </c>
      <c r="F668">
        <v>9.6660000000000004</v>
      </c>
      <c r="G668">
        <v>5.7169999999999996</v>
      </c>
      <c r="H668" t="s">
        <v>1208</v>
      </c>
      <c r="I668" s="1">
        <v>37159</v>
      </c>
      <c r="J668" s="1">
        <v>37312</v>
      </c>
      <c r="K668" t="s">
        <v>1124</v>
      </c>
      <c r="L668" t="s">
        <v>1124</v>
      </c>
      <c r="M668" s="1">
        <v>37335</v>
      </c>
      <c r="N668" s="1">
        <v>37335</v>
      </c>
      <c r="O668" t="s">
        <v>1117</v>
      </c>
      <c r="P668">
        <v>14</v>
      </c>
      <c r="Q668" t="s">
        <v>1438</v>
      </c>
      <c r="R668">
        <f t="shared" si="20"/>
        <v>12</v>
      </c>
      <c r="S668">
        <f t="shared" si="21"/>
        <v>0</v>
      </c>
    </row>
    <row r="669" spans="1:19" x14ac:dyDescent="0.25">
      <c r="A669" t="s">
        <v>1792</v>
      </c>
      <c r="B669" t="s">
        <v>3601</v>
      </c>
      <c r="C669">
        <v>0.56999999999999995</v>
      </c>
      <c r="D669">
        <v>30</v>
      </c>
      <c r="E669">
        <v>0</v>
      </c>
      <c r="F669">
        <v>30</v>
      </c>
      <c r="G669">
        <v>30</v>
      </c>
      <c r="H669" t="s">
        <v>1208</v>
      </c>
      <c r="I669" s="1">
        <v>37352</v>
      </c>
      <c r="J669" s="1">
        <v>37389</v>
      </c>
      <c r="K669" t="s">
        <v>1124</v>
      </c>
      <c r="L669" t="s">
        <v>1124</v>
      </c>
      <c r="M669" s="1">
        <v>37389</v>
      </c>
      <c r="N669" s="1">
        <v>37389</v>
      </c>
      <c r="O669" t="s">
        <v>1117</v>
      </c>
      <c r="P669">
        <v>1</v>
      </c>
      <c r="Q669" t="s">
        <v>1215</v>
      </c>
      <c r="R669">
        <f t="shared" si="20"/>
        <v>20</v>
      </c>
      <c r="S669">
        <f t="shared" si="21"/>
        <v>1</v>
      </c>
    </row>
    <row r="670" spans="1:19" x14ac:dyDescent="0.25">
      <c r="A670" t="s">
        <v>1793</v>
      </c>
      <c r="B670" t="s">
        <v>1199</v>
      </c>
      <c r="C670">
        <v>0.4</v>
      </c>
      <c r="D670">
        <v>615</v>
      </c>
      <c r="E670">
        <v>0</v>
      </c>
      <c r="F670">
        <v>17.314</v>
      </c>
      <c r="G670">
        <v>17.314</v>
      </c>
      <c r="H670" t="s">
        <v>1208</v>
      </c>
      <c r="I670" s="1">
        <v>37258</v>
      </c>
      <c r="J670" s="1">
        <v>37312</v>
      </c>
      <c r="K670" s="1">
        <v>37344</v>
      </c>
      <c r="L670" s="1">
        <v>37344</v>
      </c>
      <c r="M670" s="1">
        <v>37344</v>
      </c>
      <c r="N670" s="1">
        <v>37344</v>
      </c>
      <c r="O670" t="s">
        <v>1117</v>
      </c>
      <c r="P670">
        <v>1</v>
      </c>
      <c r="Q670" t="s">
        <v>1438</v>
      </c>
      <c r="R670">
        <f t="shared" si="20"/>
        <v>13</v>
      </c>
      <c r="S670">
        <f t="shared" si="21"/>
        <v>1</v>
      </c>
    </row>
    <row r="671" spans="1:19" x14ac:dyDescent="0.25">
      <c r="A671" t="s">
        <v>1794</v>
      </c>
      <c r="B671" t="s">
        <v>3521</v>
      </c>
      <c r="C671">
        <v>0.5</v>
      </c>
      <c r="D671">
        <v>1250</v>
      </c>
      <c r="E671">
        <v>0</v>
      </c>
      <c r="F671">
        <v>6</v>
      </c>
      <c r="G671">
        <v>6</v>
      </c>
      <c r="H671" t="s">
        <v>1208</v>
      </c>
      <c r="I671" s="1">
        <v>37159</v>
      </c>
      <c r="J671" s="1">
        <v>37320</v>
      </c>
      <c r="K671" s="1">
        <v>37351</v>
      </c>
      <c r="L671" s="1">
        <v>37351</v>
      </c>
      <c r="M671" s="1">
        <v>37351</v>
      </c>
      <c r="N671" s="1">
        <v>37351</v>
      </c>
      <c r="O671" t="s">
        <v>1117</v>
      </c>
      <c r="P671">
        <v>1</v>
      </c>
      <c r="Q671" t="s">
        <v>1215</v>
      </c>
      <c r="R671">
        <f t="shared" si="20"/>
        <v>14</v>
      </c>
      <c r="S671">
        <f t="shared" si="21"/>
        <v>1</v>
      </c>
    </row>
    <row r="672" spans="1:19" x14ac:dyDescent="0.25">
      <c r="A672" t="s">
        <v>1795</v>
      </c>
      <c r="B672" t="s">
        <v>1199</v>
      </c>
      <c r="C672">
        <v>0.26</v>
      </c>
      <c r="D672">
        <v>615</v>
      </c>
      <c r="E672">
        <v>0</v>
      </c>
      <c r="F672">
        <v>10.06</v>
      </c>
      <c r="G672">
        <v>10.06</v>
      </c>
      <c r="H672" t="s">
        <v>1208</v>
      </c>
      <c r="I672" s="1">
        <v>37258</v>
      </c>
      <c r="J672" s="1">
        <v>37312</v>
      </c>
      <c r="K672" s="1">
        <v>37338</v>
      </c>
      <c r="L672" s="1">
        <v>37338</v>
      </c>
      <c r="M672" s="1">
        <v>37338</v>
      </c>
      <c r="N672" s="1">
        <v>37379</v>
      </c>
      <c r="O672" t="s">
        <v>1117</v>
      </c>
      <c r="P672">
        <v>9</v>
      </c>
      <c r="Q672" t="s">
        <v>1438</v>
      </c>
      <c r="R672">
        <f t="shared" si="20"/>
        <v>18</v>
      </c>
      <c r="S672">
        <f t="shared" si="21"/>
        <v>1</v>
      </c>
    </row>
    <row r="673" spans="1:19" x14ac:dyDescent="0.25">
      <c r="A673" t="s">
        <v>1796</v>
      </c>
      <c r="B673" t="s">
        <v>4026</v>
      </c>
      <c r="C673">
        <v>0.26</v>
      </c>
      <c r="D673">
        <v>600</v>
      </c>
      <c r="E673">
        <v>0</v>
      </c>
      <c r="F673">
        <v>9.82</v>
      </c>
      <c r="G673">
        <v>9.82</v>
      </c>
      <c r="H673" t="s">
        <v>1208</v>
      </c>
      <c r="I673" s="1">
        <v>37258</v>
      </c>
      <c r="J673" s="1">
        <v>37312</v>
      </c>
      <c r="K673" s="1">
        <v>37330</v>
      </c>
      <c r="L673" s="1">
        <v>37330</v>
      </c>
      <c r="M673" s="1">
        <v>37330</v>
      </c>
      <c r="N673" s="1">
        <v>37346</v>
      </c>
      <c r="O673" t="s">
        <v>1117</v>
      </c>
      <c r="P673">
        <v>8</v>
      </c>
      <c r="Q673" t="s">
        <v>1438</v>
      </c>
      <c r="R673">
        <f t="shared" si="20"/>
        <v>14</v>
      </c>
      <c r="S673">
        <f t="shared" si="21"/>
        <v>1</v>
      </c>
    </row>
    <row r="674" spans="1:19" x14ac:dyDescent="0.25">
      <c r="A674" t="s">
        <v>1797</v>
      </c>
      <c r="B674" t="s">
        <v>4028</v>
      </c>
      <c r="C674">
        <v>0.26</v>
      </c>
      <c r="D674">
        <v>535</v>
      </c>
      <c r="E674">
        <v>0</v>
      </c>
      <c r="F674">
        <v>8.75</v>
      </c>
      <c r="G674">
        <v>8.75</v>
      </c>
      <c r="H674" t="s">
        <v>1208</v>
      </c>
      <c r="I674" s="1">
        <v>37258</v>
      </c>
      <c r="J674" s="1">
        <v>37312</v>
      </c>
      <c r="K674" s="1">
        <v>37346</v>
      </c>
      <c r="L674" s="1">
        <v>37346</v>
      </c>
      <c r="M674" s="1">
        <v>37346</v>
      </c>
      <c r="N674" s="1">
        <v>37346</v>
      </c>
      <c r="O674" t="s">
        <v>1117</v>
      </c>
      <c r="P674">
        <v>7</v>
      </c>
      <c r="Q674" t="s">
        <v>1438</v>
      </c>
      <c r="R674">
        <f t="shared" si="20"/>
        <v>14</v>
      </c>
      <c r="S674">
        <f t="shared" si="21"/>
        <v>1</v>
      </c>
    </row>
    <row r="675" spans="1:19" x14ac:dyDescent="0.25">
      <c r="A675" t="s">
        <v>1798</v>
      </c>
      <c r="B675" t="s">
        <v>1199</v>
      </c>
      <c r="C675">
        <v>0.8</v>
      </c>
      <c r="D675">
        <v>340</v>
      </c>
      <c r="E675">
        <v>0</v>
      </c>
      <c r="F675">
        <v>22.571999999999999</v>
      </c>
      <c r="G675">
        <v>22.571999999999999</v>
      </c>
      <c r="H675" t="s">
        <v>1208</v>
      </c>
      <c r="I675" s="1">
        <v>37343</v>
      </c>
      <c r="J675" s="1">
        <v>37383</v>
      </c>
      <c r="K675" t="s">
        <v>1124</v>
      </c>
      <c r="L675" t="s">
        <v>1124</v>
      </c>
      <c r="M675" t="s">
        <v>1124</v>
      </c>
      <c r="N675" s="1">
        <v>37375</v>
      </c>
      <c r="O675" t="s">
        <v>1117</v>
      </c>
      <c r="P675">
        <v>1</v>
      </c>
      <c r="Q675" t="s">
        <v>1215</v>
      </c>
      <c r="R675">
        <f t="shared" si="20"/>
        <v>18</v>
      </c>
      <c r="S675">
        <f t="shared" si="21"/>
        <v>0</v>
      </c>
    </row>
    <row r="676" spans="1:19" x14ac:dyDescent="0.25">
      <c r="A676" t="s">
        <v>1799</v>
      </c>
      <c r="B676" t="s">
        <v>4028</v>
      </c>
      <c r="C676">
        <v>1</v>
      </c>
      <c r="D676">
        <v>320</v>
      </c>
      <c r="E676">
        <v>0</v>
      </c>
      <c r="F676">
        <v>20.535</v>
      </c>
      <c r="G676">
        <v>20.535</v>
      </c>
      <c r="H676" t="s">
        <v>1208</v>
      </c>
      <c r="I676" s="1">
        <v>37343</v>
      </c>
      <c r="J676" s="1">
        <v>37383</v>
      </c>
      <c r="K676" t="s">
        <v>1124</v>
      </c>
      <c r="L676" t="s">
        <v>1124</v>
      </c>
      <c r="M676" t="s">
        <v>1124</v>
      </c>
      <c r="N676" s="1">
        <v>37368</v>
      </c>
      <c r="O676" t="s">
        <v>1117</v>
      </c>
      <c r="P676">
        <v>2</v>
      </c>
      <c r="Q676" t="s">
        <v>1215</v>
      </c>
      <c r="R676">
        <f t="shared" si="20"/>
        <v>17</v>
      </c>
      <c r="S676">
        <f t="shared" si="21"/>
        <v>0</v>
      </c>
    </row>
    <row r="677" spans="1:19" x14ac:dyDescent="0.25">
      <c r="A677" t="s">
        <v>1800</v>
      </c>
      <c r="B677" t="s">
        <v>4026</v>
      </c>
      <c r="C677">
        <v>0.26</v>
      </c>
      <c r="D677">
        <v>600</v>
      </c>
      <c r="E677">
        <v>0</v>
      </c>
      <c r="F677">
        <v>9.82</v>
      </c>
      <c r="G677">
        <v>9.82</v>
      </c>
      <c r="H677" t="s">
        <v>1208</v>
      </c>
      <c r="I677" s="1">
        <v>37258</v>
      </c>
      <c r="J677" s="1">
        <v>37312</v>
      </c>
      <c r="K677" s="1">
        <v>37346</v>
      </c>
      <c r="L677" s="1">
        <v>37346</v>
      </c>
      <c r="M677" s="1">
        <v>37346</v>
      </c>
      <c r="N677" s="1">
        <v>37346</v>
      </c>
      <c r="O677" t="s">
        <v>1117</v>
      </c>
      <c r="P677">
        <v>6</v>
      </c>
      <c r="Q677" t="s">
        <v>1438</v>
      </c>
      <c r="R677">
        <f t="shared" si="20"/>
        <v>14</v>
      </c>
      <c r="S677">
        <f t="shared" si="21"/>
        <v>1</v>
      </c>
    </row>
    <row r="678" spans="1:19" x14ac:dyDescent="0.25">
      <c r="A678" t="s">
        <v>1801</v>
      </c>
      <c r="B678" t="s">
        <v>4028</v>
      </c>
      <c r="C678">
        <v>0.26</v>
      </c>
      <c r="D678">
        <v>550</v>
      </c>
      <c r="E678">
        <v>0</v>
      </c>
      <c r="F678">
        <v>4.8310000000000004</v>
      </c>
      <c r="G678">
        <v>4.8310000000000004</v>
      </c>
      <c r="H678" t="s">
        <v>1208</v>
      </c>
      <c r="I678" s="1">
        <v>37258</v>
      </c>
      <c r="J678" s="1">
        <v>37312</v>
      </c>
      <c r="K678" s="1">
        <v>37346</v>
      </c>
      <c r="L678" s="1">
        <v>37346</v>
      </c>
      <c r="M678" s="1">
        <v>37346</v>
      </c>
      <c r="N678" s="1">
        <v>37346</v>
      </c>
      <c r="O678" t="s">
        <v>1117</v>
      </c>
      <c r="P678">
        <v>4</v>
      </c>
      <c r="Q678" t="s">
        <v>1438</v>
      </c>
      <c r="R678">
        <f t="shared" si="20"/>
        <v>14</v>
      </c>
      <c r="S678">
        <f t="shared" si="21"/>
        <v>1</v>
      </c>
    </row>
    <row r="679" spans="1:19" x14ac:dyDescent="0.25">
      <c r="A679" t="s">
        <v>1802</v>
      </c>
      <c r="B679" t="s">
        <v>4026</v>
      </c>
      <c r="C679">
        <v>0.56999999999999995</v>
      </c>
      <c r="D679">
        <v>30</v>
      </c>
      <c r="E679">
        <v>0</v>
      </c>
      <c r="F679">
        <v>30</v>
      </c>
      <c r="G679">
        <v>30</v>
      </c>
      <c r="H679" t="s">
        <v>1208</v>
      </c>
      <c r="I679" s="1">
        <v>37299</v>
      </c>
      <c r="J679" s="1">
        <v>37308</v>
      </c>
      <c r="K679" t="s">
        <v>1124</v>
      </c>
      <c r="L679" t="s">
        <v>1124</v>
      </c>
      <c r="M679" s="1">
        <v>37335</v>
      </c>
      <c r="N679" s="1">
        <v>37389</v>
      </c>
      <c r="O679" t="s">
        <v>1117</v>
      </c>
      <c r="P679">
        <v>1</v>
      </c>
      <c r="Q679" t="s">
        <v>1215</v>
      </c>
      <c r="R679">
        <f t="shared" si="20"/>
        <v>20</v>
      </c>
      <c r="S679">
        <f t="shared" si="21"/>
        <v>1</v>
      </c>
    </row>
    <row r="680" spans="1:19" x14ac:dyDescent="0.25">
      <c r="A680" t="s">
        <v>1803</v>
      </c>
      <c r="B680" t="s">
        <v>1199</v>
      </c>
      <c r="C680">
        <v>0.26</v>
      </c>
      <c r="D680">
        <v>615</v>
      </c>
      <c r="E680">
        <v>0</v>
      </c>
      <c r="F680">
        <v>9</v>
      </c>
      <c r="G680">
        <v>9</v>
      </c>
      <c r="H680" t="s">
        <v>1208</v>
      </c>
      <c r="I680" s="1">
        <v>37258</v>
      </c>
      <c r="J680" s="1">
        <v>37312</v>
      </c>
      <c r="K680" s="1">
        <v>37338</v>
      </c>
      <c r="L680" s="1">
        <v>37338</v>
      </c>
      <c r="M680" s="1">
        <v>37338</v>
      </c>
      <c r="N680" s="1">
        <v>37379</v>
      </c>
      <c r="O680" t="s">
        <v>1117</v>
      </c>
      <c r="P680">
        <v>1</v>
      </c>
      <c r="Q680" t="s">
        <v>1438</v>
      </c>
      <c r="R680">
        <f t="shared" si="20"/>
        <v>18</v>
      </c>
      <c r="S680">
        <f t="shared" si="21"/>
        <v>1</v>
      </c>
    </row>
    <row r="681" spans="1:19" x14ac:dyDescent="0.25">
      <c r="A681" t="s">
        <v>1804</v>
      </c>
      <c r="B681" t="s">
        <v>1199</v>
      </c>
      <c r="C681">
        <v>0.3</v>
      </c>
      <c r="D681">
        <v>615</v>
      </c>
      <c r="E681">
        <v>0</v>
      </c>
      <c r="F681">
        <v>3.6019999999999999</v>
      </c>
      <c r="G681">
        <v>3.6019999999999999</v>
      </c>
      <c r="H681" t="s">
        <v>1208</v>
      </c>
      <c r="I681" s="1">
        <v>37258</v>
      </c>
      <c r="J681" s="1">
        <v>37312</v>
      </c>
      <c r="K681" s="1">
        <v>37364</v>
      </c>
      <c r="L681" s="1">
        <v>37364</v>
      </c>
      <c r="M681" s="1">
        <v>37336</v>
      </c>
      <c r="N681" s="1">
        <v>37336</v>
      </c>
      <c r="O681" t="s">
        <v>1117</v>
      </c>
      <c r="P681">
        <v>1</v>
      </c>
      <c r="Q681" t="s">
        <v>1438</v>
      </c>
      <c r="R681">
        <f t="shared" si="20"/>
        <v>12</v>
      </c>
      <c r="S681">
        <f t="shared" si="21"/>
        <v>1</v>
      </c>
    </row>
    <row r="682" spans="1:19" x14ac:dyDescent="0.25">
      <c r="A682" t="s">
        <v>1805</v>
      </c>
      <c r="B682" t="s">
        <v>1199</v>
      </c>
      <c r="C682">
        <v>1</v>
      </c>
      <c r="D682">
        <v>1250</v>
      </c>
      <c r="E682">
        <v>0</v>
      </c>
      <c r="F682">
        <v>15</v>
      </c>
      <c r="G682">
        <v>15</v>
      </c>
      <c r="H682" t="s">
        <v>1208</v>
      </c>
      <c r="I682" s="1">
        <v>37116</v>
      </c>
      <c r="J682" s="1">
        <v>37313</v>
      </c>
      <c r="K682" s="1">
        <v>37323</v>
      </c>
      <c r="L682" s="1">
        <v>37323</v>
      </c>
      <c r="M682" s="1">
        <v>37326</v>
      </c>
      <c r="N682" s="1">
        <v>37344</v>
      </c>
      <c r="O682" t="s">
        <v>1117</v>
      </c>
      <c r="P682">
        <v>7</v>
      </c>
      <c r="Q682" t="s">
        <v>1215</v>
      </c>
      <c r="R682">
        <f t="shared" si="20"/>
        <v>13</v>
      </c>
      <c r="S682">
        <f t="shared" si="21"/>
        <v>1</v>
      </c>
    </row>
    <row r="683" spans="1:19" x14ac:dyDescent="0.25">
      <c r="A683" t="s">
        <v>1806</v>
      </c>
      <c r="B683" t="s">
        <v>4029</v>
      </c>
      <c r="C683">
        <v>1.2</v>
      </c>
      <c r="D683">
        <v>1000</v>
      </c>
      <c r="E683">
        <v>0</v>
      </c>
      <c r="F683">
        <v>16</v>
      </c>
      <c r="G683">
        <v>16</v>
      </c>
      <c r="H683" t="s">
        <v>1208</v>
      </c>
      <c r="I683" s="1">
        <v>37108</v>
      </c>
      <c r="J683" s="1">
        <v>37313</v>
      </c>
      <c r="K683" s="1">
        <v>37334</v>
      </c>
      <c r="L683" s="1">
        <v>37334</v>
      </c>
      <c r="M683" s="1">
        <v>37334</v>
      </c>
      <c r="N683" s="1">
        <v>37334</v>
      </c>
      <c r="O683" t="s">
        <v>1117</v>
      </c>
      <c r="P683">
        <v>5</v>
      </c>
      <c r="Q683" t="s">
        <v>1215</v>
      </c>
      <c r="R683">
        <f t="shared" si="20"/>
        <v>12</v>
      </c>
      <c r="S683">
        <f t="shared" si="21"/>
        <v>1</v>
      </c>
    </row>
    <row r="684" spans="1:19" x14ac:dyDescent="0.25">
      <c r="A684" t="s">
        <v>1807</v>
      </c>
      <c r="B684" t="s">
        <v>4026</v>
      </c>
      <c r="C684">
        <v>1</v>
      </c>
      <c r="D684">
        <v>1000</v>
      </c>
      <c r="E684">
        <v>0</v>
      </c>
      <c r="F684">
        <v>5</v>
      </c>
      <c r="G684">
        <v>2.2160000000000002</v>
      </c>
      <c r="H684" t="s">
        <v>1208</v>
      </c>
      <c r="I684" s="1">
        <v>37108</v>
      </c>
      <c r="J684" s="1">
        <v>37313</v>
      </c>
      <c r="K684" s="1">
        <v>37328</v>
      </c>
      <c r="L684" s="1">
        <v>37328</v>
      </c>
      <c r="M684" s="1">
        <v>37327</v>
      </c>
      <c r="N684" s="1">
        <v>37327</v>
      </c>
      <c r="O684" t="s">
        <v>1117</v>
      </c>
      <c r="P684">
        <v>4</v>
      </c>
      <c r="Q684" t="s">
        <v>1215</v>
      </c>
      <c r="R684">
        <f t="shared" si="20"/>
        <v>11</v>
      </c>
      <c r="S684">
        <f t="shared" si="21"/>
        <v>0</v>
      </c>
    </row>
    <row r="685" spans="1:19" x14ac:dyDescent="0.25">
      <c r="A685" t="s">
        <v>1808</v>
      </c>
      <c r="B685" t="s">
        <v>4026</v>
      </c>
      <c r="C685">
        <v>0.8</v>
      </c>
      <c r="D685">
        <v>340</v>
      </c>
      <c r="E685">
        <v>0</v>
      </c>
      <c r="F685">
        <v>22.571999999999999</v>
      </c>
      <c r="G685">
        <v>22.571999999999999</v>
      </c>
      <c r="H685" t="s">
        <v>1208</v>
      </c>
      <c r="I685" s="1">
        <v>37343</v>
      </c>
      <c r="J685" s="1">
        <v>37387</v>
      </c>
      <c r="K685" t="s">
        <v>1124</v>
      </c>
      <c r="L685" t="s">
        <v>1124</v>
      </c>
      <c r="M685" t="s">
        <v>1124</v>
      </c>
      <c r="N685" s="1">
        <v>37375</v>
      </c>
      <c r="O685" t="s">
        <v>1117</v>
      </c>
      <c r="P685">
        <v>1</v>
      </c>
      <c r="Q685" t="s">
        <v>1215</v>
      </c>
      <c r="R685">
        <f t="shared" si="20"/>
        <v>18</v>
      </c>
      <c r="S685">
        <f t="shared" si="21"/>
        <v>0</v>
      </c>
    </row>
    <row r="686" spans="1:19" x14ac:dyDescent="0.25">
      <c r="A686" t="s">
        <v>1809</v>
      </c>
      <c r="B686" t="s">
        <v>4028</v>
      </c>
      <c r="C686">
        <v>0.57999999999999996</v>
      </c>
      <c r="D686">
        <v>79.5</v>
      </c>
      <c r="E686">
        <v>0</v>
      </c>
      <c r="F686">
        <v>30</v>
      </c>
      <c r="G686">
        <v>30</v>
      </c>
      <c r="H686" t="s">
        <v>1208</v>
      </c>
      <c r="I686" s="1">
        <v>37299</v>
      </c>
      <c r="J686" s="1">
        <v>37308</v>
      </c>
      <c r="K686" s="1">
        <v>37351</v>
      </c>
      <c r="L686" s="1">
        <v>37351</v>
      </c>
      <c r="M686" s="1">
        <v>37351</v>
      </c>
      <c r="N686" s="1">
        <v>37362</v>
      </c>
      <c r="O686" t="s">
        <v>1117</v>
      </c>
      <c r="P686">
        <v>1</v>
      </c>
      <c r="Q686" t="s">
        <v>1215</v>
      </c>
      <c r="R686">
        <f t="shared" si="20"/>
        <v>16</v>
      </c>
      <c r="S686">
        <f t="shared" si="21"/>
        <v>1</v>
      </c>
    </row>
    <row r="687" spans="1:19" x14ac:dyDescent="0.25">
      <c r="A687" t="s">
        <v>1810</v>
      </c>
      <c r="B687" t="s">
        <v>4026</v>
      </c>
      <c r="C687">
        <v>0.57999999999999996</v>
      </c>
      <c r="D687">
        <v>59.5</v>
      </c>
      <c r="E687">
        <v>0</v>
      </c>
      <c r="F687">
        <v>30</v>
      </c>
      <c r="G687">
        <v>30</v>
      </c>
      <c r="H687" t="s">
        <v>1208</v>
      </c>
      <c r="I687" s="1">
        <v>37299</v>
      </c>
      <c r="J687" s="1">
        <v>37308</v>
      </c>
      <c r="K687" s="1">
        <v>37351</v>
      </c>
      <c r="L687" s="1">
        <v>37351</v>
      </c>
      <c r="M687" s="1">
        <v>37351</v>
      </c>
      <c r="N687" s="1">
        <v>37362</v>
      </c>
      <c r="O687" t="s">
        <v>1117</v>
      </c>
      <c r="P687">
        <v>2</v>
      </c>
      <c r="Q687" t="s">
        <v>1215</v>
      </c>
      <c r="R687">
        <f t="shared" si="20"/>
        <v>16</v>
      </c>
      <c r="S687">
        <f t="shared" si="21"/>
        <v>1</v>
      </c>
    </row>
    <row r="688" spans="1:19" x14ac:dyDescent="0.25">
      <c r="A688" t="s">
        <v>1811</v>
      </c>
      <c r="B688" t="s">
        <v>4026</v>
      </c>
      <c r="C688">
        <v>1</v>
      </c>
      <c r="D688">
        <v>320</v>
      </c>
      <c r="E688">
        <v>0</v>
      </c>
      <c r="F688">
        <v>20.535</v>
      </c>
      <c r="G688">
        <v>20.535</v>
      </c>
      <c r="H688" t="s">
        <v>1208</v>
      </c>
      <c r="I688" s="1">
        <v>37343</v>
      </c>
      <c r="J688" s="1">
        <v>37387</v>
      </c>
      <c r="K688" t="s">
        <v>1124</v>
      </c>
      <c r="L688" t="s">
        <v>1124</v>
      </c>
      <c r="M688" t="s">
        <v>1124</v>
      </c>
      <c r="N688" s="1">
        <v>37368</v>
      </c>
      <c r="O688" t="s">
        <v>1117</v>
      </c>
      <c r="P688">
        <v>2</v>
      </c>
      <c r="Q688" t="s">
        <v>1215</v>
      </c>
      <c r="R688">
        <f t="shared" si="20"/>
        <v>17</v>
      </c>
      <c r="S688">
        <f t="shared" si="21"/>
        <v>0</v>
      </c>
    </row>
    <row r="689" spans="1:19" x14ac:dyDescent="0.25">
      <c r="A689" t="s">
        <v>1812</v>
      </c>
      <c r="B689" t="s">
        <v>4026</v>
      </c>
      <c r="C689">
        <v>0.7</v>
      </c>
      <c r="D689">
        <v>1000</v>
      </c>
      <c r="E689">
        <v>0</v>
      </c>
      <c r="F689">
        <v>64</v>
      </c>
      <c r="G689">
        <v>38.067999999999998</v>
      </c>
      <c r="H689" t="s">
        <v>1208</v>
      </c>
      <c r="I689" s="1">
        <v>37108</v>
      </c>
      <c r="J689" s="1">
        <v>37313</v>
      </c>
      <c r="K689" s="1">
        <v>37332</v>
      </c>
      <c r="L689" s="1">
        <v>37332</v>
      </c>
      <c r="M689" s="1">
        <v>37332</v>
      </c>
      <c r="N689" s="1">
        <v>37332</v>
      </c>
      <c r="O689" t="s">
        <v>1117</v>
      </c>
      <c r="P689">
        <v>3</v>
      </c>
      <c r="Q689" t="s">
        <v>1215</v>
      </c>
      <c r="R689">
        <f t="shared" si="20"/>
        <v>12</v>
      </c>
      <c r="S689">
        <f t="shared" si="21"/>
        <v>0</v>
      </c>
    </row>
    <row r="690" spans="1:19" x14ac:dyDescent="0.25">
      <c r="A690" t="s">
        <v>1813</v>
      </c>
      <c r="B690" t="s">
        <v>4028</v>
      </c>
      <c r="C690">
        <v>0.7</v>
      </c>
      <c r="D690">
        <v>390</v>
      </c>
      <c r="E690">
        <v>0</v>
      </c>
      <c r="F690">
        <v>20.613</v>
      </c>
      <c r="G690">
        <v>20.613</v>
      </c>
      <c r="H690" t="s">
        <v>1208</v>
      </c>
      <c r="I690" s="1">
        <v>37343</v>
      </c>
      <c r="J690" s="1">
        <v>37383</v>
      </c>
      <c r="K690" t="s">
        <v>1124</v>
      </c>
      <c r="L690" t="s">
        <v>1124</v>
      </c>
      <c r="M690" t="s">
        <v>1124</v>
      </c>
      <c r="N690" s="1">
        <v>37368</v>
      </c>
      <c r="O690" t="s">
        <v>1117</v>
      </c>
      <c r="P690">
        <v>1</v>
      </c>
      <c r="Q690" t="s">
        <v>1215</v>
      </c>
      <c r="R690">
        <f t="shared" si="20"/>
        <v>17</v>
      </c>
      <c r="S690">
        <f t="shared" si="21"/>
        <v>0</v>
      </c>
    </row>
    <row r="691" spans="1:19" x14ac:dyDescent="0.25">
      <c r="A691" t="s">
        <v>1814</v>
      </c>
      <c r="B691" t="s">
        <v>1199</v>
      </c>
      <c r="C691">
        <v>0.5</v>
      </c>
      <c r="D691">
        <v>1250</v>
      </c>
      <c r="E691">
        <v>0</v>
      </c>
      <c r="F691">
        <v>3</v>
      </c>
      <c r="G691">
        <v>3</v>
      </c>
      <c r="H691" t="s">
        <v>1208</v>
      </c>
      <c r="I691" s="1">
        <v>37159</v>
      </c>
      <c r="J691" s="1">
        <v>37320</v>
      </c>
      <c r="K691" s="1">
        <v>37351</v>
      </c>
      <c r="L691" s="1">
        <v>37351</v>
      </c>
      <c r="M691" s="1">
        <v>37351</v>
      </c>
      <c r="N691" s="1">
        <v>37351</v>
      </c>
      <c r="O691" t="s">
        <v>1117</v>
      </c>
      <c r="P691">
        <v>2</v>
      </c>
      <c r="Q691" t="s">
        <v>1215</v>
      </c>
      <c r="R691">
        <f t="shared" si="20"/>
        <v>14</v>
      </c>
      <c r="S691">
        <f t="shared" si="21"/>
        <v>1</v>
      </c>
    </row>
    <row r="692" spans="1:19" x14ac:dyDescent="0.25">
      <c r="A692" t="s">
        <v>1815</v>
      </c>
      <c r="B692" t="s">
        <v>1199</v>
      </c>
      <c r="C692">
        <v>1</v>
      </c>
      <c r="D692">
        <v>434</v>
      </c>
      <c r="E692">
        <v>0</v>
      </c>
      <c r="F692">
        <v>6.94</v>
      </c>
      <c r="G692">
        <v>6.94</v>
      </c>
      <c r="H692" t="s">
        <v>1208</v>
      </c>
      <c r="I692" s="1">
        <v>37159</v>
      </c>
      <c r="J692" s="1">
        <v>37314</v>
      </c>
      <c r="K692" s="1">
        <v>37326</v>
      </c>
      <c r="L692" s="1">
        <v>37326</v>
      </c>
      <c r="M692" s="1">
        <v>37325</v>
      </c>
      <c r="N692" s="1">
        <v>37325</v>
      </c>
      <c r="O692" t="s">
        <v>1117</v>
      </c>
      <c r="P692">
        <v>3</v>
      </c>
      <c r="Q692" t="s">
        <v>1215</v>
      </c>
      <c r="R692">
        <f t="shared" si="20"/>
        <v>11</v>
      </c>
      <c r="S692">
        <f t="shared" si="21"/>
        <v>1</v>
      </c>
    </row>
    <row r="693" spans="1:19" x14ac:dyDescent="0.25">
      <c r="A693" t="s">
        <v>1816</v>
      </c>
      <c r="B693" t="s">
        <v>1199</v>
      </c>
      <c r="C693">
        <v>1.5</v>
      </c>
      <c r="D693">
        <v>410</v>
      </c>
      <c r="E693">
        <v>0</v>
      </c>
      <c r="F693">
        <v>10.124000000000001</v>
      </c>
      <c r="G693">
        <v>10.124000000000001</v>
      </c>
      <c r="H693" t="s">
        <v>1208</v>
      </c>
      <c r="I693" s="1">
        <v>37343</v>
      </c>
      <c r="J693" s="1">
        <v>37383</v>
      </c>
      <c r="K693" t="s">
        <v>1124</v>
      </c>
      <c r="L693" t="s">
        <v>1124</v>
      </c>
      <c r="M693" t="s">
        <v>1124</v>
      </c>
      <c r="N693" s="1">
        <v>37388</v>
      </c>
      <c r="O693" t="s">
        <v>1117</v>
      </c>
      <c r="P693">
        <v>2</v>
      </c>
      <c r="Q693" t="s">
        <v>1215</v>
      </c>
      <c r="R693">
        <f t="shared" si="20"/>
        <v>20</v>
      </c>
      <c r="S693">
        <f t="shared" si="21"/>
        <v>0</v>
      </c>
    </row>
    <row r="694" spans="1:19" x14ac:dyDescent="0.25">
      <c r="A694" t="s">
        <v>1817</v>
      </c>
      <c r="B694" t="s">
        <v>1199</v>
      </c>
      <c r="C694">
        <v>0.7</v>
      </c>
      <c r="D694">
        <v>390</v>
      </c>
      <c r="E694">
        <v>0</v>
      </c>
      <c r="F694">
        <v>20.613</v>
      </c>
      <c r="G694">
        <v>20.613</v>
      </c>
      <c r="H694" t="s">
        <v>1208</v>
      </c>
      <c r="I694" s="1">
        <v>37343</v>
      </c>
      <c r="J694" s="1">
        <v>37381</v>
      </c>
      <c r="K694" t="s">
        <v>1124</v>
      </c>
      <c r="L694" t="s">
        <v>1124</v>
      </c>
      <c r="M694" t="s">
        <v>1124</v>
      </c>
      <c r="N694" s="1">
        <v>37368</v>
      </c>
      <c r="O694" t="s">
        <v>1117</v>
      </c>
      <c r="P694">
        <v>1</v>
      </c>
      <c r="Q694" t="s">
        <v>1215</v>
      </c>
      <c r="R694">
        <f t="shared" si="20"/>
        <v>17</v>
      </c>
      <c r="S694">
        <f t="shared" si="21"/>
        <v>0</v>
      </c>
    </row>
    <row r="695" spans="1:19" x14ac:dyDescent="0.25">
      <c r="A695" t="s">
        <v>1818</v>
      </c>
      <c r="B695" t="s">
        <v>4028</v>
      </c>
      <c r="C695">
        <v>1.5</v>
      </c>
      <c r="D695">
        <v>515</v>
      </c>
      <c r="E695">
        <v>0</v>
      </c>
      <c r="F695">
        <v>4.9729999999999999</v>
      </c>
      <c r="G695">
        <v>4.9729999999999999</v>
      </c>
      <c r="H695" t="s">
        <v>1208</v>
      </c>
      <c r="I695" s="1">
        <v>37343</v>
      </c>
      <c r="J695" s="1">
        <v>37383</v>
      </c>
      <c r="K695" t="s">
        <v>1124</v>
      </c>
      <c r="L695" t="s">
        <v>1124</v>
      </c>
      <c r="M695" t="s">
        <v>1124</v>
      </c>
      <c r="N695" s="1">
        <v>37389</v>
      </c>
      <c r="O695" t="s">
        <v>1117</v>
      </c>
      <c r="P695">
        <v>1</v>
      </c>
      <c r="Q695" t="s">
        <v>1215</v>
      </c>
      <c r="R695">
        <f t="shared" si="20"/>
        <v>20</v>
      </c>
      <c r="S695">
        <f t="shared" si="21"/>
        <v>0</v>
      </c>
    </row>
    <row r="696" spans="1:19" x14ac:dyDescent="0.25">
      <c r="A696" t="s">
        <v>1819</v>
      </c>
      <c r="B696" t="s">
        <v>1199</v>
      </c>
      <c r="C696">
        <v>0.8</v>
      </c>
      <c r="D696">
        <v>1250</v>
      </c>
      <c r="E696">
        <v>0</v>
      </c>
      <c r="F696">
        <v>6</v>
      </c>
      <c r="G696">
        <v>6</v>
      </c>
      <c r="H696" t="s">
        <v>1208</v>
      </c>
      <c r="I696" s="1">
        <v>37159</v>
      </c>
      <c r="J696" s="1">
        <v>37320</v>
      </c>
      <c r="K696" s="1">
        <v>37344</v>
      </c>
      <c r="L696" s="1">
        <v>37344</v>
      </c>
      <c r="M696" s="1">
        <v>37344</v>
      </c>
      <c r="N696" s="1">
        <v>37344</v>
      </c>
      <c r="O696" t="s">
        <v>1117</v>
      </c>
      <c r="P696">
        <v>2</v>
      </c>
      <c r="Q696" t="s">
        <v>1215</v>
      </c>
      <c r="R696">
        <f t="shared" si="20"/>
        <v>13</v>
      </c>
      <c r="S696">
        <f t="shared" si="21"/>
        <v>1</v>
      </c>
    </row>
    <row r="697" spans="1:19" x14ac:dyDescent="0.25">
      <c r="A697" t="s">
        <v>1820</v>
      </c>
      <c r="B697" t="s">
        <v>4026</v>
      </c>
      <c r="C697">
        <v>1.5</v>
      </c>
      <c r="D697">
        <v>340</v>
      </c>
      <c r="E697">
        <v>0</v>
      </c>
      <c r="F697">
        <v>4</v>
      </c>
      <c r="G697">
        <v>4</v>
      </c>
      <c r="H697" t="s">
        <v>1208</v>
      </c>
      <c r="I697" s="1">
        <v>37159</v>
      </c>
      <c r="J697" s="1">
        <v>37319</v>
      </c>
      <c r="K697" s="1">
        <v>37337</v>
      </c>
      <c r="L697" s="1">
        <v>37337</v>
      </c>
      <c r="M697" s="1">
        <v>37336</v>
      </c>
      <c r="N697" s="1">
        <v>37336</v>
      </c>
      <c r="O697" t="s">
        <v>1117</v>
      </c>
      <c r="P697">
        <v>6</v>
      </c>
      <c r="Q697" t="s">
        <v>1215</v>
      </c>
      <c r="R697">
        <f t="shared" si="20"/>
        <v>12</v>
      </c>
      <c r="S697">
        <f t="shared" si="21"/>
        <v>1</v>
      </c>
    </row>
    <row r="698" spans="1:19" x14ac:dyDescent="0.25">
      <c r="A698" t="s">
        <v>1821</v>
      </c>
      <c r="B698" t="s">
        <v>3631</v>
      </c>
      <c r="C698">
        <v>1.5</v>
      </c>
      <c r="D698">
        <v>410</v>
      </c>
      <c r="E698">
        <v>0</v>
      </c>
      <c r="F698">
        <v>5.9029999999999996</v>
      </c>
      <c r="G698">
        <v>5.9029999999999996</v>
      </c>
      <c r="H698" t="s">
        <v>1208</v>
      </c>
      <c r="I698" s="1">
        <v>37343</v>
      </c>
      <c r="J698" s="1">
        <v>37387</v>
      </c>
      <c r="K698" t="s">
        <v>1124</v>
      </c>
      <c r="L698" t="s">
        <v>1124</v>
      </c>
      <c r="M698" t="s">
        <v>1124</v>
      </c>
      <c r="N698" s="1">
        <v>37388</v>
      </c>
      <c r="O698" t="s">
        <v>1117</v>
      </c>
      <c r="P698">
        <v>1</v>
      </c>
      <c r="Q698" t="s">
        <v>1215</v>
      </c>
      <c r="R698">
        <f t="shared" si="20"/>
        <v>20</v>
      </c>
      <c r="S698">
        <f t="shared" si="21"/>
        <v>0</v>
      </c>
    </row>
    <row r="699" spans="1:19" x14ac:dyDescent="0.25">
      <c r="A699" t="s">
        <v>1822</v>
      </c>
      <c r="B699" t="s">
        <v>3521</v>
      </c>
      <c r="C699">
        <v>1</v>
      </c>
      <c r="D699">
        <v>1250</v>
      </c>
      <c r="E699">
        <v>0</v>
      </c>
      <c r="F699">
        <v>20</v>
      </c>
      <c r="G699">
        <v>20</v>
      </c>
      <c r="H699" t="s">
        <v>1208</v>
      </c>
      <c r="I699" s="1">
        <v>37114</v>
      </c>
      <c r="J699" s="1">
        <v>37314</v>
      </c>
      <c r="K699" s="1">
        <v>37322</v>
      </c>
      <c r="L699" s="1">
        <v>37322</v>
      </c>
      <c r="M699" s="1">
        <v>37325</v>
      </c>
      <c r="N699" s="1">
        <v>37325</v>
      </c>
      <c r="O699" t="s">
        <v>1117</v>
      </c>
      <c r="P699">
        <v>1</v>
      </c>
      <c r="Q699" t="s">
        <v>1215</v>
      </c>
      <c r="R699">
        <f t="shared" si="20"/>
        <v>11</v>
      </c>
      <c r="S699">
        <f t="shared" si="21"/>
        <v>1</v>
      </c>
    </row>
    <row r="700" spans="1:19" x14ac:dyDescent="0.25">
      <c r="A700" t="s">
        <v>1823</v>
      </c>
      <c r="B700" t="s">
        <v>4026</v>
      </c>
      <c r="C700">
        <v>0.5</v>
      </c>
      <c r="D700">
        <v>1250</v>
      </c>
      <c r="E700">
        <v>0</v>
      </c>
      <c r="F700">
        <v>3</v>
      </c>
      <c r="G700">
        <v>3</v>
      </c>
      <c r="H700" t="s">
        <v>1208</v>
      </c>
      <c r="I700" s="1">
        <v>37108</v>
      </c>
      <c r="J700" s="1">
        <v>37320</v>
      </c>
      <c r="K700" s="1">
        <v>37351</v>
      </c>
      <c r="L700" s="1">
        <v>37351</v>
      </c>
      <c r="M700" s="1">
        <v>37351</v>
      </c>
      <c r="N700" s="1">
        <v>37351</v>
      </c>
      <c r="O700" t="s">
        <v>1117</v>
      </c>
      <c r="P700">
        <v>1</v>
      </c>
      <c r="Q700" t="s">
        <v>1215</v>
      </c>
      <c r="R700">
        <f t="shared" si="20"/>
        <v>14</v>
      </c>
      <c r="S700">
        <f t="shared" si="21"/>
        <v>1</v>
      </c>
    </row>
    <row r="701" spans="1:19" x14ac:dyDescent="0.25">
      <c r="A701" t="s">
        <v>1824</v>
      </c>
      <c r="B701" t="s">
        <v>4026</v>
      </c>
      <c r="C701">
        <v>1.5</v>
      </c>
      <c r="D701">
        <v>410</v>
      </c>
      <c r="E701">
        <v>0</v>
      </c>
      <c r="F701">
        <v>10.124000000000001</v>
      </c>
      <c r="G701">
        <v>10.124000000000001</v>
      </c>
      <c r="H701" t="s">
        <v>1208</v>
      </c>
      <c r="I701" s="1">
        <v>37343</v>
      </c>
      <c r="J701" s="1">
        <v>37387</v>
      </c>
      <c r="K701" t="s">
        <v>1124</v>
      </c>
      <c r="L701" t="s">
        <v>1124</v>
      </c>
      <c r="M701" t="s">
        <v>1124</v>
      </c>
      <c r="N701" s="1">
        <v>37388</v>
      </c>
      <c r="O701" t="s">
        <v>1117</v>
      </c>
      <c r="P701">
        <v>2</v>
      </c>
      <c r="Q701" t="s">
        <v>1215</v>
      </c>
      <c r="R701">
        <f t="shared" si="20"/>
        <v>20</v>
      </c>
      <c r="S701">
        <f t="shared" si="21"/>
        <v>0</v>
      </c>
    </row>
    <row r="702" spans="1:19" x14ac:dyDescent="0.25">
      <c r="A702" t="s">
        <v>1825</v>
      </c>
      <c r="B702" t="s">
        <v>4026</v>
      </c>
      <c r="C702">
        <v>0.5</v>
      </c>
      <c r="D702">
        <v>1250</v>
      </c>
      <c r="E702">
        <v>0</v>
      </c>
      <c r="F702">
        <v>60</v>
      </c>
      <c r="G702">
        <v>60</v>
      </c>
      <c r="H702" t="s">
        <v>1208</v>
      </c>
      <c r="I702" s="1">
        <v>37159</v>
      </c>
      <c r="J702" s="1">
        <v>37316</v>
      </c>
      <c r="K702" t="s">
        <v>1124</v>
      </c>
      <c r="L702" t="s">
        <v>1124</v>
      </c>
      <c r="M702" s="1">
        <v>37282</v>
      </c>
      <c r="N702" s="1">
        <v>37316</v>
      </c>
      <c r="O702" t="s">
        <v>1117</v>
      </c>
      <c r="P702">
        <v>1</v>
      </c>
      <c r="Q702" t="s">
        <v>1215</v>
      </c>
      <c r="R702">
        <f t="shared" si="20"/>
        <v>9</v>
      </c>
      <c r="S702">
        <f t="shared" si="21"/>
        <v>1</v>
      </c>
    </row>
    <row r="703" spans="1:19" x14ac:dyDescent="0.25">
      <c r="A703" t="s">
        <v>1826</v>
      </c>
      <c r="B703" t="s">
        <v>1199</v>
      </c>
      <c r="C703">
        <v>1.5</v>
      </c>
      <c r="D703">
        <v>410</v>
      </c>
      <c r="E703">
        <v>0</v>
      </c>
      <c r="F703">
        <v>10.124000000000001</v>
      </c>
      <c r="G703">
        <v>10.124000000000001</v>
      </c>
      <c r="H703" t="s">
        <v>1208</v>
      </c>
      <c r="I703" s="1">
        <v>37343</v>
      </c>
      <c r="J703" s="1">
        <v>37381</v>
      </c>
      <c r="K703" t="s">
        <v>1124</v>
      </c>
      <c r="L703" t="s">
        <v>1124</v>
      </c>
      <c r="M703" t="s">
        <v>1124</v>
      </c>
      <c r="N703" s="1">
        <v>37388</v>
      </c>
      <c r="O703" t="s">
        <v>1117</v>
      </c>
      <c r="P703">
        <v>2</v>
      </c>
      <c r="Q703" t="s">
        <v>1215</v>
      </c>
      <c r="R703">
        <f t="shared" si="20"/>
        <v>20</v>
      </c>
      <c r="S703">
        <f t="shared" si="21"/>
        <v>0</v>
      </c>
    </row>
    <row r="704" spans="1:19" x14ac:dyDescent="0.25">
      <c r="A704" t="s">
        <v>1827</v>
      </c>
      <c r="B704" t="s">
        <v>1199</v>
      </c>
      <c r="C704">
        <v>0.7</v>
      </c>
      <c r="D704">
        <v>600</v>
      </c>
      <c r="E704">
        <v>0</v>
      </c>
      <c r="F704">
        <v>9</v>
      </c>
      <c r="G704">
        <v>9</v>
      </c>
      <c r="H704" t="s">
        <v>1208</v>
      </c>
      <c r="I704" s="1">
        <v>37126</v>
      </c>
      <c r="J704" s="1">
        <v>37312</v>
      </c>
      <c r="K704" t="s">
        <v>1124</v>
      </c>
      <c r="L704" t="s">
        <v>1124</v>
      </c>
      <c r="M704" s="1">
        <v>37363</v>
      </c>
      <c r="N704" s="1">
        <v>37363</v>
      </c>
      <c r="O704" t="s">
        <v>1117</v>
      </c>
      <c r="P704">
        <v>2</v>
      </c>
      <c r="Q704" t="s">
        <v>1215</v>
      </c>
      <c r="R704">
        <f t="shared" si="20"/>
        <v>16</v>
      </c>
      <c r="S704">
        <f t="shared" si="21"/>
        <v>1</v>
      </c>
    </row>
    <row r="705" spans="1:19" x14ac:dyDescent="0.25">
      <c r="A705" t="s">
        <v>1828</v>
      </c>
      <c r="B705" t="s">
        <v>1199</v>
      </c>
      <c r="C705">
        <v>1.5</v>
      </c>
      <c r="D705">
        <v>1000</v>
      </c>
      <c r="E705">
        <v>0</v>
      </c>
      <c r="F705">
        <v>3</v>
      </c>
      <c r="G705">
        <v>3</v>
      </c>
      <c r="H705" t="s">
        <v>1208</v>
      </c>
      <c r="I705" s="1">
        <v>37159</v>
      </c>
      <c r="J705" s="1">
        <v>37323</v>
      </c>
      <c r="K705" s="1">
        <v>37354</v>
      </c>
      <c r="L705" s="1">
        <v>37354</v>
      </c>
      <c r="M705" s="1">
        <v>37354</v>
      </c>
      <c r="N705" s="1">
        <v>37354</v>
      </c>
      <c r="O705" t="s">
        <v>1117</v>
      </c>
      <c r="P705">
        <v>2</v>
      </c>
      <c r="Q705" t="s">
        <v>1215</v>
      </c>
      <c r="R705">
        <f t="shared" si="20"/>
        <v>15</v>
      </c>
      <c r="S705">
        <f t="shared" si="21"/>
        <v>1</v>
      </c>
    </row>
    <row r="706" spans="1:19" x14ac:dyDescent="0.25">
      <c r="A706" t="s">
        <v>1829</v>
      </c>
      <c r="B706" t="s">
        <v>4028</v>
      </c>
      <c r="C706">
        <v>1.5</v>
      </c>
      <c r="D706">
        <v>410</v>
      </c>
      <c r="E706">
        <v>0</v>
      </c>
      <c r="F706">
        <v>5.9029999999999996</v>
      </c>
      <c r="G706">
        <v>5.9029999999999996</v>
      </c>
      <c r="H706" t="s">
        <v>1208</v>
      </c>
      <c r="I706" s="1">
        <v>37343</v>
      </c>
      <c r="J706" s="1">
        <v>37381</v>
      </c>
      <c r="K706" t="s">
        <v>1124</v>
      </c>
      <c r="L706" t="s">
        <v>1124</v>
      </c>
      <c r="M706" t="s">
        <v>1124</v>
      </c>
      <c r="N706" s="1">
        <v>37388</v>
      </c>
      <c r="O706" t="s">
        <v>1117</v>
      </c>
      <c r="P706">
        <v>1</v>
      </c>
      <c r="Q706" t="s">
        <v>1215</v>
      </c>
      <c r="R706">
        <f t="shared" si="20"/>
        <v>20</v>
      </c>
      <c r="S706">
        <f t="shared" si="21"/>
        <v>0</v>
      </c>
    </row>
    <row r="707" spans="1:19" x14ac:dyDescent="0.25">
      <c r="A707" t="s">
        <v>1830</v>
      </c>
      <c r="B707" t="s">
        <v>3601</v>
      </c>
      <c r="C707">
        <v>0.9</v>
      </c>
      <c r="D707">
        <v>1250</v>
      </c>
      <c r="E707">
        <v>0</v>
      </c>
      <c r="F707">
        <v>3</v>
      </c>
      <c r="G707">
        <v>3</v>
      </c>
      <c r="H707" t="s">
        <v>1208</v>
      </c>
      <c r="I707" s="1">
        <v>37126</v>
      </c>
      <c r="J707" s="1">
        <v>37313</v>
      </c>
      <c r="K707" s="1">
        <v>37317</v>
      </c>
      <c r="L707" s="1">
        <v>37317</v>
      </c>
      <c r="M707" s="1">
        <v>37263</v>
      </c>
      <c r="N707" s="1">
        <v>37276</v>
      </c>
      <c r="O707" t="s">
        <v>1117</v>
      </c>
      <c r="P707">
        <v>1</v>
      </c>
      <c r="Q707" t="s">
        <v>1215</v>
      </c>
      <c r="R707">
        <f t="shared" ref="R707:R770" si="22">WEEKNUM(N707,1)</f>
        <v>4</v>
      </c>
      <c r="S707">
        <f t="shared" ref="S707:S770" si="23">IF(AND(F707=G707, M707&lt;=N707), 1,0)</f>
        <v>1</v>
      </c>
    </row>
    <row r="708" spans="1:19" x14ac:dyDescent="0.25">
      <c r="A708" t="s">
        <v>1831</v>
      </c>
      <c r="B708" t="s">
        <v>1199</v>
      </c>
      <c r="C708">
        <v>0.5</v>
      </c>
      <c r="D708">
        <v>1250</v>
      </c>
      <c r="E708">
        <v>0</v>
      </c>
      <c r="F708">
        <v>6</v>
      </c>
      <c r="G708">
        <v>6</v>
      </c>
      <c r="H708" t="s">
        <v>1208</v>
      </c>
      <c r="I708" s="1">
        <v>37108</v>
      </c>
      <c r="J708" s="1">
        <v>37320</v>
      </c>
      <c r="K708" s="1">
        <v>37351</v>
      </c>
      <c r="L708" s="1">
        <v>37351</v>
      </c>
      <c r="M708" s="1">
        <v>37351</v>
      </c>
      <c r="N708" s="1">
        <v>37351</v>
      </c>
      <c r="O708" t="s">
        <v>1117</v>
      </c>
      <c r="P708">
        <v>4</v>
      </c>
      <c r="Q708" t="s">
        <v>1215</v>
      </c>
      <c r="R708">
        <f t="shared" si="22"/>
        <v>14</v>
      </c>
      <c r="S708">
        <f t="shared" si="23"/>
        <v>1</v>
      </c>
    </row>
    <row r="709" spans="1:19" x14ac:dyDescent="0.25">
      <c r="A709" t="s">
        <v>1832</v>
      </c>
      <c r="B709" t="s">
        <v>1199</v>
      </c>
      <c r="C709">
        <v>1.2</v>
      </c>
      <c r="D709">
        <v>1250</v>
      </c>
      <c r="E709">
        <v>0</v>
      </c>
      <c r="F709">
        <v>9</v>
      </c>
      <c r="G709">
        <v>9</v>
      </c>
      <c r="H709" t="s">
        <v>1208</v>
      </c>
      <c r="I709" s="1">
        <v>37126</v>
      </c>
      <c r="J709" s="1">
        <v>37314</v>
      </c>
      <c r="K709" s="1">
        <v>37344</v>
      </c>
      <c r="L709" s="1">
        <v>37344</v>
      </c>
      <c r="M709" s="1">
        <v>37344</v>
      </c>
      <c r="N709" s="1">
        <v>37344</v>
      </c>
      <c r="O709" t="s">
        <v>1117</v>
      </c>
      <c r="P709">
        <v>4</v>
      </c>
      <c r="Q709" t="s">
        <v>1215</v>
      </c>
      <c r="R709">
        <f t="shared" si="22"/>
        <v>13</v>
      </c>
      <c r="S709">
        <f t="shared" si="23"/>
        <v>1</v>
      </c>
    </row>
    <row r="710" spans="1:19" x14ac:dyDescent="0.25">
      <c r="A710" t="s">
        <v>1833</v>
      </c>
      <c r="B710" t="s">
        <v>1199</v>
      </c>
      <c r="C710">
        <v>0.5</v>
      </c>
      <c r="D710">
        <v>1250</v>
      </c>
      <c r="E710">
        <v>0</v>
      </c>
      <c r="F710">
        <v>80</v>
      </c>
      <c r="G710">
        <v>8.94</v>
      </c>
      <c r="H710" t="s">
        <v>1208</v>
      </c>
      <c r="I710" s="1">
        <v>37159</v>
      </c>
      <c r="J710" s="1">
        <v>37316</v>
      </c>
      <c r="K710" s="1">
        <v>37311</v>
      </c>
      <c r="L710" s="1">
        <v>37316</v>
      </c>
      <c r="M710" s="1">
        <v>37263</v>
      </c>
      <c r="N710" s="1">
        <v>37316</v>
      </c>
      <c r="O710" t="s">
        <v>1114</v>
      </c>
      <c r="P710">
        <v>1</v>
      </c>
      <c r="Q710" t="s">
        <v>1215</v>
      </c>
      <c r="R710">
        <f t="shared" si="22"/>
        <v>9</v>
      </c>
      <c r="S710">
        <f t="shared" si="23"/>
        <v>0</v>
      </c>
    </row>
    <row r="711" spans="1:19" x14ac:dyDescent="0.25">
      <c r="A711" t="s">
        <v>1834</v>
      </c>
      <c r="B711" t="s">
        <v>4027</v>
      </c>
      <c r="C711">
        <v>1.5</v>
      </c>
      <c r="D711">
        <v>500</v>
      </c>
      <c r="E711">
        <v>0</v>
      </c>
      <c r="F711">
        <v>4.2</v>
      </c>
      <c r="G711">
        <v>4.2</v>
      </c>
      <c r="H711" t="s">
        <v>1208</v>
      </c>
      <c r="I711" s="1">
        <v>37343</v>
      </c>
      <c r="J711" s="1">
        <v>37387</v>
      </c>
      <c r="K711" t="s">
        <v>1124</v>
      </c>
      <c r="L711" t="s">
        <v>1124</v>
      </c>
      <c r="M711" t="s">
        <v>1124</v>
      </c>
      <c r="N711" s="1">
        <v>37367</v>
      </c>
      <c r="O711" t="s">
        <v>1117</v>
      </c>
      <c r="P711">
        <v>1</v>
      </c>
      <c r="Q711" t="s">
        <v>1215</v>
      </c>
      <c r="R711">
        <f t="shared" si="22"/>
        <v>17</v>
      </c>
      <c r="S711">
        <f t="shared" si="23"/>
        <v>0</v>
      </c>
    </row>
    <row r="712" spans="1:19" x14ac:dyDescent="0.25">
      <c r="A712" t="s">
        <v>1835</v>
      </c>
      <c r="B712" t="s">
        <v>4028</v>
      </c>
      <c r="C712">
        <v>2.5</v>
      </c>
      <c r="D712">
        <v>1250</v>
      </c>
      <c r="E712">
        <v>0</v>
      </c>
      <c r="F712">
        <v>12</v>
      </c>
      <c r="G712">
        <v>12</v>
      </c>
      <c r="H712" t="s">
        <v>1208</v>
      </c>
      <c r="I712" s="1">
        <v>37126</v>
      </c>
      <c r="J712" s="1">
        <v>37314</v>
      </c>
      <c r="K712" t="s">
        <v>1124</v>
      </c>
      <c r="L712" t="s">
        <v>1124</v>
      </c>
      <c r="M712" s="1">
        <v>37336</v>
      </c>
      <c r="N712" s="1">
        <v>37336</v>
      </c>
      <c r="O712" t="s">
        <v>1117</v>
      </c>
      <c r="P712">
        <v>5</v>
      </c>
      <c r="Q712" t="s">
        <v>1215</v>
      </c>
      <c r="R712">
        <f t="shared" si="22"/>
        <v>12</v>
      </c>
      <c r="S712">
        <f t="shared" si="23"/>
        <v>1</v>
      </c>
    </row>
    <row r="713" spans="1:19" x14ac:dyDescent="0.25">
      <c r="A713" t="s">
        <v>1836</v>
      </c>
      <c r="B713" t="s">
        <v>1199</v>
      </c>
      <c r="C713">
        <v>0.56999999999999995</v>
      </c>
      <c r="D713">
        <v>30</v>
      </c>
      <c r="E713">
        <v>0</v>
      </c>
      <c r="F713">
        <v>30</v>
      </c>
      <c r="G713">
        <v>30</v>
      </c>
      <c r="H713" t="s">
        <v>1208</v>
      </c>
      <c r="I713" s="1">
        <v>37304</v>
      </c>
      <c r="J713" s="1">
        <v>37314</v>
      </c>
      <c r="K713" s="1">
        <v>37371</v>
      </c>
      <c r="L713" s="1">
        <v>37371</v>
      </c>
      <c r="M713" s="1">
        <v>37319</v>
      </c>
      <c r="N713" s="1">
        <v>37389</v>
      </c>
      <c r="O713" t="s">
        <v>1117</v>
      </c>
      <c r="P713">
        <v>1</v>
      </c>
      <c r="Q713" t="s">
        <v>1215</v>
      </c>
      <c r="R713">
        <f t="shared" si="22"/>
        <v>20</v>
      </c>
      <c r="S713">
        <f t="shared" si="23"/>
        <v>1</v>
      </c>
    </row>
    <row r="714" spans="1:19" x14ac:dyDescent="0.25">
      <c r="A714" t="s">
        <v>1837</v>
      </c>
      <c r="B714" t="s">
        <v>4026</v>
      </c>
      <c r="C714">
        <v>1.5</v>
      </c>
      <c r="D714">
        <v>410</v>
      </c>
      <c r="E714">
        <v>0</v>
      </c>
      <c r="F714">
        <v>5.9029999999999996</v>
      </c>
      <c r="G714">
        <v>5.9029999999999996</v>
      </c>
      <c r="H714" t="s">
        <v>1208</v>
      </c>
      <c r="I714" s="1">
        <v>37335</v>
      </c>
      <c r="J714" s="1">
        <v>37367</v>
      </c>
      <c r="K714" s="1">
        <v>37367</v>
      </c>
      <c r="L714" s="1">
        <v>37367</v>
      </c>
      <c r="M714" s="1">
        <v>37367</v>
      </c>
      <c r="N714" s="1">
        <v>37388</v>
      </c>
      <c r="O714" t="s">
        <v>1114</v>
      </c>
      <c r="P714">
        <v>1</v>
      </c>
      <c r="Q714" t="s">
        <v>1215</v>
      </c>
      <c r="R714">
        <f t="shared" si="22"/>
        <v>20</v>
      </c>
      <c r="S714">
        <f t="shared" si="23"/>
        <v>1</v>
      </c>
    </row>
    <row r="715" spans="1:19" x14ac:dyDescent="0.25">
      <c r="A715" t="s">
        <v>1838</v>
      </c>
      <c r="B715" t="s">
        <v>4027</v>
      </c>
      <c r="C715">
        <v>0.7</v>
      </c>
      <c r="D715">
        <v>390</v>
      </c>
      <c r="E715">
        <v>0</v>
      </c>
      <c r="F715">
        <v>20.613</v>
      </c>
      <c r="G715">
        <v>20.613</v>
      </c>
      <c r="H715" t="s">
        <v>1208</v>
      </c>
      <c r="I715" s="1">
        <v>37343</v>
      </c>
      <c r="J715" s="1">
        <v>37387</v>
      </c>
      <c r="K715" t="s">
        <v>1124</v>
      </c>
      <c r="L715" t="s">
        <v>1124</v>
      </c>
      <c r="M715" t="s">
        <v>1124</v>
      </c>
      <c r="N715" s="1">
        <v>37368</v>
      </c>
      <c r="O715" t="s">
        <v>1117</v>
      </c>
      <c r="P715">
        <v>1</v>
      </c>
      <c r="Q715" t="s">
        <v>1215</v>
      </c>
      <c r="R715">
        <f t="shared" si="22"/>
        <v>17</v>
      </c>
      <c r="S715">
        <f t="shared" si="23"/>
        <v>0</v>
      </c>
    </row>
    <row r="716" spans="1:19" x14ac:dyDescent="0.25">
      <c r="A716" t="s">
        <v>1839</v>
      </c>
      <c r="B716" t="s">
        <v>1199</v>
      </c>
      <c r="C716">
        <v>0.7</v>
      </c>
      <c r="D716">
        <v>390</v>
      </c>
      <c r="E716">
        <v>0</v>
      </c>
      <c r="F716">
        <v>20.613</v>
      </c>
      <c r="G716">
        <v>20.613</v>
      </c>
      <c r="H716" t="s">
        <v>1208</v>
      </c>
      <c r="I716" s="1">
        <v>37335</v>
      </c>
      <c r="J716" s="1">
        <v>37368</v>
      </c>
      <c r="K716" s="1">
        <v>37375</v>
      </c>
      <c r="L716" s="1">
        <v>37375</v>
      </c>
      <c r="M716" s="1">
        <v>37368</v>
      </c>
      <c r="N716" s="1">
        <v>37368</v>
      </c>
      <c r="O716" t="s">
        <v>1117</v>
      </c>
      <c r="P716">
        <v>1</v>
      </c>
      <c r="Q716" t="s">
        <v>1215</v>
      </c>
      <c r="R716">
        <f t="shared" si="22"/>
        <v>17</v>
      </c>
      <c r="S716">
        <f t="shared" si="23"/>
        <v>1</v>
      </c>
    </row>
    <row r="717" spans="1:19" x14ac:dyDescent="0.25">
      <c r="A717" t="s">
        <v>1840</v>
      </c>
      <c r="B717" t="s">
        <v>1199</v>
      </c>
      <c r="C717">
        <v>1</v>
      </c>
      <c r="D717">
        <v>1250</v>
      </c>
      <c r="E717">
        <v>0</v>
      </c>
      <c r="F717">
        <v>12</v>
      </c>
      <c r="G717">
        <v>12</v>
      </c>
      <c r="H717" t="s">
        <v>1208</v>
      </c>
      <c r="I717" s="1">
        <v>37128</v>
      </c>
      <c r="J717" s="1">
        <v>37322</v>
      </c>
      <c r="K717" s="1">
        <v>37332</v>
      </c>
      <c r="L717" s="1">
        <v>37332</v>
      </c>
      <c r="M717" s="1">
        <v>37332</v>
      </c>
      <c r="N717" s="1">
        <v>37332</v>
      </c>
      <c r="O717" t="s">
        <v>1117</v>
      </c>
      <c r="P717">
        <v>1</v>
      </c>
      <c r="Q717" t="s">
        <v>1215</v>
      </c>
      <c r="R717">
        <f t="shared" si="22"/>
        <v>12</v>
      </c>
      <c r="S717">
        <f t="shared" si="23"/>
        <v>1</v>
      </c>
    </row>
    <row r="718" spans="1:19" x14ac:dyDescent="0.25">
      <c r="A718" t="s">
        <v>1841</v>
      </c>
      <c r="B718" t="s">
        <v>4026</v>
      </c>
      <c r="C718">
        <v>1</v>
      </c>
      <c r="D718">
        <v>1250</v>
      </c>
      <c r="E718">
        <v>0</v>
      </c>
      <c r="F718">
        <v>12</v>
      </c>
      <c r="G718">
        <v>6.1619999999999999</v>
      </c>
      <c r="H718" t="s">
        <v>1208</v>
      </c>
      <c r="I718" s="1">
        <v>37159</v>
      </c>
      <c r="J718" s="1">
        <v>37319</v>
      </c>
      <c r="K718" s="1">
        <v>37332</v>
      </c>
      <c r="L718" s="1">
        <v>37332</v>
      </c>
      <c r="M718" s="1">
        <v>37332</v>
      </c>
      <c r="N718" s="1">
        <v>37332</v>
      </c>
      <c r="O718" t="s">
        <v>1117</v>
      </c>
      <c r="P718">
        <v>1</v>
      </c>
      <c r="Q718" t="s">
        <v>1215</v>
      </c>
      <c r="R718">
        <f t="shared" si="22"/>
        <v>12</v>
      </c>
      <c r="S718">
        <f t="shared" si="23"/>
        <v>0</v>
      </c>
    </row>
    <row r="719" spans="1:19" x14ac:dyDescent="0.25">
      <c r="A719" t="s">
        <v>1842</v>
      </c>
      <c r="B719" t="s">
        <v>1199</v>
      </c>
      <c r="C719">
        <v>0.5</v>
      </c>
      <c r="D719">
        <v>1250</v>
      </c>
      <c r="E719">
        <v>0</v>
      </c>
      <c r="F719">
        <v>22</v>
      </c>
      <c r="G719">
        <v>22</v>
      </c>
      <c r="H719" t="s">
        <v>1208</v>
      </c>
      <c r="I719" s="1">
        <v>37126</v>
      </c>
      <c r="J719" s="1">
        <v>37314</v>
      </c>
      <c r="K719" s="1">
        <v>37328</v>
      </c>
      <c r="L719" s="1">
        <v>37328</v>
      </c>
      <c r="M719" s="1">
        <v>37332</v>
      </c>
      <c r="N719" s="1">
        <v>37333</v>
      </c>
      <c r="O719" t="s">
        <v>1117</v>
      </c>
      <c r="P719">
        <v>3</v>
      </c>
      <c r="Q719" t="s">
        <v>1215</v>
      </c>
      <c r="R719">
        <f t="shared" si="22"/>
        <v>12</v>
      </c>
      <c r="S719">
        <f t="shared" si="23"/>
        <v>1</v>
      </c>
    </row>
    <row r="720" spans="1:19" x14ac:dyDescent="0.25">
      <c r="A720" t="s">
        <v>1843</v>
      </c>
      <c r="B720" t="s">
        <v>1199</v>
      </c>
      <c r="C720">
        <v>1.5</v>
      </c>
      <c r="D720">
        <v>500</v>
      </c>
      <c r="E720">
        <v>0</v>
      </c>
      <c r="F720">
        <v>4.2</v>
      </c>
      <c r="G720">
        <v>4.2</v>
      </c>
      <c r="H720" t="s">
        <v>1208</v>
      </c>
      <c r="I720" s="1">
        <v>37335</v>
      </c>
      <c r="J720" s="1">
        <v>37367</v>
      </c>
      <c r="K720" s="1">
        <v>37367</v>
      </c>
      <c r="L720" s="1">
        <v>37367</v>
      </c>
      <c r="M720" s="1">
        <v>37367</v>
      </c>
      <c r="N720" s="1">
        <v>37367</v>
      </c>
      <c r="O720" t="s">
        <v>1114</v>
      </c>
      <c r="P720">
        <v>1</v>
      </c>
      <c r="Q720" t="s">
        <v>1215</v>
      </c>
      <c r="R720">
        <f t="shared" si="22"/>
        <v>17</v>
      </c>
      <c r="S720">
        <f t="shared" si="23"/>
        <v>1</v>
      </c>
    </row>
    <row r="721" spans="1:19" x14ac:dyDescent="0.25">
      <c r="A721" t="s">
        <v>1844</v>
      </c>
      <c r="B721" t="s">
        <v>1199</v>
      </c>
      <c r="C721">
        <v>1.5</v>
      </c>
      <c r="D721">
        <v>410</v>
      </c>
      <c r="E721">
        <v>0</v>
      </c>
      <c r="F721">
        <v>5.9029999999999996</v>
      </c>
      <c r="G721">
        <v>5.9029999999999996</v>
      </c>
      <c r="H721" t="s">
        <v>1208</v>
      </c>
      <c r="I721" s="1">
        <v>37335</v>
      </c>
      <c r="J721" s="1">
        <v>37367</v>
      </c>
      <c r="K721" s="1">
        <v>37367</v>
      </c>
      <c r="L721" s="1">
        <v>37367</v>
      </c>
      <c r="M721" s="1">
        <v>37367</v>
      </c>
      <c r="N721" s="1">
        <v>37388</v>
      </c>
      <c r="O721" t="s">
        <v>1114</v>
      </c>
      <c r="P721">
        <v>1</v>
      </c>
      <c r="Q721" t="s">
        <v>1215</v>
      </c>
      <c r="R721">
        <f t="shared" si="22"/>
        <v>20</v>
      </c>
      <c r="S721">
        <f t="shared" si="23"/>
        <v>1</v>
      </c>
    </row>
    <row r="722" spans="1:19" x14ac:dyDescent="0.25">
      <c r="A722" t="s">
        <v>1845</v>
      </c>
      <c r="B722" t="s">
        <v>1199</v>
      </c>
      <c r="C722">
        <v>0.57999999999999996</v>
      </c>
      <c r="D722">
        <v>79.5</v>
      </c>
      <c r="E722">
        <v>0</v>
      </c>
      <c r="F722">
        <v>30</v>
      </c>
      <c r="G722">
        <v>30</v>
      </c>
      <c r="H722" t="s">
        <v>1208</v>
      </c>
      <c r="I722" s="1">
        <v>37304</v>
      </c>
      <c r="J722" s="1">
        <v>37346</v>
      </c>
      <c r="K722" s="1">
        <v>37375</v>
      </c>
      <c r="L722" s="1">
        <v>37375</v>
      </c>
      <c r="M722" s="1">
        <v>37354</v>
      </c>
      <c r="N722" s="1">
        <v>37362</v>
      </c>
      <c r="O722" t="s">
        <v>1117</v>
      </c>
      <c r="P722">
        <v>1</v>
      </c>
      <c r="Q722" t="s">
        <v>1215</v>
      </c>
      <c r="R722">
        <f t="shared" si="22"/>
        <v>16</v>
      </c>
      <c r="S722">
        <f t="shared" si="23"/>
        <v>1</v>
      </c>
    </row>
    <row r="723" spans="1:19" x14ac:dyDescent="0.25">
      <c r="A723" t="s">
        <v>1846</v>
      </c>
      <c r="B723" t="s">
        <v>4026</v>
      </c>
      <c r="C723">
        <v>0.57999999999999996</v>
      </c>
      <c r="D723">
        <v>59.5</v>
      </c>
      <c r="E723">
        <v>0</v>
      </c>
      <c r="F723">
        <v>30</v>
      </c>
      <c r="G723">
        <v>14.8</v>
      </c>
      <c r="H723" t="s">
        <v>1208</v>
      </c>
      <c r="I723" s="1">
        <v>37304</v>
      </c>
      <c r="J723" s="1">
        <v>37346</v>
      </c>
      <c r="K723" s="1">
        <v>37375</v>
      </c>
      <c r="L723" s="1">
        <v>37375</v>
      </c>
      <c r="M723" s="1">
        <v>37353</v>
      </c>
      <c r="N723" s="1">
        <v>37362</v>
      </c>
      <c r="O723" t="s">
        <v>1117</v>
      </c>
      <c r="P723">
        <v>2</v>
      </c>
      <c r="Q723" t="s">
        <v>1215</v>
      </c>
      <c r="R723">
        <f t="shared" si="22"/>
        <v>16</v>
      </c>
      <c r="S723">
        <f t="shared" si="23"/>
        <v>0</v>
      </c>
    </row>
    <row r="724" spans="1:19" x14ac:dyDescent="0.25">
      <c r="A724" t="s">
        <v>1847</v>
      </c>
      <c r="B724" t="s">
        <v>4026</v>
      </c>
      <c r="C724">
        <v>0.7</v>
      </c>
      <c r="D724">
        <v>1250</v>
      </c>
      <c r="E724">
        <v>0</v>
      </c>
      <c r="F724">
        <v>3</v>
      </c>
      <c r="G724">
        <v>3</v>
      </c>
      <c r="H724" t="s">
        <v>1208</v>
      </c>
      <c r="I724" s="1">
        <v>37159</v>
      </c>
      <c r="J724" s="1">
        <v>37323</v>
      </c>
      <c r="K724" t="s">
        <v>1124</v>
      </c>
      <c r="L724" t="s">
        <v>1124</v>
      </c>
      <c r="M724" s="1">
        <v>37267</v>
      </c>
      <c r="N724" s="1">
        <v>37286</v>
      </c>
      <c r="O724" t="s">
        <v>1117</v>
      </c>
      <c r="P724">
        <v>3</v>
      </c>
      <c r="Q724" t="s">
        <v>1215</v>
      </c>
      <c r="R724">
        <f t="shared" si="22"/>
        <v>5</v>
      </c>
      <c r="S724">
        <f t="shared" si="23"/>
        <v>1</v>
      </c>
    </row>
    <row r="725" spans="1:19" x14ac:dyDescent="0.25">
      <c r="A725" t="s">
        <v>1848</v>
      </c>
      <c r="B725" t="s">
        <v>1199</v>
      </c>
      <c r="C725">
        <v>0.5</v>
      </c>
      <c r="D725">
        <v>1000</v>
      </c>
      <c r="E725">
        <v>0</v>
      </c>
      <c r="F725">
        <v>6</v>
      </c>
      <c r="G725">
        <v>6</v>
      </c>
      <c r="H725" t="s">
        <v>1208</v>
      </c>
      <c r="I725" s="1">
        <v>37124</v>
      </c>
      <c r="J725" s="1">
        <v>37312</v>
      </c>
      <c r="K725" s="1">
        <v>37347</v>
      </c>
      <c r="L725" s="1">
        <v>37347</v>
      </c>
      <c r="M725" s="1">
        <v>37347</v>
      </c>
      <c r="N725" s="1">
        <v>37354</v>
      </c>
      <c r="O725" t="s">
        <v>1117</v>
      </c>
      <c r="P725">
        <v>1</v>
      </c>
      <c r="Q725" t="s">
        <v>1215</v>
      </c>
      <c r="R725">
        <f t="shared" si="22"/>
        <v>15</v>
      </c>
      <c r="S725">
        <f t="shared" si="23"/>
        <v>1</v>
      </c>
    </row>
    <row r="726" spans="1:19" x14ac:dyDescent="0.25">
      <c r="A726" t="s">
        <v>1849</v>
      </c>
      <c r="B726" t="s">
        <v>4027</v>
      </c>
      <c r="C726">
        <v>1.5</v>
      </c>
      <c r="D726">
        <v>500</v>
      </c>
      <c r="E726">
        <v>0</v>
      </c>
      <c r="F726">
        <v>4.2</v>
      </c>
      <c r="G726">
        <v>4.2</v>
      </c>
      <c r="H726" t="s">
        <v>1208</v>
      </c>
      <c r="I726" s="1">
        <v>37343</v>
      </c>
      <c r="J726" s="1">
        <v>37381</v>
      </c>
      <c r="K726" t="s">
        <v>1124</v>
      </c>
      <c r="L726" t="s">
        <v>1124</v>
      </c>
      <c r="M726" t="s">
        <v>1124</v>
      </c>
      <c r="N726" s="1">
        <v>37367</v>
      </c>
      <c r="O726" t="s">
        <v>1117</v>
      </c>
      <c r="P726">
        <v>1</v>
      </c>
      <c r="Q726" t="s">
        <v>1215</v>
      </c>
      <c r="R726">
        <f t="shared" si="22"/>
        <v>17</v>
      </c>
      <c r="S726">
        <f t="shared" si="23"/>
        <v>0</v>
      </c>
    </row>
    <row r="727" spans="1:19" x14ac:dyDescent="0.25">
      <c r="A727" t="s">
        <v>1850</v>
      </c>
      <c r="B727" t="s">
        <v>1199</v>
      </c>
      <c r="C727">
        <v>1.5</v>
      </c>
      <c r="D727">
        <v>515</v>
      </c>
      <c r="E727">
        <v>0</v>
      </c>
      <c r="F727">
        <v>4.9729999999999999</v>
      </c>
      <c r="G727">
        <v>4.9729999999999999</v>
      </c>
      <c r="H727" t="s">
        <v>1208</v>
      </c>
      <c r="I727" s="1">
        <v>37335</v>
      </c>
      <c r="J727" s="1">
        <v>37368</v>
      </c>
      <c r="K727" t="s">
        <v>1124</v>
      </c>
      <c r="L727" t="s">
        <v>1124</v>
      </c>
      <c r="M727" s="1">
        <v>37389</v>
      </c>
      <c r="N727" s="1">
        <v>37389</v>
      </c>
      <c r="O727" t="s">
        <v>1117</v>
      </c>
      <c r="P727">
        <v>1</v>
      </c>
      <c r="Q727" t="s">
        <v>1215</v>
      </c>
      <c r="R727">
        <f t="shared" si="22"/>
        <v>20</v>
      </c>
      <c r="S727">
        <f t="shared" si="23"/>
        <v>1</v>
      </c>
    </row>
    <row r="728" spans="1:19" x14ac:dyDescent="0.25">
      <c r="A728" t="s">
        <v>1851</v>
      </c>
      <c r="B728" t="s">
        <v>4028</v>
      </c>
      <c r="C728">
        <v>0.6</v>
      </c>
      <c r="D728">
        <v>1250</v>
      </c>
      <c r="E728">
        <v>0</v>
      </c>
      <c r="F728">
        <v>3</v>
      </c>
      <c r="G728">
        <v>3</v>
      </c>
      <c r="H728" t="s">
        <v>1208</v>
      </c>
      <c r="I728" s="1">
        <v>37159</v>
      </c>
      <c r="J728" s="1">
        <v>37323</v>
      </c>
      <c r="K728" s="1">
        <v>37352</v>
      </c>
      <c r="L728" s="1">
        <v>37352</v>
      </c>
      <c r="M728" s="1">
        <v>37352</v>
      </c>
      <c r="N728" s="1">
        <v>37352</v>
      </c>
      <c r="O728" t="s">
        <v>1117</v>
      </c>
      <c r="P728">
        <v>2</v>
      </c>
      <c r="Q728" t="s">
        <v>1215</v>
      </c>
      <c r="R728">
        <f t="shared" si="22"/>
        <v>14</v>
      </c>
      <c r="S728">
        <f t="shared" si="23"/>
        <v>1</v>
      </c>
    </row>
    <row r="729" spans="1:19" x14ac:dyDescent="0.25">
      <c r="A729" t="s">
        <v>1852</v>
      </c>
      <c r="B729" t="s">
        <v>4028</v>
      </c>
      <c r="C729">
        <v>1.5</v>
      </c>
      <c r="D729">
        <v>500</v>
      </c>
      <c r="E729">
        <v>0</v>
      </c>
      <c r="F729">
        <v>4.2</v>
      </c>
      <c r="G729">
        <v>4.2</v>
      </c>
      <c r="H729" t="s">
        <v>1208</v>
      </c>
      <c r="I729" s="1">
        <v>37335</v>
      </c>
      <c r="J729" s="1">
        <v>37367</v>
      </c>
      <c r="K729" s="1">
        <v>37367</v>
      </c>
      <c r="L729" s="1">
        <v>37367</v>
      </c>
      <c r="M729" s="1">
        <v>37367</v>
      </c>
      <c r="N729" s="1">
        <v>37367</v>
      </c>
      <c r="O729" t="s">
        <v>1114</v>
      </c>
      <c r="P729">
        <v>1</v>
      </c>
      <c r="Q729" t="s">
        <v>1215</v>
      </c>
      <c r="R729">
        <f t="shared" si="22"/>
        <v>17</v>
      </c>
      <c r="S729">
        <f t="shared" si="23"/>
        <v>1</v>
      </c>
    </row>
    <row r="730" spans="1:19" x14ac:dyDescent="0.25">
      <c r="A730" t="s">
        <v>1853</v>
      </c>
      <c r="B730" t="s">
        <v>1199</v>
      </c>
      <c r="C730">
        <v>1.5</v>
      </c>
      <c r="D730">
        <v>410</v>
      </c>
      <c r="E730">
        <v>0</v>
      </c>
      <c r="F730">
        <v>10.124000000000001</v>
      </c>
      <c r="G730">
        <v>10.124000000000001</v>
      </c>
      <c r="H730" t="s">
        <v>1208</v>
      </c>
      <c r="I730" s="1">
        <v>37335</v>
      </c>
      <c r="J730" s="1">
        <v>37368</v>
      </c>
      <c r="K730" t="s">
        <v>1124</v>
      </c>
      <c r="L730" t="s">
        <v>1124</v>
      </c>
      <c r="M730" s="1">
        <v>37388</v>
      </c>
      <c r="N730" s="1">
        <v>37388</v>
      </c>
      <c r="O730" t="s">
        <v>1117</v>
      </c>
      <c r="P730">
        <v>2</v>
      </c>
      <c r="Q730" t="s">
        <v>1215</v>
      </c>
      <c r="R730">
        <f t="shared" si="22"/>
        <v>20</v>
      </c>
      <c r="S730">
        <f t="shared" si="23"/>
        <v>1</v>
      </c>
    </row>
    <row r="731" spans="1:19" x14ac:dyDescent="0.25">
      <c r="A731" t="s">
        <v>1854</v>
      </c>
      <c r="B731" t="s">
        <v>1199</v>
      </c>
      <c r="C731">
        <v>0.5</v>
      </c>
      <c r="D731">
        <v>1250</v>
      </c>
      <c r="E731">
        <v>0</v>
      </c>
      <c r="F731">
        <v>80</v>
      </c>
      <c r="G731">
        <v>80</v>
      </c>
      <c r="H731" t="s">
        <v>1208</v>
      </c>
      <c r="I731" s="1">
        <v>37126</v>
      </c>
      <c r="J731" s="1">
        <v>37310</v>
      </c>
      <c r="K731" s="1">
        <v>37311</v>
      </c>
      <c r="L731" s="1">
        <v>37311</v>
      </c>
      <c r="M731" s="1">
        <v>37316</v>
      </c>
      <c r="N731" s="1">
        <v>37316</v>
      </c>
      <c r="O731" t="s">
        <v>1117</v>
      </c>
      <c r="P731">
        <v>1</v>
      </c>
      <c r="Q731" t="s">
        <v>1215</v>
      </c>
      <c r="R731">
        <f t="shared" si="22"/>
        <v>9</v>
      </c>
      <c r="S731">
        <f t="shared" si="23"/>
        <v>1</v>
      </c>
    </row>
    <row r="732" spans="1:19" x14ac:dyDescent="0.25">
      <c r="A732" t="s">
        <v>1855</v>
      </c>
      <c r="B732" t="s">
        <v>1199</v>
      </c>
      <c r="C732">
        <v>0.5</v>
      </c>
      <c r="D732">
        <v>1250</v>
      </c>
      <c r="E732">
        <v>0</v>
      </c>
      <c r="F732">
        <v>6</v>
      </c>
      <c r="G732">
        <v>6</v>
      </c>
      <c r="H732" t="s">
        <v>1208</v>
      </c>
      <c r="I732" s="1">
        <v>37132</v>
      </c>
      <c r="J732" s="1">
        <v>37323</v>
      </c>
      <c r="K732" s="1">
        <v>37351</v>
      </c>
      <c r="L732" s="1">
        <v>37351</v>
      </c>
      <c r="M732" s="1">
        <v>37351</v>
      </c>
      <c r="N732" s="1">
        <v>37351</v>
      </c>
      <c r="O732" t="s">
        <v>1117</v>
      </c>
      <c r="P732">
        <v>1</v>
      </c>
      <c r="Q732" t="s">
        <v>1215</v>
      </c>
      <c r="R732">
        <f t="shared" si="22"/>
        <v>14</v>
      </c>
      <c r="S732">
        <f t="shared" si="23"/>
        <v>1</v>
      </c>
    </row>
    <row r="733" spans="1:19" x14ac:dyDescent="0.25">
      <c r="A733" t="s">
        <v>1856</v>
      </c>
      <c r="B733" t="s">
        <v>3631</v>
      </c>
      <c r="C733">
        <v>0.7</v>
      </c>
      <c r="D733">
        <v>390</v>
      </c>
      <c r="E733">
        <v>0</v>
      </c>
      <c r="F733">
        <v>20.613</v>
      </c>
      <c r="G733">
        <v>20.613</v>
      </c>
      <c r="H733" t="s">
        <v>1208</v>
      </c>
      <c r="I733" s="1">
        <v>37335</v>
      </c>
      <c r="J733" s="1">
        <v>37368</v>
      </c>
      <c r="K733" s="1">
        <v>37375</v>
      </c>
      <c r="L733" s="1">
        <v>37375</v>
      </c>
      <c r="M733" s="1">
        <v>37368</v>
      </c>
      <c r="N733" s="1">
        <v>37368</v>
      </c>
      <c r="O733" t="s">
        <v>1117</v>
      </c>
      <c r="P733">
        <v>1</v>
      </c>
      <c r="Q733" t="s">
        <v>1215</v>
      </c>
      <c r="R733">
        <f t="shared" si="22"/>
        <v>17</v>
      </c>
      <c r="S733">
        <f t="shared" si="23"/>
        <v>1</v>
      </c>
    </row>
    <row r="734" spans="1:19" x14ac:dyDescent="0.25">
      <c r="A734" t="s">
        <v>1857</v>
      </c>
      <c r="B734" t="s">
        <v>3631</v>
      </c>
      <c r="C734">
        <v>1.5</v>
      </c>
      <c r="D734">
        <v>515</v>
      </c>
      <c r="E734">
        <v>0</v>
      </c>
      <c r="F734">
        <v>4.9729999999999999</v>
      </c>
      <c r="G734">
        <v>4.9729999999999999</v>
      </c>
      <c r="H734" t="s">
        <v>1208</v>
      </c>
      <c r="I734" s="1">
        <v>37335</v>
      </c>
      <c r="J734" s="1">
        <v>37368</v>
      </c>
      <c r="K734" s="1">
        <v>37368</v>
      </c>
      <c r="L734" s="1">
        <v>37368</v>
      </c>
      <c r="M734" s="1">
        <v>37368</v>
      </c>
      <c r="N734" s="1">
        <v>37389</v>
      </c>
      <c r="O734" t="s">
        <v>1114</v>
      </c>
      <c r="P734">
        <v>1</v>
      </c>
      <c r="Q734" t="s">
        <v>1215</v>
      </c>
      <c r="R734">
        <f t="shared" si="22"/>
        <v>20</v>
      </c>
      <c r="S734">
        <f t="shared" si="23"/>
        <v>1</v>
      </c>
    </row>
    <row r="735" spans="1:19" x14ac:dyDescent="0.25">
      <c r="A735" t="s">
        <v>1858</v>
      </c>
      <c r="B735" t="s">
        <v>1199</v>
      </c>
      <c r="C735">
        <v>0.8</v>
      </c>
      <c r="D735">
        <v>1250</v>
      </c>
      <c r="E735">
        <v>0</v>
      </c>
      <c r="F735">
        <v>60</v>
      </c>
      <c r="G735">
        <v>60</v>
      </c>
      <c r="H735" t="s">
        <v>1208</v>
      </c>
      <c r="I735" s="1">
        <v>37110</v>
      </c>
      <c r="J735" s="1">
        <v>37314</v>
      </c>
      <c r="K735" s="1">
        <v>37329</v>
      </c>
      <c r="L735" s="1">
        <v>37329</v>
      </c>
      <c r="M735" s="1">
        <v>37329</v>
      </c>
      <c r="N735" s="1">
        <v>37329</v>
      </c>
      <c r="O735" t="s">
        <v>1117</v>
      </c>
      <c r="P735">
        <v>2</v>
      </c>
      <c r="Q735" t="s">
        <v>1215</v>
      </c>
      <c r="R735">
        <f t="shared" si="22"/>
        <v>11</v>
      </c>
      <c r="S735">
        <f t="shared" si="23"/>
        <v>1</v>
      </c>
    </row>
    <row r="736" spans="1:19" x14ac:dyDescent="0.25">
      <c r="A736" t="s">
        <v>1859</v>
      </c>
      <c r="B736" t="s">
        <v>1199</v>
      </c>
      <c r="C736">
        <v>0.5</v>
      </c>
      <c r="D736">
        <v>625</v>
      </c>
      <c r="E736">
        <v>0</v>
      </c>
      <c r="F736">
        <v>10</v>
      </c>
      <c r="G736">
        <v>10</v>
      </c>
      <c r="H736" t="s">
        <v>1208</v>
      </c>
      <c r="I736" s="1">
        <v>37105</v>
      </c>
      <c r="J736" s="1">
        <v>37345</v>
      </c>
      <c r="K736" s="1">
        <v>37373</v>
      </c>
      <c r="L736" s="1">
        <v>37373</v>
      </c>
      <c r="M736" s="1">
        <v>37366</v>
      </c>
      <c r="N736" s="1">
        <v>37366</v>
      </c>
      <c r="O736" t="s">
        <v>1117</v>
      </c>
      <c r="P736">
        <v>1</v>
      </c>
      <c r="Q736" t="s">
        <v>1215</v>
      </c>
      <c r="R736">
        <f t="shared" si="22"/>
        <v>16</v>
      </c>
      <c r="S736">
        <f t="shared" si="23"/>
        <v>1</v>
      </c>
    </row>
    <row r="737" spans="1:19" x14ac:dyDescent="0.25">
      <c r="A737" t="s">
        <v>1860</v>
      </c>
      <c r="B737" t="s">
        <v>1199</v>
      </c>
      <c r="C737">
        <v>0.9</v>
      </c>
      <c r="D737">
        <v>340</v>
      </c>
      <c r="E737">
        <v>0</v>
      </c>
      <c r="F737">
        <v>16</v>
      </c>
      <c r="G737">
        <v>3.3860000000000001</v>
      </c>
      <c r="H737" t="s">
        <v>1208</v>
      </c>
      <c r="I737" s="1">
        <v>37159</v>
      </c>
      <c r="J737" s="1">
        <v>37319</v>
      </c>
      <c r="K737" s="1">
        <v>37335</v>
      </c>
      <c r="L737" s="1">
        <v>37335</v>
      </c>
      <c r="M737" s="1">
        <v>37335</v>
      </c>
      <c r="N737" s="1">
        <v>37335</v>
      </c>
      <c r="O737" t="s">
        <v>1117</v>
      </c>
      <c r="P737">
        <v>6</v>
      </c>
      <c r="Q737" t="s">
        <v>1215</v>
      </c>
      <c r="R737">
        <f t="shared" si="22"/>
        <v>12</v>
      </c>
      <c r="S737">
        <f t="shared" si="23"/>
        <v>0</v>
      </c>
    </row>
    <row r="738" spans="1:19" x14ac:dyDescent="0.25">
      <c r="A738" t="s">
        <v>1861</v>
      </c>
      <c r="B738" t="s">
        <v>4026</v>
      </c>
      <c r="C738">
        <v>1</v>
      </c>
      <c r="D738">
        <v>408</v>
      </c>
      <c r="E738">
        <v>0</v>
      </c>
      <c r="F738">
        <v>13.06</v>
      </c>
      <c r="G738">
        <v>13.06</v>
      </c>
      <c r="H738" t="s">
        <v>1208</v>
      </c>
      <c r="I738" s="1">
        <v>37159</v>
      </c>
      <c r="J738" s="1">
        <v>37314</v>
      </c>
      <c r="K738" s="1">
        <v>37326</v>
      </c>
      <c r="L738" s="1">
        <v>37326</v>
      </c>
      <c r="M738" s="1">
        <v>37325</v>
      </c>
      <c r="N738" s="1">
        <v>37325</v>
      </c>
      <c r="O738" t="s">
        <v>1117</v>
      </c>
      <c r="P738">
        <v>2</v>
      </c>
      <c r="Q738" t="s">
        <v>1215</v>
      </c>
      <c r="R738">
        <f t="shared" si="22"/>
        <v>11</v>
      </c>
      <c r="S738">
        <f t="shared" si="23"/>
        <v>1</v>
      </c>
    </row>
    <row r="739" spans="1:19" x14ac:dyDescent="0.25">
      <c r="A739" t="s">
        <v>1862</v>
      </c>
      <c r="B739" t="s">
        <v>1199</v>
      </c>
      <c r="C739">
        <v>1</v>
      </c>
      <c r="D739">
        <v>408</v>
      </c>
      <c r="E739">
        <v>0</v>
      </c>
      <c r="F739">
        <v>13.06</v>
      </c>
      <c r="G739">
        <v>13.06</v>
      </c>
      <c r="H739" t="s">
        <v>1208</v>
      </c>
      <c r="I739" s="1">
        <v>37159</v>
      </c>
      <c r="J739" s="1">
        <v>37314</v>
      </c>
      <c r="K739" s="1">
        <v>37326</v>
      </c>
      <c r="L739" s="1">
        <v>37326</v>
      </c>
      <c r="M739" s="1">
        <v>37325</v>
      </c>
      <c r="N739" s="1">
        <v>37325</v>
      </c>
      <c r="O739" t="s">
        <v>1117</v>
      </c>
      <c r="P739">
        <v>1</v>
      </c>
      <c r="Q739" t="s">
        <v>1215</v>
      </c>
      <c r="R739">
        <f t="shared" si="22"/>
        <v>11</v>
      </c>
      <c r="S739">
        <f t="shared" si="23"/>
        <v>1</v>
      </c>
    </row>
    <row r="740" spans="1:19" x14ac:dyDescent="0.25">
      <c r="A740" t="s">
        <v>1863</v>
      </c>
      <c r="B740" t="s">
        <v>4026</v>
      </c>
      <c r="C740">
        <v>1.5</v>
      </c>
      <c r="D740">
        <v>410</v>
      </c>
      <c r="E740">
        <v>0</v>
      </c>
      <c r="F740">
        <v>10.124000000000001</v>
      </c>
      <c r="G740">
        <v>10.124000000000001</v>
      </c>
      <c r="H740" t="s">
        <v>1208</v>
      </c>
      <c r="I740" s="1">
        <v>37335</v>
      </c>
      <c r="J740" s="1">
        <v>37368</v>
      </c>
      <c r="K740" t="s">
        <v>1124</v>
      </c>
      <c r="L740" t="s">
        <v>1124</v>
      </c>
      <c r="M740" s="1">
        <v>37368</v>
      </c>
      <c r="N740" s="1">
        <v>37388</v>
      </c>
      <c r="O740" t="s">
        <v>1117</v>
      </c>
      <c r="P740">
        <v>2</v>
      </c>
      <c r="Q740" t="s">
        <v>1215</v>
      </c>
      <c r="R740">
        <f t="shared" si="22"/>
        <v>20</v>
      </c>
      <c r="S740">
        <f t="shared" si="23"/>
        <v>1</v>
      </c>
    </row>
    <row r="741" spans="1:19" x14ac:dyDescent="0.25">
      <c r="A741" t="s">
        <v>1864</v>
      </c>
      <c r="B741" t="s">
        <v>4028</v>
      </c>
      <c r="C741">
        <v>1.5</v>
      </c>
      <c r="D741">
        <v>515</v>
      </c>
      <c r="E741">
        <v>0</v>
      </c>
      <c r="F741">
        <v>4.9729999999999999</v>
      </c>
      <c r="G741">
        <v>4.9729999999999999</v>
      </c>
      <c r="H741" t="s">
        <v>1208</v>
      </c>
      <c r="I741" s="1">
        <v>37343</v>
      </c>
      <c r="J741" s="1">
        <v>37387</v>
      </c>
      <c r="K741" t="s">
        <v>1124</v>
      </c>
      <c r="L741" t="s">
        <v>1124</v>
      </c>
      <c r="M741" t="s">
        <v>1124</v>
      </c>
      <c r="N741" s="1">
        <v>37389</v>
      </c>
      <c r="O741" t="s">
        <v>1117</v>
      </c>
      <c r="P741">
        <v>1</v>
      </c>
      <c r="Q741" t="s">
        <v>1215</v>
      </c>
      <c r="R741">
        <f t="shared" si="22"/>
        <v>20</v>
      </c>
      <c r="S741">
        <f t="shared" si="23"/>
        <v>0</v>
      </c>
    </row>
    <row r="742" spans="1:19" x14ac:dyDescent="0.25">
      <c r="A742" t="s">
        <v>1865</v>
      </c>
      <c r="B742" t="s">
        <v>4026</v>
      </c>
      <c r="C742">
        <v>1</v>
      </c>
      <c r="D742">
        <v>1250</v>
      </c>
      <c r="E742">
        <v>0</v>
      </c>
      <c r="F742">
        <v>12</v>
      </c>
      <c r="G742">
        <v>6.1529999999999996</v>
      </c>
      <c r="H742" t="s">
        <v>1208</v>
      </c>
      <c r="I742" s="1">
        <v>37159</v>
      </c>
      <c r="J742" s="1">
        <v>37320</v>
      </c>
      <c r="K742" s="1">
        <v>37332</v>
      </c>
      <c r="L742" s="1">
        <v>37332</v>
      </c>
      <c r="M742" s="1">
        <v>37332</v>
      </c>
      <c r="N742" s="1">
        <v>37332</v>
      </c>
      <c r="O742" t="s">
        <v>1117</v>
      </c>
      <c r="P742">
        <v>1</v>
      </c>
      <c r="Q742" t="s">
        <v>1215</v>
      </c>
      <c r="R742">
        <f t="shared" si="22"/>
        <v>12</v>
      </c>
      <c r="S742">
        <f t="shared" si="23"/>
        <v>0</v>
      </c>
    </row>
    <row r="743" spans="1:19" x14ac:dyDescent="0.25">
      <c r="A743" t="s">
        <v>1866</v>
      </c>
      <c r="B743" t="s">
        <v>4028</v>
      </c>
      <c r="C743">
        <v>1.5</v>
      </c>
      <c r="D743">
        <v>515</v>
      </c>
      <c r="E743">
        <v>0</v>
      </c>
      <c r="F743">
        <v>4.9729999999999999</v>
      </c>
      <c r="G743">
        <v>4.9729999999999999</v>
      </c>
      <c r="H743" t="s">
        <v>1208</v>
      </c>
      <c r="I743" s="1">
        <v>37343</v>
      </c>
      <c r="J743" s="1">
        <v>37381</v>
      </c>
      <c r="K743" t="s">
        <v>1124</v>
      </c>
      <c r="L743" t="s">
        <v>1124</v>
      </c>
      <c r="M743" t="s">
        <v>1124</v>
      </c>
      <c r="N743" s="1">
        <v>37389</v>
      </c>
      <c r="O743" t="s">
        <v>1117</v>
      </c>
      <c r="P743">
        <v>1</v>
      </c>
      <c r="Q743" t="s">
        <v>1215</v>
      </c>
      <c r="R743">
        <f t="shared" si="22"/>
        <v>20</v>
      </c>
      <c r="S743">
        <f t="shared" si="23"/>
        <v>0</v>
      </c>
    </row>
    <row r="744" spans="1:19" x14ac:dyDescent="0.25">
      <c r="A744" t="s">
        <v>1867</v>
      </c>
      <c r="B744" t="s">
        <v>1199</v>
      </c>
      <c r="C744">
        <v>1.5</v>
      </c>
      <c r="D744">
        <v>500</v>
      </c>
      <c r="E744">
        <v>0</v>
      </c>
      <c r="F744">
        <v>4.2</v>
      </c>
      <c r="G744">
        <v>4.2</v>
      </c>
      <c r="H744" t="s">
        <v>1208</v>
      </c>
      <c r="I744" s="1">
        <v>37343</v>
      </c>
      <c r="J744" s="1">
        <v>37383</v>
      </c>
      <c r="K744" t="s">
        <v>1124</v>
      </c>
      <c r="L744" t="s">
        <v>1124</v>
      </c>
      <c r="M744" t="s">
        <v>1124</v>
      </c>
      <c r="N744" s="1">
        <v>37367</v>
      </c>
      <c r="O744" t="s">
        <v>1117</v>
      </c>
      <c r="P744">
        <v>1</v>
      </c>
      <c r="Q744" t="s">
        <v>1215</v>
      </c>
      <c r="R744">
        <f t="shared" si="22"/>
        <v>17</v>
      </c>
      <c r="S744">
        <f t="shared" si="23"/>
        <v>0</v>
      </c>
    </row>
    <row r="745" spans="1:19" x14ac:dyDescent="0.25">
      <c r="A745" t="s">
        <v>1868</v>
      </c>
      <c r="B745" t="s">
        <v>4027</v>
      </c>
      <c r="C745">
        <v>1.5</v>
      </c>
      <c r="D745">
        <v>410</v>
      </c>
      <c r="E745">
        <v>0</v>
      </c>
      <c r="F745">
        <v>5.9029999999999996</v>
      </c>
      <c r="G745">
        <v>5.9029999999999996</v>
      </c>
      <c r="H745" t="s">
        <v>1208</v>
      </c>
      <c r="I745" s="1">
        <v>37343</v>
      </c>
      <c r="J745" s="1">
        <v>37383</v>
      </c>
      <c r="K745" t="s">
        <v>1124</v>
      </c>
      <c r="L745" t="s">
        <v>1124</v>
      </c>
      <c r="M745" t="s">
        <v>1124</v>
      </c>
      <c r="N745" s="1">
        <v>37388</v>
      </c>
      <c r="O745" t="s">
        <v>1117</v>
      </c>
      <c r="P745">
        <v>1</v>
      </c>
      <c r="Q745" t="s">
        <v>1215</v>
      </c>
      <c r="R745">
        <f t="shared" si="22"/>
        <v>20</v>
      </c>
      <c r="S745">
        <f t="shared" si="23"/>
        <v>0</v>
      </c>
    </row>
    <row r="746" spans="1:19" x14ac:dyDescent="0.25">
      <c r="A746" t="s">
        <v>1869</v>
      </c>
      <c r="B746" t="s">
        <v>1199</v>
      </c>
      <c r="C746">
        <v>2</v>
      </c>
      <c r="D746">
        <v>1250</v>
      </c>
      <c r="E746">
        <v>0</v>
      </c>
      <c r="F746">
        <v>5.0739999999999998</v>
      </c>
      <c r="G746">
        <v>5.0739999999999998</v>
      </c>
      <c r="H746" t="s">
        <v>1208</v>
      </c>
      <c r="I746" s="1">
        <v>37159</v>
      </c>
      <c r="J746" s="1">
        <v>37336</v>
      </c>
      <c r="K746" s="1">
        <v>37311</v>
      </c>
      <c r="L746" s="1">
        <v>37336</v>
      </c>
      <c r="M746" s="1">
        <v>37273</v>
      </c>
      <c r="N746" s="1">
        <v>37273</v>
      </c>
      <c r="O746" t="s">
        <v>1114</v>
      </c>
      <c r="P746">
        <v>1</v>
      </c>
      <c r="Q746" t="s">
        <v>1215</v>
      </c>
      <c r="R746">
        <f t="shared" si="22"/>
        <v>3</v>
      </c>
      <c r="S746">
        <f t="shared" si="23"/>
        <v>1</v>
      </c>
    </row>
    <row r="747" spans="1:19" x14ac:dyDescent="0.25">
      <c r="A747" t="s">
        <v>1870</v>
      </c>
      <c r="B747" t="s">
        <v>1199</v>
      </c>
      <c r="C747">
        <v>0.7</v>
      </c>
      <c r="D747">
        <v>430</v>
      </c>
      <c r="E747">
        <v>0</v>
      </c>
      <c r="F747">
        <v>3.7</v>
      </c>
      <c r="G747">
        <v>3.7</v>
      </c>
      <c r="H747" t="s">
        <v>1208</v>
      </c>
      <c r="I747" s="1">
        <v>37343</v>
      </c>
      <c r="J747" s="1">
        <v>37383</v>
      </c>
      <c r="K747" t="s">
        <v>1124</v>
      </c>
      <c r="L747" t="s">
        <v>1124</v>
      </c>
      <c r="M747" t="s">
        <v>1124</v>
      </c>
      <c r="N747" s="1">
        <v>37351</v>
      </c>
      <c r="O747" t="s">
        <v>1117</v>
      </c>
      <c r="P747">
        <v>1</v>
      </c>
      <c r="Q747" t="s">
        <v>1215</v>
      </c>
      <c r="R747">
        <f t="shared" si="22"/>
        <v>14</v>
      </c>
      <c r="S747">
        <f t="shared" si="23"/>
        <v>0</v>
      </c>
    </row>
    <row r="748" spans="1:19" x14ac:dyDescent="0.25">
      <c r="A748" t="s">
        <v>1871</v>
      </c>
      <c r="B748" t="s">
        <v>1199</v>
      </c>
      <c r="C748">
        <v>0.7</v>
      </c>
      <c r="D748">
        <v>430</v>
      </c>
      <c r="E748">
        <v>0</v>
      </c>
      <c r="F748">
        <v>3.7</v>
      </c>
      <c r="G748">
        <v>3.7</v>
      </c>
      <c r="H748" t="s">
        <v>1208</v>
      </c>
      <c r="I748" s="1">
        <v>37343</v>
      </c>
      <c r="J748" s="1">
        <v>37387</v>
      </c>
      <c r="K748" t="s">
        <v>1124</v>
      </c>
      <c r="L748" t="s">
        <v>1124</v>
      </c>
      <c r="M748" t="s">
        <v>1124</v>
      </c>
      <c r="N748" s="1">
        <v>37351</v>
      </c>
      <c r="O748" t="s">
        <v>1117</v>
      </c>
      <c r="P748">
        <v>1</v>
      </c>
      <c r="Q748" t="s">
        <v>1215</v>
      </c>
      <c r="R748">
        <f t="shared" si="22"/>
        <v>14</v>
      </c>
      <c r="S748">
        <f t="shared" si="23"/>
        <v>0</v>
      </c>
    </row>
    <row r="749" spans="1:19" x14ac:dyDescent="0.25">
      <c r="A749" t="s">
        <v>1872</v>
      </c>
      <c r="B749" t="s">
        <v>4028</v>
      </c>
      <c r="C749">
        <v>1</v>
      </c>
      <c r="D749">
        <v>320</v>
      </c>
      <c r="E749">
        <v>0</v>
      </c>
      <c r="F749">
        <v>20.535</v>
      </c>
      <c r="G749">
        <v>20.535</v>
      </c>
      <c r="H749" t="s">
        <v>1208</v>
      </c>
      <c r="I749" s="1">
        <v>37335</v>
      </c>
      <c r="J749" s="1">
        <v>37368</v>
      </c>
      <c r="K749" s="1">
        <v>37367</v>
      </c>
      <c r="L749" s="1">
        <v>37368</v>
      </c>
      <c r="M749" s="1">
        <v>37368</v>
      </c>
      <c r="N749" s="1">
        <v>37368</v>
      </c>
      <c r="O749" t="s">
        <v>1114</v>
      </c>
      <c r="P749">
        <v>2</v>
      </c>
      <c r="Q749" t="s">
        <v>1215</v>
      </c>
      <c r="R749">
        <f t="shared" si="22"/>
        <v>17</v>
      </c>
      <c r="S749">
        <f t="shared" si="23"/>
        <v>1</v>
      </c>
    </row>
    <row r="750" spans="1:19" x14ac:dyDescent="0.25">
      <c r="A750" t="s">
        <v>1873</v>
      </c>
      <c r="B750" t="s">
        <v>1199</v>
      </c>
      <c r="C750">
        <v>0.8</v>
      </c>
      <c r="D750">
        <v>340</v>
      </c>
      <c r="E750">
        <v>0</v>
      </c>
      <c r="F750">
        <v>22.571999999999999</v>
      </c>
      <c r="G750">
        <v>22.571999999999999</v>
      </c>
      <c r="H750" t="s">
        <v>1208</v>
      </c>
      <c r="I750" s="1">
        <v>37335</v>
      </c>
      <c r="J750" s="1">
        <v>37368</v>
      </c>
      <c r="K750" t="s">
        <v>1124</v>
      </c>
      <c r="L750" t="s">
        <v>1124</v>
      </c>
      <c r="M750" s="1">
        <v>37375</v>
      </c>
      <c r="N750" s="1">
        <v>37375</v>
      </c>
      <c r="O750" t="s">
        <v>1117</v>
      </c>
      <c r="P750">
        <v>1</v>
      </c>
      <c r="Q750" t="s">
        <v>1215</v>
      </c>
      <c r="R750">
        <f t="shared" si="22"/>
        <v>18</v>
      </c>
      <c r="S750">
        <f t="shared" si="23"/>
        <v>1</v>
      </c>
    </row>
    <row r="751" spans="1:19" x14ac:dyDescent="0.25">
      <c r="A751" t="s">
        <v>1874</v>
      </c>
      <c r="B751" t="s">
        <v>1199</v>
      </c>
      <c r="C751">
        <v>0.7</v>
      </c>
      <c r="D751">
        <v>430</v>
      </c>
      <c r="E751">
        <v>0</v>
      </c>
      <c r="F751">
        <v>3.7</v>
      </c>
      <c r="G751">
        <v>3.7</v>
      </c>
      <c r="H751" t="s">
        <v>1208</v>
      </c>
      <c r="I751" s="1">
        <v>37343</v>
      </c>
      <c r="J751" s="1">
        <v>37381</v>
      </c>
      <c r="K751" t="s">
        <v>1124</v>
      </c>
      <c r="L751" t="s">
        <v>1124</v>
      </c>
      <c r="M751" t="s">
        <v>1124</v>
      </c>
      <c r="N751" s="1">
        <v>37351</v>
      </c>
      <c r="O751" t="s">
        <v>1117</v>
      </c>
      <c r="P751">
        <v>1</v>
      </c>
      <c r="Q751" t="s">
        <v>1215</v>
      </c>
      <c r="R751">
        <f t="shared" si="22"/>
        <v>14</v>
      </c>
      <c r="S751">
        <f t="shared" si="23"/>
        <v>0</v>
      </c>
    </row>
    <row r="752" spans="1:19" x14ac:dyDescent="0.25">
      <c r="A752" t="s">
        <v>1875</v>
      </c>
      <c r="B752" t="s">
        <v>4028</v>
      </c>
      <c r="C752">
        <v>0.5</v>
      </c>
      <c r="D752">
        <v>1250</v>
      </c>
      <c r="E752">
        <v>0</v>
      </c>
      <c r="F752">
        <v>3</v>
      </c>
      <c r="G752">
        <v>3</v>
      </c>
      <c r="H752" t="s">
        <v>1208</v>
      </c>
      <c r="I752" s="1">
        <v>37124</v>
      </c>
      <c r="J752" s="1">
        <v>37322</v>
      </c>
      <c r="K752" s="1">
        <v>37372</v>
      </c>
      <c r="L752" s="1">
        <v>37372</v>
      </c>
      <c r="M752" s="1">
        <v>37365</v>
      </c>
      <c r="N752" s="1">
        <v>37368</v>
      </c>
      <c r="O752" t="s">
        <v>1117</v>
      </c>
      <c r="P752">
        <v>1</v>
      </c>
      <c r="Q752" t="s">
        <v>1215</v>
      </c>
      <c r="R752">
        <f t="shared" si="22"/>
        <v>17</v>
      </c>
      <c r="S752">
        <f t="shared" si="23"/>
        <v>1</v>
      </c>
    </row>
    <row r="753" spans="1:19" x14ac:dyDescent="0.25">
      <c r="A753" t="s">
        <v>1876</v>
      </c>
      <c r="B753" t="s">
        <v>4028</v>
      </c>
      <c r="C753">
        <v>0.9</v>
      </c>
      <c r="D753">
        <v>260</v>
      </c>
      <c r="E753">
        <v>0</v>
      </c>
      <c r="F753">
        <v>2.641</v>
      </c>
      <c r="G753">
        <v>2.641</v>
      </c>
      <c r="H753" t="s">
        <v>1208</v>
      </c>
      <c r="I753" s="1">
        <v>37189</v>
      </c>
      <c r="J753" s="1">
        <v>37331</v>
      </c>
      <c r="K753" s="1">
        <v>37345</v>
      </c>
      <c r="L753" s="1">
        <v>37345</v>
      </c>
      <c r="M753" s="1">
        <v>37345</v>
      </c>
      <c r="N753" s="1">
        <v>37345</v>
      </c>
      <c r="O753" t="s">
        <v>1117</v>
      </c>
      <c r="P753">
        <v>2</v>
      </c>
      <c r="Q753" t="s">
        <v>1215</v>
      </c>
      <c r="R753">
        <f t="shared" si="22"/>
        <v>13</v>
      </c>
      <c r="S753">
        <f t="shared" si="23"/>
        <v>1</v>
      </c>
    </row>
    <row r="754" spans="1:19" x14ac:dyDescent="0.25">
      <c r="A754" t="s">
        <v>1877</v>
      </c>
      <c r="B754" t="s">
        <v>1199</v>
      </c>
      <c r="C754">
        <v>0.7</v>
      </c>
      <c r="D754">
        <v>358</v>
      </c>
      <c r="E754">
        <v>0</v>
      </c>
      <c r="F754">
        <v>22.359000000000002</v>
      </c>
      <c r="G754">
        <v>17.856000000000002</v>
      </c>
      <c r="H754" t="s">
        <v>1208</v>
      </c>
      <c r="I754" s="1">
        <v>37189</v>
      </c>
      <c r="J754" s="1">
        <v>37330</v>
      </c>
      <c r="K754" s="1">
        <v>37373</v>
      </c>
      <c r="L754" s="1">
        <v>37373</v>
      </c>
      <c r="M754" s="1">
        <v>37366</v>
      </c>
      <c r="N754" s="1">
        <v>37366</v>
      </c>
      <c r="O754" t="s">
        <v>1117</v>
      </c>
      <c r="P754">
        <v>1</v>
      </c>
      <c r="Q754" t="s">
        <v>1215</v>
      </c>
      <c r="R754">
        <f t="shared" si="22"/>
        <v>16</v>
      </c>
      <c r="S754">
        <f t="shared" si="23"/>
        <v>0</v>
      </c>
    </row>
    <row r="755" spans="1:19" x14ac:dyDescent="0.25">
      <c r="A755" t="s">
        <v>1878</v>
      </c>
      <c r="B755" t="s">
        <v>3521</v>
      </c>
      <c r="C755">
        <v>0.7</v>
      </c>
      <c r="D755">
        <v>358</v>
      </c>
      <c r="E755">
        <v>0</v>
      </c>
      <c r="F755">
        <v>22.359000000000002</v>
      </c>
      <c r="G755">
        <v>22.359000000000002</v>
      </c>
      <c r="H755" t="s">
        <v>1208</v>
      </c>
      <c r="I755" s="1">
        <v>37189</v>
      </c>
      <c r="J755" s="1">
        <v>37330</v>
      </c>
      <c r="K755" s="1">
        <v>37345</v>
      </c>
      <c r="L755" s="1">
        <v>37345</v>
      </c>
      <c r="M755" s="1">
        <v>37345</v>
      </c>
      <c r="N755" s="1">
        <v>37366</v>
      </c>
      <c r="O755" t="s">
        <v>1117</v>
      </c>
      <c r="P755">
        <v>1</v>
      </c>
      <c r="Q755" t="s">
        <v>1215</v>
      </c>
      <c r="R755">
        <f t="shared" si="22"/>
        <v>16</v>
      </c>
      <c r="S755">
        <f t="shared" si="23"/>
        <v>1</v>
      </c>
    </row>
    <row r="756" spans="1:19" x14ac:dyDescent="0.25">
      <c r="A756" t="s">
        <v>1879</v>
      </c>
      <c r="B756" t="s">
        <v>1199</v>
      </c>
      <c r="C756">
        <v>1.18</v>
      </c>
      <c r="D756">
        <v>97</v>
      </c>
      <c r="E756">
        <v>0</v>
      </c>
      <c r="F756">
        <v>3</v>
      </c>
      <c r="G756">
        <v>3</v>
      </c>
      <c r="H756" t="s">
        <v>1208</v>
      </c>
      <c r="I756" s="1">
        <v>37132</v>
      </c>
      <c r="J756" s="1">
        <v>37346</v>
      </c>
      <c r="K756" s="1">
        <v>37353</v>
      </c>
      <c r="L756" s="1">
        <v>37353</v>
      </c>
      <c r="M756" s="1">
        <v>37353</v>
      </c>
      <c r="N756" s="1">
        <v>37353</v>
      </c>
      <c r="O756" t="s">
        <v>1117</v>
      </c>
      <c r="P756">
        <v>20</v>
      </c>
      <c r="Q756" t="s">
        <v>1215</v>
      </c>
      <c r="R756">
        <f t="shared" si="22"/>
        <v>15</v>
      </c>
      <c r="S756">
        <f t="shared" si="23"/>
        <v>1</v>
      </c>
    </row>
    <row r="757" spans="1:19" x14ac:dyDescent="0.25">
      <c r="A757" t="s">
        <v>1880</v>
      </c>
      <c r="B757" t="s">
        <v>1199</v>
      </c>
      <c r="C757">
        <v>2</v>
      </c>
      <c r="D757">
        <v>1250</v>
      </c>
      <c r="E757">
        <v>0</v>
      </c>
      <c r="F757">
        <v>5</v>
      </c>
      <c r="G757">
        <v>5</v>
      </c>
      <c r="H757" t="s">
        <v>1208</v>
      </c>
      <c r="I757" s="1">
        <v>37122</v>
      </c>
      <c r="J757" s="1">
        <v>37312</v>
      </c>
      <c r="K757" s="1">
        <v>37344</v>
      </c>
      <c r="L757" s="1">
        <v>37344</v>
      </c>
      <c r="M757" s="1">
        <v>37344</v>
      </c>
      <c r="N757" s="1">
        <v>37344</v>
      </c>
      <c r="O757" t="s">
        <v>1117</v>
      </c>
      <c r="P757">
        <v>1</v>
      </c>
      <c r="Q757" t="s">
        <v>1215</v>
      </c>
      <c r="R757">
        <f t="shared" si="22"/>
        <v>13</v>
      </c>
      <c r="S757">
        <f t="shared" si="23"/>
        <v>1</v>
      </c>
    </row>
    <row r="758" spans="1:19" x14ac:dyDescent="0.25">
      <c r="A758" t="s">
        <v>1881</v>
      </c>
      <c r="B758" t="s">
        <v>1199</v>
      </c>
      <c r="C758">
        <v>0.57999999999999996</v>
      </c>
      <c r="D758">
        <v>625</v>
      </c>
      <c r="E758">
        <v>0</v>
      </c>
      <c r="F758">
        <v>21</v>
      </c>
      <c r="G758">
        <v>21</v>
      </c>
      <c r="H758" t="s">
        <v>1208</v>
      </c>
      <c r="I758" s="1">
        <v>37159</v>
      </c>
      <c r="J758" s="1">
        <v>37345</v>
      </c>
      <c r="K758" s="1">
        <v>37373</v>
      </c>
      <c r="L758" s="1">
        <v>37373</v>
      </c>
      <c r="M758" s="1">
        <v>37366</v>
      </c>
      <c r="N758" s="1">
        <v>37387</v>
      </c>
      <c r="O758" t="s">
        <v>1117</v>
      </c>
      <c r="P758">
        <v>1</v>
      </c>
      <c r="Q758" t="s">
        <v>1215</v>
      </c>
      <c r="R758">
        <f t="shared" si="22"/>
        <v>19</v>
      </c>
      <c r="S758">
        <f t="shared" si="23"/>
        <v>1</v>
      </c>
    </row>
    <row r="759" spans="1:19" x14ac:dyDescent="0.25">
      <c r="A759" t="s">
        <v>1882</v>
      </c>
      <c r="B759" t="s">
        <v>4028</v>
      </c>
      <c r="C759">
        <v>0.7</v>
      </c>
      <c r="D759">
        <v>410</v>
      </c>
      <c r="E759">
        <v>0</v>
      </c>
      <c r="F759">
        <v>7</v>
      </c>
      <c r="G759">
        <v>7</v>
      </c>
      <c r="H759" t="s">
        <v>1208</v>
      </c>
      <c r="I759" s="1">
        <v>37343</v>
      </c>
      <c r="J759" s="1">
        <v>37383</v>
      </c>
      <c r="K759" t="s">
        <v>1124</v>
      </c>
      <c r="L759" t="s">
        <v>1124</v>
      </c>
      <c r="M759" t="s">
        <v>1124</v>
      </c>
      <c r="N759" s="1">
        <v>37351</v>
      </c>
      <c r="O759" t="s">
        <v>1117</v>
      </c>
      <c r="P759">
        <v>1</v>
      </c>
      <c r="Q759" t="s">
        <v>1215</v>
      </c>
      <c r="R759">
        <f t="shared" si="22"/>
        <v>14</v>
      </c>
      <c r="S759">
        <f t="shared" si="23"/>
        <v>0</v>
      </c>
    </row>
    <row r="760" spans="1:19" x14ac:dyDescent="0.25">
      <c r="A760" t="s">
        <v>1883</v>
      </c>
      <c r="B760" t="s">
        <v>1199</v>
      </c>
      <c r="C760">
        <v>0.7</v>
      </c>
      <c r="D760">
        <v>410</v>
      </c>
      <c r="E760">
        <v>0</v>
      </c>
      <c r="F760">
        <v>7</v>
      </c>
      <c r="G760">
        <v>7</v>
      </c>
      <c r="H760" t="s">
        <v>1208</v>
      </c>
      <c r="I760" s="1">
        <v>37343</v>
      </c>
      <c r="J760" s="1">
        <v>37381</v>
      </c>
      <c r="K760" t="s">
        <v>1124</v>
      </c>
      <c r="L760" t="s">
        <v>1124</v>
      </c>
      <c r="M760" t="s">
        <v>1124</v>
      </c>
      <c r="N760" s="1">
        <v>37351</v>
      </c>
      <c r="O760" t="s">
        <v>1117</v>
      </c>
      <c r="P760">
        <v>1</v>
      </c>
      <c r="Q760" t="s">
        <v>1215</v>
      </c>
      <c r="R760">
        <f t="shared" si="22"/>
        <v>14</v>
      </c>
      <c r="S760">
        <f t="shared" si="23"/>
        <v>0</v>
      </c>
    </row>
    <row r="761" spans="1:19" x14ac:dyDescent="0.25">
      <c r="A761" t="s">
        <v>1884</v>
      </c>
      <c r="B761" t="s">
        <v>4028</v>
      </c>
      <c r="C761">
        <v>0.7</v>
      </c>
      <c r="D761">
        <v>410</v>
      </c>
      <c r="E761">
        <v>0</v>
      </c>
      <c r="F761">
        <v>7</v>
      </c>
      <c r="G761">
        <v>7</v>
      </c>
      <c r="H761" t="s">
        <v>1208</v>
      </c>
      <c r="I761" s="1">
        <v>37335</v>
      </c>
      <c r="J761" s="1">
        <v>37367</v>
      </c>
      <c r="K761" s="1">
        <v>37374</v>
      </c>
      <c r="L761" s="1">
        <v>37374</v>
      </c>
      <c r="M761" t="s">
        <v>1124</v>
      </c>
      <c r="N761" s="1">
        <f t="shared" ref="N759:N761" si="24">L761</f>
        <v>37374</v>
      </c>
      <c r="O761" t="s">
        <v>1117</v>
      </c>
      <c r="P761">
        <v>1</v>
      </c>
      <c r="Q761" t="s">
        <v>1215</v>
      </c>
      <c r="R761">
        <f t="shared" si="22"/>
        <v>18</v>
      </c>
      <c r="S761">
        <f t="shared" si="23"/>
        <v>0</v>
      </c>
    </row>
    <row r="762" spans="1:19" x14ac:dyDescent="0.25">
      <c r="A762" t="s">
        <v>1885</v>
      </c>
      <c r="B762" t="s">
        <v>4026</v>
      </c>
      <c r="C762">
        <v>0.57999999999999996</v>
      </c>
      <c r="D762">
        <v>79.5</v>
      </c>
      <c r="E762">
        <v>0</v>
      </c>
      <c r="F762">
        <v>30</v>
      </c>
      <c r="G762">
        <v>24.3</v>
      </c>
      <c r="H762" t="s">
        <v>1208</v>
      </c>
      <c r="I762" s="1">
        <v>37159</v>
      </c>
      <c r="J762" s="1">
        <v>37346</v>
      </c>
      <c r="K762" t="s">
        <v>1124</v>
      </c>
      <c r="L762" t="s">
        <v>1124</v>
      </c>
      <c r="M762" s="1">
        <v>37362</v>
      </c>
      <c r="N762" s="1">
        <v>37362</v>
      </c>
      <c r="O762" t="s">
        <v>1117</v>
      </c>
      <c r="P762">
        <v>1</v>
      </c>
      <c r="Q762" t="s">
        <v>1215</v>
      </c>
      <c r="R762">
        <f t="shared" si="22"/>
        <v>16</v>
      </c>
      <c r="S762">
        <f t="shared" si="23"/>
        <v>0</v>
      </c>
    </row>
    <row r="763" spans="1:19" x14ac:dyDescent="0.25">
      <c r="A763" t="s">
        <v>1886</v>
      </c>
      <c r="B763" t="s">
        <v>1199</v>
      </c>
      <c r="C763">
        <v>2</v>
      </c>
      <c r="D763">
        <v>1000</v>
      </c>
      <c r="E763">
        <v>0</v>
      </c>
      <c r="F763">
        <v>16</v>
      </c>
      <c r="G763">
        <v>16</v>
      </c>
      <c r="H763" t="s">
        <v>1208</v>
      </c>
      <c r="I763" s="1">
        <v>37126</v>
      </c>
      <c r="J763" s="1">
        <v>37314</v>
      </c>
      <c r="K763" s="1">
        <v>37323</v>
      </c>
      <c r="L763" s="1">
        <v>37323</v>
      </c>
      <c r="M763" s="1">
        <v>37324</v>
      </c>
      <c r="N763" s="1">
        <v>37324</v>
      </c>
      <c r="O763" t="s">
        <v>1117</v>
      </c>
      <c r="P763">
        <v>15</v>
      </c>
      <c r="Q763" t="s">
        <v>1215</v>
      </c>
      <c r="R763">
        <f t="shared" si="22"/>
        <v>10</v>
      </c>
      <c r="S763">
        <f t="shared" si="23"/>
        <v>1</v>
      </c>
    </row>
    <row r="764" spans="1:19" x14ac:dyDescent="0.25">
      <c r="A764" t="s">
        <v>1887</v>
      </c>
      <c r="B764" t="s">
        <v>1199</v>
      </c>
      <c r="C764">
        <v>0.7</v>
      </c>
      <c r="D764">
        <v>430</v>
      </c>
      <c r="E764">
        <v>0</v>
      </c>
      <c r="F764">
        <v>3.7</v>
      </c>
      <c r="G764">
        <v>3.7</v>
      </c>
      <c r="H764" t="s">
        <v>1208</v>
      </c>
      <c r="I764" s="1">
        <v>37335</v>
      </c>
      <c r="J764" s="1">
        <v>37367</v>
      </c>
      <c r="K764" s="1">
        <v>37374</v>
      </c>
      <c r="L764" s="1">
        <v>37374</v>
      </c>
      <c r="M764" t="s">
        <v>1124</v>
      </c>
      <c r="N764" s="1">
        <f>L764</f>
        <v>37374</v>
      </c>
      <c r="O764" t="s">
        <v>1117</v>
      </c>
      <c r="P764">
        <v>1</v>
      </c>
      <c r="Q764" t="s">
        <v>1215</v>
      </c>
      <c r="R764">
        <f t="shared" si="22"/>
        <v>18</v>
      </c>
      <c r="S764">
        <f t="shared" si="23"/>
        <v>0</v>
      </c>
    </row>
    <row r="765" spans="1:19" x14ac:dyDescent="0.25">
      <c r="A765" t="s">
        <v>1888</v>
      </c>
      <c r="B765" t="s">
        <v>1199</v>
      </c>
      <c r="C765">
        <v>0.9</v>
      </c>
      <c r="D765">
        <v>260</v>
      </c>
      <c r="E765">
        <v>0</v>
      </c>
      <c r="F765">
        <v>2.641</v>
      </c>
      <c r="G765">
        <v>2.641</v>
      </c>
      <c r="H765" t="s">
        <v>1208</v>
      </c>
      <c r="I765" s="1">
        <v>37189</v>
      </c>
      <c r="J765" s="1">
        <v>37330</v>
      </c>
      <c r="K765" s="1">
        <v>37345</v>
      </c>
      <c r="L765" s="1">
        <v>37345</v>
      </c>
      <c r="M765" s="1">
        <v>37345</v>
      </c>
      <c r="N765" s="1">
        <v>37345</v>
      </c>
      <c r="O765" t="s">
        <v>1117</v>
      </c>
      <c r="P765">
        <v>2</v>
      </c>
      <c r="Q765" t="s">
        <v>1215</v>
      </c>
      <c r="R765">
        <f t="shared" si="22"/>
        <v>13</v>
      </c>
      <c r="S765">
        <f t="shared" si="23"/>
        <v>1</v>
      </c>
    </row>
    <row r="766" spans="1:19" x14ac:dyDescent="0.25">
      <c r="A766" t="s">
        <v>1889</v>
      </c>
      <c r="B766" t="s">
        <v>1199</v>
      </c>
      <c r="C766">
        <v>1.25</v>
      </c>
      <c r="D766">
        <v>375</v>
      </c>
      <c r="E766">
        <v>0</v>
      </c>
      <c r="F766">
        <v>11.27</v>
      </c>
      <c r="G766">
        <v>11.27</v>
      </c>
      <c r="H766" t="s">
        <v>1208</v>
      </c>
      <c r="I766" s="1">
        <v>37189</v>
      </c>
      <c r="J766" s="1">
        <v>37331</v>
      </c>
      <c r="K766" s="1">
        <v>37338</v>
      </c>
      <c r="L766" s="1">
        <v>37338</v>
      </c>
      <c r="M766" s="1">
        <v>37338</v>
      </c>
      <c r="N766" s="1">
        <v>37338</v>
      </c>
      <c r="O766" t="s">
        <v>1117</v>
      </c>
      <c r="P766">
        <v>1</v>
      </c>
      <c r="Q766" t="s">
        <v>1215</v>
      </c>
      <c r="R766">
        <f t="shared" si="22"/>
        <v>12</v>
      </c>
      <c r="S766">
        <f t="shared" si="23"/>
        <v>1</v>
      </c>
    </row>
    <row r="767" spans="1:19" x14ac:dyDescent="0.25">
      <c r="A767" t="s">
        <v>1890</v>
      </c>
      <c r="B767" t="s">
        <v>4028</v>
      </c>
      <c r="C767">
        <v>0.57999999999999996</v>
      </c>
      <c r="D767">
        <v>59.5</v>
      </c>
      <c r="E767">
        <v>0</v>
      </c>
      <c r="F767">
        <v>30</v>
      </c>
      <c r="G767">
        <v>22.8</v>
      </c>
      <c r="H767" t="s">
        <v>1208</v>
      </c>
      <c r="I767" s="1">
        <v>37159</v>
      </c>
      <c r="J767" s="1">
        <v>37346</v>
      </c>
      <c r="K767" t="s">
        <v>1124</v>
      </c>
      <c r="L767" t="s">
        <v>1124</v>
      </c>
      <c r="M767" s="1">
        <v>37362</v>
      </c>
      <c r="N767" s="1">
        <v>37362</v>
      </c>
      <c r="O767" t="s">
        <v>1117</v>
      </c>
      <c r="P767">
        <v>2</v>
      </c>
      <c r="Q767" t="s">
        <v>1215</v>
      </c>
      <c r="R767">
        <f t="shared" si="22"/>
        <v>16</v>
      </c>
      <c r="S767">
        <f t="shared" si="23"/>
        <v>0</v>
      </c>
    </row>
    <row r="768" spans="1:19" x14ac:dyDescent="0.25">
      <c r="A768" t="s">
        <v>1891</v>
      </c>
      <c r="B768" t="s">
        <v>4026</v>
      </c>
      <c r="C768">
        <v>0.5</v>
      </c>
      <c r="D768">
        <v>1250</v>
      </c>
      <c r="E768">
        <v>0</v>
      </c>
      <c r="F768">
        <v>12</v>
      </c>
      <c r="G768">
        <v>12</v>
      </c>
      <c r="H768" t="s">
        <v>1208</v>
      </c>
      <c r="I768" s="1">
        <v>37159</v>
      </c>
      <c r="J768" s="1">
        <v>37325</v>
      </c>
      <c r="K768" s="1">
        <v>37372</v>
      </c>
      <c r="L768" s="1">
        <v>37372</v>
      </c>
      <c r="M768" s="1">
        <v>37365</v>
      </c>
      <c r="N768" s="1">
        <v>37368</v>
      </c>
      <c r="O768" t="s">
        <v>1117</v>
      </c>
      <c r="P768">
        <v>1</v>
      </c>
      <c r="Q768" t="s">
        <v>1215</v>
      </c>
      <c r="R768">
        <f t="shared" si="22"/>
        <v>17</v>
      </c>
      <c r="S768">
        <f t="shared" si="23"/>
        <v>1</v>
      </c>
    </row>
    <row r="769" spans="1:19" x14ac:dyDescent="0.25">
      <c r="A769" t="s">
        <v>1892</v>
      </c>
      <c r="B769" t="s">
        <v>1199</v>
      </c>
      <c r="C769">
        <v>2</v>
      </c>
      <c r="D769">
        <v>1250</v>
      </c>
      <c r="E769">
        <v>0</v>
      </c>
      <c r="F769">
        <v>3</v>
      </c>
      <c r="G769">
        <v>3</v>
      </c>
      <c r="H769" t="s">
        <v>1208</v>
      </c>
      <c r="I769" s="1">
        <v>37122</v>
      </c>
      <c r="J769" s="1">
        <v>37312</v>
      </c>
      <c r="K769" s="1">
        <v>37344</v>
      </c>
      <c r="L769" s="1">
        <v>37344</v>
      </c>
      <c r="M769" s="1">
        <v>37344</v>
      </c>
      <c r="N769" s="1">
        <v>37344</v>
      </c>
      <c r="O769" t="s">
        <v>1117</v>
      </c>
      <c r="P769">
        <v>3</v>
      </c>
      <c r="Q769" t="s">
        <v>1215</v>
      </c>
      <c r="R769">
        <f t="shared" si="22"/>
        <v>13</v>
      </c>
      <c r="S769">
        <f t="shared" si="23"/>
        <v>1</v>
      </c>
    </row>
    <row r="770" spans="1:19" x14ac:dyDescent="0.25">
      <c r="A770" t="s">
        <v>1893</v>
      </c>
      <c r="B770" t="s">
        <v>4026</v>
      </c>
      <c r="C770">
        <v>0.5</v>
      </c>
      <c r="D770">
        <v>90</v>
      </c>
      <c r="E770">
        <v>0</v>
      </c>
      <c r="F770">
        <v>5</v>
      </c>
      <c r="G770">
        <v>5</v>
      </c>
      <c r="H770" t="s">
        <v>1208</v>
      </c>
      <c r="I770" s="1">
        <v>37114</v>
      </c>
      <c r="J770" s="1">
        <v>37314</v>
      </c>
      <c r="K770" s="1">
        <v>37370</v>
      </c>
      <c r="L770" s="1">
        <v>37370</v>
      </c>
      <c r="M770" s="1">
        <v>37344</v>
      </c>
      <c r="N770" s="1">
        <v>37389</v>
      </c>
      <c r="O770" t="s">
        <v>1117</v>
      </c>
      <c r="P770">
        <v>2</v>
      </c>
      <c r="Q770" t="s">
        <v>1215</v>
      </c>
      <c r="R770">
        <f t="shared" si="22"/>
        <v>20</v>
      </c>
      <c r="S770">
        <f t="shared" si="23"/>
        <v>1</v>
      </c>
    </row>
    <row r="771" spans="1:19" x14ac:dyDescent="0.25">
      <c r="A771" t="s">
        <v>1894</v>
      </c>
      <c r="B771" t="s">
        <v>4028</v>
      </c>
      <c r="C771">
        <v>0.8</v>
      </c>
      <c r="D771">
        <v>340</v>
      </c>
      <c r="E771">
        <v>0</v>
      </c>
      <c r="F771">
        <v>22.571999999999999</v>
      </c>
      <c r="G771">
        <v>22.571999999999999</v>
      </c>
      <c r="H771" t="s">
        <v>1208</v>
      </c>
      <c r="I771" s="1">
        <v>37335</v>
      </c>
      <c r="J771" s="1">
        <v>37368</v>
      </c>
      <c r="K771" t="s">
        <v>1124</v>
      </c>
      <c r="L771" t="s">
        <v>1124</v>
      </c>
      <c r="M771" s="1">
        <v>37375</v>
      </c>
      <c r="N771" s="1">
        <v>37375</v>
      </c>
      <c r="O771" t="s">
        <v>1117</v>
      </c>
      <c r="P771">
        <v>1</v>
      </c>
      <c r="Q771" t="s">
        <v>1215</v>
      </c>
      <c r="R771">
        <f t="shared" ref="R771:R834" si="25">WEEKNUM(N771,1)</f>
        <v>18</v>
      </c>
      <c r="S771">
        <f t="shared" ref="S771:S834" si="26">IF(AND(F771=G771, M771&lt;=N771), 1,0)</f>
        <v>1</v>
      </c>
    </row>
    <row r="772" spans="1:19" x14ac:dyDescent="0.25">
      <c r="A772" t="s">
        <v>1895</v>
      </c>
      <c r="B772" t="s">
        <v>1199</v>
      </c>
      <c r="C772">
        <v>0.7</v>
      </c>
      <c r="D772">
        <v>1250</v>
      </c>
      <c r="E772">
        <v>0</v>
      </c>
      <c r="F772">
        <v>3</v>
      </c>
      <c r="G772">
        <v>3</v>
      </c>
      <c r="H772" t="s">
        <v>1208</v>
      </c>
      <c r="I772" s="1">
        <v>37159</v>
      </c>
      <c r="J772" s="1">
        <v>37319</v>
      </c>
      <c r="K772" s="1">
        <v>37375</v>
      </c>
      <c r="L772" s="1">
        <v>37375</v>
      </c>
      <c r="M772" s="1">
        <v>37368</v>
      </c>
      <c r="N772" s="1">
        <v>37368</v>
      </c>
      <c r="O772" t="s">
        <v>1117</v>
      </c>
      <c r="P772">
        <v>1</v>
      </c>
      <c r="Q772" t="s">
        <v>1215</v>
      </c>
      <c r="R772">
        <f t="shared" si="25"/>
        <v>17</v>
      </c>
      <c r="S772">
        <f t="shared" si="26"/>
        <v>1</v>
      </c>
    </row>
    <row r="773" spans="1:19" x14ac:dyDescent="0.25">
      <c r="A773" t="s">
        <v>1896</v>
      </c>
      <c r="B773" t="s">
        <v>4029</v>
      </c>
      <c r="C773">
        <v>0.7</v>
      </c>
      <c r="D773">
        <v>1250</v>
      </c>
      <c r="E773">
        <v>0</v>
      </c>
      <c r="F773">
        <v>8</v>
      </c>
      <c r="G773">
        <v>8</v>
      </c>
      <c r="H773" t="s">
        <v>1208</v>
      </c>
      <c r="I773" s="1">
        <v>37159</v>
      </c>
      <c r="J773" s="1">
        <v>37325</v>
      </c>
      <c r="K773" s="1">
        <v>37375</v>
      </c>
      <c r="L773" s="1">
        <v>37375</v>
      </c>
      <c r="M773" s="1">
        <v>37368</v>
      </c>
      <c r="N773" s="1">
        <v>37368</v>
      </c>
      <c r="O773" t="s">
        <v>1117</v>
      </c>
      <c r="P773">
        <v>2</v>
      </c>
      <c r="Q773" t="s">
        <v>1215</v>
      </c>
      <c r="R773">
        <f t="shared" si="25"/>
        <v>17</v>
      </c>
      <c r="S773">
        <f t="shared" si="26"/>
        <v>1</v>
      </c>
    </row>
    <row r="774" spans="1:19" x14ac:dyDescent="0.25">
      <c r="A774" t="s">
        <v>1897</v>
      </c>
      <c r="B774" t="s">
        <v>3631</v>
      </c>
      <c r="C774">
        <v>1.5</v>
      </c>
      <c r="D774">
        <v>1000</v>
      </c>
      <c r="E774">
        <v>0</v>
      </c>
      <c r="F774">
        <v>32</v>
      </c>
      <c r="G774">
        <v>32</v>
      </c>
      <c r="H774" t="s">
        <v>1208</v>
      </c>
      <c r="I774" s="1">
        <v>37126</v>
      </c>
      <c r="J774" s="1">
        <v>37314</v>
      </c>
      <c r="K774" s="1">
        <v>37333</v>
      </c>
      <c r="L774" s="1">
        <v>37333</v>
      </c>
      <c r="M774" s="1">
        <v>37333</v>
      </c>
      <c r="N774" s="1">
        <v>37333</v>
      </c>
      <c r="O774" t="s">
        <v>1117</v>
      </c>
      <c r="P774">
        <v>14</v>
      </c>
      <c r="Q774" t="s">
        <v>1215</v>
      </c>
      <c r="R774">
        <f t="shared" si="25"/>
        <v>12</v>
      </c>
      <c r="S774">
        <f t="shared" si="26"/>
        <v>1</v>
      </c>
    </row>
    <row r="775" spans="1:19" x14ac:dyDescent="0.25">
      <c r="A775" t="s">
        <v>1898</v>
      </c>
      <c r="B775" t="s">
        <v>1199</v>
      </c>
      <c r="C775">
        <v>0.7</v>
      </c>
      <c r="D775">
        <v>1250</v>
      </c>
      <c r="E775">
        <v>0</v>
      </c>
      <c r="F775">
        <v>24</v>
      </c>
      <c r="G775">
        <v>24</v>
      </c>
      <c r="H775" t="s">
        <v>1208</v>
      </c>
      <c r="I775" s="1">
        <v>37159</v>
      </c>
      <c r="J775" s="1">
        <v>37314</v>
      </c>
      <c r="K775" s="1">
        <v>37335</v>
      </c>
      <c r="L775" s="1">
        <v>37335</v>
      </c>
      <c r="M775" s="1">
        <v>37342</v>
      </c>
      <c r="N775" s="1">
        <v>37344</v>
      </c>
      <c r="O775" t="s">
        <v>1117</v>
      </c>
      <c r="P775">
        <v>3</v>
      </c>
      <c r="Q775" t="s">
        <v>1215</v>
      </c>
      <c r="R775">
        <f t="shared" si="25"/>
        <v>13</v>
      </c>
      <c r="S775">
        <f t="shared" si="26"/>
        <v>1</v>
      </c>
    </row>
    <row r="776" spans="1:19" x14ac:dyDescent="0.25">
      <c r="A776" t="s">
        <v>1899</v>
      </c>
      <c r="B776" t="s">
        <v>4028</v>
      </c>
      <c r="C776">
        <v>0.8</v>
      </c>
      <c r="D776">
        <v>1250</v>
      </c>
      <c r="E776">
        <v>0</v>
      </c>
      <c r="F776">
        <v>15</v>
      </c>
      <c r="G776">
        <v>15</v>
      </c>
      <c r="H776" t="s">
        <v>1208</v>
      </c>
      <c r="I776" s="1">
        <v>37159</v>
      </c>
      <c r="J776" s="1">
        <v>37313</v>
      </c>
      <c r="K776" s="1">
        <v>37338</v>
      </c>
      <c r="L776" s="1">
        <v>37338</v>
      </c>
      <c r="M776" s="1">
        <v>37338</v>
      </c>
      <c r="N776" s="1">
        <v>37343</v>
      </c>
      <c r="O776" t="s">
        <v>1117</v>
      </c>
      <c r="P776">
        <v>1</v>
      </c>
      <c r="Q776" t="s">
        <v>1215</v>
      </c>
      <c r="R776">
        <f t="shared" si="25"/>
        <v>13</v>
      </c>
      <c r="S776">
        <f t="shared" si="26"/>
        <v>1</v>
      </c>
    </row>
    <row r="777" spans="1:19" x14ac:dyDescent="0.25">
      <c r="A777" t="s">
        <v>1900</v>
      </c>
      <c r="B777" t="s">
        <v>4028</v>
      </c>
      <c r="C777">
        <v>0.6</v>
      </c>
      <c r="D777">
        <v>76</v>
      </c>
      <c r="E777">
        <v>0</v>
      </c>
      <c r="F777">
        <v>6</v>
      </c>
      <c r="G777">
        <v>6</v>
      </c>
      <c r="H777" t="s">
        <v>1208</v>
      </c>
      <c r="I777" s="1">
        <v>37114</v>
      </c>
      <c r="J777" s="1">
        <v>37314</v>
      </c>
      <c r="K777" s="1">
        <v>37348</v>
      </c>
      <c r="L777" s="1">
        <v>37348</v>
      </c>
      <c r="M777" s="1">
        <v>37344</v>
      </c>
      <c r="N777" s="1">
        <v>37391</v>
      </c>
      <c r="O777" t="s">
        <v>1117</v>
      </c>
      <c r="P777">
        <v>5</v>
      </c>
      <c r="Q777" t="s">
        <v>1215</v>
      </c>
      <c r="R777">
        <f t="shared" si="25"/>
        <v>20</v>
      </c>
      <c r="S777">
        <f t="shared" si="26"/>
        <v>1</v>
      </c>
    </row>
    <row r="778" spans="1:19" x14ac:dyDescent="0.25">
      <c r="A778" t="s">
        <v>1901</v>
      </c>
      <c r="B778" t="s">
        <v>1199</v>
      </c>
      <c r="C778">
        <v>1.5</v>
      </c>
      <c r="D778">
        <v>625</v>
      </c>
      <c r="E778">
        <v>0</v>
      </c>
      <c r="F778">
        <v>20</v>
      </c>
      <c r="G778">
        <v>20</v>
      </c>
      <c r="H778" t="s">
        <v>1208</v>
      </c>
      <c r="I778" s="1">
        <v>37126</v>
      </c>
      <c r="J778" s="1">
        <v>37345</v>
      </c>
      <c r="K778" t="s">
        <v>1124</v>
      </c>
      <c r="L778" t="s">
        <v>1124</v>
      </c>
      <c r="M778" s="1">
        <v>37352</v>
      </c>
      <c r="N778" s="1">
        <v>37352</v>
      </c>
      <c r="O778" t="s">
        <v>1117</v>
      </c>
      <c r="P778">
        <v>1</v>
      </c>
      <c r="Q778" t="s">
        <v>1215</v>
      </c>
      <c r="R778">
        <f t="shared" si="25"/>
        <v>14</v>
      </c>
      <c r="S778">
        <f t="shared" si="26"/>
        <v>1</v>
      </c>
    </row>
    <row r="779" spans="1:19" x14ac:dyDescent="0.25">
      <c r="A779" t="s">
        <v>1902</v>
      </c>
      <c r="B779" t="s">
        <v>4028</v>
      </c>
      <c r="C779">
        <v>0.6</v>
      </c>
      <c r="D779">
        <v>1250</v>
      </c>
      <c r="E779">
        <v>0</v>
      </c>
      <c r="F779">
        <v>6</v>
      </c>
      <c r="G779">
        <v>6</v>
      </c>
      <c r="H779" t="s">
        <v>1208</v>
      </c>
      <c r="I779" s="1">
        <v>37159</v>
      </c>
      <c r="J779" s="1">
        <v>37319</v>
      </c>
      <c r="K779" s="1">
        <v>37310</v>
      </c>
      <c r="L779" s="1">
        <v>37319</v>
      </c>
      <c r="M779" s="1">
        <v>37284</v>
      </c>
      <c r="N779" s="1">
        <v>37284</v>
      </c>
      <c r="O779" t="s">
        <v>1114</v>
      </c>
      <c r="P779">
        <v>1</v>
      </c>
      <c r="Q779" t="s">
        <v>1215</v>
      </c>
      <c r="R779">
        <f t="shared" si="25"/>
        <v>5</v>
      </c>
      <c r="S779">
        <f t="shared" si="26"/>
        <v>1</v>
      </c>
    </row>
    <row r="780" spans="1:19" x14ac:dyDescent="0.25">
      <c r="A780" t="s">
        <v>1903</v>
      </c>
      <c r="B780" t="s">
        <v>1199</v>
      </c>
      <c r="C780">
        <v>0.8</v>
      </c>
      <c r="D780">
        <v>870</v>
      </c>
      <c r="E780">
        <v>0</v>
      </c>
      <c r="F780">
        <v>25</v>
      </c>
      <c r="G780">
        <v>25</v>
      </c>
      <c r="H780" t="s">
        <v>1208</v>
      </c>
      <c r="I780" s="1">
        <v>37122</v>
      </c>
      <c r="J780" s="1">
        <v>37314</v>
      </c>
      <c r="K780" s="1">
        <v>37336</v>
      </c>
      <c r="L780" s="1">
        <v>37336</v>
      </c>
      <c r="M780" s="1">
        <v>37336</v>
      </c>
      <c r="N780" s="1">
        <v>37336</v>
      </c>
      <c r="O780" t="s">
        <v>1117</v>
      </c>
      <c r="P780">
        <v>12</v>
      </c>
      <c r="Q780" t="s">
        <v>1215</v>
      </c>
      <c r="R780">
        <f t="shared" si="25"/>
        <v>12</v>
      </c>
      <c r="S780">
        <f t="shared" si="26"/>
        <v>1</v>
      </c>
    </row>
    <row r="781" spans="1:19" x14ac:dyDescent="0.25">
      <c r="A781" t="s">
        <v>1904</v>
      </c>
      <c r="B781" t="s">
        <v>1199</v>
      </c>
      <c r="C781">
        <v>1.5</v>
      </c>
      <c r="D781">
        <v>1250</v>
      </c>
      <c r="E781">
        <v>0</v>
      </c>
      <c r="F781">
        <v>60</v>
      </c>
      <c r="G781">
        <v>21.384</v>
      </c>
      <c r="H781" t="s">
        <v>1208</v>
      </c>
      <c r="I781" s="1">
        <v>37132</v>
      </c>
      <c r="J781" s="1">
        <v>37314</v>
      </c>
      <c r="K781" s="1">
        <v>37325</v>
      </c>
      <c r="L781" s="1">
        <v>37325</v>
      </c>
      <c r="M781" s="1">
        <v>37328</v>
      </c>
      <c r="N781" s="1">
        <v>37328</v>
      </c>
      <c r="O781" t="s">
        <v>1117</v>
      </c>
      <c r="P781">
        <v>1</v>
      </c>
      <c r="Q781" t="s">
        <v>1215</v>
      </c>
      <c r="R781">
        <f t="shared" si="25"/>
        <v>11</v>
      </c>
      <c r="S781">
        <f t="shared" si="26"/>
        <v>0</v>
      </c>
    </row>
    <row r="782" spans="1:19" x14ac:dyDescent="0.25">
      <c r="A782" t="s">
        <v>1905</v>
      </c>
      <c r="B782" t="s">
        <v>4028</v>
      </c>
      <c r="C782">
        <v>0.7</v>
      </c>
      <c r="D782">
        <v>1250</v>
      </c>
      <c r="E782">
        <v>0</v>
      </c>
      <c r="F782">
        <v>6</v>
      </c>
      <c r="G782">
        <v>6</v>
      </c>
      <c r="H782" t="s">
        <v>1208</v>
      </c>
      <c r="I782" s="1">
        <v>37159</v>
      </c>
      <c r="J782" s="1">
        <v>37319</v>
      </c>
      <c r="K782" s="1">
        <v>37375</v>
      </c>
      <c r="L782" s="1">
        <v>37375</v>
      </c>
      <c r="M782" s="1">
        <v>37368</v>
      </c>
      <c r="N782" s="1">
        <v>37368</v>
      </c>
      <c r="O782" t="s">
        <v>1117</v>
      </c>
      <c r="P782">
        <v>1</v>
      </c>
      <c r="Q782" t="s">
        <v>1215</v>
      </c>
      <c r="R782">
        <f t="shared" si="25"/>
        <v>17</v>
      </c>
      <c r="S782">
        <f t="shared" si="26"/>
        <v>1</v>
      </c>
    </row>
    <row r="783" spans="1:19" x14ac:dyDescent="0.25">
      <c r="A783" t="s">
        <v>1906</v>
      </c>
      <c r="B783" t="s">
        <v>4028</v>
      </c>
      <c r="C783">
        <v>1.2</v>
      </c>
      <c r="D783">
        <v>1250</v>
      </c>
      <c r="E783">
        <v>0</v>
      </c>
      <c r="F783">
        <v>22</v>
      </c>
      <c r="G783">
        <v>22</v>
      </c>
      <c r="H783" t="s">
        <v>1208</v>
      </c>
      <c r="I783" s="1">
        <v>37126</v>
      </c>
      <c r="J783" s="1">
        <v>37314</v>
      </c>
      <c r="K783" s="1">
        <v>37318</v>
      </c>
      <c r="L783" s="1">
        <v>37318</v>
      </c>
      <c r="M783" s="1">
        <v>37325</v>
      </c>
      <c r="N783" s="1">
        <v>37325</v>
      </c>
      <c r="O783" t="s">
        <v>1117</v>
      </c>
      <c r="P783">
        <v>2</v>
      </c>
      <c r="Q783" t="s">
        <v>1215</v>
      </c>
      <c r="R783">
        <f t="shared" si="25"/>
        <v>11</v>
      </c>
      <c r="S783">
        <f t="shared" si="26"/>
        <v>1</v>
      </c>
    </row>
    <row r="784" spans="1:19" x14ac:dyDescent="0.25">
      <c r="A784" t="s">
        <v>1907</v>
      </c>
      <c r="B784" t="s">
        <v>1199</v>
      </c>
      <c r="C784">
        <v>2.5</v>
      </c>
      <c r="D784">
        <v>1250</v>
      </c>
      <c r="E784">
        <v>0</v>
      </c>
      <c r="F784">
        <v>40</v>
      </c>
      <c r="G784">
        <v>40</v>
      </c>
      <c r="H784" t="s">
        <v>1208</v>
      </c>
      <c r="I784" s="1">
        <v>37132</v>
      </c>
      <c r="J784" s="1">
        <v>37314</v>
      </c>
      <c r="K784" s="1">
        <v>37327</v>
      </c>
      <c r="L784" s="1">
        <v>37327</v>
      </c>
      <c r="M784" s="1">
        <v>37328</v>
      </c>
      <c r="N784" s="1">
        <v>37328</v>
      </c>
      <c r="O784" t="s">
        <v>1117</v>
      </c>
      <c r="P784">
        <v>2</v>
      </c>
      <c r="Q784" t="s">
        <v>1215</v>
      </c>
      <c r="R784">
        <f t="shared" si="25"/>
        <v>11</v>
      </c>
      <c r="S784">
        <f t="shared" si="26"/>
        <v>1</v>
      </c>
    </row>
    <row r="785" spans="1:19" x14ac:dyDescent="0.25">
      <c r="A785" t="s">
        <v>1908</v>
      </c>
      <c r="B785" t="s">
        <v>1199</v>
      </c>
      <c r="C785">
        <v>0.7</v>
      </c>
      <c r="D785">
        <v>430</v>
      </c>
      <c r="E785">
        <v>0</v>
      </c>
      <c r="F785">
        <v>3.7</v>
      </c>
      <c r="G785">
        <v>3.7</v>
      </c>
      <c r="H785" t="s">
        <v>1208</v>
      </c>
      <c r="I785" s="1">
        <v>37335</v>
      </c>
      <c r="J785" s="1">
        <v>37367</v>
      </c>
      <c r="K785" s="1">
        <v>37374</v>
      </c>
      <c r="L785" s="1">
        <v>37374</v>
      </c>
      <c r="M785" t="s">
        <v>1124</v>
      </c>
      <c r="N785" s="1">
        <f>L785</f>
        <v>37374</v>
      </c>
      <c r="O785" t="s">
        <v>1117</v>
      </c>
      <c r="P785">
        <v>1</v>
      </c>
      <c r="Q785" t="s">
        <v>1215</v>
      </c>
      <c r="R785">
        <f t="shared" si="25"/>
        <v>18</v>
      </c>
      <c r="S785">
        <f t="shared" si="26"/>
        <v>0</v>
      </c>
    </row>
    <row r="786" spans="1:19" x14ac:dyDescent="0.25">
      <c r="A786" t="s">
        <v>1909</v>
      </c>
      <c r="B786" t="s">
        <v>1199</v>
      </c>
      <c r="C786">
        <v>1</v>
      </c>
      <c r="D786">
        <v>1250</v>
      </c>
      <c r="E786">
        <v>0</v>
      </c>
      <c r="F786">
        <v>6</v>
      </c>
      <c r="G786">
        <v>6</v>
      </c>
      <c r="H786" t="s">
        <v>1208</v>
      </c>
      <c r="I786" s="1">
        <v>37159</v>
      </c>
      <c r="J786" s="1">
        <v>37323</v>
      </c>
      <c r="K786" s="1">
        <v>37344</v>
      </c>
      <c r="L786" s="1">
        <v>37344</v>
      </c>
      <c r="M786" s="1">
        <v>37344</v>
      </c>
      <c r="N786" s="1">
        <v>37344</v>
      </c>
      <c r="O786" t="s">
        <v>1117</v>
      </c>
      <c r="P786">
        <v>7</v>
      </c>
      <c r="Q786" t="s">
        <v>1215</v>
      </c>
      <c r="R786">
        <f t="shared" si="25"/>
        <v>13</v>
      </c>
      <c r="S786">
        <f t="shared" si="26"/>
        <v>1</v>
      </c>
    </row>
    <row r="787" spans="1:19" x14ac:dyDescent="0.25">
      <c r="A787" t="s">
        <v>1910</v>
      </c>
      <c r="B787" t="s">
        <v>1199</v>
      </c>
      <c r="C787">
        <v>1.5</v>
      </c>
      <c r="D787">
        <v>400</v>
      </c>
      <c r="E787">
        <v>0</v>
      </c>
      <c r="F787">
        <v>20</v>
      </c>
      <c r="G787">
        <v>20</v>
      </c>
      <c r="H787" t="s">
        <v>1208</v>
      </c>
      <c r="I787" s="1">
        <v>37118</v>
      </c>
      <c r="J787" s="1">
        <v>37314</v>
      </c>
      <c r="K787" s="1">
        <v>37336</v>
      </c>
      <c r="L787" s="1">
        <v>37336</v>
      </c>
      <c r="M787" s="1">
        <v>37336</v>
      </c>
      <c r="N787" s="1">
        <v>37336</v>
      </c>
      <c r="O787" t="s">
        <v>1117</v>
      </c>
      <c r="P787">
        <v>2</v>
      </c>
      <c r="Q787" t="s">
        <v>1215</v>
      </c>
      <c r="R787">
        <f t="shared" si="25"/>
        <v>12</v>
      </c>
      <c r="S787">
        <f t="shared" si="26"/>
        <v>1</v>
      </c>
    </row>
    <row r="788" spans="1:19" x14ac:dyDescent="0.25">
      <c r="A788" t="s">
        <v>1911</v>
      </c>
      <c r="B788" t="s">
        <v>4026</v>
      </c>
      <c r="C788">
        <v>0.7</v>
      </c>
      <c r="D788">
        <v>410</v>
      </c>
      <c r="E788">
        <v>0</v>
      </c>
      <c r="F788">
        <v>7</v>
      </c>
      <c r="G788">
        <v>7</v>
      </c>
      <c r="H788" t="s">
        <v>1208</v>
      </c>
      <c r="I788" s="1">
        <v>37343</v>
      </c>
      <c r="J788" s="1">
        <v>37387</v>
      </c>
      <c r="K788" t="s">
        <v>1124</v>
      </c>
      <c r="L788" t="s">
        <v>1124</v>
      </c>
      <c r="M788" t="s">
        <v>1124</v>
      </c>
      <c r="N788" s="1">
        <v>37351</v>
      </c>
      <c r="O788" t="s">
        <v>1117</v>
      </c>
      <c r="P788">
        <v>1</v>
      </c>
      <c r="Q788" t="s">
        <v>1215</v>
      </c>
      <c r="R788">
        <f t="shared" si="25"/>
        <v>14</v>
      </c>
      <c r="S788">
        <f t="shared" si="26"/>
        <v>0</v>
      </c>
    </row>
    <row r="789" spans="1:19" x14ac:dyDescent="0.25">
      <c r="A789" t="s">
        <v>1912</v>
      </c>
      <c r="B789" t="s">
        <v>1199</v>
      </c>
      <c r="C789">
        <v>0.8</v>
      </c>
      <c r="D789">
        <v>760</v>
      </c>
      <c r="E789">
        <v>0</v>
      </c>
      <c r="F789">
        <v>22</v>
      </c>
      <c r="G789">
        <v>22</v>
      </c>
      <c r="H789" t="s">
        <v>1208</v>
      </c>
      <c r="I789" s="1">
        <v>37122</v>
      </c>
      <c r="J789" s="1">
        <v>37314</v>
      </c>
      <c r="K789" t="s">
        <v>1124</v>
      </c>
      <c r="L789" t="s">
        <v>1124</v>
      </c>
      <c r="M789" s="1">
        <v>37337</v>
      </c>
      <c r="N789" s="1">
        <v>37337</v>
      </c>
      <c r="O789" t="s">
        <v>1117</v>
      </c>
      <c r="P789">
        <v>10</v>
      </c>
      <c r="Q789" t="s">
        <v>1215</v>
      </c>
      <c r="R789">
        <f t="shared" si="25"/>
        <v>12</v>
      </c>
      <c r="S789">
        <f t="shared" si="26"/>
        <v>1</v>
      </c>
    </row>
    <row r="790" spans="1:19" x14ac:dyDescent="0.25">
      <c r="A790" t="s">
        <v>1913</v>
      </c>
      <c r="B790" t="s">
        <v>4028</v>
      </c>
      <c r="C790">
        <v>2</v>
      </c>
      <c r="D790">
        <v>1250</v>
      </c>
      <c r="E790">
        <v>0</v>
      </c>
      <c r="F790">
        <v>5</v>
      </c>
      <c r="G790">
        <v>5</v>
      </c>
      <c r="H790" t="s">
        <v>1208</v>
      </c>
      <c r="I790" s="1">
        <v>37122</v>
      </c>
      <c r="J790" s="1">
        <v>37312</v>
      </c>
      <c r="K790" s="1">
        <v>37344</v>
      </c>
      <c r="L790" s="1">
        <v>37344</v>
      </c>
      <c r="M790" s="1">
        <v>37344</v>
      </c>
      <c r="N790" s="1">
        <v>37344</v>
      </c>
      <c r="O790" t="s">
        <v>1117</v>
      </c>
      <c r="P790">
        <v>8</v>
      </c>
      <c r="Q790" t="s">
        <v>1215</v>
      </c>
      <c r="R790">
        <f t="shared" si="25"/>
        <v>13</v>
      </c>
      <c r="S790">
        <f t="shared" si="26"/>
        <v>1</v>
      </c>
    </row>
    <row r="791" spans="1:19" x14ac:dyDescent="0.25">
      <c r="A791" t="s">
        <v>1914</v>
      </c>
      <c r="B791" t="s">
        <v>4027</v>
      </c>
      <c r="C791">
        <v>0.8</v>
      </c>
      <c r="D791">
        <v>860</v>
      </c>
      <c r="E791">
        <v>0</v>
      </c>
      <c r="F791">
        <v>25</v>
      </c>
      <c r="G791">
        <v>25</v>
      </c>
      <c r="H791" t="s">
        <v>1208</v>
      </c>
      <c r="I791" s="1">
        <v>37122</v>
      </c>
      <c r="J791" s="1">
        <v>37314</v>
      </c>
      <c r="K791" s="1">
        <v>37336</v>
      </c>
      <c r="L791" s="1">
        <v>37336</v>
      </c>
      <c r="M791" s="1">
        <v>37336</v>
      </c>
      <c r="N791" s="1">
        <v>37336</v>
      </c>
      <c r="O791" t="s">
        <v>1117</v>
      </c>
      <c r="P791">
        <v>11</v>
      </c>
      <c r="Q791" t="s">
        <v>1215</v>
      </c>
      <c r="R791">
        <f t="shared" si="25"/>
        <v>12</v>
      </c>
      <c r="S791">
        <f t="shared" si="26"/>
        <v>1</v>
      </c>
    </row>
    <row r="792" spans="1:19" x14ac:dyDescent="0.25">
      <c r="A792" t="s">
        <v>1915</v>
      </c>
      <c r="B792" t="s">
        <v>1199</v>
      </c>
      <c r="C792">
        <v>0.8</v>
      </c>
      <c r="D792">
        <v>1000</v>
      </c>
      <c r="E792">
        <v>0</v>
      </c>
      <c r="F792">
        <v>50</v>
      </c>
      <c r="G792">
        <v>50</v>
      </c>
      <c r="H792" t="s">
        <v>1208</v>
      </c>
      <c r="I792" s="1">
        <v>37126</v>
      </c>
      <c r="J792" s="1">
        <v>37314</v>
      </c>
      <c r="K792" s="1">
        <v>37340</v>
      </c>
      <c r="L792" s="1">
        <v>37340</v>
      </c>
      <c r="M792" s="1">
        <v>37340</v>
      </c>
      <c r="N792" s="1">
        <v>37340</v>
      </c>
      <c r="O792" t="s">
        <v>1117</v>
      </c>
      <c r="P792">
        <v>13</v>
      </c>
      <c r="Q792" t="s">
        <v>1215</v>
      </c>
      <c r="R792">
        <f t="shared" si="25"/>
        <v>13</v>
      </c>
      <c r="S792">
        <f t="shared" si="26"/>
        <v>1</v>
      </c>
    </row>
    <row r="793" spans="1:19" x14ac:dyDescent="0.25">
      <c r="A793" t="s">
        <v>1916</v>
      </c>
      <c r="B793" t="s">
        <v>1199</v>
      </c>
      <c r="C793">
        <v>0.5</v>
      </c>
      <c r="D793">
        <v>1250</v>
      </c>
      <c r="E793">
        <v>0</v>
      </c>
      <c r="F793">
        <v>40</v>
      </c>
      <c r="G793">
        <v>40</v>
      </c>
      <c r="H793" t="s">
        <v>1208</v>
      </c>
      <c r="I793" s="1">
        <v>37134</v>
      </c>
      <c r="J793" s="1">
        <v>37325</v>
      </c>
      <c r="K793" s="1">
        <v>37312</v>
      </c>
      <c r="L793" s="1">
        <v>37325</v>
      </c>
      <c r="M793" s="1">
        <v>37275</v>
      </c>
      <c r="N793" s="1">
        <v>37275</v>
      </c>
      <c r="O793" t="s">
        <v>1114</v>
      </c>
      <c r="P793">
        <v>1</v>
      </c>
      <c r="Q793" t="s">
        <v>1215</v>
      </c>
      <c r="R793">
        <f t="shared" si="25"/>
        <v>3</v>
      </c>
      <c r="S793">
        <f t="shared" si="26"/>
        <v>1</v>
      </c>
    </row>
    <row r="794" spans="1:19" x14ac:dyDescent="0.25">
      <c r="A794" t="s">
        <v>1917</v>
      </c>
      <c r="B794" t="s">
        <v>1199</v>
      </c>
      <c r="C794">
        <v>1.5</v>
      </c>
      <c r="D794">
        <v>1000</v>
      </c>
      <c r="E794">
        <v>0</v>
      </c>
      <c r="F794">
        <v>6</v>
      </c>
      <c r="G794">
        <v>6</v>
      </c>
      <c r="H794" t="s">
        <v>1208</v>
      </c>
      <c r="I794" s="1">
        <v>37119</v>
      </c>
      <c r="J794" s="1">
        <v>37322</v>
      </c>
      <c r="K794" s="1">
        <v>37354</v>
      </c>
      <c r="L794" s="1">
        <v>37354</v>
      </c>
      <c r="M794" s="1">
        <v>37354</v>
      </c>
      <c r="N794" s="1">
        <v>37354</v>
      </c>
      <c r="O794" t="s">
        <v>1117</v>
      </c>
      <c r="P794">
        <v>1</v>
      </c>
      <c r="Q794" t="s">
        <v>1215</v>
      </c>
      <c r="R794">
        <f t="shared" si="25"/>
        <v>15</v>
      </c>
      <c r="S794">
        <f t="shared" si="26"/>
        <v>1</v>
      </c>
    </row>
    <row r="795" spans="1:19" x14ac:dyDescent="0.25">
      <c r="A795" t="s">
        <v>1918</v>
      </c>
      <c r="B795" t="s">
        <v>1199</v>
      </c>
      <c r="C795">
        <v>0.75</v>
      </c>
      <c r="D795">
        <v>415</v>
      </c>
      <c r="E795">
        <v>0</v>
      </c>
      <c r="F795">
        <v>6.64</v>
      </c>
      <c r="G795">
        <v>6.64</v>
      </c>
      <c r="H795" t="s">
        <v>1208</v>
      </c>
      <c r="I795" s="1">
        <v>37122</v>
      </c>
      <c r="J795" s="1">
        <v>37314</v>
      </c>
      <c r="K795" s="1">
        <v>37351</v>
      </c>
      <c r="L795" s="1">
        <v>37351</v>
      </c>
      <c r="M795" s="1">
        <v>37351</v>
      </c>
      <c r="N795" s="1">
        <v>37351</v>
      </c>
      <c r="O795" t="s">
        <v>1117</v>
      </c>
      <c r="P795">
        <v>2</v>
      </c>
      <c r="Q795" t="s">
        <v>1215</v>
      </c>
      <c r="R795">
        <f t="shared" si="25"/>
        <v>14</v>
      </c>
      <c r="S795">
        <f t="shared" si="26"/>
        <v>1</v>
      </c>
    </row>
    <row r="796" spans="1:19" x14ac:dyDescent="0.25">
      <c r="A796" t="s">
        <v>1919</v>
      </c>
      <c r="B796" t="s">
        <v>3631</v>
      </c>
      <c r="C796">
        <v>0.7</v>
      </c>
      <c r="D796">
        <v>410</v>
      </c>
      <c r="E796">
        <v>0</v>
      </c>
      <c r="F796">
        <v>7</v>
      </c>
      <c r="G796">
        <v>7</v>
      </c>
      <c r="H796" t="s">
        <v>1208</v>
      </c>
      <c r="I796" s="1">
        <v>37335</v>
      </c>
      <c r="J796" s="1">
        <v>37367</v>
      </c>
      <c r="K796" s="1">
        <v>37374</v>
      </c>
      <c r="L796" s="1">
        <v>37374</v>
      </c>
      <c r="M796" t="s">
        <v>1124</v>
      </c>
      <c r="N796" s="1">
        <f>L796</f>
        <v>37374</v>
      </c>
      <c r="O796" t="s">
        <v>1117</v>
      </c>
      <c r="P796">
        <v>1</v>
      </c>
      <c r="Q796" t="s">
        <v>1215</v>
      </c>
      <c r="R796">
        <f t="shared" si="25"/>
        <v>18</v>
      </c>
      <c r="S796">
        <f t="shared" si="26"/>
        <v>0</v>
      </c>
    </row>
    <row r="797" spans="1:19" x14ac:dyDescent="0.25">
      <c r="A797" t="s">
        <v>1920</v>
      </c>
      <c r="B797" t="s">
        <v>1199</v>
      </c>
      <c r="C797">
        <v>1.5</v>
      </c>
      <c r="D797">
        <v>1000</v>
      </c>
      <c r="E797">
        <v>0</v>
      </c>
      <c r="F797">
        <v>3</v>
      </c>
      <c r="G797">
        <v>3</v>
      </c>
      <c r="H797" t="s">
        <v>1208</v>
      </c>
      <c r="I797" s="1">
        <v>37159</v>
      </c>
      <c r="J797" s="1">
        <v>37323</v>
      </c>
      <c r="K797" s="1">
        <v>37354</v>
      </c>
      <c r="L797" s="1">
        <v>37354</v>
      </c>
      <c r="M797" s="1">
        <v>37354</v>
      </c>
      <c r="N797" s="1">
        <v>37354</v>
      </c>
      <c r="O797" t="s">
        <v>1117</v>
      </c>
      <c r="P797">
        <v>4</v>
      </c>
      <c r="Q797" t="s">
        <v>1215</v>
      </c>
      <c r="R797">
        <f t="shared" si="25"/>
        <v>15</v>
      </c>
      <c r="S797">
        <f t="shared" si="26"/>
        <v>1</v>
      </c>
    </row>
    <row r="798" spans="1:19" x14ac:dyDescent="0.25">
      <c r="A798" t="s">
        <v>1921</v>
      </c>
      <c r="B798" t="s">
        <v>4028</v>
      </c>
      <c r="C798">
        <v>1.2</v>
      </c>
      <c r="D798">
        <v>1000</v>
      </c>
      <c r="E798">
        <v>0</v>
      </c>
      <c r="F798">
        <v>6</v>
      </c>
      <c r="G798">
        <v>6</v>
      </c>
      <c r="H798" t="s">
        <v>1208</v>
      </c>
      <c r="I798" s="1">
        <v>37159</v>
      </c>
      <c r="J798" s="1">
        <v>37319</v>
      </c>
      <c r="K798" t="s">
        <v>1124</v>
      </c>
      <c r="L798" t="s">
        <v>1124</v>
      </c>
      <c r="M798" s="1">
        <v>37345</v>
      </c>
      <c r="N798" s="1">
        <v>37352</v>
      </c>
      <c r="O798" t="s">
        <v>1117</v>
      </c>
      <c r="P798">
        <v>2</v>
      </c>
      <c r="Q798" t="s">
        <v>1215</v>
      </c>
      <c r="R798">
        <f t="shared" si="25"/>
        <v>14</v>
      </c>
      <c r="S798">
        <f t="shared" si="26"/>
        <v>1</v>
      </c>
    </row>
    <row r="799" spans="1:19" x14ac:dyDescent="0.25">
      <c r="A799" t="s">
        <v>1922</v>
      </c>
      <c r="B799" t="s">
        <v>1199</v>
      </c>
      <c r="C799">
        <v>0.5</v>
      </c>
      <c r="D799">
        <v>1250</v>
      </c>
      <c r="E799">
        <v>0</v>
      </c>
      <c r="F799">
        <v>3</v>
      </c>
      <c r="G799">
        <v>3</v>
      </c>
      <c r="H799" t="s">
        <v>1208</v>
      </c>
      <c r="I799" s="1">
        <v>36958</v>
      </c>
      <c r="J799" s="1">
        <v>37314</v>
      </c>
      <c r="K799" s="1">
        <v>37344</v>
      </c>
      <c r="L799" s="1">
        <v>37344</v>
      </c>
      <c r="M799" s="1">
        <v>37339</v>
      </c>
      <c r="N799" s="1">
        <v>37339</v>
      </c>
      <c r="O799" t="s">
        <v>1117</v>
      </c>
      <c r="P799">
        <v>9</v>
      </c>
      <c r="Q799" t="s">
        <v>1215</v>
      </c>
      <c r="R799">
        <f t="shared" si="25"/>
        <v>13</v>
      </c>
      <c r="S799">
        <f t="shared" si="26"/>
        <v>1</v>
      </c>
    </row>
    <row r="800" spans="1:19" x14ac:dyDescent="0.25">
      <c r="A800" t="s">
        <v>1923</v>
      </c>
      <c r="B800" t="s">
        <v>4027</v>
      </c>
      <c r="C800">
        <v>0.75</v>
      </c>
      <c r="D800">
        <v>420</v>
      </c>
      <c r="E800">
        <v>0</v>
      </c>
      <c r="F800">
        <v>6.72</v>
      </c>
      <c r="G800">
        <v>6.72</v>
      </c>
      <c r="H800" t="s">
        <v>1208</v>
      </c>
      <c r="I800" s="1">
        <v>37122</v>
      </c>
      <c r="J800" s="1">
        <v>37314</v>
      </c>
      <c r="K800" s="1">
        <v>37351</v>
      </c>
      <c r="L800" s="1">
        <v>37351</v>
      </c>
      <c r="M800" s="1">
        <v>37351</v>
      </c>
      <c r="N800" s="1">
        <v>37351</v>
      </c>
      <c r="O800" t="s">
        <v>1117</v>
      </c>
      <c r="P800">
        <v>3</v>
      </c>
      <c r="Q800" t="s">
        <v>1215</v>
      </c>
      <c r="R800">
        <f t="shared" si="25"/>
        <v>14</v>
      </c>
      <c r="S800">
        <f t="shared" si="26"/>
        <v>1</v>
      </c>
    </row>
    <row r="801" spans="1:19" x14ac:dyDescent="0.25">
      <c r="A801" t="s">
        <v>1924</v>
      </c>
      <c r="B801" t="s">
        <v>1199</v>
      </c>
      <c r="C801">
        <v>0.5</v>
      </c>
      <c r="D801">
        <v>1250</v>
      </c>
      <c r="E801">
        <v>0</v>
      </c>
      <c r="F801">
        <v>44</v>
      </c>
      <c r="G801">
        <v>27.411999999999999</v>
      </c>
      <c r="H801" t="s">
        <v>1208</v>
      </c>
      <c r="I801" s="1">
        <v>37159</v>
      </c>
      <c r="J801" s="1">
        <v>37314</v>
      </c>
      <c r="K801" s="1">
        <v>37328</v>
      </c>
      <c r="L801" s="1">
        <v>37328</v>
      </c>
      <c r="M801" s="1">
        <v>37333</v>
      </c>
      <c r="N801" s="1">
        <v>37333</v>
      </c>
      <c r="O801" t="s">
        <v>1117</v>
      </c>
      <c r="P801">
        <v>1</v>
      </c>
      <c r="Q801" t="s">
        <v>1215</v>
      </c>
      <c r="R801">
        <f t="shared" si="25"/>
        <v>12</v>
      </c>
      <c r="S801">
        <f t="shared" si="26"/>
        <v>0</v>
      </c>
    </row>
    <row r="802" spans="1:19" x14ac:dyDescent="0.25">
      <c r="A802" t="s">
        <v>1925</v>
      </c>
      <c r="B802" t="s">
        <v>1199</v>
      </c>
      <c r="C802">
        <v>0.5</v>
      </c>
      <c r="D802">
        <v>1250</v>
      </c>
      <c r="E802">
        <v>0</v>
      </c>
      <c r="F802">
        <v>3</v>
      </c>
      <c r="G802">
        <v>3</v>
      </c>
      <c r="H802" t="s">
        <v>1208</v>
      </c>
      <c r="I802" s="1">
        <v>37159</v>
      </c>
      <c r="J802" s="1">
        <v>37319</v>
      </c>
      <c r="K802" s="1">
        <v>37372</v>
      </c>
      <c r="L802" s="1">
        <v>37372</v>
      </c>
      <c r="M802" s="1">
        <v>37365</v>
      </c>
      <c r="N802" s="1">
        <v>37368</v>
      </c>
      <c r="O802" t="s">
        <v>1117</v>
      </c>
      <c r="P802">
        <v>5</v>
      </c>
      <c r="Q802" t="s">
        <v>1215</v>
      </c>
      <c r="R802">
        <f t="shared" si="25"/>
        <v>17</v>
      </c>
      <c r="S802">
        <f t="shared" si="26"/>
        <v>1</v>
      </c>
    </row>
    <row r="803" spans="1:19" x14ac:dyDescent="0.25">
      <c r="A803" t="s">
        <v>1926</v>
      </c>
      <c r="B803" t="s">
        <v>4029</v>
      </c>
      <c r="C803">
        <v>0.5</v>
      </c>
      <c r="D803">
        <v>1250</v>
      </c>
      <c r="E803">
        <v>0</v>
      </c>
      <c r="F803">
        <v>3</v>
      </c>
      <c r="G803">
        <v>3</v>
      </c>
      <c r="H803" t="s">
        <v>1208</v>
      </c>
      <c r="I803" s="1">
        <v>37159</v>
      </c>
      <c r="J803" s="1">
        <v>37319</v>
      </c>
      <c r="K803" s="1">
        <v>37372</v>
      </c>
      <c r="L803" s="1">
        <v>37372</v>
      </c>
      <c r="M803" s="1">
        <v>37365</v>
      </c>
      <c r="N803" s="1">
        <v>37368</v>
      </c>
      <c r="O803" t="s">
        <v>1117</v>
      </c>
      <c r="P803">
        <v>1</v>
      </c>
      <c r="Q803" t="s">
        <v>1215</v>
      </c>
      <c r="R803">
        <f t="shared" si="25"/>
        <v>17</v>
      </c>
      <c r="S803">
        <f t="shared" si="26"/>
        <v>1</v>
      </c>
    </row>
    <row r="804" spans="1:19" x14ac:dyDescent="0.25">
      <c r="A804" t="s">
        <v>1927</v>
      </c>
      <c r="B804" t="s">
        <v>3631</v>
      </c>
      <c r="C804">
        <v>1.5</v>
      </c>
      <c r="D804">
        <v>1250</v>
      </c>
      <c r="E804">
        <v>0</v>
      </c>
      <c r="F804">
        <v>22</v>
      </c>
      <c r="G804">
        <v>22</v>
      </c>
      <c r="H804" t="s">
        <v>1208</v>
      </c>
      <c r="I804" s="1">
        <v>37126</v>
      </c>
      <c r="J804" s="1">
        <v>37314</v>
      </c>
      <c r="K804" s="1">
        <v>37327</v>
      </c>
      <c r="L804" s="1">
        <v>37327</v>
      </c>
      <c r="M804" s="1">
        <v>37334</v>
      </c>
      <c r="N804" s="1">
        <v>37334</v>
      </c>
      <c r="O804" t="s">
        <v>1117</v>
      </c>
      <c r="P804">
        <v>3</v>
      </c>
      <c r="Q804" t="s">
        <v>1215</v>
      </c>
      <c r="R804">
        <f t="shared" si="25"/>
        <v>12</v>
      </c>
      <c r="S804">
        <f t="shared" si="26"/>
        <v>1</v>
      </c>
    </row>
    <row r="805" spans="1:19" x14ac:dyDescent="0.25">
      <c r="A805" t="s">
        <v>1928</v>
      </c>
      <c r="B805" t="s">
        <v>4026</v>
      </c>
      <c r="C805">
        <v>0.7</v>
      </c>
      <c r="D805">
        <v>1250</v>
      </c>
      <c r="E805">
        <v>0</v>
      </c>
      <c r="F805">
        <v>22</v>
      </c>
      <c r="G805">
        <v>22</v>
      </c>
      <c r="H805" t="s">
        <v>1208</v>
      </c>
      <c r="I805" s="1">
        <v>37159</v>
      </c>
      <c r="J805" s="1">
        <v>37314</v>
      </c>
      <c r="K805" s="1">
        <v>37315</v>
      </c>
      <c r="L805" s="1">
        <v>37315</v>
      </c>
      <c r="M805" s="1">
        <v>37281</v>
      </c>
      <c r="N805" s="1">
        <v>37281</v>
      </c>
      <c r="O805" t="s">
        <v>1117</v>
      </c>
      <c r="P805">
        <v>1</v>
      </c>
      <c r="Q805" t="s">
        <v>1215</v>
      </c>
      <c r="R805">
        <f t="shared" si="25"/>
        <v>4</v>
      </c>
      <c r="S805">
        <f t="shared" si="26"/>
        <v>1</v>
      </c>
    </row>
    <row r="806" spans="1:19" x14ac:dyDescent="0.25">
      <c r="A806" t="s">
        <v>1929</v>
      </c>
      <c r="B806" t="s">
        <v>4026</v>
      </c>
      <c r="C806">
        <v>0.7</v>
      </c>
      <c r="D806">
        <v>1250</v>
      </c>
      <c r="E806">
        <v>0</v>
      </c>
      <c r="F806">
        <v>3</v>
      </c>
      <c r="G806">
        <v>3</v>
      </c>
      <c r="H806" t="s">
        <v>1208</v>
      </c>
      <c r="I806" s="1">
        <v>37159</v>
      </c>
      <c r="J806" s="1">
        <v>37319</v>
      </c>
      <c r="K806" s="1">
        <v>37306</v>
      </c>
      <c r="L806" s="1">
        <v>37319</v>
      </c>
      <c r="M806" s="1">
        <v>37286</v>
      </c>
      <c r="N806" s="1">
        <v>37286</v>
      </c>
      <c r="O806" t="s">
        <v>1114</v>
      </c>
      <c r="P806">
        <v>5</v>
      </c>
      <c r="Q806" t="s">
        <v>1215</v>
      </c>
      <c r="R806">
        <f t="shared" si="25"/>
        <v>5</v>
      </c>
      <c r="S806">
        <f t="shared" si="26"/>
        <v>1</v>
      </c>
    </row>
    <row r="807" spans="1:19" x14ac:dyDescent="0.25">
      <c r="A807" t="s">
        <v>1930</v>
      </c>
      <c r="B807" t="s">
        <v>1199</v>
      </c>
      <c r="C807">
        <v>0.5</v>
      </c>
      <c r="D807">
        <v>625</v>
      </c>
      <c r="E807">
        <v>0</v>
      </c>
      <c r="F807">
        <v>9.9990000000000006</v>
      </c>
      <c r="G807">
        <v>9.9990000000000006</v>
      </c>
      <c r="H807" t="s">
        <v>1208</v>
      </c>
      <c r="I807" s="1">
        <v>37159</v>
      </c>
      <c r="J807" s="1">
        <v>37345</v>
      </c>
      <c r="K807" s="1">
        <v>37373</v>
      </c>
      <c r="L807" s="1">
        <v>37373</v>
      </c>
      <c r="M807" s="1">
        <v>37366</v>
      </c>
      <c r="N807" s="1">
        <v>37366</v>
      </c>
      <c r="O807" t="s">
        <v>1117</v>
      </c>
      <c r="P807">
        <v>3</v>
      </c>
      <c r="Q807" t="s">
        <v>1215</v>
      </c>
      <c r="R807">
        <f t="shared" si="25"/>
        <v>16</v>
      </c>
      <c r="S807">
        <f t="shared" si="26"/>
        <v>1</v>
      </c>
    </row>
    <row r="808" spans="1:19" x14ac:dyDescent="0.25">
      <c r="A808" t="s">
        <v>1931</v>
      </c>
      <c r="B808" t="s">
        <v>4028</v>
      </c>
      <c r="C808">
        <v>0.5</v>
      </c>
      <c r="D808">
        <v>1250</v>
      </c>
      <c r="E808">
        <v>0</v>
      </c>
      <c r="F808">
        <v>6</v>
      </c>
      <c r="G808">
        <v>6</v>
      </c>
      <c r="H808" t="s">
        <v>1208</v>
      </c>
      <c r="I808" s="1">
        <v>37159</v>
      </c>
      <c r="J808" s="1">
        <v>37325</v>
      </c>
      <c r="K808" s="1">
        <v>37372</v>
      </c>
      <c r="L808" s="1">
        <v>37372</v>
      </c>
      <c r="M808" s="1">
        <v>37365</v>
      </c>
      <c r="N808" s="1">
        <v>37368</v>
      </c>
      <c r="O808" t="s">
        <v>1117</v>
      </c>
      <c r="P808">
        <v>1</v>
      </c>
      <c r="Q808" t="s">
        <v>1215</v>
      </c>
      <c r="R808">
        <f t="shared" si="25"/>
        <v>17</v>
      </c>
      <c r="S808">
        <f t="shared" si="26"/>
        <v>1</v>
      </c>
    </row>
    <row r="809" spans="1:19" x14ac:dyDescent="0.25">
      <c r="A809" t="s">
        <v>1932</v>
      </c>
      <c r="B809" t="s">
        <v>4028</v>
      </c>
      <c r="C809">
        <v>0.6</v>
      </c>
      <c r="D809">
        <v>1250</v>
      </c>
      <c r="E809">
        <v>0</v>
      </c>
      <c r="F809">
        <v>48</v>
      </c>
      <c r="G809">
        <v>25.4</v>
      </c>
      <c r="H809" t="s">
        <v>1208</v>
      </c>
      <c r="I809" s="1">
        <v>37159</v>
      </c>
      <c r="J809" s="1">
        <v>37325</v>
      </c>
      <c r="K809" s="1">
        <v>37343</v>
      </c>
      <c r="L809" s="1">
        <v>37343</v>
      </c>
      <c r="M809" s="1">
        <v>37343</v>
      </c>
      <c r="N809" s="1">
        <v>37368</v>
      </c>
      <c r="O809" t="s">
        <v>1117</v>
      </c>
      <c r="P809">
        <v>2</v>
      </c>
      <c r="Q809" t="s">
        <v>1215</v>
      </c>
      <c r="R809">
        <f t="shared" si="25"/>
        <v>17</v>
      </c>
      <c r="S809">
        <f t="shared" si="26"/>
        <v>0</v>
      </c>
    </row>
    <row r="810" spans="1:19" x14ac:dyDescent="0.25">
      <c r="A810" t="s">
        <v>1933</v>
      </c>
      <c r="B810" t="s">
        <v>4028</v>
      </c>
      <c r="C810">
        <v>0.5</v>
      </c>
      <c r="D810">
        <v>1250</v>
      </c>
      <c r="E810">
        <v>0</v>
      </c>
      <c r="F810">
        <v>22</v>
      </c>
      <c r="G810">
        <v>22</v>
      </c>
      <c r="H810" t="s">
        <v>1208</v>
      </c>
      <c r="I810" s="1">
        <v>37159</v>
      </c>
      <c r="J810" s="1">
        <v>37313</v>
      </c>
      <c r="K810" t="s">
        <v>1124</v>
      </c>
      <c r="L810" t="s">
        <v>1124</v>
      </c>
      <c r="M810" s="1">
        <v>37347</v>
      </c>
      <c r="N810" s="1">
        <v>37347</v>
      </c>
      <c r="O810" t="s">
        <v>1117</v>
      </c>
      <c r="P810">
        <v>2</v>
      </c>
      <c r="Q810" t="s">
        <v>1215</v>
      </c>
      <c r="R810">
        <f t="shared" si="25"/>
        <v>14</v>
      </c>
      <c r="S810">
        <f t="shared" si="26"/>
        <v>1</v>
      </c>
    </row>
    <row r="811" spans="1:19" x14ac:dyDescent="0.25">
      <c r="A811" t="s">
        <v>1934</v>
      </c>
      <c r="B811" t="s">
        <v>4027</v>
      </c>
      <c r="C811">
        <v>0.7</v>
      </c>
      <c r="D811">
        <v>1250</v>
      </c>
      <c r="E811">
        <v>0</v>
      </c>
      <c r="F811">
        <v>47</v>
      </c>
      <c r="G811">
        <v>35.433999999999997</v>
      </c>
      <c r="H811" t="s">
        <v>1208</v>
      </c>
      <c r="I811" s="1">
        <v>37159</v>
      </c>
      <c r="J811" s="1">
        <v>37325</v>
      </c>
      <c r="K811" s="1">
        <v>37360</v>
      </c>
      <c r="L811" s="1">
        <v>37360</v>
      </c>
      <c r="M811" s="1">
        <v>37359</v>
      </c>
      <c r="N811" s="1">
        <v>37368</v>
      </c>
      <c r="O811" t="s">
        <v>1117</v>
      </c>
      <c r="P811">
        <v>3</v>
      </c>
      <c r="Q811" t="s">
        <v>1215</v>
      </c>
      <c r="R811">
        <f t="shared" si="25"/>
        <v>17</v>
      </c>
      <c r="S811">
        <f t="shared" si="26"/>
        <v>0</v>
      </c>
    </row>
    <row r="812" spans="1:19" x14ac:dyDescent="0.25">
      <c r="A812" t="s">
        <v>1935</v>
      </c>
      <c r="B812" t="s">
        <v>1199</v>
      </c>
      <c r="C812">
        <v>0.46</v>
      </c>
      <c r="D812">
        <v>50.4</v>
      </c>
      <c r="E812">
        <v>0</v>
      </c>
      <c r="F812">
        <v>18</v>
      </c>
      <c r="G812">
        <v>18</v>
      </c>
      <c r="H812" t="s">
        <v>1208</v>
      </c>
      <c r="I812" s="1">
        <v>37108</v>
      </c>
      <c r="J812" s="1">
        <v>37345</v>
      </c>
      <c r="K812" t="s">
        <v>1124</v>
      </c>
      <c r="L812" t="s">
        <v>1124</v>
      </c>
      <c r="M812" s="1">
        <v>37352</v>
      </c>
      <c r="N812" s="1">
        <v>37352</v>
      </c>
      <c r="O812" t="s">
        <v>1117</v>
      </c>
      <c r="P812">
        <v>1</v>
      </c>
      <c r="Q812" t="s">
        <v>1215</v>
      </c>
      <c r="R812">
        <f t="shared" si="25"/>
        <v>14</v>
      </c>
      <c r="S812">
        <f t="shared" si="26"/>
        <v>1</v>
      </c>
    </row>
    <row r="813" spans="1:19" x14ac:dyDescent="0.25">
      <c r="A813" t="s">
        <v>1936</v>
      </c>
      <c r="B813" t="s">
        <v>4028</v>
      </c>
      <c r="C813">
        <v>1.5</v>
      </c>
      <c r="D813">
        <v>1000</v>
      </c>
      <c r="E813">
        <v>0</v>
      </c>
      <c r="F813">
        <v>3</v>
      </c>
      <c r="G813">
        <v>3</v>
      </c>
      <c r="H813" t="s">
        <v>1208</v>
      </c>
      <c r="I813" s="1">
        <v>37159</v>
      </c>
      <c r="J813" s="1">
        <v>37320</v>
      </c>
      <c r="K813" s="1">
        <v>37354</v>
      </c>
      <c r="L813" s="1">
        <v>37354</v>
      </c>
      <c r="M813" s="1">
        <v>37354</v>
      </c>
      <c r="N813" s="1">
        <v>37354</v>
      </c>
      <c r="O813" t="s">
        <v>1117</v>
      </c>
      <c r="P813">
        <v>4</v>
      </c>
      <c r="Q813" t="s">
        <v>1215</v>
      </c>
      <c r="R813">
        <f t="shared" si="25"/>
        <v>15</v>
      </c>
      <c r="S813">
        <f t="shared" si="26"/>
        <v>1</v>
      </c>
    </row>
    <row r="814" spans="1:19" x14ac:dyDescent="0.25">
      <c r="A814" t="s">
        <v>1937</v>
      </c>
      <c r="B814" t="s">
        <v>4027</v>
      </c>
      <c r="C814">
        <v>0.78</v>
      </c>
      <c r="D814">
        <v>1250</v>
      </c>
      <c r="E814">
        <v>0</v>
      </c>
      <c r="F814">
        <v>44</v>
      </c>
      <c r="G814">
        <v>44</v>
      </c>
      <c r="H814" t="s">
        <v>1208</v>
      </c>
      <c r="I814" s="1">
        <v>37159</v>
      </c>
      <c r="J814" s="1">
        <v>37314</v>
      </c>
      <c r="K814" s="1">
        <v>37328</v>
      </c>
      <c r="L814" s="1">
        <v>37328</v>
      </c>
      <c r="M814" s="1">
        <v>37333</v>
      </c>
      <c r="N814" s="1">
        <v>37333</v>
      </c>
      <c r="O814" t="s">
        <v>1117</v>
      </c>
      <c r="P814">
        <v>3</v>
      </c>
      <c r="Q814" t="s">
        <v>1215</v>
      </c>
      <c r="R814">
        <f t="shared" si="25"/>
        <v>12</v>
      </c>
      <c r="S814">
        <f t="shared" si="26"/>
        <v>1</v>
      </c>
    </row>
    <row r="815" spans="1:19" x14ac:dyDescent="0.25">
      <c r="A815" t="s">
        <v>1938</v>
      </c>
      <c r="B815" t="s">
        <v>4027</v>
      </c>
      <c r="C815">
        <v>0.6</v>
      </c>
      <c r="D815">
        <v>1250</v>
      </c>
      <c r="E815">
        <v>0</v>
      </c>
      <c r="F815">
        <v>3</v>
      </c>
      <c r="G815">
        <v>3</v>
      </c>
      <c r="H815" t="s">
        <v>1208</v>
      </c>
      <c r="I815" s="1">
        <v>37110</v>
      </c>
      <c r="J815" s="1">
        <v>37324</v>
      </c>
      <c r="K815" s="1">
        <v>37375</v>
      </c>
      <c r="L815" s="1">
        <v>37375</v>
      </c>
      <c r="M815" s="1">
        <v>37368</v>
      </c>
      <c r="N815" s="1">
        <v>37368</v>
      </c>
      <c r="O815" t="s">
        <v>1117</v>
      </c>
      <c r="P815">
        <v>2</v>
      </c>
      <c r="Q815" t="s">
        <v>1215</v>
      </c>
      <c r="R815">
        <f t="shared" si="25"/>
        <v>17</v>
      </c>
      <c r="S815">
        <f t="shared" si="26"/>
        <v>1</v>
      </c>
    </row>
    <row r="816" spans="1:19" x14ac:dyDescent="0.25">
      <c r="A816" t="s">
        <v>1939</v>
      </c>
      <c r="B816" t="s">
        <v>1199</v>
      </c>
      <c r="C816">
        <v>1.5</v>
      </c>
      <c r="D816">
        <v>1250</v>
      </c>
      <c r="E816">
        <v>0</v>
      </c>
      <c r="F816">
        <v>3</v>
      </c>
      <c r="G816">
        <v>3</v>
      </c>
      <c r="H816" t="s">
        <v>1208</v>
      </c>
      <c r="I816" s="1">
        <v>37159</v>
      </c>
      <c r="J816" s="1">
        <v>37323</v>
      </c>
      <c r="K816" s="1">
        <v>37345</v>
      </c>
      <c r="L816" s="1">
        <v>37345</v>
      </c>
      <c r="M816" s="1">
        <v>37345</v>
      </c>
      <c r="N816" s="1">
        <v>37345</v>
      </c>
      <c r="O816" t="s">
        <v>1117</v>
      </c>
      <c r="P816">
        <v>9</v>
      </c>
      <c r="Q816" t="s">
        <v>1215</v>
      </c>
      <c r="R816">
        <f t="shared" si="25"/>
        <v>13</v>
      </c>
      <c r="S816">
        <f t="shared" si="26"/>
        <v>1</v>
      </c>
    </row>
    <row r="817" spans="1:19" x14ac:dyDescent="0.25">
      <c r="A817" t="s">
        <v>1940</v>
      </c>
      <c r="B817" t="s">
        <v>1199</v>
      </c>
      <c r="C817">
        <v>3</v>
      </c>
      <c r="D817">
        <v>1250</v>
      </c>
      <c r="E817">
        <v>0</v>
      </c>
      <c r="F817">
        <v>6</v>
      </c>
      <c r="G817">
        <v>6</v>
      </c>
      <c r="H817" t="s">
        <v>1208</v>
      </c>
      <c r="I817" s="1">
        <v>37159</v>
      </c>
      <c r="J817" s="1">
        <v>37323</v>
      </c>
      <c r="K817" t="s">
        <v>1124</v>
      </c>
      <c r="L817" t="s">
        <v>1124</v>
      </c>
      <c r="M817" s="1">
        <v>37276</v>
      </c>
      <c r="N817" s="1">
        <v>37284</v>
      </c>
      <c r="O817" t="s">
        <v>1117</v>
      </c>
      <c r="P817">
        <v>1</v>
      </c>
      <c r="Q817" t="s">
        <v>1215</v>
      </c>
      <c r="R817">
        <f t="shared" si="25"/>
        <v>5</v>
      </c>
      <c r="S817">
        <f t="shared" si="26"/>
        <v>1</v>
      </c>
    </row>
    <row r="818" spans="1:19" x14ac:dyDescent="0.25">
      <c r="A818" t="s">
        <v>1941</v>
      </c>
      <c r="B818" t="s">
        <v>3521</v>
      </c>
      <c r="C818">
        <v>0.5</v>
      </c>
      <c r="D818">
        <v>625</v>
      </c>
      <c r="E818">
        <v>0</v>
      </c>
      <c r="F818">
        <v>9.9990000000000006</v>
      </c>
      <c r="G818">
        <v>9.9990000000000006</v>
      </c>
      <c r="H818" t="s">
        <v>1208</v>
      </c>
      <c r="I818" s="1">
        <v>37047</v>
      </c>
      <c r="J818" s="1">
        <v>37344</v>
      </c>
      <c r="K818" s="1">
        <v>37373</v>
      </c>
      <c r="L818" s="1">
        <v>37373</v>
      </c>
      <c r="M818" s="1">
        <v>37366</v>
      </c>
      <c r="N818" s="1">
        <v>37366</v>
      </c>
      <c r="O818" t="s">
        <v>1117</v>
      </c>
      <c r="P818">
        <v>2</v>
      </c>
      <c r="Q818" t="s">
        <v>1215</v>
      </c>
      <c r="R818">
        <f t="shared" si="25"/>
        <v>16</v>
      </c>
      <c r="S818">
        <f t="shared" si="26"/>
        <v>1</v>
      </c>
    </row>
    <row r="819" spans="1:19" x14ac:dyDescent="0.25">
      <c r="A819" t="s">
        <v>1942</v>
      </c>
      <c r="B819" t="s">
        <v>1199</v>
      </c>
      <c r="C819">
        <v>1</v>
      </c>
      <c r="D819">
        <v>1250</v>
      </c>
      <c r="E819">
        <v>0</v>
      </c>
      <c r="F819">
        <v>3</v>
      </c>
      <c r="G819">
        <v>3</v>
      </c>
      <c r="H819" t="s">
        <v>1208</v>
      </c>
      <c r="I819" s="1">
        <v>37159</v>
      </c>
      <c r="J819" s="1">
        <v>37313</v>
      </c>
      <c r="K819" s="1">
        <v>37365</v>
      </c>
      <c r="L819" s="1">
        <v>37365</v>
      </c>
      <c r="M819" s="1">
        <v>37344</v>
      </c>
      <c r="N819" s="1">
        <v>37344</v>
      </c>
      <c r="O819" t="s">
        <v>1117</v>
      </c>
      <c r="P819">
        <v>2</v>
      </c>
      <c r="Q819" t="s">
        <v>1215</v>
      </c>
      <c r="R819">
        <f t="shared" si="25"/>
        <v>13</v>
      </c>
      <c r="S819">
        <f t="shared" si="26"/>
        <v>1</v>
      </c>
    </row>
    <row r="820" spans="1:19" x14ac:dyDescent="0.25">
      <c r="A820" t="s">
        <v>1943</v>
      </c>
      <c r="B820" t="s">
        <v>1199</v>
      </c>
      <c r="C820">
        <v>1.2</v>
      </c>
      <c r="D820">
        <v>1250</v>
      </c>
      <c r="E820">
        <v>0</v>
      </c>
      <c r="F820">
        <v>44</v>
      </c>
      <c r="G820">
        <v>44</v>
      </c>
      <c r="H820" t="s">
        <v>1208</v>
      </c>
      <c r="I820" s="1">
        <v>37114</v>
      </c>
      <c r="J820" s="1">
        <v>37314</v>
      </c>
      <c r="K820" s="1">
        <v>37318</v>
      </c>
      <c r="L820" s="1">
        <v>37318</v>
      </c>
      <c r="M820" s="1">
        <v>37323</v>
      </c>
      <c r="N820" s="1">
        <v>37323</v>
      </c>
      <c r="O820" t="s">
        <v>1117</v>
      </c>
      <c r="P820">
        <v>1</v>
      </c>
      <c r="Q820" t="s">
        <v>1215</v>
      </c>
      <c r="R820">
        <f t="shared" si="25"/>
        <v>10</v>
      </c>
      <c r="S820">
        <f t="shared" si="26"/>
        <v>1</v>
      </c>
    </row>
    <row r="821" spans="1:19" x14ac:dyDescent="0.25">
      <c r="A821" t="s">
        <v>1944</v>
      </c>
      <c r="B821" t="s">
        <v>1199</v>
      </c>
      <c r="C821">
        <v>0.5</v>
      </c>
      <c r="D821">
        <v>70</v>
      </c>
      <c r="E821">
        <v>0</v>
      </c>
      <c r="F821">
        <v>12</v>
      </c>
      <c r="G821">
        <v>12</v>
      </c>
      <c r="H821" t="s">
        <v>1208</v>
      </c>
      <c r="I821" s="1">
        <v>37304</v>
      </c>
      <c r="J821" s="1">
        <v>37314</v>
      </c>
      <c r="K821" t="s">
        <v>1124</v>
      </c>
      <c r="L821" t="s">
        <v>1124</v>
      </c>
      <c r="M821" s="1">
        <v>37337</v>
      </c>
      <c r="N821" s="1">
        <v>37391</v>
      </c>
      <c r="O821" t="s">
        <v>1117</v>
      </c>
      <c r="P821">
        <v>3</v>
      </c>
      <c r="Q821" t="s">
        <v>1215</v>
      </c>
      <c r="R821">
        <f t="shared" si="25"/>
        <v>20</v>
      </c>
      <c r="S821">
        <f t="shared" si="26"/>
        <v>1</v>
      </c>
    </row>
    <row r="822" spans="1:19" x14ac:dyDescent="0.25">
      <c r="A822" t="s">
        <v>1945</v>
      </c>
      <c r="B822" t="s">
        <v>4028</v>
      </c>
      <c r="C822">
        <v>0.5</v>
      </c>
      <c r="D822">
        <v>90</v>
      </c>
      <c r="E822">
        <v>0</v>
      </c>
      <c r="F822">
        <v>5</v>
      </c>
      <c r="G822">
        <v>5</v>
      </c>
      <c r="H822" t="s">
        <v>1208</v>
      </c>
      <c r="I822" s="1">
        <v>37304</v>
      </c>
      <c r="J822" s="1">
        <v>37314</v>
      </c>
      <c r="K822" t="s">
        <v>1124</v>
      </c>
      <c r="L822" t="s">
        <v>1124</v>
      </c>
      <c r="M822" s="1">
        <v>37337</v>
      </c>
      <c r="N822" s="1">
        <v>37389</v>
      </c>
      <c r="O822" t="s">
        <v>1117</v>
      </c>
      <c r="P822">
        <v>2</v>
      </c>
      <c r="Q822" t="s">
        <v>1215</v>
      </c>
      <c r="R822">
        <f t="shared" si="25"/>
        <v>20</v>
      </c>
      <c r="S822">
        <f t="shared" si="26"/>
        <v>1</v>
      </c>
    </row>
    <row r="823" spans="1:19" x14ac:dyDescent="0.25">
      <c r="A823" t="s">
        <v>1946</v>
      </c>
      <c r="B823" t="s">
        <v>4028</v>
      </c>
      <c r="C823">
        <v>2.1</v>
      </c>
      <c r="D823">
        <v>117</v>
      </c>
      <c r="E823">
        <v>0</v>
      </c>
      <c r="F823">
        <v>5</v>
      </c>
      <c r="G823">
        <v>5</v>
      </c>
      <c r="H823" t="s">
        <v>1208</v>
      </c>
      <c r="I823" s="1">
        <v>37133</v>
      </c>
      <c r="J823" s="1">
        <v>37345</v>
      </c>
      <c r="K823" s="1">
        <v>37359</v>
      </c>
      <c r="L823" s="1">
        <v>37359</v>
      </c>
      <c r="M823" s="1">
        <v>37352</v>
      </c>
      <c r="N823" s="1">
        <v>37352</v>
      </c>
      <c r="O823" t="s">
        <v>1117</v>
      </c>
      <c r="P823">
        <v>16</v>
      </c>
      <c r="Q823" t="s">
        <v>1215</v>
      </c>
      <c r="R823">
        <f t="shared" si="25"/>
        <v>14</v>
      </c>
      <c r="S823">
        <f t="shared" si="26"/>
        <v>1</v>
      </c>
    </row>
    <row r="824" spans="1:19" x14ac:dyDescent="0.25">
      <c r="A824" t="s">
        <v>1947</v>
      </c>
      <c r="B824" t="s">
        <v>3631</v>
      </c>
      <c r="C824">
        <v>0.45</v>
      </c>
      <c r="D824">
        <v>119</v>
      </c>
      <c r="E824">
        <v>0</v>
      </c>
      <c r="F824">
        <v>17.5</v>
      </c>
      <c r="G824">
        <v>16.71</v>
      </c>
      <c r="H824" t="s">
        <v>1208</v>
      </c>
      <c r="I824" s="1">
        <v>37159</v>
      </c>
      <c r="J824" s="1">
        <v>37314</v>
      </c>
      <c r="K824" s="1">
        <v>37344</v>
      </c>
      <c r="L824" s="1">
        <v>37344</v>
      </c>
      <c r="M824" s="1">
        <v>37337</v>
      </c>
      <c r="N824" s="1">
        <v>37337</v>
      </c>
      <c r="O824" t="s">
        <v>1117</v>
      </c>
      <c r="P824">
        <v>5</v>
      </c>
      <c r="Q824" t="s">
        <v>1215</v>
      </c>
      <c r="R824">
        <f t="shared" si="25"/>
        <v>12</v>
      </c>
      <c r="S824">
        <f t="shared" si="26"/>
        <v>0</v>
      </c>
    </row>
    <row r="825" spans="1:19" x14ac:dyDescent="0.25">
      <c r="A825" t="s">
        <v>1948</v>
      </c>
      <c r="B825" t="s">
        <v>3631</v>
      </c>
      <c r="C825">
        <v>2.1</v>
      </c>
      <c r="D825">
        <v>76.5</v>
      </c>
      <c r="E825">
        <v>0</v>
      </c>
      <c r="F825">
        <v>5</v>
      </c>
      <c r="G825">
        <v>5</v>
      </c>
      <c r="H825" t="s">
        <v>1208</v>
      </c>
      <c r="I825" s="1">
        <v>37133</v>
      </c>
      <c r="J825" s="1">
        <v>37345</v>
      </c>
      <c r="K825" s="1">
        <v>37359</v>
      </c>
      <c r="L825" s="1">
        <v>37359</v>
      </c>
      <c r="M825" s="1">
        <v>37352</v>
      </c>
      <c r="N825" s="1">
        <v>37352</v>
      </c>
      <c r="O825" t="s">
        <v>1117</v>
      </c>
      <c r="P825">
        <v>17</v>
      </c>
      <c r="Q825" t="s">
        <v>1215</v>
      </c>
      <c r="R825">
        <f t="shared" si="25"/>
        <v>14</v>
      </c>
      <c r="S825">
        <f t="shared" si="26"/>
        <v>1</v>
      </c>
    </row>
    <row r="826" spans="1:19" x14ac:dyDescent="0.25">
      <c r="A826" t="s">
        <v>1949</v>
      </c>
      <c r="B826" t="s">
        <v>1199</v>
      </c>
      <c r="C826">
        <v>1.63</v>
      </c>
      <c r="D826">
        <v>117</v>
      </c>
      <c r="E826">
        <v>0</v>
      </c>
      <c r="F826">
        <v>5</v>
      </c>
      <c r="G826">
        <v>5</v>
      </c>
      <c r="H826" t="s">
        <v>1208</v>
      </c>
      <c r="I826" s="1">
        <v>37133</v>
      </c>
      <c r="J826" s="1">
        <v>37345</v>
      </c>
      <c r="K826" s="1">
        <v>37345</v>
      </c>
      <c r="L826" s="1">
        <v>37345</v>
      </c>
      <c r="M826" s="1">
        <v>37345</v>
      </c>
      <c r="N826" s="1">
        <v>37345</v>
      </c>
      <c r="O826" t="s">
        <v>1114</v>
      </c>
      <c r="P826">
        <v>12</v>
      </c>
      <c r="Q826" t="s">
        <v>1215</v>
      </c>
      <c r="R826">
        <f t="shared" si="25"/>
        <v>13</v>
      </c>
      <c r="S826">
        <f t="shared" si="26"/>
        <v>1</v>
      </c>
    </row>
    <row r="827" spans="1:19" x14ac:dyDescent="0.25">
      <c r="A827" t="s">
        <v>1950</v>
      </c>
      <c r="B827" t="s">
        <v>4026</v>
      </c>
      <c r="C827">
        <v>0.5</v>
      </c>
      <c r="D827">
        <v>1250</v>
      </c>
      <c r="E827">
        <v>0</v>
      </c>
      <c r="F827">
        <v>14</v>
      </c>
      <c r="G827">
        <v>8.7639999999999993</v>
      </c>
      <c r="H827" t="s">
        <v>1208</v>
      </c>
      <c r="I827" s="1">
        <v>37159</v>
      </c>
      <c r="J827" s="1">
        <v>37325</v>
      </c>
      <c r="K827" s="1">
        <v>37372</v>
      </c>
      <c r="L827" s="1">
        <v>37372</v>
      </c>
      <c r="M827" s="1">
        <v>37365</v>
      </c>
      <c r="N827" s="1">
        <v>37368</v>
      </c>
      <c r="O827" t="s">
        <v>1117</v>
      </c>
      <c r="P827">
        <v>1</v>
      </c>
      <c r="Q827" t="s">
        <v>1215</v>
      </c>
      <c r="R827">
        <f t="shared" si="25"/>
        <v>17</v>
      </c>
      <c r="S827">
        <f t="shared" si="26"/>
        <v>0</v>
      </c>
    </row>
    <row r="828" spans="1:19" x14ac:dyDescent="0.25">
      <c r="A828" t="s">
        <v>1951</v>
      </c>
      <c r="B828" t="s">
        <v>3521</v>
      </c>
      <c r="C828">
        <v>1.63</v>
      </c>
      <c r="D828">
        <v>157</v>
      </c>
      <c r="E828">
        <v>0</v>
      </c>
      <c r="F828">
        <v>20</v>
      </c>
      <c r="G828">
        <v>20</v>
      </c>
      <c r="H828" t="s">
        <v>1208</v>
      </c>
      <c r="I828" s="1">
        <v>37133</v>
      </c>
      <c r="J828" s="1">
        <v>37345</v>
      </c>
      <c r="K828" s="1">
        <v>37345</v>
      </c>
      <c r="L828" s="1">
        <v>37345</v>
      </c>
      <c r="M828" s="1">
        <v>37345</v>
      </c>
      <c r="N828" s="1">
        <v>37345</v>
      </c>
      <c r="O828" t="s">
        <v>1114</v>
      </c>
      <c r="P828">
        <v>3</v>
      </c>
      <c r="Q828" t="s">
        <v>1215</v>
      </c>
      <c r="R828">
        <f t="shared" si="25"/>
        <v>13</v>
      </c>
      <c r="S828">
        <f t="shared" si="26"/>
        <v>1</v>
      </c>
    </row>
    <row r="829" spans="1:19" x14ac:dyDescent="0.25">
      <c r="A829" t="s">
        <v>1952</v>
      </c>
      <c r="B829" t="s">
        <v>4027</v>
      </c>
      <c r="C829">
        <v>1.63</v>
      </c>
      <c r="D829">
        <v>157</v>
      </c>
      <c r="E829">
        <v>0</v>
      </c>
      <c r="F829">
        <v>5</v>
      </c>
      <c r="G829">
        <v>5</v>
      </c>
      <c r="H829" t="s">
        <v>1208</v>
      </c>
      <c r="I829" s="1">
        <v>37133</v>
      </c>
      <c r="J829" s="1">
        <v>37345</v>
      </c>
      <c r="K829" s="1">
        <v>37345</v>
      </c>
      <c r="L829" s="1">
        <v>37345</v>
      </c>
      <c r="M829" s="1">
        <v>37345</v>
      </c>
      <c r="N829" s="1">
        <v>37345</v>
      </c>
      <c r="O829" t="s">
        <v>1114</v>
      </c>
      <c r="P829">
        <v>13</v>
      </c>
      <c r="Q829" t="s">
        <v>1215</v>
      </c>
      <c r="R829">
        <f t="shared" si="25"/>
        <v>13</v>
      </c>
      <c r="S829">
        <f t="shared" si="26"/>
        <v>1</v>
      </c>
    </row>
    <row r="830" spans="1:19" x14ac:dyDescent="0.25">
      <c r="A830" t="s">
        <v>1953</v>
      </c>
      <c r="B830" t="s">
        <v>1199</v>
      </c>
      <c r="C830">
        <v>1.63</v>
      </c>
      <c r="D830">
        <v>236</v>
      </c>
      <c r="E830">
        <v>0</v>
      </c>
      <c r="F830">
        <v>5</v>
      </c>
      <c r="G830">
        <v>5</v>
      </c>
      <c r="H830" t="s">
        <v>1208</v>
      </c>
      <c r="I830" s="1">
        <v>37133</v>
      </c>
      <c r="J830" s="1">
        <v>37345</v>
      </c>
      <c r="K830" s="1">
        <v>37345</v>
      </c>
      <c r="L830" s="1">
        <v>37345</v>
      </c>
      <c r="M830" s="1">
        <v>37345</v>
      </c>
      <c r="N830" s="1">
        <v>37345</v>
      </c>
      <c r="O830" t="s">
        <v>1114</v>
      </c>
      <c r="P830">
        <v>10</v>
      </c>
      <c r="Q830" t="s">
        <v>1215</v>
      </c>
      <c r="R830">
        <f t="shared" si="25"/>
        <v>13</v>
      </c>
      <c r="S830">
        <f t="shared" si="26"/>
        <v>1</v>
      </c>
    </row>
    <row r="831" spans="1:19" x14ac:dyDescent="0.25">
      <c r="A831" t="s">
        <v>1954</v>
      </c>
      <c r="B831" t="s">
        <v>4028</v>
      </c>
      <c r="C831">
        <v>1.63</v>
      </c>
      <c r="D831">
        <v>117</v>
      </c>
      <c r="E831">
        <v>0</v>
      </c>
      <c r="F831">
        <v>10</v>
      </c>
      <c r="G831">
        <v>10</v>
      </c>
      <c r="H831" t="s">
        <v>1208</v>
      </c>
      <c r="I831" s="1">
        <v>37133</v>
      </c>
      <c r="J831" s="1">
        <v>37325</v>
      </c>
      <c r="K831" s="1">
        <v>37329</v>
      </c>
      <c r="L831" s="1">
        <v>37329</v>
      </c>
      <c r="M831" s="1">
        <v>37329</v>
      </c>
      <c r="N831" s="1">
        <v>37345</v>
      </c>
      <c r="O831" t="s">
        <v>1117</v>
      </c>
      <c r="P831">
        <v>2</v>
      </c>
      <c r="Q831" t="s">
        <v>1215</v>
      </c>
      <c r="R831">
        <f t="shared" si="25"/>
        <v>13</v>
      </c>
      <c r="S831">
        <f t="shared" si="26"/>
        <v>1</v>
      </c>
    </row>
    <row r="832" spans="1:19" x14ac:dyDescent="0.25">
      <c r="A832" t="s">
        <v>1955</v>
      </c>
      <c r="B832" t="s">
        <v>4028</v>
      </c>
      <c r="C832">
        <v>2.1</v>
      </c>
      <c r="D832">
        <v>157</v>
      </c>
      <c r="E832">
        <v>0</v>
      </c>
      <c r="F832">
        <v>5</v>
      </c>
      <c r="G832">
        <v>5</v>
      </c>
      <c r="H832" t="s">
        <v>1208</v>
      </c>
      <c r="I832" s="1">
        <v>37133</v>
      </c>
      <c r="J832" s="1">
        <v>37345</v>
      </c>
      <c r="K832" s="1">
        <v>37359</v>
      </c>
      <c r="L832" s="1">
        <v>37359</v>
      </c>
      <c r="M832" s="1">
        <v>37352</v>
      </c>
      <c r="N832" s="1">
        <v>37352</v>
      </c>
      <c r="O832" t="s">
        <v>1117</v>
      </c>
      <c r="P832">
        <v>15</v>
      </c>
      <c r="Q832" t="s">
        <v>1215</v>
      </c>
      <c r="R832">
        <f t="shared" si="25"/>
        <v>14</v>
      </c>
      <c r="S832">
        <f t="shared" si="26"/>
        <v>1</v>
      </c>
    </row>
    <row r="833" spans="1:19" x14ac:dyDescent="0.25">
      <c r="A833" t="s">
        <v>1956</v>
      </c>
      <c r="B833" t="s">
        <v>4028</v>
      </c>
      <c r="C833">
        <v>1.63</v>
      </c>
      <c r="D833">
        <v>116.5</v>
      </c>
      <c r="E833">
        <v>0</v>
      </c>
      <c r="F833">
        <v>10</v>
      </c>
      <c r="G833">
        <v>10</v>
      </c>
      <c r="H833" t="s">
        <v>1208</v>
      </c>
      <c r="I833" s="1">
        <v>37133</v>
      </c>
      <c r="J833" s="1">
        <v>37325</v>
      </c>
      <c r="K833" s="1">
        <v>37329</v>
      </c>
      <c r="L833" s="1">
        <v>37329</v>
      </c>
      <c r="M833" s="1">
        <v>37329</v>
      </c>
      <c r="N833" s="1">
        <v>37329</v>
      </c>
      <c r="O833" t="s">
        <v>1117</v>
      </c>
      <c r="P833">
        <v>7</v>
      </c>
      <c r="Q833" t="s">
        <v>1215</v>
      </c>
      <c r="R833">
        <f t="shared" si="25"/>
        <v>11</v>
      </c>
      <c r="S833">
        <f t="shared" si="26"/>
        <v>1</v>
      </c>
    </row>
    <row r="834" spans="1:19" x14ac:dyDescent="0.25">
      <c r="A834" t="s">
        <v>1957</v>
      </c>
      <c r="B834" t="s">
        <v>4028</v>
      </c>
      <c r="C834">
        <v>1.63</v>
      </c>
      <c r="D834">
        <v>76.5</v>
      </c>
      <c r="E834">
        <v>0</v>
      </c>
      <c r="F834">
        <v>10</v>
      </c>
      <c r="G834">
        <v>10</v>
      </c>
      <c r="H834" t="s">
        <v>1208</v>
      </c>
      <c r="I834" s="1">
        <v>37133</v>
      </c>
      <c r="J834" s="1">
        <v>37345</v>
      </c>
      <c r="K834" s="1">
        <v>37345</v>
      </c>
      <c r="L834" s="1">
        <v>37345</v>
      </c>
      <c r="M834" s="1">
        <v>37345</v>
      </c>
      <c r="N834" s="1">
        <v>37345</v>
      </c>
      <c r="O834" t="s">
        <v>1114</v>
      </c>
      <c r="P834">
        <v>6</v>
      </c>
      <c r="Q834" t="s">
        <v>1215</v>
      </c>
      <c r="R834">
        <f t="shared" si="25"/>
        <v>13</v>
      </c>
      <c r="S834">
        <f t="shared" si="26"/>
        <v>1</v>
      </c>
    </row>
    <row r="835" spans="1:19" x14ac:dyDescent="0.25">
      <c r="A835" t="s">
        <v>1958</v>
      </c>
      <c r="B835" t="s">
        <v>3631</v>
      </c>
      <c r="C835">
        <v>1.63</v>
      </c>
      <c r="D835">
        <v>236</v>
      </c>
      <c r="E835">
        <v>0</v>
      </c>
      <c r="F835">
        <v>10</v>
      </c>
      <c r="G835">
        <v>10</v>
      </c>
      <c r="H835" t="s">
        <v>1208</v>
      </c>
      <c r="I835" s="1">
        <v>37133</v>
      </c>
      <c r="J835" s="1">
        <v>37345</v>
      </c>
      <c r="K835" s="1">
        <v>37345</v>
      </c>
      <c r="L835" s="1">
        <v>37345</v>
      </c>
      <c r="M835" s="1">
        <v>37345</v>
      </c>
      <c r="N835" s="1">
        <v>37345</v>
      </c>
      <c r="O835" t="s">
        <v>1114</v>
      </c>
      <c r="P835">
        <v>8</v>
      </c>
      <c r="Q835" t="s">
        <v>1215</v>
      </c>
      <c r="R835">
        <f t="shared" ref="R835:R898" si="27">WEEKNUM(N835,1)</f>
        <v>13</v>
      </c>
      <c r="S835">
        <f t="shared" ref="S835:S898" si="28">IF(AND(F835=G835, M835&lt;=N835), 1,0)</f>
        <v>1</v>
      </c>
    </row>
    <row r="836" spans="1:19" x14ac:dyDescent="0.25">
      <c r="A836" t="s">
        <v>1959</v>
      </c>
      <c r="B836" t="s">
        <v>4028</v>
      </c>
      <c r="C836">
        <v>1.63</v>
      </c>
      <c r="D836">
        <v>237</v>
      </c>
      <c r="E836">
        <v>0</v>
      </c>
      <c r="F836">
        <v>20</v>
      </c>
      <c r="G836">
        <v>20</v>
      </c>
      <c r="H836" t="s">
        <v>1208</v>
      </c>
      <c r="I836" s="1">
        <v>37133</v>
      </c>
      <c r="J836" s="1">
        <v>37345</v>
      </c>
      <c r="K836" s="1">
        <v>37345</v>
      </c>
      <c r="L836" s="1">
        <v>37345</v>
      </c>
      <c r="M836" s="1">
        <v>37345</v>
      </c>
      <c r="N836" s="1">
        <v>37345</v>
      </c>
      <c r="O836" t="s">
        <v>1114</v>
      </c>
      <c r="P836">
        <v>5</v>
      </c>
      <c r="Q836" t="s">
        <v>1215</v>
      </c>
      <c r="R836">
        <f t="shared" si="27"/>
        <v>13</v>
      </c>
      <c r="S836">
        <f t="shared" si="28"/>
        <v>1</v>
      </c>
    </row>
    <row r="837" spans="1:19" x14ac:dyDescent="0.25">
      <c r="A837" t="s">
        <v>1960</v>
      </c>
      <c r="B837" t="s">
        <v>4026</v>
      </c>
      <c r="C837">
        <v>1.63</v>
      </c>
      <c r="D837">
        <v>76.5</v>
      </c>
      <c r="E837">
        <v>0</v>
      </c>
      <c r="F837">
        <v>5</v>
      </c>
      <c r="G837">
        <v>5</v>
      </c>
      <c r="H837" t="s">
        <v>1208</v>
      </c>
      <c r="I837" s="1">
        <v>37133</v>
      </c>
      <c r="J837" s="1">
        <v>37345</v>
      </c>
      <c r="K837" s="1">
        <v>37345</v>
      </c>
      <c r="L837" s="1">
        <v>37345</v>
      </c>
      <c r="M837" s="1">
        <v>37345</v>
      </c>
      <c r="N837" s="1">
        <v>37345</v>
      </c>
      <c r="O837" t="s">
        <v>1114</v>
      </c>
      <c r="P837">
        <v>11</v>
      </c>
      <c r="Q837" t="s">
        <v>1215</v>
      </c>
      <c r="R837">
        <f t="shared" si="27"/>
        <v>13</v>
      </c>
      <c r="S837">
        <f t="shared" si="28"/>
        <v>1</v>
      </c>
    </row>
    <row r="838" spans="1:19" x14ac:dyDescent="0.25">
      <c r="A838" t="s">
        <v>1961</v>
      </c>
      <c r="B838" t="s">
        <v>4026</v>
      </c>
      <c r="C838">
        <v>1.63</v>
      </c>
      <c r="D838">
        <v>197</v>
      </c>
      <c r="E838">
        <v>0</v>
      </c>
      <c r="F838">
        <v>20</v>
      </c>
      <c r="G838">
        <v>20</v>
      </c>
      <c r="H838" t="s">
        <v>1208</v>
      </c>
      <c r="I838" s="1">
        <v>37133</v>
      </c>
      <c r="J838" s="1">
        <v>37345</v>
      </c>
      <c r="K838" s="1">
        <v>37345</v>
      </c>
      <c r="L838" s="1">
        <v>37345</v>
      </c>
      <c r="M838" s="1">
        <v>37345</v>
      </c>
      <c r="N838" s="1">
        <v>37345</v>
      </c>
      <c r="O838" t="s">
        <v>1114</v>
      </c>
      <c r="P838">
        <v>4</v>
      </c>
      <c r="Q838" t="s">
        <v>1215</v>
      </c>
      <c r="R838">
        <f t="shared" si="27"/>
        <v>13</v>
      </c>
      <c r="S838">
        <f t="shared" si="28"/>
        <v>1</v>
      </c>
    </row>
    <row r="839" spans="1:19" x14ac:dyDescent="0.25">
      <c r="A839" t="s">
        <v>1962</v>
      </c>
      <c r="B839" t="s">
        <v>1199</v>
      </c>
      <c r="C839">
        <v>1</v>
      </c>
      <c r="D839">
        <v>320</v>
      </c>
      <c r="E839">
        <v>0</v>
      </c>
      <c r="F839">
        <v>20.535</v>
      </c>
      <c r="G839">
        <v>20.535</v>
      </c>
      <c r="H839" t="s">
        <v>1208</v>
      </c>
      <c r="I839" s="1">
        <v>37335</v>
      </c>
      <c r="J839" s="1">
        <v>37368</v>
      </c>
      <c r="K839" s="1">
        <v>37367</v>
      </c>
      <c r="L839" s="1">
        <v>37368</v>
      </c>
      <c r="M839" s="1">
        <v>37368</v>
      </c>
      <c r="N839" s="1">
        <v>37368</v>
      </c>
      <c r="O839" t="s">
        <v>1114</v>
      </c>
      <c r="P839">
        <v>2</v>
      </c>
      <c r="Q839" t="s">
        <v>1215</v>
      </c>
      <c r="R839">
        <f t="shared" si="27"/>
        <v>17</v>
      </c>
      <c r="S839">
        <f t="shared" si="28"/>
        <v>1</v>
      </c>
    </row>
    <row r="840" spans="1:19" x14ac:dyDescent="0.25">
      <c r="A840" t="s">
        <v>1963</v>
      </c>
      <c r="B840" t="s">
        <v>4026</v>
      </c>
      <c r="C840">
        <v>1.63</v>
      </c>
      <c r="D840">
        <v>196.5</v>
      </c>
      <c r="E840">
        <v>0</v>
      </c>
      <c r="F840">
        <v>10</v>
      </c>
      <c r="G840">
        <v>10</v>
      </c>
      <c r="H840" t="s">
        <v>1208</v>
      </c>
      <c r="I840" s="1">
        <v>37159</v>
      </c>
      <c r="J840" s="1">
        <v>37344</v>
      </c>
      <c r="K840" s="1">
        <v>37344</v>
      </c>
      <c r="L840" s="1">
        <v>37344</v>
      </c>
      <c r="M840" s="1">
        <v>37344</v>
      </c>
      <c r="N840" s="1">
        <v>37344</v>
      </c>
      <c r="O840" t="s">
        <v>1114</v>
      </c>
      <c r="P840">
        <v>4</v>
      </c>
      <c r="Q840" t="s">
        <v>1215</v>
      </c>
      <c r="R840">
        <f t="shared" si="27"/>
        <v>13</v>
      </c>
      <c r="S840">
        <f t="shared" si="28"/>
        <v>1</v>
      </c>
    </row>
    <row r="841" spans="1:19" x14ac:dyDescent="0.25">
      <c r="A841" t="s">
        <v>1964</v>
      </c>
      <c r="B841" t="s">
        <v>1199</v>
      </c>
      <c r="C841">
        <v>1.63</v>
      </c>
      <c r="D841">
        <v>117</v>
      </c>
      <c r="E841">
        <v>0</v>
      </c>
      <c r="F841">
        <v>10</v>
      </c>
      <c r="G841">
        <v>2.504</v>
      </c>
      <c r="H841" t="s">
        <v>1208</v>
      </c>
      <c r="I841" s="1">
        <v>37159</v>
      </c>
      <c r="J841" s="1">
        <v>37344</v>
      </c>
      <c r="K841" s="1">
        <v>37344</v>
      </c>
      <c r="L841" s="1">
        <v>37344</v>
      </c>
      <c r="M841" s="1">
        <v>37344</v>
      </c>
      <c r="N841" s="1">
        <v>37344</v>
      </c>
      <c r="O841" t="s">
        <v>1114</v>
      </c>
      <c r="P841">
        <v>6</v>
      </c>
      <c r="Q841" t="s">
        <v>1215</v>
      </c>
      <c r="R841">
        <f t="shared" si="27"/>
        <v>13</v>
      </c>
      <c r="S841">
        <f t="shared" si="28"/>
        <v>0</v>
      </c>
    </row>
    <row r="842" spans="1:19" x14ac:dyDescent="0.25">
      <c r="A842" t="s">
        <v>1965</v>
      </c>
      <c r="B842" t="s">
        <v>1199</v>
      </c>
      <c r="C842">
        <v>2</v>
      </c>
      <c r="D842">
        <v>316.2</v>
      </c>
      <c r="E842">
        <v>0</v>
      </c>
      <c r="F842">
        <v>4</v>
      </c>
      <c r="G842">
        <v>4</v>
      </c>
      <c r="H842" t="s">
        <v>1208</v>
      </c>
      <c r="I842" s="1">
        <v>37159</v>
      </c>
      <c r="J842" s="1">
        <v>37345</v>
      </c>
      <c r="K842" s="1">
        <v>37359</v>
      </c>
      <c r="L842" s="1">
        <v>37359</v>
      </c>
      <c r="M842" s="1">
        <v>37359</v>
      </c>
      <c r="N842" s="1">
        <v>37359</v>
      </c>
      <c r="O842" t="s">
        <v>1117</v>
      </c>
      <c r="P842">
        <v>1</v>
      </c>
      <c r="Q842" t="s">
        <v>1215</v>
      </c>
      <c r="R842">
        <f t="shared" si="27"/>
        <v>15</v>
      </c>
      <c r="S842">
        <f t="shared" si="28"/>
        <v>1</v>
      </c>
    </row>
    <row r="843" spans="1:19" x14ac:dyDescent="0.25">
      <c r="A843" t="s">
        <v>1966</v>
      </c>
      <c r="B843" t="s">
        <v>1199</v>
      </c>
      <c r="C843">
        <v>1.63</v>
      </c>
      <c r="D843">
        <v>197</v>
      </c>
      <c r="E843">
        <v>0</v>
      </c>
      <c r="F843">
        <v>2.35</v>
      </c>
      <c r="G843">
        <v>2.35</v>
      </c>
      <c r="H843" t="s">
        <v>1208</v>
      </c>
      <c r="I843" s="1">
        <v>37159</v>
      </c>
      <c r="J843" s="1">
        <v>37344</v>
      </c>
      <c r="K843" s="1">
        <v>37344</v>
      </c>
      <c r="L843" s="1">
        <v>37344</v>
      </c>
      <c r="M843" s="1">
        <v>37344</v>
      </c>
      <c r="N843" s="1">
        <v>37344</v>
      </c>
      <c r="O843" t="s">
        <v>1114</v>
      </c>
      <c r="P843">
        <v>1</v>
      </c>
      <c r="Q843" t="s">
        <v>1215</v>
      </c>
      <c r="R843">
        <f t="shared" si="27"/>
        <v>13</v>
      </c>
      <c r="S843">
        <f t="shared" si="28"/>
        <v>1</v>
      </c>
    </row>
    <row r="844" spans="1:19" x14ac:dyDescent="0.25">
      <c r="A844" t="s">
        <v>1967</v>
      </c>
      <c r="B844" t="s">
        <v>4028</v>
      </c>
      <c r="C844">
        <v>1.63</v>
      </c>
      <c r="D844">
        <v>157</v>
      </c>
      <c r="E844">
        <v>0</v>
      </c>
      <c r="F844">
        <v>10</v>
      </c>
      <c r="G844">
        <v>4.9640000000000004</v>
      </c>
      <c r="H844" t="s">
        <v>1208</v>
      </c>
      <c r="I844" s="1">
        <v>37159</v>
      </c>
      <c r="J844" s="1">
        <v>37344</v>
      </c>
      <c r="K844" s="1">
        <v>37344</v>
      </c>
      <c r="L844" s="1">
        <v>37344</v>
      </c>
      <c r="M844" s="1">
        <v>37344</v>
      </c>
      <c r="N844" s="1">
        <v>37344</v>
      </c>
      <c r="O844" t="s">
        <v>1114</v>
      </c>
      <c r="P844">
        <v>5</v>
      </c>
      <c r="Q844" t="s">
        <v>1215</v>
      </c>
      <c r="R844">
        <f t="shared" si="27"/>
        <v>13</v>
      </c>
      <c r="S844">
        <f t="shared" si="28"/>
        <v>0</v>
      </c>
    </row>
    <row r="845" spans="1:19" x14ac:dyDescent="0.25">
      <c r="A845" t="s">
        <v>1968</v>
      </c>
      <c r="B845" t="s">
        <v>1199</v>
      </c>
      <c r="C845">
        <v>1.2</v>
      </c>
      <c r="D845">
        <v>1000</v>
      </c>
      <c r="E845">
        <v>0</v>
      </c>
      <c r="F845">
        <v>6</v>
      </c>
      <c r="G845">
        <v>6</v>
      </c>
      <c r="H845" t="s">
        <v>1208</v>
      </c>
      <c r="I845" s="1">
        <v>37108</v>
      </c>
      <c r="J845" s="1">
        <v>37320</v>
      </c>
      <c r="K845" s="1">
        <v>37345</v>
      </c>
      <c r="L845" s="1">
        <v>37345</v>
      </c>
      <c r="M845" s="1">
        <v>37345</v>
      </c>
      <c r="N845" s="1">
        <v>37352</v>
      </c>
      <c r="O845" t="s">
        <v>1117</v>
      </c>
      <c r="P845">
        <v>1</v>
      </c>
      <c r="Q845" t="s">
        <v>1215</v>
      </c>
      <c r="R845">
        <f t="shared" si="27"/>
        <v>14</v>
      </c>
      <c r="S845">
        <f t="shared" si="28"/>
        <v>1</v>
      </c>
    </row>
    <row r="846" spans="1:19" x14ac:dyDescent="0.25">
      <c r="A846" t="s">
        <v>1969</v>
      </c>
      <c r="B846" t="s">
        <v>4027</v>
      </c>
      <c r="C846">
        <v>0.5</v>
      </c>
      <c r="D846">
        <v>1250</v>
      </c>
      <c r="E846">
        <v>0</v>
      </c>
      <c r="F846">
        <v>3</v>
      </c>
      <c r="G846">
        <v>3</v>
      </c>
      <c r="H846" t="s">
        <v>1208</v>
      </c>
      <c r="I846" s="1">
        <v>37104</v>
      </c>
      <c r="J846" s="1">
        <v>37325</v>
      </c>
      <c r="K846" s="1">
        <v>37372</v>
      </c>
      <c r="L846" s="1">
        <v>37372</v>
      </c>
      <c r="M846" s="1">
        <v>37365</v>
      </c>
      <c r="N846" s="1">
        <v>37368</v>
      </c>
      <c r="O846" t="s">
        <v>1117</v>
      </c>
      <c r="P846">
        <v>1</v>
      </c>
      <c r="Q846" t="s">
        <v>1215</v>
      </c>
      <c r="R846">
        <f t="shared" si="27"/>
        <v>17</v>
      </c>
      <c r="S846">
        <f t="shared" si="28"/>
        <v>1</v>
      </c>
    </row>
    <row r="847" spans="1:19" x14ac:dyDescent="0.25">
      <c r="A847" t="s">
        <v>1970</v>
      </c>
      <c r="B847" t="s">
        <v>1199</v>
      </c>
      <c r="C847">
        <v>0.56999999999999995</v>
      </c>
      <c r="D847">
        <v>30</v>
      </c>
      <c r="E847">
        <v>0</v>
      </c>
      <c r="F847">
        <v>30</v>
      </c>
      <c r="G847">
        <v>30</v>
      </c>
      <c r="H847" t="s">
        <v>1208</v>
      </c>
      <c r="I847" s="1">
        <v>37114</v>
      </c>
      <c r="J847" s="1">
        <v>37313</v>
      </c>
      <c r="K847" s="1">
        <v>37353</v>
      </c>
      <c r="L847" s="1">
        <v>37353</v>
      </c>
      <c r="M847" s="1">
        <v>37329</v>
      </c>
      <c r="N847" s="1">
        <v>37389</v>
      </c>
      <c r="O847" t="s">
        <v>1117</v>
      </c>
      <c r="P847">
        <v>1</v>
      </c>
      <c r="Q847" t="s">
        <v>1215</v>
      </c>
      <c r="R847">
        <f t="shared" si="27"/>
        <v>20</v>
      </c>
      <c r="S847">
        <f t="shared" si="28"/>
        <v>1</v>
      </c>
    </row>
    <row r="848" spans="1:19" x14ac:dyDescent="0.25">
      <c r="A848" t="s">
        <v>1971</v>
      </c>
      <c r="B848" t="s">
        <v>1199</v>
      </c>
      <c r="C848">
        <v>2</v>
      </c>
      <c r="D848">
        <v>1250</v>
      </c>
      <c r="E848">
        <v>0</v>
      </c>
      <c r="F848">
        <v>20</v>
      </c>
      <c r="G848">
        <v>20</v>
      </c>
      <c r="H848" t="s">
        <v>1208</v>
      </c>
      <c r="I848" s="1">
        <v>37106</v>
      </c>
      <c r="J848" s="1">
        <v>37315</v>
      </c>
      <c r="K848" s="1">
        <v>37324</v>
      </c>
      <c r="L848" s="1">
        <v>37324</v>
      </c>
      <c r="M848" s="1">
        <v>37325</v>
      </c>
      <c r="N848" s="1">
        <v>37325</v>
      </c>
      <c r="O848" t="s">
        <v>1117</v>
      </c>
      <c r="P848">
        <v>2</v>
      </c>
      <c r="Q848" t="s">
        <v>1215</v>
      </c>
      <c r="R848">
        <f t="shared" si="27"/>
        <v>11</v>
      </c>
      <c r="S848">
        <f t="shared" si="28"/>
        <v>1</v>
      </c>
    </row>
    <row r="849" spans="1:19" x14ac:dyDescent="0.25">
      <c r="A849" t="s">
        <v>1972</v>
      </c>
      <c r="B849" t="s">
        <v>4028</v>
      </c>
      <c r="C849">
        <v>0.8</v>
      </c>
      <c r="D849">
        <v>1000</v>
      </c>
      <c r="E849">
        <v>0</v>
      </c>
      <c r="F849">
        <v>30</v>
      </c>
      <c r="G849">
        <v>30</v>
      </c>
      <c r="H849" t="s">
        <v>1208</v>
      </c>
      <c r="I849" s="1">
        <v>37132</v>
      </c>
      <c r="J849" s="1">
        <v>37312</v>
      </c>
      <c r="K849" s="1">
        <v>37325</v>
      </c>
      <c r="L849" s="1">
        <v>37325</v>
      </c>
      <c r="M849" s="1">
        <v>37328</v>
      </c>
      <c r="N849" s="1">
        <v>37328</v>
      </c>
      <c r="O849" t="s">
        <v>1117</v>
      </c>
      <c r="P849">
        <v>1</v>
      </c>
      <c r="Q849" t="s">
        <v>1215</v>
      </c>
      <c r="R849">
        <f t="shared" si="27"/>
        <v>11</v>
      </c>
      <c r="S849">
        <f t="shared" si="28"/>
        <v>1</v>
      </c>
    </row>
    <row r="850" spans="1:19" x14ac:dyDescent="0.25">
      <c r="A850" t="s">
        <v>1973</v>
      </c>
      <c r="B850" t="s">
        <v>1199</v>
      </c>
      <c r="C850">
        <v>1.2</v>
      </c>
      <c r="D850">
        <v>1000</v>
      </c>
      <c r="E850">
        <v>0</v>
      </c>
      <c r="F850">
        <v>3</v>
      </c>
      <c r="G850">
        <v>3</v>
      </c>
      <c r="H850" t="s">
        <v>1208</v>
      </c>
      <c r="I850" s="1">
        <v>37159</v>
      </c>
      <c r="J850" s="1">
        <v>37323</v>
      </c>
      <c r="K850" s="1">
        <v>37345</v>
      </c>
      <c r="L850" s="1">
        <v>37345</v>
      </c>
      <c r="M850" s="1">
        <v>37345</v>
      </c>
      <c r="N850" s="1">
        <v>37352</v>
      </c>
      <c r="O850" t="s">
        <v>1117</v>
      </c>
      <c r="P850">
        <v>1</v>
      </c>
      <c r="Q850" t="s">
        <v>1215</v>
      </c>
      <c r="R850">
        <f t="shared" si="27"/>
        <v>14</v>
      </c>
      <c r="S850">
        <f t="shared" si="28"/>
        <v>1</v>
      </c>
    </row>
    <row r="851" spans="1:19" x14ac:dyDescent="0.25">
      <c r="A851" t="s">
        <v>1974</v>
      </c>
      <c r="B851" t="s">
        <v>1199</v>
      </c>
      <c r="C851">
        <v>0.8</v>
      </c>
      <c r="D851">
        <v>1000</v>
      </c>
      <c r="E851">
        <v>0</v>
      </c>
      <c r="F851">
        <v>30</v>
      </c>
      <c r="G851">
        <v>30</v>
      </c>
      <c r="H851" t="s">
        <v>1208</v>
      </c>
      <c r="I851" s="1">
        <v>37132</v>
      </c>
      <c r="J851" s="1">
        <v>37312</v>
      </c>
      <c r="K851" s="1">
        <v>37326</v>
      </c>
      <c r="L851" s="1">
        <v>37326</v>
      </c>
      <c r="M851" s="1">
        <v>37328</v>
      </c>
      <c r="N851" s="1">
        <v>37328</v>
      </c>
      <c r="O851" t="s">
        <v>1117</v>
      </c>
      <c r="P851">
        <v>2</v>
      </c>
      <c r="Q851" t="s">
        <v>1215</v>
      </c>
      <c r="R851">
        <f t="shared" si="27"/>
        <v>11</v>
      </c>
      <c r="S851">
        <f t="shared" si="28"/>
        <v>1</v>
      </c>
    </row>
    <row r="852" spans="1:19" x14ac:dyDescent="0.25">
      <c r="A852" t="s">
        <v>1975</v>
      </c>
      <c r="B852" t="s">
        <v>1199</v>
      </c>
      <c r="C852">
        <v>0.56999999999999995</v>
      </c>
      <c r="D852">
        <v>30</v>
      </c>
      <c r="E852">
        <v>0</v>
      </c>
      <c r="F852">
        <v>20</v>
      </c>
      <c r="G852">
        <v>3.3980000000000001</v>
      </c>
      <c r="H852" t="s">
        <v>1208</v>
      </c>
      <c r="I852" s="1">
        <v>37159</v>
      </c>
      <c r="J852" s="1">
        <v>37313</v>
      </c>
      <c r="K852" s="1">
        <v>37353</v>
      </c>
      <c r="L852" s="1">
        <v>37353</v>
      </c>
      <c r="M852" s="1">
        <v>37329</v>
      </c>
      <c r="N852" s="1">
        <v>37389</v>
      </c>
      <c r="O852" t="s">
        <v>1117</v>
      </c>
      <c r="P852">
        <v>1</v>
      </c>
      <c r="Q852" t="s">
        <v>1215</v>
      </c>
      <c r="R852">
        <f t="shared" si="27"/>
        <v>20</v>
      </c>
      <c r="S852">
        <f t="shared" si="28"/>
        <v>0</v>
      </c>
    </row>
    <row r="853" spans="1:19" x14ac:dyDescent="0.25">
      <c r="A853" t="s">
        <v>1976</v>
      </c>
      <c r="B853" t="s">
        <v>1199</v>
      </c>
      <c r="C853">
        <v>0.7</v>
      </c>
      <c r="D853">
        <v>1250</v>
      </c>
      <c r="E853">
        <v>0</v>
      </c>
      <c r="F853">
        <v>20</v>
      </c>
      <c r="G853">
        <v>20</v>
      </c>
      <c r="H853" t="s">
        <v>1208</v>
      </c>
      <c r="I853" s="1">
        <v>37118</v>
      </c>
      <c r="J853" s="1">
        <v>37314</v>
      </c>
      <c r="K853" s="1">
        <v>37335</v>
      </c>
      <c r="L853" s="1">
        <v>37335</v>
      </c>
      <c r="M853" s="1">
        <v>37342</v>
      </c>
      <c r="N853" s="1">
        <v>37342</v>
      </c>
      <c r="O853" t="s">
        <v>1117</v>
      </c>
      <c r="P853">
        <v>3</v>
      </c>
      <c r="Q853" t="s">
        <v>1215</v>
      </c>
      <c r="R853">
        <f t="shared" si="27"/>
        <v>13</v>
      </c>
      <c r="S853">
        <f t="shared" si="28"/>
        <v>1</v>
      </c>
    </row>
    <row r="854" spans="1:19" x14ac:dyDescent="0.25">
      <c r="A854" t="s">
        <v>1977</v>
      </c>
      <c r="B854" t="s">
        <v>4028</v>
      </c>
      <c r="C854">
        <v>0.6</v>
      </c>
      <c r="D854">
        <v>1250</v>
      </c>
      <c r="E854">
        <v>0</v>
      </c>
      <c r="F854">
        <v>20</v>
      </c>
      <c r="G854">
        <v>20</v>
      </c>
      <c r="H854" t="s">
        <v>1208</v>
      </c>
      <c r="I854" s="1">
        <v>37118</v>
      </c>
      <c r="J854" s="1">
        <v>37314</v>
      </c>
      <c r="K854" s="1">
        <v>37342</v>
      </c>
      <c r="L854" s="1">
        <v>37342</v>
      </c>
      <c r="M854" s="1">
        <v>37342</v>
      </c>
      <c r="N854" s="1">
        <v>37342</v>
      </c>
      <c r="O854" t="s">
        <v>1117</v>
      </c>
      <c r="P854">
        <v>2</v>
      </c>
      <c r="Q854" t="s">
        <v>1215</v>
      </c>
      <c r="R854">
        <f t="shared" si="27"/>
        <v>13</v>
      </c>
      <c r="S854">
        <f t="shared" si="28"/>
        <v>1</v>
      </c>
    </row>
    <row r="855" spans="1:19" x14ac:dyDescent="0.25">
      <c r="A855" t="s">
        <v>1978</v>
      </c>
      <c r="B855" t="s">
        <v>4028</v>
      </c>
      <c r="C855">
        <v>1.95</v>
      </c>
      <c r="D855">
        <v>1250</v>
      </c>
      <c r="E855">
        <v>0</v>
      </c>
      <c r="F855">
        <v>44</v>
      </c>
      <c r="G855">
        <v>44</v>
      </c>
      <c r="H855" t="s">
        <v>1208</v>
      </c>
      <c r="I855" s="1">
        <v>37129</v>
      </c>
      <c r="J855" s="1">
        <v>37345</v>
      </c>
      <c r="K855" s="1">
        <v>37359</v>
      </c>
      <c r="L855" s="1">
        <v>37359</v>
      </c>
      <c r="M855" s="1">
        <v>37359</v>
      </c>
      <c r="N855" s="1">
        <v>37359</v>
      </c>
      <c r="O855" t="s">
        <v>1117</v>
      </c>
      <c r="P855">
        <v>3</v>
      </c>
      <c r="Q855" t="s">
        <v>1215</v>
      </c>
      <c r="R855">
        <f t="shared" si="27"/>
        <v>15</v>
      </c>
      <c r="S855">
        <f t="shared" si="28"/>
        <v>1</v>
      </c>
    </row>
    <row r="856" spans="1:19" x14ac:dyDescent="0.25">
      <c r="A856" t="s">
        <v>1979</v>
      </c>
      <c r="B856" t="s">
        <v>4028</v>
      </c>
      <c r="C856">
        <v>3</v>
      </c>
      <c r="D856">
        <v>1250</v>
      </c>
      <c r="E856">
        <v>0</v>
      </c>
      <c r="F856">
        <v>8</v>
      </c>
      <c r="G856">
        <v>8</v>
      </c>
      <c r="H856" t="s">
        <v>1208</v>
      </c>
      <c r="I856" s="1">
        <v>37159</v>
      </c>
      <c r="J856" s="1">
        <v>37321</v>
      </c>
      <c r="K856" t="s">
        <v>1124</v>
      </c>
      <c r="L856" t="s">
        <v>1124</v>
      </c>
      <c r="M856" s="1">
        <v>37335</v>
      </c>
      <c r="N856" s="1">
        <v>37335</v>
      </c>
      <c r="O856" t="s">
        <v>1117</v>
      </c>
      <c r="P856">
        <v>10</v>
      </c>
      <c r="Q856" t="s">
        <v>1215</v>
      </c>
      <c r="R856">
        <f t="shared" si="27"/>
        <v>12</v>
      </c>
      <c r="S856">
        <f t="shared" si="28"/>
        <v>1</v>
      </c>
    </row>
    <row r="857" spans="1:19" x14ac:dyDescent="0.25">
      <c r="A857" t="s">
        <v>1980</v>
      </c>
      <c r="B857" t="s">
        <v>1199</v>
      </c>
      <c r="C857">
        <v>1.2</v>
      </c>
      <c r="D857">
        <v>1270</v>
      </c>
      <c r="E857">
        <v>0</v>
      </c>
      <c r="F857">
        <v>100</v>
      </c>
      <c r="G857">
        <v>5.806</v>
      </c>
      <c r="H857" t="s">
        <v>1208</v>
      </c>
      <c r="I857" s="1">
        <v>37286</v>
      </c>
      <c r="J857" s="1">
        <v>37346</v>
      </c>
      <c r="K857" s="1">
        <v>37346</v>
      </c>
      <c r="L857" s="1">
        <v>37346</v>
      </c>
      <c r="M857" t="s">
        <v>1124</v>
      </c>
      <c r="N857" s="1">
        <f>L857</f>
        <v>37346</v>
      </c>
      <c r="O857" t="s">
        <v>1114</v>
      </c>
      <c r="P857">
        <v>1</v>
      </c>
      <c r="Q857" t="s">
        <v>1215</v>
      </c>
      <c r="R857">
        <f t="shared" si="27"/>
        <v>14</v>
      </c>
      <c r="S857">
        <f t="shared" si="28"/>
        <v>0</v>
      </c>
    </row>
    <row r="858" spans="1:19" x14ac:dyDescent="0.25">
      <c r="A858" t="s">
        <v>1981</v>
      </c>
      <c r="B858" t="s">
        <v>3631</v>
      </c>
      <c r="C858">
        <v>0.6</v>
      </c>
      <c r="D858">
        <v>63</v>
      </c>
      <c r="E858">
        <v>0</v>
      </c>
      <c r="F858">
        <v>4</v>
      </c>
      <c r="G858">
        <v>4</v>
      </c>
      <c r="H858" t="s">
        <v>1208</v>
      </c>
      <c r="I858" s="1">
        <v>37304</v>
      </c>
      <c r="J858" s="1">
        <v>37314</v>
      </c>
      <c r="K858" t="s">
        <v>1124</v>
      </c>
      <c r="L858" t="s">
        <v>1124</v>
      </c>
      <c r="M858" s="1">
        <v>37344</v>
      </c>
      <c r="N858" s="1">
        <v>37389</v>
      </c>
      <c r="O858" t="s">
        <v>1117</v>
      </c>
      <c r="P858">
        <v>6</v>
      </c>
      <c r="Q858" t="s">
        <v>1215</v>
      </c>
      <c r="R858">
        <f t="shared" si="27"/>
        <v>20</v>
      </c>
      <c r="S858">
        <f t="shared" si="28"/>
        <v>1</v>
      </c>
    </row>
    <row r="859" spans="1:19" x14ac:dyDescent="0.25">
      <c r="A859" t="s">
        <v>1982</v>
      </c>
      <c r="B859" t="s">
        <v>4027</v>
      </c>
      <c r="C859">
        <v>1.2</v>
      </c>
      <c r="D859">
        <v>1270</v>
      </c>
      <c r="E859">
        <v>0</v>
      </c>
      <c r="F859">
        <v>100</v>
      </c>
      <c r="G859">
        <v>100</v>
      </c>
      <c r="H859" t="s">
        <v>1208</v>
      </c>
      <c r="I859" s="1">
        <v>37362</v>
      </c>
      <c r="J859" s="1">
        <v>37356</v>
      </c>
      <c r="K859" s="1">
        <v>37356</v>
      </c>
      <c r="L859" s="1">
        <v>37356</v>
      </c>
      <c r="M859" t="s">
        <v>1124</v>
      </c>
      <c r="N859" s="1">
        <f>L859</f>
        <v>37356</v>
      </c>
      <c r="O859" t="s">
        <v>1114</v>
      </c>
      <c r="P859">
        <v>1</v>
      </c>
      <c r="Q859" t="s">
        <v>1215</v>
      </c>
      <c r="R859">
        <f t="shared" si="27"/>
        <v>15</v>
      </c>
      <c r="S859">
        <f t="shared" si="28"/>
        <v>0</v>
      </c>
    </row>
    <row r="860" spans="1:19" x14ac:dyDescent="0.25">
      <c r="A860" t="s">
        <v>1983</v>
      </c>
      <c r="B860" t="s">
        <v>4026</v>
      </c>
      <c r="C860">
        <v>1.45</v>
      </c>
      <c r="D860">
        <v>1250</v>
      </c>
      <c r="E860">
        <v>0</v>
      </c>
      <c r="F860">
        <v>66</v>
      </c>
      <c r="G860">
        <v>66</v>
      </c>
      <c r="H860" t="s">
        <v>1208</v>
      </c>
      <c r="I860" s="1">
        <v>37129</v>
      </c>
      <c r="J860" s="1">
        <v>37345</v>
      </c>
      <c r="K860" s="1">
        <v>37359</v>
      </c>
      <c r="L860" s="1">
        <v>37359</v>
      </c>
      <c r="M860" s="1">
        <v>37359</v>
      </c>
      <c r="N860" s="1">
        <v>37359</v>
      </c>
      <c r="O860" t="s">
        <v>1117</v>
      </c>
      <c r="P860">
        <v>2</v>
      </c>
      <c r="Q860" t="s">
        <v>1215</v>
      </c>
      <c r="R860">
        <f t="shared" si="27"/>
        <v>15</v>
      </c>
      <c r="S860">
        <f t="shared" si="28"/>
        <v>1</v>
      </c>
    </row>
    <row r="861" spans="1:19" x14ac:dyDescent="0.25">
      <c r="A861" t="s">
        <v>1984</v>
      </c>
      <c r="B861" t="s">
        <v>4028</v>
      </c>
      <c r="C861">
        <v>0.7</v>
      </c>
      <c r="D861">
        <v>1250</v>
      </c>
      <c r="E861">
        <v>0</v>
      </c>
      <c r="F861">
        <v>3</v>
      </c>
      <c r="G861">
        <v>3</v>
      </c>
      <c r="H861" t="s">
        <v>1208</v>
      </c>
      <c r="I861" s="1">
        <v>37159</v>
      </c>
      <c r="J861" s="1">
        <v>37319</v>
      </c>
      <c r="K861" s="1">
        <v>37375</v>
      </c>
      <c r="L861" s="1">
        <v>37375</v>
      </c>
      <c r="M861" s="1">
        <v>37368</v>
      </c>
      <c r="N861" s="1">
        <v>37368</v>
      </c>
      <c r="O861" t="s">
        <v>1117</v>
      </c>
      <c r="P861">
        <v>3</v>
      </c>
      <c r="Q861" t="s">
        <v>1215</v>
      </c>
      <c r="R861">
        <f t="shared" si="27"/>
        <v>17</v>
      </c>
      <c r="S861">
        <f t="shared" si="28"/>
        <v>1</v>
      </c>
    </row>
    <row r="862" spans="1:19" x14ac:dyDescent="0.25">
      <c r="A862" t="s">
        <v>1985</v>
      </c>
      <c r="B862" t="s">
        <v>1199</v>
      </c>
      <c r="C862">
        <v>1.45</v>
      </c>
      <c r="D862">
        <v>96</v>
      </c>
      <c r="E862">
        <v>0</v>
      </c>
      <c r="F862">
        <v>3</v>
      </c>
      <c r="G862">
        <v>3</v>
      </c>
      <c r="H862" t="s">
        <v>1208</v>
      </c>
      <c r="I862" s="1">
        <v>37132</v>
      </c>
      <c r="J862" s="1">
        <v>37346</v>
      </c>
      <c r="K862" s="1">
        <v>37353</v>
      </c>
      <c r="L862" s="1">
        <v>37353</v>
      </c>
      <c r="M862" s="1">
        <v>37353</v>
      </c>
      <c r="N862" s="1">
        <v>37353</v>
      </c>
      <c r="O862" t="s">
        <v>1117</v>
      </c>
      <c r="P862">
        <v>14</v>
      </c>
      <c r="Q862" t="s">
        <v>1215</v>
      </c>
      <c r="R862">
        <f t="shared" si="27"/>
        <v>15</v>
      </c>
      <c r="S862">
        <f t="shared" si="28"/>
        <v>1</v>
      </c>
    </row>
    <row r="863" spans="1:19" x14ac:dyDescent="0.25">
      <c r="A863" t="s">
        <v>1986</v>
      </c>
      <c r="B863" t="s">
        <v>4028</v>
      </c>
      <c r="C863">
        <v>1.45</v>
      </c>
      <c r="D863">
        <v>56</v>
      </c>
      <c r="E863">
        <v>0</v>
      </c>
      <c r="F863">
        <v>2</v>
      </c>
      <c r="G863">
        <v>2</v>
      </c>
      <c r="H863" t="s">
        <v>1208</v>
      </c>
      <c r="I863" s="1">
        <v>37132</v>
      </c>
      <c r="J863" s="1">
        <v>37346</v>
      </c>
      <c r="K863" s="1">
        <v>37353</v>
      </c>
      <c r="L863" s="1">
        <v>37353</v>
      </c>
      <c r="M863" s="1">
        <v>37353</v>
      </c>
      <c r="N863" s="1">
        <v>37353</v>
      </c>
      <c r="O863" t="s">
        <v>1117</v>
      </c>
      <c r="P863">
        <v>16</v>
      </c>
      <c r="Q863" t="s">
        <v>1215</v>
      </c>
      <c r="R863">
        <f t="shared" si="27"/>
        <v>15</v>
      </c>
      <c r="S863">
        <f t="shared" si="28"/>
        <v>1</v>
      </c>
    </row>
    <row r="864" spans="1:19" x14ac:dyDescent="0.25">
      <c r="A864" t="s">
        <v>1987</v>
      </c>
      <c r="B864" t="s">
        <v>1199</v>
      </c>
      <c r="C864">
        <v>0.8</v>
      </c>
      <c r="D864">
        <v>1250</v>
      </c>
      <c r="E864">
        <v>0</v>
      </c>
      <c r="F864">
        <v>100</v>
      </c>
      <c r="G864">
        <v>26.902999999999999</v>
      </c>
      <c r="H864" t="s">
        <v>1208</v>
      </c>
      <c r="I864" s="1">
        <v>37159</v>
      </c>
      <c r="J864" s="1">
        <v>37315</v>
      </c>
      <c r="K864" s="1">
        <v>37314</v>
      </c>
      <c r="L864" s="1">
        <v>37315</v>
      </c>
      <c r="M864" s="1">
        <v>37278</v>
      </c>
      <c r="N864" s="1">
        <v>37278</v>
      </c>
      <c r="O864" t="s">
        <v>1114</v>
      </c>
      <c r="P864">
        <v>1</v>
      </c>
      <c r="Q864" t="s">
        <v>1215</v>
      </c>
      <c r="R864">
        <f t="shared" si="27"/>
        <v>4</v>
      </c>
      <c r="S864">
        <f t="shared" si="28"/>
        <v>0</v>
      </c>
    </row>
    <row r="865" spans="1:19" x14ac:dyDescent="0.25">
      <c r="A865" t="s">
        <v>1988</v>
      </c>
      <c r="B865" t="s">
        <v>1199</v>
      </c>
      <c r="C865">
        <v>1</v>
      </c>
      <c r="D865">
        <v>1145</v>
      </c>
      <c r="E865">
        <v>0</v>
      </c>
      <c r="F865">
        <v>60</v>
      </c>
      <c r="G865">
        <v>60</v>
      </c>
      <c r="H865" t="s">
        <v>1208</v>
      </c>
      <c r="I865" s="1">
        <v>37120</v>
      </c>
      <c r="J865" s="1">
        <v>37315</v>
      </c>
      <c r="K865" s="1">
        <v>37322</v>
      </c>
      <c r="L865" s="1">
        <v>37322</v>
      </c>
      <c r="M865" s="1">
        <v>37323</v>
      </c>
      <c r="N865" s="1">
        <v>37324</v>
      </c>
      <c r="O865" t="s">
        <v>1117</v>
      </c>
      <c r="P865">
        <v>1</v>
      </c>
      <c r="Q865" t="s">
        <v>1215</v>
      </c>
      <c r="R865">
        <f t="shared" si="27"/>
        <v>10</v>
      </c>
      <c r="S865">
        <f t="shared" si="28"/>
        <v>1</v>
      </c>
    </row>
    <row r="866" spans="1:19" x14ac:dyDescent="0.25">
      <c r="A866" t="s">
        <v>1989</v>
      </c>
      <c r="B866" t="s">
        <v>1199</v>
      </c>
      <c r="C866">
        <v>1</v>
      </c>
      <c r="D866">
        <v>1145</v>
      </c>
      <c r="E866">
        <v>0</v>
      </c>
      <c r="F866">
        <v>40</v>
      </c>
      <c r="G866">
        <v>40</v>
      </c>
      <c r="H866" t="s">
        <v>1208</v>
      </c>
      <c r="I866" s="1">
        <v>37120</v>
      </c>
      <c r="J866" s="1">
        <v>37315</v>
      </c>
      <c r="K866" s="1">
        <v>37322</v>
      </c>
      <c r="L866" s="1">
        <v>37322</v>
      </c>
      <c r="M866" s="1">
        <v>37323</v>
      </c>
      <c r="N866" s="1">
        <v>37324</v>
      </c>
      <c r="O866" t="s">
        <v>1117</v>
      </c>
      <c r="P866">
        <v>3</v>
      </c>
      <c r="Q866" t="s">
        <v>1215</v>
      </c>
      <c r="R866">
        <f t="shared" si="27"/>
        <v>10</v>
      </c>
      <c r="S866">
        <f t="shared" si="28"/>
        <v>1</v>
      </c>
    </row>
    <row r="867" spans="1:19" x14ac:dyDescent="0.25">
      <c r="A867" t="s">
        <v>1990</v>
      </c>
      <c r="B867" t="s">
        <v>1199</v>
      </c>
      <c r="C867">
        <v>1</v>
      </c>
      <c r="D867">
        <v>1145</v>
      </c>
      <c r="E867">
        <v>0</v>
      </c>
      <c r="F867">
        <v>40</v>
      </c>
      <c r="G867">
        <v>40</v>
      </c>
      <c r="H867" t="s">
        <v>1208</v>
      </c>
      <c r="I867" s="1">
        <v>37120</v>
      </c>
      <c r="J867" s="1">
        <v>37315</v>
      </c>
      <c r="K867" s="1">
        <v>37323</v>
      </c>
      <c r="L867" s="1">
        <v>37323</v>
      </c>
      <c r="M867" s="1">
        <v>37324</v>
      </c>
      <c r="N867" s="1">
        <v>37324</v>
      </c>
      <c r="O867" t="s">
        <v>1117</v>
      </c>
      <c r="P867">
        <v>2</v>
      </c>
      <c r="Q867" t="s">
        <v>1215</v>
      </c>
      <c r="R867">
        <f t="shared" si="27"/>
        <v>10</v>
      </c>
      <c r="S867">
        <f t="shared" si="28"/>
        <v>1</v>
      </c>
    </row>
    <row r="868" spans="1:19" x14ac:dyDescent="0.25">
      <c r="A868" t="s">
        <v>1991</v>
      </c>
      <c r="B868" t="s">
        <v>4028</v>
      </c>
      <c r="C868">
        <v>1.2</v>
      </c>
      <c r="D868">
        <v>1250</v>
      </c>
      <c r="E868">
        <v>0</v>
      </c>
      <c r="F868">
        <v>40</v>
      </c>
      <c r="G868">
        <v>12.03</v>
      </c>
      <c r="H868" t="s">
        <v>1208</v>
      </c>
      <c r="I868" s="1">
        <v>37159</v>
      </c>
      <c r="J868" s="1">
        <v>37315</v>
      </c>
      <c r="K868" s="1">
        <v>37325</v>
      </c>
      <c r="L868" s="1">
        <v>37325</v>
      </c>
      <c r="M868" s="1">
        <v>37324</v>
      </c>
      <c r="N868" s="1">
        <v>37324</v>
      </c>
      <c r="O868" t="s">
        <v>1117</v>
      </c>
      <c r="P868">
        <v>4</v>
      </c>
      <c r="Q868" t="s">
        <v>1215</v>
      </c>
      <c r="R868">
        <f t="shared" si="27"/>
        <v>10</v>
      </c>
      <c r="S868">
        <f t="shared" si="28"/>
        <v>0</v>
      </c>
    </row>
    <row r="869" spans="1:19" x14ac:dyDescent="0.25">
      <c r="A869" t="s">
        <v>1992</v>
      </c>
      <c r="B869" t="s">
        <v>1199</v>
      </c>
      <c r="C869">
        <v>0.6</v>
      </c>
      <c r="D869">
        <v>1250</v>
      </c>
      <c r="E869">
        <v>0</v>
      </c>
      <c r="F869">
        <v>3</v>
      </c>
      <c r="G869">
        <v>3</v>
      </c>
      <c r="H869" t="s">
        <v>1208</v>
      </c>
      <c r="I869" s="1">
        <v>37159</v>
      </c>
      <c r="J869" s="1">
        <v>37320</v>
      </c>
      <c r="K869" s="1">
        <v>37375</v>
      </c>
      <c r="L869" s="1">
        <v>37375</v>
      </c>
      <c r="M869" s="1">
        <v>37368</v>
      </c>
      <c r="N869" s="1">
        <v>37368</v>
      </c>
      <c r="O869" t="s">
        <v>1117</v>
      </c>
      <c r="P869">
        <v>2</v>
      </c>
      <c r="Q869" t="s">
        <v>1215</v>
      </c>
      <c r="R869">
        <f t="shared" si="27"/>
        <v>17</v>
      </c>
      <c r="S869">
        <f t="shared" si="28"/>
        <v>1</v>
      </c>
    </row>
    <row r="870" spans="1:19" x14ac:dyDescent="0.25">
      <c r="A870" t="s">
        <v>1993</v>
      </c>
      <c r="B870" t="s">
        <v>1199</v>
      </c>
      <c r="C870">
        <v>0.8</v>
      </c>
      <c r="D870">
        <v>1250</v>
      </c>
      <c r="E870">
        <v>0</v>
      </c>
      <c r="F870">
        <v>6</v>
      </c>
      <c r="G870">
        <v>6</v>
      </c>
      <c r="H870" t="s">
        <v>1208</v>
      </c>
      <c r="I870" s="1">
        <v>37133</v>
      </c>
      <c r="J870" s="1">
        <v>37323</v>
      </c>
      <c r="K870" s="1">
        <v>37351</v>
      </c>
      <c r="L870" s="1">
        <v>37351</v>
      </c>
      <c r="M870" s="1">
        <v>37351</v>
      </c>
      <c r="N870" s="1">
        <v>37351</v>
      </c>
      <c r="O870" t="s">
        <v>1117</v>
      </c>
      <c r="P870">
        <v>2</v>
      </c>
      <c r="Q870" t="s">
        <v>1215</v>
      </c>
      <c r="R870">
        <f t="shared" si="27"/>
        <v>14</v>
      </c>
      <c r="S870">
        <f t="shared" si="28"/>
        <v>1</v>
      </c>
    </row>
    <row r="871" spans="1:19" x14ac:dyDescent="0.25">
      <c r="A871" t="s">
        <v>1994</v>
      </c>
      <c r="B871" t="s">
        <v>1199</v>
      </c>
      <c r="C871">
        <v>1.5</v>
      </c>
      <c r="D871">
        <v>1250</v>
      </c>
      <c r="E871">
        <v>0</v>
      </c>
      <c r="F871">
        <v>40</v>
      </c>
      <c r="G871">
        <v>40</v>
      </c>
      <c r="H871" t="s">
        <v>1208</v>
      </c>
      <c r="I871" s="1">
        <v>37119</v>
      </c>
      <c r="J871" s="1">
        <v>37315</v>
      </c>
      <c r="K871" s="1">
        <v>37323</v>
      </c>
      <c r="L871" s="1">
        <v>37323</v>
      </c>
      <c r="M871" s="1">
        <v>37324</v>
      </c>
      <c r="N871" s="1">
        <v>37324</v>
      </c>
      <c r="O871" t="s">
        <v>1117</v>
      </c>
      <c r="P871">
        <v>2</v>
      </c>
      <c r="Q871" t="s">
        <v>1215</v>
      </c>
      <c r="R871">
        <f t="shared" si="27"/>
        <v>10</v>
      </c>
      <c r="S871">
        <f t="shared" si="28"/>
        <v>1</v>
      </c>
    </row>
    <row r="872" spans="1:19" x14ac:dyDescent="0.25">
      <c r="A872" t="s">
        <v>1995</v>
      </c>
      <c r="B872" t="s">
        <v>1199</v>
      </c>
      <c r="C872">
        <v>1.2</v>
      </c>
      <c r="D872">
        <v>1000</v>
      </c>
      <c r="E872">
        <v>0</v>
      </c>
      <c r="F872">
        <v>3</v>
      </c>
      <c r="G872">
        <v>3</v>
      </c>
      <c r="H872" t="s">
        <v>1208</v>
      </c>
      <c r="I872" s="1">
        <v>37126</v>
      </c>
      <c r="J872" s="1">
        <v>37307</v>
      </c>
      <c r="K872" s="1">
        <v>37345</v>
      </c>
      <c r="L872" s="1">
        <v>37345</v>
      </c>
      <c r="M872" s="1">
        <v>37345</v>
      </c>
      <c r="N872" s="1">
        <v>37352</v>
      </c>
      <c r="O872" t="s">
        <v>1117</v>
      </c>
      <c r="P872">
        <v>2</v>
      </c>
      <c r="Q872" t="s">
        <v>1215</v>
      </c>
      <c r="R872">
        <f t="shared" si="27"/>
        <v>14</v>
      </c>
      <c r="S872">
        <f t="shared" si="28"/>
        <v>1</v>
      </c>
    </row>
    <row r="873" spans="1:19" x14ac:dyDescent="0.25">
      <c r="A873" t="s">
        <v>1996</v>
      </c>
      <c r="B873" t="s">
        <v>4028</v>
      </c>
      <c r="C873">
        <v>0.5</v>
      </c>
      <c r="D873">
        <v>1250</v>
      </c>
      <c r="E873">
        <v>0</v>
      </c>
      <c r="F873">
        <v>10</v>
      </c>
      <c r="G873">
        <v>5.59</v>
      </c>
      <c r="H873" t="s">
        <v>1208</v>
      </c>
      <c r="I873" s="1">
        <v>37159</v>
      </c>
      <c r="J873" s="1">
        <v>37316</v>
      </c>
      <c r="K873" s="1">
        <v>37320</v>
      </c>
      <c r="L873" s="1">
        <v>37320</v>
      </c>
      <c r="M873" s="1">
        <v>37272</v>
      </c>
      <c r="N873" s="1">
        <v>37338</v>
      </c>
      <c r="O873" t="s">
        <v>1117</v>
      </c>
      <c r="P873">
        <v>1</v>
      </c>
      <c r="Q873" t="s">
        <v>1215</v>
      </c>
      <c r="R873">
        <f t="shared" si="27"/>
        <v>12</v>
      </c>
      <c r="S873">
        <f t="shared" si="28"/>
        <v>0</v>
      </c>
    </row>
    <row r="874" spans="1:19" x14ac:dyDescent="0.25">
      <c r="A874" t="s">
        <v>1997</v>
      </c>
      <c r="B874" t="s">
        <v>4028</v>
      </c>
      <c r="C874">
        <v>1.2</v>
      </c>
      <c r="D874">
        <v>1000</v>
      </c>
      <c r="E874">
        <v>0</v>
      </c>
      <c r="F874">
        <v>6</v>
      </c>
      <c r="G874">
        <v>6</v>
      </c>
      <c r="H874" t="s">
        <v>1208</v>
      </c>
      <c r="I874" s="1">
        <v>37120</v>
      </c>
      <c r="J874" s="1">
        <v>37322</v>
      </c>
      <c r="K874" s="1">
        <v>37345</v>
      </c>
      <c r="L874" s="1">
        <v>37345</v>
      </c>
      <c r="M874" s="1">
        <v>37345</v>
      </c>
      <c r="N874" s="1">
        <v>37352</v>
      </c>
      <c r="O874" t="s">
        <v>1117</v>
      </c>
      <c r="P874">
        <v>4</v>
      </c>
      <c r="Q874" t="s">
        <v>1215</v>
      </c>
      <c r="R874">
        <f t="shared" si="27"/>
        <v>14</v>
      </c>
      <c r="S874">
        <f t="shared" si="28"/>
        <v>1</v>
      </c>
    </row>
    <row r="875" spans="1:19" x14ac:dyDescent="0.25">
      <c r="A875" t="s">
        <v>1998</v>
      </c>
      <c r="B875" t="s">
        <v>4026</v>
      </c>
      <c r="C875">
        <v>1.2</v>
      </c>
      <c r="D875">
        <v>1130</v>
      </c>
      <c r="E875">
        <v>0</v>
      </c>
      <c r="F875">
        <v>17</v>
      </c>
      <c r="G875">
        <v>17</v>
      </c>
      <c r="H875" t="s">
        <v>1208</v>
      </c>
      <c r="I875" s="1">
        <v>37128</v>
      </c>
      <c r="J875" s="1">
        <v>37315</v>
      </c>
      <c r="K875" s="1">
        <v>37329</v>
      </c>
      <c r="L875" s="1">
        <v>37329</v>
      </c>
      <c r="M875" s="1">
        <v>37329</v>
      </c>
      <c r="N875" s="1">
        <v>37329</v>
      </c>
      <c r="O875" t="s">
        <v>1117</v>
      </c>
      <c r="P875">
        <v>11</v>
      </c>
      <c r="Q875" t="s">
        <v>1215</v>
      </c>
      <c r="R875">
        <f t="shared" si="27"/>
        <v>11</v>
      </c>
      <c r="S875">
        <f t="shared" si="28"/>
        <v>1</v>
      </c>
    </row>
    <row r="876" spans="1:19" x14ac:dyDescent="0.25">
      <c r="A876" t="s">
        <v>1999</v>
      </c>
      <c r="B876" t="s">
        <v>4026</v>
      </c>
      <c r="C876">
        <v>1</v>
      </c>
      <c r="D876">
        <v>1250</v>
      </c>
      <c r="E876">
        <v>0</v>
      </c>
      <c r="F876">
        <v>18</v>
      </c>
      <c r="G876">
        <v>18</v>
      </c>
      <c r="H876" t="s">
        <v>1208</v>
      </c>
      <c r="I876" s="1">
        <v>37128</v>
      </c>
      <c r="J876" s="1">
        <v>37315</v>
      </c>
      <c r="K876" s="1">
        <v>37319</v>
      </c>
      <c r="L876" s="1">
        <v>37319</v>
      </c>
      <c r="M876" s="1">
        <v>37326</v>
      </c>
      <c r="N876" s="1">
        <v>37326</v>
      </c>
      <c r="O876" t="s">
        <v>1117</v>
      </c>
      <c r="P876">
        <v>3</v>
      </c>
      <c r="Q876" t="s">
        <v>1215</v>
      </c>
      <c r="R876">
        <f t="shared" si="27"/>
        <v>11</v>
      </c>
      <c r="S876">
        <f t="shared" si="28"/>
        <v>1</v>
      </c>
    </row>
    <row r="877" spans="1:19" x14ac:dyDescent="0.25">
      <c r="A877" t="s">
        <v>2000</v>
      </c>
      <c r="B877" t="s">
        <v>4027</v>
      </c>
      <c r="C877">
        <v>0.5</v>
      </c>
      <c r="D877">
        <v>63</v>
      </c>
      <c r="E877">
        <v>0</v>
      </c>
      <c r="F877">
        <v>3</v>
      </c>
      <c r="G877">
        <v>3</v>
      </c>
      <c r="H877" t="s">
        <v>1208</v>
      </c>
      <c r="I877" s="1">
        <v>37114</v>
      </c>
      <c r="J877" s="1">
        <v>37314</v>
      </c>
      <c r="K877" s="1">
        <v>37370</v>
      </c>
      <c r="L877" s="1">
        <v>37370</v>
      </c>
      <c r="M877" s="1">
        <v>37344</v>
      </c>
      <c r="N877" s="1">
        <v>37389</v>
      </c>
      <c r="O877" t="s">
        <v>1117</v>
      </c>
      <c r="P877">
        <v>4</v>
      </c>
      <c r="Q877" t="s">
        <v>1215</v>
      </c>
      <c r="R877">
        <f t="shared" si="27"/>
        <v>20</v>
      </c>
      <c r="S877">
        <f t="shared" si="28"/>
        <v>1</v>
      </c>
    </row>
    <row r="878" spans="1:19" x14ac:dyDescent="0.25">
      <c r="A878" t="s">
        <v>2001</v>
      </c>
      <c r="B878" t="s">
        <v>4027</v>
      </c>
      <c r="C878">
        <v>1</v>
      </c>
      <c r="D878">
        <v>1250</v>
      </c>
      <c r="E878">
        <v>0</v>
      </c>
      <c r="F878">
        <v>39</v>
      </c>
      <c r="G878">
        <v>30.347999999999999</v>
      </c>
      <c r="H878" t="s">
        <v>1208</v>
      </c>
      <c r="I878" s="1">
        <v>37159</v>
      </c>
      <c r="J878" s="1">
        <v>37325</v>
      </c>
      <c r="K878" s="1">
        <v>37356</v>
      </c>
      <c r="L878" s="1">
        <v>37356</v>
      </c>
      <c r="M878" s="1">
        <v>37356</v>
      </c>
      <c r="N878" s="1">
        <v>37367</v>
      </c>
      <c r="O878" t="s">
        <v>1117</v>
      </c>
      <c r="P878">
        <v>2</v>
      </c>
      <c r="Q878" t="s">
        <v>1215</v>
      </c>
      <c r="R878">
        <f t="shared" si="27"/>
        <v>17</v>
      </c>
      <c r="S878">
        <f t="shared" si="28"/>
        <v>0</v>
      </c>
    </row>
    <row r="879" spans="1:19" x14ac:dyDescent="0.25">
      <c r="A879" t="s">
        <v>2002</v>
      </c>
      <c r="B879" t="s">
        <v>1199</v>
      </c>
      <c r="C879">
        <v>1.5</v>
      </c>
      <c r="D879">
        <v>1250</v>
      </c>
      <c r="E879">
        <v>0</v>
      </c>
      <c r="F879">
        <v>10</v>
      </c>
      <c r="G879">
        <v>10</v>
      </c>
      <c r="H879" t="s">
        <v>1208</v>
      </c>
      <c r="I879" s="1">
        <v>37108</v>
      </c>
      <c r="J879" s="1">
        <v>37320</v>
      </c>
      <c r="K879" t="s">
        <v>1124</v>
      </c>
      <c r="L879" t="s">
        <v>1124</v>
      </c>
      <c r="M879" s="1">
        <v>37272</v>
      </c>
      <c r="N879" s="1">
        <v>37287</v>
      </c>
      <c r="O879" t="s">
        <v>1117</v>
      </c>
      <c r="P879">
        <v>4</v>
      </c>
      <c r="Q879" t="s">
        <v>1215</v>
      </c>
      <c r="R879">
        <f t="shared" si="27"/>
        <v>5</v>
      </c>
      <c r="S879">
        <f t="shared" si="28"/>
        <v>1</v>
      </c>
    </row>
    <row r="880" spans="1:19" x14ac:dyDescent="0.25">
      <c r="A880" t="s">
        <v>2003</v>
      </c>
      <c r="B880" t="s">
        <v>4028</v>
      </c>
      <c r="C880">
        <v>0.8</v>
      </c>
      <c r="D880">
        <v>1000</v>
      </c>
      <c r="E880">
        <v>0</v>
      </c>
      <c r="F880">
        <v>6</v>
      </c>
      <c r="G880">
        <v>6</v>
      </c>
      <c r="H880" t="s">
        <v>1208</v>
      </c>
      <c r="I880" s="1">
        <v>37132</v>
      </c>
      <c r="J880" s="1">
        <v>37323</v>
      </c>
      <c r="K880" s="1">
        <v>37370</v>
      </c>
      <c r="L880" s="1">
        <v>37370</v>
      </c>
      <c r="M880" s="1">
        <v>37218</v>
      </c>
      <c r="N880" s="1">
        <v>37270</v>
      </c>
      <c r="O880" t="s">
        <v>1117</v>
      </c>
      <c r="P880">
        <v>1</v>
      </c>
      <c r="Q880" t="s">
        <v>1215</v>
      </c>
      <c r="R880">
        <f t="shared" si="27"/>
        <v>3</v>
      </c>
      <c r="S880">
        <f t="shared" si="28"/>
        <v>1</v>
      </c>
    </row>
    <row r="881" spans="1:19" x14ac:dyDescent="0.25">
      <c r="A881" t="s">
        <v>2004</v>
      </c>
      <c r="B881" t="s">
        <v>1199</v>
      </c>
      <c r="C881">
        <v>1.2</v>
      </c>
      <c r="D881">
        <v>1000</v>
      </c>
      <c r="E881">
        <v>0</v>
      </c>
      <c r="F881">
        <v>3</v>
      </c>
      <c r="G881">
        <v>3</v>
      </c>
      <c r="H881" t="s">
        <v>1208</v>
      </c>
      <c r="I881" s="1">
        <v>37119</v>
      </c>
      <c r="J881" s="1">
        <v>37321</v>
      </c>
      <c r="K881" s="1">
        <v>37331</v>
      </c>
      <c r="L881" s="1">
        <v>37331</v>
      </c>
      <c r="M881" s="1">
        <v>37331</v>
      </c>
      <c r="N881" s="1">
        <v>37332</v>
      </c>
      <c r="O881" t="s">
        <v>1117</v>
      </c>
      <c r="P881">
        <v>1</v>
      </c>
      <c r="Q881" t="s">
        <v>1215</v>
      </c>
      <c r="R881">
        <f t="shared" si="27"/>
        <v>12</v>
      </c>
      <c r="S881">
        <f t="shared" si="28"/>
        <v>1</v>
      </c>
    </row>
    <row r="882" spans="1:19" x14ac:dyDescent="0.25">
      <c r="A882" t="s">
        <v>2005</v>
      </c>
      <c r="B882" t="s">
        <v>4028</v>
      </c>
      <c r="C882">
        <v>1.2</v>
      </c>
      <c r="D882">
        <v>1000</v>
      </c>
      <c r="E882">
        <v>0</v>
      </c>
      <c r="F882">
        <v>6</v>
      </c>
      <c r="G882">
        <v>6</v>
      </c>
      <c r="H882" t="s">
        <v>1208</v>
      </c>
      <c r="I882" s="1">
        <v>37132</v>
      </c>
      <c r="J882" s="1">
        <v>37325</v>
      </c>
      <c r="K882" s="1">
        <v>37372</v>
      </c>
      <c r="L882" s="1">
        <v>37372</v>
      </c>
      <c r="M882" s="1">
        <v>37270</v>
      </c>
      <c r="N882" s="1">
        <v>37281</v>
      </c>
      <c r="O882" t="s">
        <v>1117</v>
      </c>
      <c r="P882">
        <v>6</v>
      </c>
      <c r="Q882" t="s">
        <v>1215</v>
      </c>
      <c r="R882">
        <f t="shared" si="27"/>
        <v>4</v>
      </c>
      <c r="S882">
        <f t="shared" si="28"/>
        <v>1</v>
      </c>
    </row>
    <row r="883" spans="1:19" x14ac:dyDescent="0.25">
      <c r="A883" t="s">
        <v>2006</v>
      </c>
      <c r="B883" t="s">
        <v>1199</v>
      </c>
      <c r="C883">
        <v>1.5</v>
      </c>
      <c r="D883">
        <v>1250</v>
      </c>
      <c r="E883">
        <v>0</v>
      </c>
      <c r="F883">
        <v>6</v>
      </c>
      <c r="G883">
        <v>6</v>
      </c>
      <c r="H883" t="s">
        <v>1208</v>
      </c>
      <c r="I883" s="1">
        <v>37110</v>
      </c>
      <c r="J883" s="1">
        <v>37321</v>
      </c>
      <c r="K883" t="s">
        <v>1124</v>
      </c>
      <c r="L883" t="s">
        <v>1124</v>
      </c>
      <c r="M883" s="1">
        <v>37278</v>
      </c>
      <c r="N883" s="1">
        <v>37287</v>
      </c>
      <c r="O883" t="s">
        <v>1117</v>
      </c>
      <c r="P883">
        <v>1</v>
      </c>
      <c r="Q883" t="s">
        <v>1215</v>
      </c>
      <c r="R883">
        <f t="shared" si="27"/>
        <v>5</v>
      </c>
      <c r="S883">
        <f t="shared" si="28"/>
        <v>1</v>
      </c>
    </row>
    <row r="884" spans="1:19" x14ac:dyDescent="0.25">
      <c r="A884" t="s">
        <v>2007</v>
      </c>
      <c r="B884" t="s">
        <v>4028</v>
      </c>
      <c r="C884">
        <v>0.8</v>
      </c>
      <c r="D884">
        <v>1000</v>
      </c>
      <c r="E884">
        <v>0</v>
      </c>
      <c r="F884">
        <v>3</v>
      </c>
      <c r="G884">
        <v>3</v>
      </c>
      <c r="H884" t="s">
        <v>1208</v>
      </c>
      <c r="I884" s="1">
        <v>37108</v>
      </c>
      <c r="J884" s="1">
        <v>37320</v>
      </c>
      <c r="K884" s="1">
        <v>37351</v>
      </c>
      <c r="L884" s="1">
        <v>37351</v>
      </c>
      <c r="M884" s="1">
        <v>37351</v>
      </c>
      <c r="N884" s="1">
        <v>37351</v>
      </c>
      <c r="O884" t="s">
        <v>1117</v>
      </c>
      <c r="P884">
        <v>1</v>
      </c>
      <c r="Q884" t="s">
        <v>1215</v>
      </c>
      <c r="R884">
        <f t="shared" si="27"/>
        <v>14</v>
      </c>
      <c r="S884">
        <f t="shared" si="28"/>
        <v>1</v>
      </c>
    </row>
    <row r="885" spans="1:19" x14ac:dyDescent="0.25">
      <c r="A885" t="s">
        <v>2008</v>
      </c>
      <c r="B885" t="s">
        <v>1199</v>
      </c>
      <c r="C885">
        <v>0.8</v>
      </c>
      <c r="D885">
        <v>1000</v>
      </c>
      <c r="E885">
        <v>0</v>
      </c>
      <c r="F885">
        <v>6</v>
      </c>
      <c r="G885">
        <v>6</v>
      </c>
      <c r="H885" t="s">
        <v>1208</v>
      </c>
      <c r="I885" s="1">
        <v>37132</v>
      </c>
      <c r="J885" s="1">
        <v>37323</v>
      </c>
      <c r="K885" s="1">
        <v>37370</v>
      </c>
      <c r="L885" s="1">
        <v>37370</v>
      </c>
      <c r="M885" s="1">
        <v>37270</v>
      </c>
      <c r="N885" s="1">
        <v>37270</v>
      </c>
      <c r="O885" t="s">
        <v>1117</v>
      </c>
      <c r="P885">
        <v>3</v>
      </c>
      <c r="Q885" t="s">
        <v>1215</v>
      </c>
      <c r="R885">
        <f t="shared" si="27"/>
        <v>3</v>
      </c>
      <c r="S885">
        <f t="shared" si="28"/>
        <v>1</v>
      </c>
    </row>
    <row r="886" spans="1:19" x14ac:dyDescent="0.25">
      <c r="A886" t="s">
        <v>2009</v>
      </c>
      <c r="B886" t="s">
        <v>1199</v>
      </c>
      <c r="C886">
        <v>1.2</v>
      </c>
      <c r="D886">
        <v>1250</v>
      </c>
      <c r="E886">
        <v>0</v>
      </c>
      <c r="F886">
        <v>9</v>
      </c>
      <c r="G886">
        <v>9</v>
      </c>
      <c r="H886" t="s">
        <v>1208</v>
      </c>
      <c r="I886" s="1">
        <v>37132</v>
      </c>
      <c r="J886" s="1">
        <v>37323</v>
      </c>
      <c r="K886" s="1">
        <v>37321</v>
      </c>
      <c r="L886" s="1">
        <v>37323</v>
      </c>
      <c r="M886" s="1">
        <v>37270</v>
      </c>
      <c r="N886" s="1">
        <v>37284</v>
      </c>
      <c r="O886" t="s">
        <v>1114</v>
      </c>
      <c r="P886">
        <v>1</v>
      </c>
      <c r="Q886" t="s">
        <v>1215</v>
      </c>
      <c r="R886">
        <f t="shared" si="27"/>
        <v>5</v>
      </c>
      <c r="S886">
        <f t="shared" si="28"/>
        <v>1</v>
      </c>
    </row>
    <row r="887" spans="1:19" x14ac:dyDescent="0.25">
      <c r="A887" t="s">
        <v>2010</v>
      </c>
      <c r="B887" t="s">
        <v>4028</v>
      </c>
      <c r="C887">
        <v>2</v>
      </c>
      <c r="D887">
        <v>1250</v>
      </c>
      <c r="E887">
        <v>0</v>
      </c>
      <c r="F887">
        <v>3</v>
      </c>
      <c r="G887">
        <v>3</v>
      </c>
      <c r="H887" t="s">
        <v>1208</v>
      </c>
      <c r="I887" s="1">
        <v>37132</v>
      </c>
      <c r="J887" s="1">
        <v>37323</v>
      </c>
      <c r="K887" s="1">
        <v>37379</v>
      </c>
      <c r="L887" s="1">
        <v>37379</v>
      </c>
      <c r="M887" s="1">
        <v>37270</v>
      </c>
      <c r="N887" s="1">
        <v>37370</v>
      </c>
      <c r="O887" t="s">
        <v>1117</v>
      </c>
      <c r="P887">
        <v>1</v>
      </c>
      <c r="Q887" t="s">
        <v>1215</v>
      </c>
      <c r="R887">
        <f t="shared" si="27"/>
        <v>17</v>
      </c>
      <c r="S887">
        <f t="shared" si="28"/>
        <v>1</v>
      </c>
    </row>
    <row r="888" spans="1:19" x14ac:dyDescent="0.25">
      <c r="A888" t="s">
        <v>2011</v>
      </c>
      <c r="B888" t="s">
        <v>4028</v>
      </c>
      <c r="C888">
        <v>1</v>
      </c>
      <c r="D888">
        <v>1250</v>
      </c>
      <c r="E888">
        <v>0</v>
      </c>
      <c r="F888">
        <v>6</v>
      </c>
      <c r="G888">
        <v>6</v>
      </c>
      <c r="H888" t="s">
        <v>1208</v>
      </c>
      <c r="I888" s="1">
        <v>37159</v>
      </c>
      <c r="J888" s="1">
        <v>37320</v>
      </c>
      <c r="K888" s="1">
        <v>37361</v>
      </c>
      <c r="L888" s="1">
        <v>37361</v>
      </c>
      <c r="M888" s="1">
        <v>37361</v>
      </c>
      <c r="N888" s="1">
        <v>37367</v>
      </c>
      <c r="O888" t="s">
        <v>1117</v>
      </c>
      <c r="P888">
        <v>6</v>
      </c>
      <c r="Q888" t="s">
        <v>1215</v>
      </c>
      <c r="R888">
        <f t="shared" si="27"/>
        <v>17</v>
      </c>
      <c r="S888">
        <f t="shared" si="28"/>
        <v>1</v>
      </c>
    </row>
    <row r="889" spans="1:19" x14ac:dyDescent="0.25">
      <c r="A889" t="s">
        <v>2012</v>
      </c>
      <c r="B889" t="s">
        <v>4027</v>
      </c>
      <c r="C889">
        <v>0.5</v>
      </c>
      <c r="D889">
        <v>1250</v>
      </c>
      <c r="E889">
        <v>0</v>
      </c>
      <c r="F889">
        <v>3</v>
      </c>
      <c r="G889">
        <v>3</v>
      </c>
      <c r="H889" t="s">
        <v>1208</v>
      </c>
      <c r="I889" s="1">
        <v>37133</v>
      </c>
      <c r="J889" s="1">
        <v>37323</v>
      </c>
      <c r="K889" s="1">
        <v>37354</v>
      </c>
      <c r="L889" s="1">
        <v>37354</v>
      </c>
      <c r="M889" s="1">
        <v>37344</v>
      </c>
      <c r="N889" s="1">
        <v>37344</v>
      </c>
      <c r="O889" t="s">
        <v>1117</v>
      </c>
      <c r="P889">
        <v>1</v>
      </c>
      <c r="Q889" t="s">
        <v>1215</v>
      </c>
      <c r="R889">
        <f t="shared" si="27"/>
        <v>13</v>
      </c>
      <c r="S889">
        <f t="shared" si="28"/>
        <v>1</v>
      </c>
    </row>
    <row r="890" spans="1:19" x14ac:dyDescent="0.25">
      <c r="A890" t="s">
        <v>2013</v>
      </c>
      <c r="B890" t="s">
        <v>1199</v>
      </c>
      <c r="C890">
        <v>0.8</v>
      </c>
      <c r="D890">
        <v>1250</v>
      </c>
      <c r="E890">
        <v>0</v>
      </c>
      <c r="F890">
        <v>12</v>
      </c>
      <c r="G890">
        <v>12</v>
      </c>
      <c r="H890" t="s">
        <v>1208</v>
      </c>
      <c r="I890" s="1">
        <v>37126</v>
      </c>
      <c r="J890" s="1">
        <v>37322</v>
      </c>
      <c r="K890" s="1">
        <v>37378</v>
      </c>
      <c r="L890" s="1">
        <v>37378</v>
      </c>
      <c r="M890" s="1">
        <v>37353</v>
      </c>
      <c r="N890" s="1">
        <v>37353</v>
      </c>
      <c r="O890" t="s">
        <v>1117</v>
      </c>
      <c r="P890">
        <v>1</v>
      </c>
      <c r="Q890" t="s">
        <v>1215</v>
      </c>
      <c r="R890">
        <f t="shared" si="27"/>
        <v>15</v>
      </c>
      <c r="S890">
        <f t="shared" si="28"/>
        <v>1</v>
      </c>
    </row>
    <row r="891" spans="1:19" x14ac:dyDescent="0.25">
      <c r="A891" t="s">
        <v>2014</v>
      </c>
      <c r="B891" t="s">
        <v>4028</v>
      </c>
      <c r="C891">
        <v>0.6</v>
      </c>
      <c r="D891">
        <v>1250</v>
      </c>
      <c r="E891">
        <v>0</v>
      </c>
      <c r="F891">
        <v>3</v>
      </c>
      <c r="G891">
        <v>3</v>
      </c>
      <c r="H891" t="s">
        <v>1208</v>
      </c>
      <c r="I891" s="1">
        <v>37124</v>
      </c>
      <c r="J891" s="1">
        <v>37322</v>
      </c>
      <c r="K891" s="1">
        <v>37361</v>
      </c>
      <c r="L891" s="1">
        <v>37361</v>
      </c>
      <c r="M891" s="1">
        <v>37361</v>
      </c>
      <c r="N891" s="1">
        <v>37361</v>
      </c>
      <c r="O891" t="s">
        <v>1117</v>
      </c>
      <c r="P891">
        <v>1</v>
      </c>
      <c r="Q891" t="s">
        <v>1215</v>
      </c>
      <c r="R891">
        <f t="shared" si="27"/>
        <v>16</v>
      </c>
      <c r="S891">
        <f t="shared" si="28"/>
        <v>1</v>
      </c>
    </row>
    <row r="892" spans="1:19" x14ac:dyDescent="0.25">
      <c r="A892" t="s">
        <v>2015</v>
      </c>
      <c r="B892" t="s">
        <v>1199</v>
      </c>
      <c r="C892">
        <v>1</v>
      </c>
      <c r="D892">
        <v>1000</v>
      </c>
      <c r="E892">
        <v>0</v>
      </c>
      <c r="F892">
        <v>3</v>
      </c>
      <c r="G892">
        <v>3</v>
      </c>
      <c r="H892" t="s">
        <v>1208</v>
      </c>
      <c r="I892" s="1">
        <v>37159</v>
      </c>
      <c r="J892" s="1">
        <v>37323</v>
      </c>
      <c r="K892" t="s">
        <v>1124</v>
      </c>
      <c r="L892" t="s">
        <v>1124</v>
      </c>
      <c r="M892" s="1">
        <v>37271</v>
      </c>
      <c r="N892" s="1">
        <v>37271</v>
      </c>
      <c r="O892" t="s">
        <v>1117</v>
      </c>
      <c r="P892">
        <v>5</v>
      </c>
      <c r="Q892" t="s">
        <v>1215</v>
      </c>
      <c r="R892">
        <f t="shared" si="27"/>
        <v>3</v>
      </c>
      <c r="S892">
        <f t="shared" si="28"/>
        <v>1</v>
      </c>
    </row>
    <row r="893" spans="1:19" x14ac:dyDescent="0.25">
      <c r="A893" t="s">
        <v>2016</v>
      </c>
      <c r="B893" t="s">
        <v>4026</v>
      </c>
      <c r="C893">
        <v>1.2</v>
      </c>
      <c r="D893">
        <v>1250</v>
      </c>
      <c r="E893">
        <v>0</v>
      </c>
      <c r="F893">
        <v>6</v>
      </c>
      <c r="G893">
        <v>6</v>
      </c>
      <c r="H893" t="s">
        <v>1208</v>
      </c>
      <c r="I893" s="1">
        <v>37159</v>
      </c>
      <c r="J893" s="1">
        <v>37323</v>
      </c>
      <c r="K893" s="1">
        <v>37322</v>
      </c>
      <c r="L893" s="1">
        <v>37323</v>
      </c>
      <c r="M893" s="1">
        <v>37271</v>
      </c>
      <c r="N893" s="1">
        <v>37284</v>
      </c>
      <c r="O893" t="s">
        <v>1114</v>
      </c>
      <c r="P893">
        <v>3</v>
      </c>
      <c r="Q893" t="s">
        <v>1215</v>
      </c>
      <c r="R893">
        <f t="shared" si="27"/>
        <v>5</v>
      </c>
      <c r="S893">
        <f t="shared" si="28"/>
        <v>1</v>
      </c>
    </row>
    <row r="894" spans="1:19" x14ac:dyDescent="0.25">
      <c r="A894" t="s">
        <v>2017</v>
      </c>
      <c r="B894" t="s">
        <v>4026</v>
      </c>
      <c r="C894">
        <v>1</v>
      </c>
      <c r="D894">
        <v>1250</v>
      </c>
      <c r="E894">
        <v>0</v>
      </c>
      <c r="F894">
        <v>6</v>
      </c>
      <c r="G894">
        <v>3.036</v>
      </c>
      <c r="H894" t="s">
        <v>1208</v>
      </c>
      <c r="I894" s="1">
        <v>37119</v>
      </c>
      <c r="J894" s="1">
        <v>37322</v>
      </c>
      <c r="K894" s="1">
        <v>37366</v>
      </c>
      <c r="L894" s="1">
        <v>37366</v>
      </c>
      <c r="M894" s="1">
        <v>37366</v>
      </c>
      <c r="N894" s="1">
        <v>37366</v>
      </c>
      <c r="O894" t="s">
        <v>1117</v>
      </c>
      <c r="P894">
        <v>1</v>
      </c>
      <c r="Q894" t="s">
        <v>1215</v>
      </c>
      <c r="R894">
        <f t="shared" si="27"/>
        <v>16</v>
      </c>
      <c r="S894">
        <f t="shared" si="28"/>
        <v>0</v>
      </c>
    </row>
    <row r="895" spans="1:19" x14ac:dyDescent="0.25">
      <c r="A895" t="s">
        <v>2018</v>
      </c>
      <c r="B895" t="s">
        <v>1199</v>
      </c>
      <c r="C895">
        <v>1</v>
      </c>
      <c r="D895">
        <v>1250</v>
      </c>
      <c r="E895">
        <v>0</v>
      </c>
      <c r="F895">
        <v>3</v>
      </c>
      <c r="G895">
        <v>3</v>
      </c>
      <c r="H895" t="s">
        <v>1208</v>
      </c>
      <c r="I895" s="1">
        <v>37106</v>
      </c>
      <c r="J895" s="1">
        <v>37324</v>
      </c>
      <c r="K895" s="1">
        <v>37361</v>
      </c>
      <c r="L895" s="1">
        <v>37361</v>
      </c>
      <c r="M895" s="1">
        <v>37361</v>
      </c>
      <c r="N895" s="1">
        <v>37367</v>
      </c>
      <c r="O895" t="s">
        <v>1117</v>
      </c>
      <c r="P895">
        <v>6</v>
      </c>
      <c r="Q895" t="s">
        <v>1215</v>
      </c>
      <c r="R895">
        <f t="shared" si="27"/>
        <v>17</v>
      </c>
      <c r="S895">
        <f t="shared" si="28"/>
        <v>1</v>
      </c>
    </row>
    <row r="896" spans="1:19" x14ac:dyDescent="0.25">
      <c r="A896" t="s">
        <v>2019</v>
      </c>
      <c r="B896" t="s">
        <v>4026</v>
      </c>
      <c r="C896">
        <v>0.8</v>
      </c>
      <c r="D896">
        <v>1250</v>
      </c>
      <c r="E896">
        <v>0</v>
      </c>
      <c r="F896">
        <v>22</v>
      </c>
      <c r="G896">
        <v>22</v>
      </c>
      <c r="H896" t="s">
        <v>1208</v>
      </c>
      <c r="I896" s="1">
        <v>37119</v>
      </c>
      <c r="J896" s="1">
        <v>37322</v>
      </c>
      <c r="K896" s="1">
        <v>37340</v>
      </c>
      <c r="L896" s="1">
        <v>37347</v>
      </c>
      <c r="M896" s="1">
        <v>37347</v>
      </c>
      <c r="N896" s="1">
        <v>37347</v>
      </c>
      <c r="O896" t="s">
        <v>1117</v>
      </c>
      <c r="P896">
        <v>4</v>
      </c>
      <c r="Q896" t="s">
        <v>1215</v>
      </c>
      <c r="R896">
        <f t="shared" si="27"/>
        <v>14</v>
      </c>
      <c r="S896">
        <f t="shared" si="28"/>
        <v>1</v>
      </c>
    </row>
    <row r="897" spans="1:19" x14ac:dyDescent="0.25">
      <c r="A897" t="s">
        <v>2020</v>
      </c>
      <c r="B897" t="s">
        <v>1199</v>
      </c>
      <c r="C897">
        <v>1.5</v>
      </c>
      <c r="D897">
        <v>1000</v>
      </c>
      <c r="E897">
        <v>0</v>
      </c>
      <c r="F897">
        <v>6</v>
      </c>
      <c r="G897">
        <v>6</v>
      </c>
      <c r="H897" t="s">
        <v>1208</v>
      </c>
      <c r="I897" s="1">
        <v>37132</v>
      </c>
      <c r="J897" s="1">
        <v>37323</v>
      </c>
      <c r="K897" s="1">
        <v>37372</v>
      </c>
      <c r="L897" s="1">
        <v>37372</v>
      </c>
      <c r="M897" s="1">
        <v>37361</v>
      </c>
      <c r="N897" s="1">
        <v>37361</v>
      </c>
      <c r="O897" t="s">
        <v>1117</v>
      </c>
      <c r="P897">
        <v>5</v>
      </c>
      <c r="Q897" t="s">
        <v>1215</v>
      </c>
      <c r="R897">
        <f t="shared" si="27"/>
        <v>16</v>
      </c>
      <c r="S897">
        <f t="shared" si="28"/>
        <v>1</v>
      </c>
    </row>
    <row r="898" spans="1:19" x14ac:dyDescent="0.25">
      <c r="A898" t="s">
        <v>2021</v>
      </c>
      <c r="B898" t="s">
        <v>1199</v>
      </c>
      <c r="C898">
        <v>1.2</v>
      </c>
      <c r="D898">
        <v>1250</v>
      </c>
      <c r="E898">
        <v>0</v>
      </c>
      <c r="F898">
        <v>3</v>
      </c>
      <c r="G898">
        <v>3</v>
      </c>
      <c r="H898" t="s">
        <v>1208</v>
      </c>
      <c r="I898" s="1">
        <v>37132</v>
      </c>
      <c r="J898" s="1">
        <v>37323</v>
      </c>
      <c r="K898" s="1">
        <v>37321</v>
      </c>
      <c r="L898" s="1">
        <v>37323</v>
      </c>
      <c r="M898" s="1">
        <v>37271</v>
      </c>
      <c r="N898" s="1">
        <v>37284</v>
      </c>
      <c r="O898" t="s">
        <v>1114</v>
      </c>
      <c r="P898">
        <v>1</v>
      </c>
      <c r="Q898" t="s">
        <v>1215</v>
      </c>
      <c r="R898">
        <f t="shared" si="27"/>
        <v>5</v>
      </c>
      <c r="S898">
        <f t="shared" si="28"/>
        <v>1</v>
      </c>
    </row>
    <row r="899" spans="1:19" x14ac:dyDescent="0.25">
      <c r="A899" t="s">
        <v>2022</v>
      </c>
      <c r="B899" t="s">
        <v>1199</v>
      </c>
      <c r="C899">
        <v>1.5</v>
      </c>
      <c r="D899">
        <v>1250</v>
      </c>
      <c r="E899">
        <v>0</v>
      </c>
      <c r="F899">
        <v>3</v>
      </c>
      <c r="G899">
        <v>3</v>
      </c>
      <c r="H899" t="s">
        <v>1208</v>
      </c>
      <c r="I899" s="1">
        <v>37110</v>
      </c>
      <c r="J899" s="1">
        <v>37321</v>
      </c>
      <c r="K899" t="s">
        <v>1124</v>
      </c>
      <c r="L899" t="s">
        <v>1124</v>
      </c>
      <c r="M899" s="1">
        <v>37278</v>
      </c>
      <c r="N899" s="1">
        <v>37287</v>
      </c>
      <c r="O899" t="s">
        <v>1117</v>
      </c>
      <c r="P899">
        <v>1</v>
      </c>
      <c r="Q899" t="s">
        <v>1215</v>
      </c>
      <c r="R899">
        <f t="shared" ref="R899:R962" si="29">WEEKNUM(N899,1)</f>
        <v>5</v>
      </c>
      <c r="S899">
        <f t="shared" ref="S899:S962" si="30">IF(AND(F899=G899, M899&lt;=N899), 1,0)</f>
        <v>1</v>
      </c>
    </row>
    <row r="900" spans="1:19" x14ac:dyDescent="0.25">
      <c r="A900" t="s">
        <v>2023</v>
      </c>
      <c r="B900" t="s">
        <v>4028</v>
      </c>
      <c r="C900">
        <v>0.6</v>
      </c>
      <c r="D900">
        <v>1250</v>
      </c>
      <c r="E900">
        <v>0</v>
      </c>
      <c r="F900">
        <v>3</v>
      </c>
      <c r="G900">
        <v>3</v>
      </c>
      <c r="H900" t="s">
        <v>1208</v>
      </c>
      <c r="I900" s="1">
        <v>37108</v>
      </c>
      <c r="J900" s="1">
        <v>37320</v>
      </c>
      <c r="K900" s="1">
        <v>37374</v>
      </c>
      <c r="L900" s="1">
        <v>37374</v>
      </c>
      <c r="M900" s="1">
        <v>37362</v>
      </c>
      <c r="N900" s="1">
        <v>37362</v>
      </c>
      <c r="O900" t="s">
        <v>1117</v>
      </c>
      <c r="P900">
        <v>5</v>
      </c>
      <c r="Q900" t="s">
        <v>1215</v>
      </c>
      <c r="R900">
        <f t="shared" si="29"/>
        <v>16</v>
      </c>
      <c r="S900">
        <f t="shared" si="30"/>
        <v>1</v>
      </c>
    </row>
    <row r="901" spans="1:19" x14ac:dyDescent="0.25">
      <c r="A901" t="s">
        <v>2024</v>
      </c>
      <c r="B901" t="s">
        <v>4028</v>
      </c>
      <c r="C901">
        <v>0.6</v>
      </c>
      <c r="D901">
        <v>1250</v>
      </c>
      <c r="E901">
        <v>0</v>
      </c>
      <c r="F901">
        <v>3</v>
      </c>
      <c r="G901">
        <v>3</v>
      </c>
      <c r="H901" t="s">
        <v>1208</v>
      </c>
      <c r="I901" s="1">
        <v>37133</v>
      </c>
      <c r="J901" s="1">
        <v>37323</v>
      </c>
      <c r="K901" s="1">
        <v>37361</v>
      </c>
      <c r="L901" s="1">
        <v>37361</v>
      </c>
      <c r="M901" s="1">
        <v>37361</v>
      </c>
      <c r="N901" s="1">
        <v>37361</v>
      </c>
      <c r="O901" t="s">
        <v>1117</v>
      </c>
      <c r="P901">
        <v>1</v>
      </c>
      <c r="Q901" t="s">
        <v>1215</v>
      </c>
      <c r="R901">
        <f t="shared" si="29"/>
        <v>16</v>
      </c>
      <c r="S901">
        <f t="shared" si="30"/>
        <v>1</v>
      </c>
    </row>
    <row r="902" spans="1:19" x14ac:dyDescent="0.25">
      <c r="A902" t="s">
        <v>2025</v>
      </c>
      <c r="B902" t="s">
        <v>4026</v>
      </c>
      <c r="C902">
        <v>2</v>
      </c>
      <c r="D902">
        <v>1250</v>
      </c>
      <c r="E902">
        <v>0</v>
      </c>
      <c r="F902">
        <v>3</v>
      </c>
      <c r="G902">
        <v>3</v>
      </c>
      <c r="H902" t="s">
        <v>1208</v>
      </c>
      <c r="I902" s="1">
        <v>37119</v>
      </c>
      <c r="J902" s="1">
        <v>37322</v>
      </c>
      <c r="K902" s="1">
        <v>37379</v>
      </c>
      <c r="L902" s="1">
        <v>37379</v>
      </c>
      <c r="M902" s="1">
        <v>37370</v>
      </c>
      <c r="N902" s="1">
        <v>37370</v>
      </c>
      <c r="O902" t="s">
        <v>1117</v>
      </c>
      <c r="P902">
        <v>1</v>
      </c>
      <c r="Q902" t="s">
        <v>1215</v>
      </c>
      <c r="R902">
        <f t="shared" si="29"/>
        <v>17</v>
      </c>
      <c r="S902">
        <f t="shared" si="30"/>
        <v>1</v>
      </c>
    </row>
    <row r="903" spans="1:19" x14ac:dyDescent="0.25">
      <c r="A903" t="s">
        <v>2026</v>
      </c>
      <c r="B903" t="s">
        <v>1199</v>
      </c>
      <c r="C903">
        <v>2</v>
      </c>
      <c r="D903">
        <v>1250</v>
      </c>
      <c r="E903">
        <v>0</v>
      </c>
      <c r="F903">
        <v>3</v>
      </c>
      <c r="G903">
        <v>3</v>
      </c>
      <c r="H903" t="s">
        <v>1208</v>
      </c>
      <c r="I903" s="1">
        <v>37159</v>
      </c>
      <c r="J903" s="1">
        <v>37323</v>
      </c>
      <c r="K903" s="1">
        <v>37379</v>
      </c>
      <c r="L903" s="1">
        <v>37379</v>
      </c>
      <c r="M903" s="1">
        <v>37273</v>
      </c>
      <c r="N903" s="1">
        <v>37280</v>
      </c>
      <c r="O903" t="s">
        <v>1117</v>
      </c>
      <c r="P903">
        <v>1</v>
      </c>
      <c r="Q903" t="s">
        <v>1215</v>
      </c>
      <c r="R903">
        <f t="shared" si="29"/>
        <v>4</v>
      </c>
      <c r="S903">
        <f t="shared" si="30"/>
        <v>1</v>
      </c>
    </row>
    <row r="904" spans="1:19" x14ac:dyDescent="0.25">
      <c r="A904" t="s">
        <v>2027</v>
      </c>
      <c r="B904" t="s">
        <v>1199</v>
      </c>
      <c r="C904">
        <v>0.9</v>
      </c>
      <c r="D904">
        <v>1000</v>
      </c>
      <c r="E904">
        <v>0</v>
      </c>
      <c r="F904">
        <v>16</v>
      </c>
      <c r="G904">
        <v>16</v>
      </c>
      <c r="H904" t="s">
        <v>1208</v>
      </c>
      <c r="I904" s="1">
        <v>37132</v>
      </c>
      <c r="J904" s="1">
        <v>37313</v>
      </c>
      <c r="K904" s="1">
        <v>37316</v>
      </c>
      <c r="L904" s="1">
        <v>37316</v>
      </c>
      <c r="M904" s="1">
        <v>37321</v>
      </c>
      <c r="N904" s="1">
        <v>37321</v>
      </c>
      <c r="O904" t="s">
        <v>1117</v>
      </c>
      <c r="P904">
        <v>1</v>
      </c>
      <c r="Q904" t="s">
        <v>1215</v>
      </c>
      <c r="R904">
        <f t="shared" si="29"/>
        <v>10</v>
      </c>
      <c r="S904">
        <f t="shared" si="30"/>
        <v>1</v>
      </c>
    </row>
    <row r="905" spans="1:19" x14ac:dyDescent="0.25">
      <c r="A905" t="s">
        <v>2028</v>
      </c>
      <c r="B905" t="s">
        <v>3631</v>
      </c>
      <c r="C905">
        <v>1</v>
      </c>
      <c r="D905">
        <v>1000</v>
      </c>
      <c r="E905">
        <v>0</v>
      </c>
      <c r="F905">
        <v>6</v>
      </c>
      <c r="G905">
        <v>6</v>
      </c>
      <c r="H905" t="s">
        <v>1208</v>
      </c>
      <c r="I905" s="1">
        <v>37132</v>
      </c>
      <c r="J905" s="1">
        <v>37323</v>
      </c>
      <c r="K905" s="1">
        <v>37372</v>
      </c>
      <c r="L905" s="1">
        <v>37372</v>
      </c>
      <c r="M905" s="1">
        <v>37270</v>
      </c>
      <c r="N905" s="1">
        <v>37271</v>
      </c>
      <c r="O905" t="s">
        <v>1117</v>
      </c>
      <c r="P905">
        <v>4</v>
      </c>
      <c r="Q905" t="s">
        <v>1215</v>
      </c>
      <c r="R905">
        <f t="shared" si="29"/>
        <v>3</v>
      </c>
      <c r="S905">
        <f t="shared" si="30"/>
        <v>1</v>
      </c>
    </row>
    <row r="906" spans="1:19" x14ac:dyDescent="0.25">
      <c r="A906" t="s">
        <v>2029</v>
      </c>
      <c r="B906" t="s">
        <v>1199</v>
      </c>
      <c r="C906">
        <v>1</v>
      </c>
      <c r="D906">
        <v>1250</v>
      </c>
      <c r="E906">
        <v>0</v>
      </c>
      <c r="F906">
        <v>3</v>
      </c>
      <c r="G906">
        <v>3</v>
      </c>
      <c r="H906" t="s">
        <v>1208</v>
      </c>
      <c r="I906" s="1">
        <v>37108</v>
      </c>
      <c r="J906" s="1">
        <v>37320</v>
      </c>
      <c r="K906" s="1">
        <v>37361</v>
      </c>
      <c r="L906" s="1">
        <v>37361</v>
      </c>
      <c r="M906" s="1">
        <v>37361</v>
      </c>
      <c r="N906" s="1">
        <v>37367</v>
      </c>
      <c r="O906" t="s">
        <v>1117</v>
      </c>
      <c r="P906">
        <v>3</v>
      </c>
      <c r="Q906" t="s">
        <v>1215</v>
      </c>
      <c r="R906">
        <f t="shared" si="29"/>
        <v>17</v>
      </c>
      <c r="S906">
        <f t="shared" si="30"/>
        <v>1</v>
      </c>
    </row>
    <row r="907" spans="1:19" x14ac:dyDescent="0.25">
      <c r="A907" t="s">
        <v>2030</v>
      </c>
      <c r="B907" t="s">
        <v>4028</v>
      </c>
      <c r="C907">
        <v>0.8</v>
      </c>
      <c r="D907">
        <v>1250</v>
      </c>
      <c r="E907">
        <v>0</v>
      </c>
      <c r="F907">
        <v>18</v>
      </c>
      <c r="G907">
        <v>18</v>
      </c>
      <c r="H907" t="s">
        <v>1208</v>
      </c>
      <c r="I907" s="1">
        <v>37159</v>
      </c>
      <c r="J907" s="1">
        <v>37313</v>
      </c>
      <c r="K907" s="1">
        <v>37331</v>
      </c>
      <c r="L907" s="1">
        <v>37331</v>
      </c>
      <c r="M907" s="1">
        <v>37331</v>
      </c>
      <c r="N907" s="1">
        <v>37331</v>
      </c>
      <c r="O907" t="s">
        <v>1117</v>
      </c>
      <c r="P907">
        <v>1</v>
      </c>
      <c r="Q907" t="s">
        <v>1215</v>
      </c>
      <c r="R907">
        <f t="shared" si="29"/>
        <v>11</v>
      </c>
      <c r="S907">
        <f t="shared" si="30"/>
        <v>1</v>
      </c>
    </row>
    <row r="908" spans="1:19" x14ac:dyDescent="0.25">
      <c r="A908" t="s">
        <v>2031</v>
      </c>
      <c r="B908" t="s">
        <v>1199</v>
      </c>
      <c r="C908">
        <v>1</v>
      </c>
      <c r="D908">
        <v>1250</v>
      </c>
      <c r="E908">
        <v>0</v>
      </c>
      <c r="F908">
        <v>3</v>
      </c>
      <c r="G908">
        <v>3</v>
      </c>
      <c r="H908" t="s">
        <v>1208</v>
      </c>
      <c r="I908" s="1">
        <v>37126</v>
      </c>
      <c r="J908" s="1">
        <v>37322</v>
      </c>
      <c r="K908" s="1">
        <v>37361</v>
      </c>
      <c r="L908" s="1">
        <v>37361</v>
      </c>
      <c r="M908" s="1">
        <v>37361</v>
      </c>
      <c r="N908" s="1">
        <v>37367</v>
      </c>
      <c r="O908" t="s">
        <v>1117</v>
      </c>
      <c r="P908">
        <v>2</v>
      </c>
      <c r="Q908" t="s">
        <v>1215</v>
      </c>
      <c r="R908">
        <f t="shared" si="29"/>
        <v>17</v>
      </c>
      <c r="S908">
        <f t="shared" si="30"/>
        <v>1</v>
      </c>
    </row>
    <row r="909" spans="1:19" x14ac:dyDescent="0.25">
      <c r="A909" t="s">
        <v>2032</v>
      </c>
      <c r="B909" t="s">
        <v>4027</v>
      </c>
      <c r="C909">
        <v>1.6</v>
      </c>
      <c r="D909">
        <v>1250</v>
      </c>
      <c r="E909">
        <v>0</v>
      </c>
      <c r="F909">
        <v>10</v>
      </c>
      <c r="G909">
        <v>10</v>
      </c>
      <c r="H909" t="s">
        <v>1208</v>
      </c>
      <c r="I909" s="1">
        <v>37159</v>
      </c>
      <c r="J909" s="1">
        <v>37314</v>
      </c>
      <c r="K909" s="1">
        <v>37328</v>
      </c>
      <c r="L909" s="1">
        <v>37328</v>
      </c>
      <c r="M909" s="1">
        <v>37324</v>
      </c>
      <c r="N909" s="1">
        <v>37324</v>
      </c>
      <c r="O909" t="s">
        <v>1117</v>
      </c>
      <c r="P909">
        <v>1</v>
      </c>
      <c r="Q909" t="s">
        <v>1215</v>
      </c>
      <c r="R909">
        <f t="shared" si="29"/>
        <v>10</v>
      </c>
      <c r="S909">
        <f t="shared" si="30"/>
        <v>1</v>
      </c>
    </row>
    <row r="910" spans="1:19" x14ac:dyDescent="0.25">
      <c r="A910" t="s">
        <v>4032</v>
      </c>
      <c r="B910" t="s">
        <v>4027</v>
      </c>
      <c r="C910">
        <v>1</v>
      </c>
      <c r="D910">
        <v>1250</v>
      </c>
      <c r="E910">
        <v>0</v>
      </c>
      <c r="F910">
        <v>3</v>
      </c>
      <c r="G910">
        <v>3</v>
      </c>
      <c r="H910" t="s">
        <v>1208</v>
      </c>
      <c r="I910" s="1">
        <v>37159</v>
      </c>
      <c r="J910" s="1">
        <v>37319</v>
      </c>
      <c r="K910" s="1">
        <v>37361</v>
      </c>
      <c r="L910" s="1">
        <v>37361</v>
      </c>
      <c r="M910" s="1">
        <v>37361</v>
      </c>
      <c r="N910" s="1">
        <v>37367</v>
      </c>
      <c r="O910" t="s">
        <v>1117</v>
      </c>
      <c r="P910">
        <v>20</v>
      </c>
      <c r="Q910" t="s">
        <v>1215</v>
      </c>
      <c r="R910">
        <f t="shared" si="29"/>
        <v>17</v>
      </c>
      <c r="S910">
        <f t="shared" si="30"/>
        <v>1</v>
      </c>
    </row>
    <row r="911" spans="1:19" x14ac:dyDescent="0.25">
      <c r="A911" t="s">
        <v>2033</v>
      </c>
      <c r="B911" t="s">
        <v>4028</v>
      </c>
      <c r="C911">
        <v>0.8</v>
      </c>
      <c r="D911">
        <v>1250</v>
      </c>
      <c r="E911">
        <v>0</v>
      </c>
      <c r="F911">
        <v>9</v>
      </c>
      <c r="G911">
        <v>9</v>
      </c>
      <c r="H911" t="s">
        <v>1208</v>
      </c>
      <c r="I911" s="1">
        <v>37189</v>
      </c>
      <c r="J911" s="1">
        <v>37325</v>
      </c>
      <c r="K911" s="1">
        <v>37378</v>
      </c>
      <c r="L911" s="1">
        <v>37378</v>
      </c>
      <c r="M911" s="1">
        <v>37353</v>
      </c>
      <c r="N911" s="1">
        <v>37353</v>
      </c>
      <c r="O911" t="s">
        <v>1117</v>
      </c>
      <c r="P911">
        <v>2</v>
      </c>
      <c r="Q911" t="s">
        <v>1215</v>
      </c>
      <c r="R911">
        <f t="shared" si="29"/>
        <v>15</v>
      </c>
      <c r="S911">
        <f t="shared" si="30"/>
        <v>1</v>
      </c>
    </row>
    <row r="912" spans="1:19" x14ac:dyDescent="0.25">
      <c r="A912" t="s">
        <v>2034</v>
      </c>
      <c r="B912" t="s">
        <v>1199</v>
      </c>
      <c r="C912">
        <v>2</v>
      </c>
      <c r="D912">
        <v>1250</v>
      </c>
      <c r="E912">
        <v>0</v>
      </c>
      <c r="F912">
        <v>6</v>
      </c>
      <c r="G912">
        <v>6</v>
      </c>
      <c r="H912" t="s">
        <v>1208</v>
      </c>
      <c r="I912" s="1">
        <v>37114</v>
      </c>
      <c r="J912" s="1">
        <v>37321</v>
      </c>
      <c r="K912" s="1">
        <v>37379</v>
      </c>
      <c r="L912" s="1">
        <v>37379</v>
      </c>
      <c r="M912" s="1">
        <v>37280</v>
      </c>
      <c r="N912" s="1">
        <v>37280</v>
      </c>
      <c r="O912" t="s">
        <v>1117</v>
      </c>
      <c r="P912">
        <v>1</v>
      </c>
      <c r="Q912" t="s">
        <v>1215</v>
      </c>
      <c r="R912">
        <f t="shared" si="29"/>
        <v>4</v>
      </c>
      <c r="S912">
        <f t="shared" si="30"/>
        <v>1</v>
      </c>
    </row>
    <row r="913" spans="1:19" x14ac:dyDescent="0.25">
      <c r="A913" t="s">
        <v>2035</v>
      </c>
      <c r="B913" t="s">
        <v>1199</v>
      </c>
      <c r="C913">
        <v>0.6</v>
      </c>
      <c r="D913">
        <v>1250</v>
      </c>
      <c r="E913">
        <v>0</v>
      </c>
      <c r="F913">
        <v>3</v>
      </c>
      <c r="G913">
        <v>3</v>
      </c>
      <c r="H913" t="s">
        <v>1208</v>
      </c>
      <c r="I913" s="1">
        <v>37189</v>
      </c>
      <c r="J913" s="1">
        <v>37325</v>
      </c>
      <c r="K913" s="1">
        <v>37360</v>
      </c>
      <c r="L913" s="1">
        <v>37360</v>
      </c>
      <c r="M913" s="1">
        <v>37360</v>
      </c>
      <c r="N913" s="1">
        <v>37362</v>
      </c>
      <c r="O913" t="s">
        <v>1117</v>
      </c>
      <c r="P913">
        <v>1</v>
      </c>
      <c r="Q913" t="s">
        <v>1215</v>
      </c>
      <c r="R913">
        <f t="shared" si="29"/>
        <v>16</v>
      </c>
      <c r="S913">
        <f t="shared" si="30"/>
        <v>1</v>
      </c>
    </row>
    <row r="914" spans="1:19" x14ac:dyDescent="0.25">
      <c r="A914" t="s">
        <v>2036</v>
      </c>
      <c r="B914" t="s">
        <v>4026</v>
      </c>
      <c r="C914">
        <v>1</v>
      </c>
      <c r="D914">
        <v>1250</v>
      </c>
      <c r="E914">
        <v>0</v>
      </c>
      <c r="F914">
        <v>5</v>
      </c>
      <c r="G914">
        <v>5</v>
      </c>
      <c r="H914" t="s">
        <v>1208</v>
      </c>
      <c r="I914" s="1">
        <v>37132</v>
      </c>
      <c r="J914" s="1">
        <v>37325</v>
      </c>
      <c r="K914" s="1">
        <v>37367</v>
      </c>
      <c r="L914" s="1">
        <v>37367</v>
      </c>
      <c r="M914" s="1">
        <v>37367</v>
      </c>
      <c r="N914" s="1">
        <v>37367</v>
      </c>
      <c r="O914" t="s">
        <v>1117</v>
      </c>
      <c r="P914">
        <v>2</v>
      </c>
      <c r="Q914" t="s">
        <v>1215</v>
      </c>
      <c r="R914">
        <f t="shared" si="29"/>
        <v>17</v>
      </c>
      <c r="S914">
        <f t="shared" si="30"/>
        <v>1</v>
      </c>
    </row>
    <row r="915" spans="1:19" x14ac:dyDescent="0.25">
      <c r="A915" t="s">
        <v>2037</v>
      </c>
      <c r="B915" t="s">
        <v>1199</v>
      </c>
      <c r="C915">
        <v>0.8</v>
      </c>
      <c r="D915">
        <v>1250</v>
      </c>
      <c r="E915">
        <v>0</v>
      </c>
      <c r="F915">
        <v>70</v>
      </c>
      <c r="G915">
        <v>70</v>
      </c>
      <c r="H915" t="s">
        <v>1208</v>
      </c>
      <c r="I915" s="1">
        <v>37162</v>
      </c>
      <c r="J915" s="1">
        <v>37314</v>
      </c>
      <c r="K915" s="1">
        <v>37348</v>
      </c>
      <c r="L915" s="1">
        <v>37348</v>
      </c>
      <c r="M915" s="1">
        <v>37348</v>
      </c>
      <c r="N915" s="1">
        <v>37348</v>
      </c>
      <c r="O915" t="s">
        <v>1117</v>
      </c>
      <c r="P915">
        <v>2</v>
      </c>
      <c r="Q915" t="s">
        <v>1215</v>
      </c>
      <c r="R915">
        <f t="shared" si="29"/>
        <v>14</v>
      </c>
      <c r="S915">
        <f t="shared" si="30"/>
        <v>1</v>
      </c>
    </row>
    <row r="916" spans="1:19" x14ac:dyDescent="0.25">
      <c r="A916" t="s">
        <v>2038</v>
      </c>
      <c r="B916" t="s">
        <v>4029</v>
      </c>
      <c r="C916">
        <v>0.6</v>
      </c>
      <c r="D916">
        <v>1250</v>
      </c>
      <c r="E916">
        <v>0</v>
      </c>
      <c r="F916">
        <v>3</v>
      </c>
      <c r="G916">
        <v>3</v>
      </c>
      <c r="H916" t="s">
        <v>1208</v>
      </c>
      <c r="I916" s="1">
        <v>37126</v>
      </c>
      <c r="J916" s="1">
        <v>37313</v>
      </c>
      <c r="K916" s="1">
        <v>37360</v>
      </c>
      <c r="L916" s="1">
        <v>37360</v>
      </c>
      <c r="M916" s="1">
        <v>37360</v>
      </c>
      <c r="N916" s="1">
        <v>37362</v>
      </c>
      <c r="O916" t="s">
        <v>1117</v>
      </c>
      <c r="P916">
        <v>2</v>
      </c>
      <c r="Q916" t="s">
        <v>1215</v>
      </c>
      <c r="R916">
        <f t="shared" si="29"/>
        <v>16</v>
      </c>
      <c r="S916">
        <f t="shared" si="30"/>
        <v>1</v>
      </c>
    </row>
    <row r="917" spans="1:19" x14ac:dyDescent="0.25">
      <c r="A917" t="s">
        <v>2039</v>
      </c>
      <c r="B917" t="s">
        <v>4026</v>
      </c>
      <c r="C917">
        <v>0.8</v>
      </c>
      <c r="D917">
        <v>1250</v>
      </c>
      <c r="E917">
        <v>0</v>
      </c>
      <c r="F917">
        <v>10</v>
      </c>
      <c r="G917">
        <v>10</v>
      </c>
      <c r="H917" t="s">
        <v>1208</v>
      </c>
      <c r="I917" s="1">
        <v>37119</v>
      </c>
      <c r="J917" s="1">
        <v>37321</v>
      </c>
      <c r="K917" s="1">
        <v>37369</v>
      </c>
      <c r="L917" s="1">
        <v>37369</v>
      </c>
      <c r="M917" s="1">
        <v>37362</v>
      </c>
      <c r="N917" s="1">
        <v>37362</v>
      </c>
      <c r="O917" t="s">
        <v>1117</v>
      </c>
      <c r="P917">
        <v>2</v>
      </c>
      <c r="Q917" t="s">
        <v>1215</v>
      </c>
      <c r="R917">
        <f t="shared" si="29"/>
        <v>16</v>
      </c>
      <c r="S917">
        <f t="shared" si="30"/>
        <v>1</v>
      </c>
    </row>
    <row r="918" spans="1:19" x14ac:dyDescent="0.25">
      <c r="A918" t="s">
        <v>2040</v>
      </c>
      <c r="B918" t="s">
        <v>1199</v>
      </c>
      <c r="C918">
        <v>0.8</v>
      </c>
      <c r="D918">
        <v>1250</v>
      </c>
      <c r="E918">
        <v>0</v>
      </c>
      <c r="F918">
        <v>9</v>
      </c>
      <c r="G918">
        <v>9</v>
      </c>
      <c r="H918" t="s">
        <v>1208</v>
      </c>
      <c r="I918" s="1">
        <v>37189</v>
      </c>
      <c r="J918" s="1">
        <v>37325</v>
      </c>
      <c r="K918" s="1">
        <v>37378</v>
      </c>
      <c r="L918" s="1">
        <v>37378</v>
      </c>
      <c r="M918" s="1">
        <v>37353</v>
      </c>
      <c r="N918" s="1">
        <v>37353</v>
      </c>
      <c r="O918" t="s">
        <v>1117</v>
      </c>
      <c r="P918">
        <v>2</v>
      </c>
      <c r="Q918" t="s">
        <v>1215</v>
      </c>
      <c r="R918">
        <f t="shared" si="29"/>
        <v>15</v>
      </c>
      <c r="S918">
        <f t="shared" si="30"/>
        <v>1</v>
      </c>
    </row>
    <row r="919" spans="1:19" x14ac:dyDescent="0.25">
      <c r="A919" t="s">
        <v>2041</v>
      </c>
      <c r="B919" t="s">
        <v>4027</v>
      </c>
      <c r="C919">
        <v>0.8</v>
      </c>
      <c r="D919">
        <v>1250</v>
      </c>
      <c r="E919">
        <v>0</v>
      </c>
      <c r="F919">
        <v>5</v>
      </c>
      <c r="G919">
        <v>5</v>
      </c>
      <c r="H919" t="s">
        <v>1208</v>
      </c>
      <c r="I919" s="1">
        <v>37159</v>
      </c>
      <c r="J919" s="1">
        <v>37319</v>
      </c>
      <c r="K919" s="1">
        <v>37300</v>
      </c>
      <c r="L919" s="1">
        <v>37319</v>
      </c>
      <c r="M919" s="1">
        <v>37287</v>
      </c>
      <c r="N919" s="1">
        <v>37287</v>
      </c>
      <c r="O919" t="s">
        <v>1114</v>
      </c>
      <c r="P919">
        <v>1</v>
      </c>
      <c r="Q919" t="s">
        <v>1215</v>
      </c>
      <c r="R919">
        <f t="shared" si="29"/>
        <v>5</v>
      </c>
      <c r="S919">
        <f t="shared" si="30"/>
        <v>1</v>
      </c>
    </row>
    <row r="920" spans="1:19" x14ac:dyDescent="0.25">
      <c r="A920" t="s">
        <v>2042</v>
      </c>
      <c r="B920" t="s">
        <v>1199</v>
      </c>
      <c r="C920">
        <v>1.2</v>
      </c>
      <c r="D920">
        <v>1000</v>
      </c>
      <c r="E920">
        <v>0</v>
      </c>
      <c r="F920">
        <v>3</v>
      </c>
      <c r="G920">
        <v>3</v>
      </c>
      <c r="H920" t="s">
        <v>1208</v>
      </c>
      <c r="I920" s="1">
        <v>37128</v>
      </c>
      <c r="J920" s="1">
        <v>37312</v>
      </c>
      <c r="K920" s="1">
        <v>37330</v>
      </c>
      <c r="L920" s="1">
        <v>37330</v>
      </c>
      <c r="M920" s="1">
        <v>37330</v>
      </c>
      <c r="N920" s="1">
        <v>37330</v>
      </c>
      <c r="O920" t="s">
        <v>1117</v>
      </c>
      <c r="P920">
        <v>3</v>
      </c>
      <c r="Q920" t="s">
        <v>1215</v>
      </c>
      <c r="R920">
        <f t="shared" si="29"/>
        <v>11</v>
      </c>
      <c r="S920">
        <f t="shared" si="30"/>
        <v>1</v>
      </c>
    </row>
    <row r="921" spans="1:19" x14ac:dyDescent="0.25">
      <c r="A921" t="s">
        <v>2043</v>
      </c>
      <c r="B921" t="s">
        <v>1199</v>
      </c>
      <c r="C921">
        <v>0.6</v>
      </c>
      <c r="D921">
        <v>1250</v>
      </c>
      <c r="E921">
        <v>0</v>
      </c>
      <c r="F921">
        <v>35</v>
      </c>
      <c r="G921">
        <v>35</v>
      </c>
      <c r="H921" t="s">
        <v>1208</v>
      </c>
      <c r="I921" s="1">
        <v>37159</v>
      </c>
      <c r="J921" s="1">
        <v>37325</v>
      </c>
      <c r="K921" t="s">
        <v>1124</v>
      </c>
      <c r="L921" t="s">
        <v>1124</v>
      </c>
      <c r="M921" s="1">
        <v>37361</v>
      </c>
      <c r="N921" s="1">
        <v>37361</v>
      </c>
      <c r="O921" t="s">
        <v>1117</v>
      </c>
      <c r="P921">
        <v>1</v>
      </c>
      <c r="Q921" t="s">
        <v>1215</v>
      </c>
      <c r="R921">
        <f t="shared" si="29"/>
        <v>16</v>
      </c>
      <c r="S921">
        <f t="shared" si="30"/>
        <v>1</v>
      </c>
    </row>
    <row r="922" spans="1:19" x14ac:dyDescent="0.25">
      <c r="A922" t="s">
        <v>2044</v>
      </c>
      <c r="B922" t="s">
        <v>1199</v>
      </c>
      <c r="C922">
        <v>1</v>
      </c>
      <c r="D922">
        <v>1250</v>
      </c>
      <c r="E922">
        <v>0</v>
      </c>
      <c r="F922">
        <v>10</v>
      </c>
      <c r="G922">
        <v>10</v>
      </c>
      <c r="H922" t="s">
        <v>1208</v>
      </c>
      <c r="I922" s="1">
        <v>37119</v>
      </c>
      <c r="J922" s="1">
        <v>37321</v>
      </c>
      <c r="K922" s="1">
        <v>37361</v>
      </c>
      <c r="L922" s="1">
        <v>37361</v>
      </c>
      <c r="M922" s="1">
        <v>37361</v>
      </c>
      <c r="N922" s="1">
        <v>37367</v>
      </c>
      <c r="O922" t="s">
        <v>1117</v>
      </c>
      <c r="P922">
        <v>1</v>
      </c>
      <c r="Q922" t="s">
        <v>1215</v>
      </c>
      <c r="R922">
        <f t="shared" si="29"/>
        <v>17</v>
      </c>
      <c r="S922">
        <f t="shared" si="30"/>
        <v>1</v>
      </c>
    </row>
    <row r="923" spans="1:19" x14ac:dyDescent="0.25">
      <c r="A923" t="s">
        <v>2045</v>
      </c>
      <c r="B923" t="s">
        <v>4028</v>
      </c>
      <c r="C923">
        <v>1</v>
      </c>
      <c r="D923">
        <v>1250</v>
      </c>
      <c r="E923">
        <v>0</v>
      </c>
      <c r="F923">
        <v>3</v>
      </c>
      <c r="G923">
        <v>3</v>
      </c>
      <c r="H923" t="s">
        <v>1208</v>
      </c>
      <c r="I923" s="1">
        <v>37124</v>
      </c>
      <c r="J923" s="1">
        <v>37310</v>
      </c>
      <c r="K923" s="1">
        <v>37361</v>
      </c>
      <c r="L923" s="1">
        <v>37361</v>
      </c>
      <c r="M923" s="1">
        <v>37361</v>
      </c>
      <c r="N923" s="1">
        <v>37367</v>
      </c>
      <c r="O923" t="s">
        <v>1117</v>
      </c>
      <c r="P923">
        <v>1</v>
      </c>
      <c r="Q923" t="s">
        <v>1215</v>
      </c>
      <c r="R923">
        <f t="shared" si="29"/>
        <v>17</v>
      </c>
      <c r="S923">
        <f t="shared" si="30"/>
        <v>1</v>
      </c>
    </row>
    <row r="924" spans="1:19" x14ac:dyDescent="0.25">
      <c r="A924" t="s">
        <v>2046</v>
      </c>
      <c r="B924" t="s">
        <v>1199</v>
      </c>
      <c r="C924">
        <v>0.9</v>
      </c>
      <c r="D924">
        <v>1000</v>
      </c>
      <c r="E924">
        <v>0</v>
      </c>
      <c r="F924">
        <v>6</v>
      </c>
      <c r="G924">
        <v>6</v>
      </c>
      <c r="H924" t="s">
        <v>1208</v>
      </c>
      <c r="I924" s="1">
        <v>37159</v>
      </c>
      <c r="J924" s="1">
        <v>37312</v>
      </c>
      <c r="K924" s="1">
        <v>37371</v>
      </c>
      <c r="L924" s="1">
        <v>37371</v>
      </c>
      <c r="M924" s="1">
        <v>37283</v>
      </c>
      <c r="N924" s="1">
        <v>37283</v>
      </c>
      <c r="O924" t="s">
        <v>1117</v>
      </c>
      <c r="P924">
        <v>2</v>
      </c>
      <c r="Q924" t="s">
        <v>1215</v>
      </c>
      <c r="R924">
        <f t="shared" si="29"/>
        <v>5</v>
      </c>
      <c r="S924">
        <f t="shared" si="30"/>
        <v>1</v>
      </c>
    </row>
    <row r="925" spans="1:19" x14ac:dyDescent="0.25">
      <c r="A925" t="s">
        <v>2047</v>
      </c>
      <c r="B925" t="s">
        <v>1199</v>
      </c>
      <c r="C925">
        <v>0.9</v>
      </c>
      <c r="D925">
        <v>1000</v>
      </c>
      <c r="E925">
        <v>0</v>
      </c>
      <c r="F925">
        <v>3</v>
      </c>
      <c r="G925">
        <v>3</v>
      </c>
      <c r="H925" t="s">
        <v>1208</v>
      </c>
      <c r="I925" s="1">
        <v>37159</v>
      </c>
      <c r="J925" s="1">
        <v>37312</v>
      </c>
      <c r="K925" t="s">
        <v>1124</v>
      </c>
      <c r="L925" t="s">
        <v>1124</v>
      </c>
      <c r="M925" s="1">
        <v>37276</v>
      </c>
      <c r="N925" s="1">
        <v>37283</v>
      </c>
      <c r="O925" t="s">
        <v>1117</v>
      </c>
      <c r="P925">
        <v>6</v>
      </c>
      <c r="Q925" t="s">
        <v>1215</v>
      </c>
      <c r="R925">
        <f t="shared" si="29"/>
        <v>5</v>
      </c>
      <c r="S925">
        <f t="shared" si="30"/>
        <v>1</v>
      </c>
    </row>
    <row r="926" spans="1:19" x14ac:dyDescent="0.25">
      <c r="A926" t="s">
        <v>2048</v>
      </c>
      <c r="B926" t="s">
        <v>4028</v>
      </c>
      <c r="C926">
        <v>1.2</v>
      </c>
      <c r="D926">
        <v>1250</v>
      </c>
      <c r="E926">
        <v>0</v>
      </c>
      <c r="F926">
        <v>60</v>
      </c>
      <c r="G926">
        <v>60</v>
      </c>
      <c r="H926" t="s">
        <v>1208</v>
      </c>
      <c r="I926" s="1">
        <v>37162</v>
      </c>
      <c r="J926" s="1">
        <v>37314</v>
      </c>
      <c r="K926" s="1">
        <v>37317</v>
      </c>
      <c r="L926" s="1">
        <v>37317</v>
      </c>
      <c r="M926" s="1">
        <v>37324</v>
      </c>
      <c r="N926" s="1">
        <v>37324</v>
      </c>
      <c r="O926" t="s">
        <v>1117</v>
      </c>
      <c r="P926">
        <v>4</v>
      </c>
      <c r="Q926" t="s">
        <v>1215</v>
      </c>
      <c r="R926">
        <f t="shared" si="29"/>
        <v>10</v>
      </c>
      <c r="S926">
        <f t="shared" si="30"/>
        <v>1</v>
      </c>
    </row>
    <row r="927" spans="1:19" x14ac:dyDescent="0.25">
      <c r="A927" t="s">
        <v>2049</v>
      </c>
      <c r="B927" t="s">
        <v>1199</v>
      </c>
      <c r="C927">
        <v>1.2</v>
      </c>
      <c r="D927">
        <v>1250</v>
      </c>
      <c r="E927">
        <v>0</v>
      </c>
      <c r="F927">
        <v>60</v>
      </c>
      <c r="G927">
        <v>60</v>
      </c>
      <c r="H927" t="s">
        <v>1208</v>
      </c>
      <c r="I927" s="1">
        <v>37162</v>
      </c>
      <c r="J927" s="1">
        <v>37314</v>
      </c>
      <c r="K927" s="1">
        <v>37317</v>
      </c>
      <c r="L927" s="1">
        <v>37317</v>
      </c>
      <c r="M927" s="1">
        <v>37324</v>
      </c>
      <c r="N927" s="1">
        <v>37324</v>
      </c>
      <c r="O927" t="s">
        <v>1117</v>
      </c>
      <c r="P927">
        <v>4</v>
      </c>
      <c r="Q927" t="s">
        <v>1215</v>
      </c>
      <c r="R927">
        <f t="shared" si="29"/>
        <v>10</v>
      </c>
      <c r="S927">
        <f t="shared" si="30"/>
        <v>1</v>
      </c>
    </row>
    <row r="928" spans="1:19" x14ac:dyDescent="0.25">
      <c r="A928" t="s">
        <v>2050</v>
      </c>
      <c r="B928" t="s">
        <v>4027</v>
      </c>
      <c r="C928">
        <v>0.6</v>
      </c>
      <c r="D928">
        <v>1250</v>
      </c>
      <c r="E928">
        <v>0</v>
      </c>
      <c r="F928">
        <v>3</v>
      </c>
      <c r="G928">
        <v>3</v>
      </c>
      <c r="H928" t="s">
        <v>1208</v>
      </c>
      <c r="I928" s="1">
        <v>37124</v>
      </c>
      <c r="J928" s="1">
        <v>37309</v>
      </c>
      <c r="K928" s="1">
        <v>37360</v>
      </c>
      <c r="L928" s="1">
        <v>37360</v>
      </c>
      <c r="M928" s="1">
        <v>37360</v>
      </c>
      <c r="N928" s="1">
        <v>37362</v>
      </c>
      <c r="O928" t="s">
        <v>1117</v>
      </c>
      <c r="P928">
        <v>19</v>
      </c>
      <c r="Q928" t="s">
        <v>1215</v>
      </c>
      <c r="R928">
        <f t="shared" si="29"/>
        <v>16</v>
      </c>
      <c r="S928">
        <f t="shared" si="30"/>
        <v>1</v>
      </c>
    </row>
    <row r="929" spans="1:19" x14ac:dyDescent="0.25">
      <c r="A929" t="s">
        <v>2051</v>
      </c>
      <c r="B929" t="s">
        <v>4026</v>
      </c>
      <c r="C929">
        <v>0.8</v>
      </c>
      <c r="D929">
        <v>1250</v>
      </c>
      <c r="E929">
        <v>0</v>
      </c>
      <c r="F929">
        <v>51</v>
      </c>
      <c r="G929">
        <v>51</v>
      </c>
      <c r="H929" t="s">
        <v>1208</v>
      </c>
      <c r="I929" s="1">
        <v>37159</v>
      </c>
      <c r="J929" s="1">
        <v>37325</v>
      </c>
      <c r="K929" t="s">
        <v>1124</v>
      </c>
      <c r="L929" t="s">
        <v>1124</v>
      </c>
      <c r="M929" s="1">
        <v>37362</v>
      </c>
      <c r="N929" s="1">
        <v>37362</v>
      </c>
      <c r="O929" t="s">
        <v>1117</v>
      </c>
      <c r="P929">
        <v>4</v>
      </c>
      <c r="Q929" t="s">
        <v>1215</v>
      </c>
      <c r="R929">
        <f t="shared" si="29"/>
        <v>16</v>
      </c>
      <c r="S929">
        <f t="shared" si="30"/>
        <v>1</v>
      </c>
    </row>
    <row r="930" spans="1:19" x14ac:dyDescent="0.25">
      <c r="A930" t="s">
        <v>2052</v>
      </c>
      <c r="B930" t="s">
        <v>4028</v>
      </c>
      <c r="C930">
        <v>0.8</v>
      </c>
      <c r="D930">
        <v>1250</v>
      </c>
      <c r="E930">
        <v>0</v>
      </c>
      <c r="F930">
        <v>70</v>
      </c>
      <c r="G930">
        <v>70</v>
      </c>
      <c r="H930" t="s">
        <v>1208</v>
      </c>
      <c r="I930" s="1">
        <v>37162</v>
      </c>
      <c r="J930" s="1">
        <v>37314</v>
      </c>
      <c r="K930" s="1">
        <v>37348</v>
      </c>
      <c r="L930" s="1">
        <v>37348</v>
      </c>
      <c r="M930" s="1">
        <v>37348</v>
      </c>
      <c r="N930" s="1">
        <v>37348</v>
      </c>
      <c r="O930" t="s">
        <v>1117</v>
      </c>
      <c r="P930">
        <v>2</v>
      </c>
      <c r="Q930" t="s">
        <v>1215</v>
      </c>
      <c r="R930">
        <f t="shared" si="29"/>
        <v>14</v>
      </c>
      <c r="S930">
        <f t="shared" si="30"/>
        <v>1</v>
      </c>
    </row>
    <row r="931" spans="1:19" x14ac:dyDescent="0.25">
      <c r="A931" t="s">
        <v>2053</v>
      </c>
      <c r="B931" t="s">
        <v>4026</v>
      </c>
      <c r="C931">
        <v>0.6</v>
      </c>
      <c r="D931">
        <v>1250</v>
      </c>
      <c r="E931">
        <v>0</v>
      </c>
      <c r="F931">
        <v>35</v>
      </c>
      <c r="G931">
        <v>10.848000000000001</v>
      </c>
      <c r="H931" t="s">
        <v>1208</v>
      </c>
      <c r="I931" s="1">
        <v>37159</v>
      </c>
      <c r="J931" s="1">
        <v>37325</v>
      </c>
      <c r="K931" t="s">
        <v>1124</v>
      </c>
      <c r="L931" t="s">
        <v>1124</v>
      </c>
      <c r="M931" s="1">
        <v>37361</v>
      </c>
      <c r="N931" s="1">
        <v>37361</v>
      </c>
      <c r="O931" t="s">
        <v>1117</v>
      </c>
      <c r="P931">
        <v>1</v>
      </c>
      <c r="Q931" t="s">
        <v>1215</v>
      </c>
      <c r="R931">
        <f t="shared" si="29"/>
        <v>16</v>
      </c>
      <c r="S931">
        <f t="shared" si="30"/>
        <v>0</v>
      </c>
    </row>
    <row r="932" spans="1:19" x14ac:dyDescent="0.25">
      <c r="A932" t="s">
        <v>2054</v>
      </c>
      <c r="B932" t="s">
        <v>4028</v>
      </c>
      <c r="C932">
        <v>2.85</v>
      </c>
      <c r="D932">
        <v>1250</v>
      </c>
      <c r="E932">
        <v>0</v>
      </c>
      <c r="F932">
        <v>60</v>
      </c>
      <c r="G932">
        <v>21.724</v>
      </c>
      <c r="H932" t="s">
        <v>1208</v>
      </c>
      <c r="I932" s="1">
        <v>37159</v>
      </c>
      <c r="J932" s="1">
        <v>37314</v>
      </c>
      <c r="K932" s="1">
        <v>37336</v>
      </c>
      <c r="L932" s="1">
        <v>37336</v>
      </c>
      <c r="M932" s="1">
        <v>37336</v>
      </c>
      <c r="N932" s="1">
        <v>37336</v>
      </c>
      <c r="O932" t="s">
        <v>1117</v>
      </c>
      <c r="P932">
        <v>3</v>
      </c>
      <c r="Q932" t="s">
        <v>1215</v>
      </c>
      <c r="R932">
        <f t="shared" si="29"/>
        <v>12</v>
      </c>
      <c r="S932">
        <f t="shared" si="30"/>
        <v>0</v>
      </c>
    </row>
    <row r="933" spans="1:19" x14ac:dyDescent="0.25">
      <c r="A933" t="s">
        <v>2055</v>
      </c>
      <c r="B933" t="s">
        <v>4028</v>
      </c>
      <c r="C933">
        <v>1.2</v>
      </c>
      <c r="D933">
        <v>1000</v>
      </c>
      <c r="E933">
        <v>0</v>
      </c>
      <c r="F933">
        <v>3</v>
      </c>
      <c r="G933">
        <v>3</v>
      </c>
      <c r="H933" t="s">
        <v>1208</v>
      </c>
      <c r="I933" s="1">
        <v>37159</v>
      </c>
      <c r="J933" s="1">
        <v>37319</v>
      </c>
      <c r="K933" s="1">
        <v>37331</v>
      </c>
      <c r="L933" s="1">
        <v>37331</v>
      </c>
      <c r="M933" s="1">
        <v>37331</v>
      </c>
      <c r="N933" s="1">
        <v>37332</v>
      </c>
      <c r="O933" t="s">
        <v>1117</v>
      </c>
      <c r="P933">
        <v>2</v>
      </c>
      <c r="Q933" t="s">
        <v>1215</v>
      </c>
      <c r="R933">
        <f t="shared" si="29"/>
        <v>12</v>
      </c>
      <c r="S933">
        <f t="shared" si="30"/>
        <v>1</v>
      </c>
    </row>
    <row r="934" spans="1:19" x14ac:dyDescent="0.25">
      <c r="A934" t="s">
        <v>2056</v>
      </c>
      <c r="B934" t="s">
        <v>1199</v>
      </c>
      <c r="C934">
        <v>1.5</v>
      </c>
      <c r="D934">
        <v>1250</v>
      </c>
      <c r="E934">
        <v>0</v>
      </c>
      <c r="F934">
        <v>9</v>
      </c>
      <c r="G934">
        <v>9</v>
      </c>
      <c r="H934" t="s">
        <v>1208</v>
      </c>
      <c r="I934" s="1">
        <v>37132</v>
      </c>
      <c r="J934" s="1">
        <v>37323</v>
      </c>
      <c r="K934" s="1">
        <v>37369</v>
      </c>
      <c r="L934" s="1">
        <v>37369</v>
      </c>
      <c r="M934" s="1">
        <v>37270</v>
      </c>
      <c r="N934" s="1">
        <v>37287</v>
      </c>
      <c r="O934" t="s">
        <v>1117</v>
      </c>
      <c r="P934">
        <v>2</v>
      </c>
      <c r="Q934" t="s">
        <v>1215</v>
      </c>
      <c r="R934">
        <f t="shared" si="29"/>
        <v>5</v>
      </c>
      <c r="S934">
        <f t="shared" si="30"/>
        <v>1</v>
      </c>
    </row>
    <row r="935" spans="1:19" x14ac:dyDescent="0.25">
      <c r="A935" t="s">
        <v>2057</v>
      </c>
      <c r="B935" t="s">
        <v>1199</v>
      </c>
      <c r="C935">
        <v>1.2</v>
      </c>
      <c r="D935">
        <v>1000</v>
      </c>
      <c r="E935">
        <v>0</v>
      </c>
      <c r="F935">
        <v>3</v>
      </c>
      <c r="G935">
        <v>3</v>
      </c>
      <c r="H935" t="s">
        <v>1208</v>
      </c>
      <c r="I935" s="1">
        <v>37189</v>
      </c>
      <c r="J935" s="1">
        <v>37323</v>
      </c>
      <c r="K935" s="1">
        <v>37332</v>
      </c>
      <c r="L935" s="1">
        <v>37332</v>
      </c>
      <c r="M935" s="1">
        <v>37332</v>
      </c>
      <c r="N935" s="1">
        <v>37332</v>
      </c>
      <c r="O935" t="s">
        <v>1117</v>
      </c>
      <c r="P935">
        <v>2</v>
      </c>
      <c r="Q935" t="s">
        <v>1215</v>
      </c>
      <c r="R935">
        <f t="shared" si="29"/>
        <v>12</v>
      </c>
      <c r="S935">
        <f t="shared" si="30"/>
        <v>1</v>
      </c>
    </row>
    <row r="936" spans="1:19" x14ac:dyDescent="0.25">
      <c r="A936" t="s">
        <v>2058</v>
      </c>
      <c r="B936" t="s">
        <v>4028</v>
      </c>
      <c r="C936">
        <v>1.2</v>
      </c>
      <c r="D936">
        <v>1000</v>
      </c>
      <c r="E936">
        <v>0</v>
      </c>
      <c r="F936">
        <v>3</v>
      </c>
      <c r="G936">
        <v>3</v>
      </c>
      <c r="H936" t="s">
        <v>1208</v>
      </c>
      <c r="I936" s="1">
        <v>37189</v>
      </c>
      <c r="J936" s="1">
        <v>37323</v>
      </c>
      <c r="K936" s="1">
        <v>37332</v>
      </c>
      <c r="L936" s="1">
        <v>37332</v>
      </c>
      <c r="M936" s="1">
        <v>37332</v>
      </c>
      <c r="N936" s="1">
        <v>37332</v>
      </c>
      <c r="O936" t="s">
        <v>1117</v>
      </c>
      <c r="P936">
        <v>2</v>
      </c>
      <c r="Q936" t="s">
        <v>1215</v>
      </c>
      <c r="R936">
        <f t="shared" si="29"/>
        <v>12</v>
      </c>
      <c r="S936">
        <f t="shared" si="30"/>
        <v>1</v>
      </c>
    </row>
    <row r="937" spans="1:19" x14ac:dyDescent="0.25">
      <c r="A937" t="s">
        <v>2059</v>
      </c>
      <c r="B937" t="s">
        <v>1199</v>
      </c>
      <c r="C937">
        <v>0.8</v>
      </c>
      <c r="D937">
        <v>1250</v>
      </c>
      <c r="E937">
        <v>0</v>
      </c>
      <c r="F937">
        <v>10</v>
      </c>
      <c r="G937">
        <v>10</v>
      </c>
      <c r="H937" t="s">
        <v>1208</v>
      </c>
      <c r="I937" s="1">
        <v>37108</v>
      </c>
      <c r="J937" s="1">
        <v>37320</v>
      </c>
      <c r="K937" s="1">
        <v>37369</v>
      </c>
      <c r="L937" s="1">
        <v>37369</v>
      </c>
      <c r="M937" s="1">
        <v>37362</v>
      </c>
      <c r="N937" s="1">
        <v>37362</v>
      </c>
      <c r="O937" t="s">
        <v>1117</v>
      </c>
      <c r="P937">
        <v>1</v>
      </c>
      <c r="Q937" t="s">
        <v>1215</v>
      </c>
      <c r="R937">
        <f t="shared" si="29"/>
        <v>16</v>
      </c>
      <c r="S937">
        <f t="shared" si="30"/>
        <v>1</v>
      </c>
    </row>
    <row r="938" spans="1:19" x14ac:dyDescent="0.25">
      <c r="A938" t="s">
        <v>2060</v>
      </c>
      <c r="B938" t="s">
        <v>1199</v>
      </c>
      <c r="C938">
        <v>1.2</v>
      </c>
      <c r="D938">
        <v>1250</v>
      </c>
      <c r="E938">
        <v>0</v>
      </c>
      <c r="F938">
        <v>10</v>
      </c>
      <c r="G938">
        <v>7.476</v>
      </c>
      <c r="H938" t="s">
        <v>1208</v>
      </c>
      <c r="I938" s="1">
        <v>37108</v>
      </c>
      <c r="J938" s="1">
        <v>37320</v>
      </c>
      <c r="K938" s="1">
        <v>37321</v>
      </c>
      <c r="L938" s="1">
        <v>37321</v>
      </c>
      <c r="M938" s="1">
        <v>37284</v>
      </c>
      <c r="N938" s="1">
        <v>37284</v>
      </c>
      <c r="O938" t="s">
        <v>1117</v>
      </c>
      <c r="P938">
        <v>3</v>
      </c>
      <c r="Q938" t="s">
        <v>1215</v>
      </c>
      <c r="R938">
        <f t="shared" si="29"/>
        <v>5</v>
      </c>
      <c r="S938">
        <f t="shared" si="30"/>
        <v>0</v>
      </c>
    </row>
    <row r="939" spans="1:19" x14ac:dyDescent="0.25">
      <c r="A939" t="s">
        <v>2061</v>
      </c>
      <c r="B939" t="s">
        <v>1199</v>
      </c>
      <c r="C939">
        <v>0.8</v>
      </c>
      <c r="D939">
        <v>1000</v>
      </c>
      <c r="E939">
        <v>0</v>
      </c>
      <c r="F939">
        <v>6</v>
      </c>
      <c r="G939">
        <v>6</v>
      </c>
      <c r="H939" t="s">
        <v>1208</v>
      </c>
      <c r="I939" s="1">
        <v>37159</v>
      </c>
      <c r="J939" s="1">
        <v>37320</v>
      </c>
      <c r="K939" s="1">
        <v>37351</v>
      </c>
      <c r="L939" s="1">
        <v>37351</v>
      </c>
      <c r="M939" s="1">
        <v>37351</v>
      </c>
      <c r="N939" s="1">
        <v>37351</v>
      </c>
      <c r="O939" t="s">
        <v>1117</v>
      </c>
      <c r="P939">
        <v>2</v>
      </c>
      <c r="Q939" t="s">
        <v>1215</v>
      </c>
      <c r="R939">
        <f t="shared" si="29"/>
        <v>14</v>
      </c>
      <c r="S939">
        <f t="shared" si="30"/>
        <v>1</v>
      </c>
    </row>
    <row r="940" spans="1:19" x14ac:dyDescent="0.25">
      <c r="A940" t="s">
        <v>2062</v>
      </c>
      <c r="B940" t="s">
        <v>4028</v>
      </c>
      <c r="C940">
        <v>0.6</v>
      </c>
      <c r="D940">
        <v>1250</v>
      </c>
      <c r="E940">
        <v>0</v>
      </c>
      <c r="F940">
        <v>10</v>
      </c>
      <c r="G940">
        <v>10</v>
      </c>
      <c r="H940" t="s">
        <v>1208</v>
      </c>
      <c r="I940" s="1">
        <v>37114</v>
      </c>
      <c r="J940" s="1">
        <v>37321</v>
      </c>
      <c r="K940" s="1">
        <v>37361</v>
      </c>
      <c r="L940" s="1">
        <v>37361</v>
      </c>
      <c r="M940" s="1">
        <v>37361</v>
      </c>
      <c r="N940" s="1">
        <v>37361</v>
      </c>
      <c r="O940" t="s">
        <v>1117</v>
      </c>
      <c r="P940">
        <v>1</v>
      </c>
      <c r="Q940" t="s">
        <v>1215</v>
      </c>
      <c r="R940">
        <f t="shared" si="29"/>
        <v>16</v>
      </c>
      <c r="S940">
        <f t="shared" si="30"/>
        <v>1</v>
      </c>
    </row>
    <row r="941" spans="1:19" x14ac:dyDescent="0.25">
      <c r="A941" t="s">
        <v>2063</v>
      </c>
      <c r="B941" t="s">
        <v>1199</v>
      </c>
      <c r="C941">
        <v>0.8</v>
      </c>
      <c r="D941">
        <v>1000</v>
      </c>
      <c r="E941">
        <v>0</v>
      </c>
      <c r="F941">
        <v>6</v>
      </c>
      <c r="G941">
        <v>6</v>
      </c>
      <c r="H941" t="s">
        <v>1208</v>
      </c>
      <c r="I941" s="1">
        <v>37159</v>
      </c>
      <c r="J941" s="1">
        <v>37323</v>
      </c>
      <c r="K941" s="1">
        <v>37351</v>
      </c>
      <c r="L941" s="1">
        <v>37351</v>
      </c>
      <c r="M941" s="1">
        <v>37351</v>
      </c>
      <c r="N941" s="1">
        <v>37351</v>
      </c>
      <c r="O941" t="s">
        <v>1117</v>
      </c>
      <c r="P941">
        <v>4</v>
      </c>
      <c r="Q941" t="s">
        <v>1215</v>
      </c>
      <c r="R941">
        <f t="shared" si="29"/>
        <v>14</v>
      </c>
      <c r="S941">
        <f t="shared" si="30"/>
        <v>1</v>
      </c>
    </row>
    <row r="942" spans="1:19" x14ac:dyDescent="0.25">
      <c r="A942" t="s">
        <v>2064</v>
      </c>
      <c r="B942" t="s">
        <v>1199</v>
      </c>
      <c r="C942">
        <v>1.2</v>
      </c>
      <c r="D942">
        <v>1000</v>
      </c>
      <c r="E942">
        <v>0</v>
      </c>
      <c r="F942">
        <v>3</v>
      </c>
      <c r="G942">
        <v>3</v>
      </c>
      <c r="H942" t="s">
        <v>1208</v>
      </c>
      <c r="I942" s="1">
        <v>37132</v>
      </c>
      <c r="J942" s="1">
        <v>37323</v>
      </c>
      <c r="K942" s="1">
        <v>37372</v>
      </c>
      <c r="L942" s="1">
        <v>37372</v>
      </c>
      <c r="M942" s="1">
        <v>37270</v>
      </c>
      <c r="N942" s="1">
        <v>37281</v>
      </c>
      <c r="O942" t="s">
        <v>1117</v>
      </c>
      <c r="P942">
        <v>3</v>
      </c>
      <c r="Q942" t="s">
        <v>1215</v>
      </c>
      <c r="R942">
        <f t="shared" si="29"/>
        <v>4</v>
      </c>
      <c r="S942">
        <f t="shared" si="30"/>
        <v>1</v>
      </c>
    </row>
    <row r="943" spans="1:19" x14ac:dyDescent="0.25">
      <c r="A943" t="s">
        <v>4033</v>
      </c>
      <c r="B943" t="s">
        <v>4028</v>
      </c>
      <c r="C943">
        <v>0.6</v>
      </c>
      <c r="D943">
        <v>1250</v>
      </c>
      <c r="E943">
        <v>0</v>
      </c>
      <c r="F943">
        <v>3</v>
      </c>
      <c r="G943">
        <v>3</v>
      </c>
      <c r="H943" t="s">
        <v>1208</v>
      </c>
      <c r="I943" s="1">
        <v>37159</v>
      </c>
      <c r="J943" s="1">
        <v>37319</v>
      </c>
      <c r="K943" s="1">
        <v>37361</v>
      </c>
      <c r="L943" s="1">
        <v>37361</v>
      </c>
      <c r="M943" s="1">
        <v>37361</v>
      </c>
      <c r="N943" s="1">
        <v>37361</v>
      </c>
      <c r="O943" t="s">
        <v>1117</v>
      </c>
      <c r="P943">
        <v>17</v>
      </c>
      <c r="Q943" t="s">
        <v>1215</v>
      </c>
      <c r="R943">
        <f t="shared" si="29"/>
        <v>16</v>
      </c>
      <c r="S943">
        <f t="shared" si="30"/>
        <v>1</v>
      </c>
    </row>
    <row r="944" spans="1:19" x14ac:dyDescent="0.25">
      <c r="A944" t="s">
        <v>2065</v>
      </c>
      <c r="B944" t="s">
        <v>1199</v>
      </c>
      <c r="C944">
        <v>2</v>
      </c>
      <c r="D944">
        <v>1000</v>
      </c>
      <c r="E944">
        <v>0</v>
      </c>
      <c r="F944">
        <v>3</v>
      </c>
      <c r="G944">
        <v>3</v>
      </c>
      <c r="H944" t="s">
        <v>1208</v>
      </c>
      <c r="I944" s="1">
        <v>37159</v>
      </c>
      <c r="J944" s="1">
        <v>37323</v>
      </c>
      <c r="K944" s="1">
        <v>37304</v>
      </c>
      <c r="L944" s="1">
        <v>37323</v>
      </c>
      <c r="M944" s="1">
        <v>37273</v>
      </c>
      <c r="N944" s="1">
        <v>37273</v>
      </c>
      <c r="O944" t="s">
        <v>1114</v>
      </c>
      <c r="P944">
        <v>3</v>
      </c>
      <c r="Q944" t="s">
        <v>1215</v>
      </c>
      <c r="R944">
        <f t="shared" si="29"/>
        <v>3</v>
      </c>
      <c r="S944">
        <f t="shared" si="30"/>
        <v>1</v>
      </c>
    </row>
    <row r="945" spans="1:19" x14ac:dyDescent="0.25">
      <c r="A945" t="s">
        <v>2066</v>
      </c>
      <c r="B945" t="s">
        <v>4026</v>
      </c>
      <c r="C945">
        <v>2</v>
      </c>
      <c r="D945">
        <v>1250</v>
      </c>
      <c r="E945">
        <v>0</v>
      </c>
      <c r="F945">
        <v>3</v>
      </c>
      <c r="G945">
        <v>3</v>
      </c>
      <c r="H945" t="s">
        <v>1208</v>
      </c>
      <c r="I945" s="1">
        <v>37159</v>
      </c>
      <c r="J945" s="1">
        <v>37323</v>
      </c>
      <c r="K945" s="1">
        <v>37355</v>
      </c>
      <c r="L945" s="1">
        <v>37355</v>
      </c>
      <c r="M945" s="1">
        <v>37355</v>
      </c>
      <c r="N945" s="1">
        <v>37355</v>
      </c>
      <c r="O945" t="s">
        <v>1117</v>
      </c>
      <c r="P945">
        <v>1</v>
      </c>
      <c r="Q945" t="s">
        <v>1215</v>
      </c>
      <c r="R945">
        <f t="shared" si="29"/>
        <v>15</v>
      </c>
      <c r="S945">
        <f t="shared" si="30"/>
        <v>1</v>
      </c>
    </row>
    <row r="946" spans="1:19" x14ac:dyDescent="0.25">
      <c r="A946" t="s">
        <v>2067</v>
      </c>
      <c r="B946" t="s">
        <v>3521</v>
      </c>
      <c r="C946">
        <v>0.6</v>
      </c>
      <c r="D946">
        <v>1250</v>
      </c>
      <c r="E946">
        <v>0</v>
      </c>
      <c r="F946">
        <v>10</v>
      </c>
      <c r="G946">
        <v>10</v>
      </c>
      <c r="H946" t="s">
        <v>1208</v>
      </c>
      <c r="I946" s="1">
        <v>37114</v>
      </c>
      <c r="J946" s="1">
        <v>37321</v>
      </c>
      <c r="K946" s="1">
        <v>37361</v>
      </c>
      <c r="L946" s="1">
        <v>37361</v>
      </c>
      <c r="M946" s="1">
        <v>37361</v>
      </c>
      <c r="N946" s="1">
        <v>37361</v>
      </c>
      <c r="O946" t="s">
        <v>1117</v>
      </c>
      <c r="P946">
        <v>2</v>
      </c>
      <c r="Q946" t="s">
        <v>1215</v>
      </c>
      <c r="R946">
        <f t="shared" si="29"/>
        <v>16</v>
      </c>
      <c r="S946">
        <f t="shared" si="30"/>
        <v>1</v>
      </c>
    </row>
    <row r="947" spans="1:19" x14ac:dyDescent="0.25">
      <c r="A947" t="s">
        <v>2068</v>
      </c>
      <c r="B947" t="s">
        <v>1199</v>
      </c>
      <c r="C947">
        <v>0.6</v>
      </c>
      <c r="D947">
        <v>1250</v>
      </c>
      <c r="E947">
        <v>0</v>
      </c>
      <c r="F947">
        <v>3</v>
      </c>
      <c r="G947">
        <v>3</v>
      </c>
      <c r="H947" t="s">
        <v>1208</v>
      </c>
      <c r="I947" s="1">
        <v>37133</v>
      </c>
      <c r="J947" s="1">
        <v>37323</v>
      </c>
      <c r="K947" s="1">
        <v>37361</v>
      </c>
      <c r="L947" s="1">
        <v>37361</v>
      </c>
      <c r="M947" s="1">
        <v>37361</v>
      </c>
      <c r="N947" s="1">
        <v>37361</v>
      </c>
      <c r="O947" t="s">
        <v>1117</v>
      </c>
      <c r="P947">
        <v>1</v>
      </c>
      <c r="Q947" t="s">
        <v>1215</v>
      </c>
      <c r="R947">
        <f t="shared" si="29"/>
        <v>16</v>
      </c>
      <c r="S947">
        <f t="shared" si="30"/>
        <v>1</v>
      </c>
    </row>
    <row r="948" spans="1:19" x14ac:dyDescent="0.25">
      <c r="A948" t="s">
        <v>2069</v>
      </c>
      <c r="B948" t="s">
        <v>4026</v>
      </c>
      <c r="C948">
        <v>1.2</v>
      </c>
      <c r="D948">
        <v>1000</v>
      </c>
      <c r="E948">
        <v>0</v>
      </c>
      <c r="F948">
        <v>3</v>
      </c>
      <c r="G948">
        <v>3</v>
      </c>
      <c r="H948" t="s">
        <v>1208</v>
      </c>
      <c r="I948" s="1">
        <v>37133</v>
      </c>
      <c r="J948" s="1">
        <v>37323</v>
      </c>
      <c r="K948" s="1">
        <v>37332</v>
      </c>
      <c r="L948" s="1">
        <v>37332</v>
      </c>
      <c r="M948" s="1">
        <v>37332</v>
      </c>
      <c r="N948" s="1">
        <v>37332</v>
      </c>
      <c r="O948" t="s">
        <v>1117</v>
      </c>
      <c r="P948">
        <v>1</v>
      </c>
      <c r="Q948" t="s">
        <v>1215</v>
      </c>
      <c r="R948">
        <f t="shared" si="29"/>
        <v>12</v>
      </c>
      <c r="S948">
        <f t="shared" si="30"/>
        <v>1</v>
      </c>
    </row>
    <row r="949" spans="1:19" x14ac:dyDescent="0.25">
      <c r="A949" t="s">
        <v>2070</v>
      </c>
      <c r="B949" t="s">
        <v>1199</v>
      </c>
      <c r="C949">
        <v>1</v>
      </c>
      <c r="D949">
        <v>1250</v>
      </c>
      <c r="E949">
        <v>0</v>
      </c>
      <c r="F949">
        <v>10</v>
      </c>
      <c r="G949">
        <v>10</v>
      </c>
      <c r="H949" t="s">
        <v>1208</v>
      </c>
      <c r="I949" s="1">
        <v>37108</v>
      </c>
      <c r="J949" s="1">
        <v>37320</v>
      </c>
      <c r="K949" s="1">
        <v>37361</v>
      </c>
      <c r="L949" s="1">
        <v>37361</v>
      </c>
      <c r="M949" s="1">
        <v>37361</v>
      </c>
      <c r="N949" s="1">
        <v>37367</v>
      </c>
      <c r="O949" t="s">
        <v>1117</v>
      </c>
      <c r="P949">
        <v>2</v>
      </c>
      <c r="Q949" t="s">
        <v>1215</v>
      </c>
      <c r="R949">
        <f t="shared" si="29"/>
        <v>17</v>
      </c>
      <c r="S949">
        <f t="shared" si="30"/>
        <v>1</v>
      </c>
    </row>
    <row r="950" spans="1:19" x14ac:dyDescent="0.25">
      <c r="A950" t="s">
        <v>2071</v>
      </c>
      <c r="B950" t="s">
        <v>4028</v>
      </c>
      <c r="C950">
        <v>1.2</v>
      </c>
      <c r="D950">
        <v>1000</v>
      </c>
      <c r="E950">
        <v>0</v>
      </c>
      <c r="F950">
        <v>3</v>
      </c>
      <c r="G950">
        <v>3</v>
      </c>
      <c r="H950" t="s">
        <v>1208</v>
      </c>
      <c r="I950" s="1">
        <v>37189</v>
      </c>
      <c r="J950" s="1">
        <v>37323</v>
      </c>
      <c r="K950" s="1">
        <v>37332</v>
      </c>
      <c r="L950" s="1">
        <v>37332</v>
      </c>
      <c r="M950" s="1">
        <v>37332</v>
      </c>
      <c r="N950" s="1">
        <v>37332</v>
      </c>
      <c r="O950" t="s">
        <v>1117</v>
      </c>
      <c r="P950">
        <v>2</v>
      </c>
      <c r="Q950" t="s">
        <v>1215</v>
      </c>
      <c r="R950">
        <f t="shared" si="29"/>
        <v>12</v>
      </c>
      <c r="S950">
        <f t="shared" si="30"/>
        <v>1</v>
      </c>
    </row>
    <row r="951" spans="1:19" x14ac:dyDescent="0.25">
      <c r="A951" t="s">
        <v>2072</v>
      </c>
      <c r="B951" t="s">
        <v>1199</v>
      </c>
      <c r="C951">
        <v>0.8</v>
      </c>
      <c r="D951">
        <v>1000</v>
      </c>
      <c r="E951">
        <v>0</v>
      </c>
      <c r="F951">
        <v>6</v>
      </c>
      <c r="G951">
        <v>6</v>
      </c>
      <c r="H951" t="s">
        <v>1208</v>
      </c>
      <c r="I951" s="1">
        <v>37128</v>
      </c>
      <c r="J951" s="1">
        <v>37307</v>
      </c>
      <c r="K951" s="1">
        <v>37351</v>
      </c>
      <c r="L951" s="1">
        <v>37351</v>
      </c>
      <c r="M951" s="1">
        <v>37351</v>
      </c>
      <c r="N951" s="1">
        <v>37351</v>
      </c>
      <c r="O951" t="s">
        <v>1117</v>
      </c>
      <c r="P951">
        <v>1</v>
      </c>
      <c r="Q951" t="s">
        <v>1215</v>
      </c>
      <c r="R951">
        <f t="shared" si="29"/>
        <v>14</v>
      </c>
      <c r="S951">
        <f t="shared" si="30"/>
        <v>1</v>
      </c>
    </row>
    <row r="952" spans="1:19" x14ac:dyDescent="0.25">
      <c r="A952" t="s">
        <v>2073</v>
      </c>
      <c r="B952" t="s">
        <v>1199</v>
      </c>
      <c r="C952">
        <v>0.6</v>
      </c>
      <c r="D952">
        <v>1250</v>
      </c>
      <c r="E952">
        <v>0</v>
      </c>
      <c r="F952">
        <v>6</v>
      </c>
      <c r="G952">
        <v>6</v>
      </c>
      <c r="H952" t="s">
        <v>1208</v>
      </c>
      <c r="I952" s="1">
        <v>37159</v>
      </c>
      <c r="J952" s="1">
        <v>37312</v>
      </c>
      <c r="K952" s="1">
        <v>37361</v>
      </c>
      <c r="L952" s="1">
        <v>37361</v>
      </c>
      <c r="M952" s="1">
        <v>37361</v>
      </c>
      <c r="N952" s="1">
        <v>37361</v>
      </c>
      <c r="O952" t="s">
        <v>1117</v>
      </c>
      <c r="P952">
        <v>8</v>
      </c>
      <c r="Q952" t="s">
        <v>1215</v>
      </c>
      <c r="R952">
        <f t="shared" si="29"/>
        <v>16</v>
      </c>
      <c r="S952">
        <f t="shared" si="30"/>
        <v>1</v>
      </c>
    </row>
    <row r="953" spans="1:19" x14ac:dyDescent="0.25">
      <c r="A953" t="s">
        <v>2074</v>
      </c>
      <c r="B953" t="s">
        <v>4026</v>
      </c>
      <c r="C953">
        <v>1.8</v>
      </c>
      <c r="D953">
        <v>1250</v>
      </c>
      <c r="E953">
        <v>0</v>
      </c>
      <c r="F953">
        <v>44</v>
      </c>
      <c r="G953">
        <v>44</v>
      </c>
      <c r="H953" t="s">
        <v>1208</v>
      </c>
      <c r="I953" s="1">
        <v>37126</v>
      </c>
      <c r="J953" s="1">
        <v>37314</v>
      </c>
      <c r="K953" s="1">
        <v>37335</v>
      </c>
      <c r="L953" s="1">
        <v>37335</v>
      </c>
      <c r="M953" s="1">
        <v>37335</v>
      </c>
      <c r="N953" s="1">
        <v>37335</v>
      </c>
      <c r="O953" t="s">
        <v>1117</v>
      </c>
      <c r="P953">
        <v>1</v>
      </c>
      <c r="Q953" t="s">
        <v>1215</v>
      </c>
      <c r="R953">
        <f t="shared" si="29"/>
        <v>12</v>
      </c>
      <c r="S953">
        <f t="shared" si="30"/>
        <v>1</v>
      </c>
    </row>
    <row r="954" spans="1:19" x14ac:dyDescent="0.25">
      <c r="A954" t="s">
        <v>2075</v>
      </c>
      <c r="B954" t="s">
        <v>1199</v>
      </c>
      <c r="C954">
        <v>1.2</v>
      </c>
      <c r="D954">
        <v>1000</v>
      </c>
      <c r="E954">
        <v>0</v>
      </c>
      <c r="F954">
        <v>3</v>
      </c>
      <c r="G954">
        <v>3</v>
      </c>
      <c r="H954" t="s">
        <v>1208</v>
      </c>
      <c r="I954" s="1">
        <v>37110</v>
      </c>
      <c r="J954" s="1">
        <v>37321</v>
      </c>
      <c r="K954" s="1">
        <v>37331</v>
      </c>
      <c r="L954" s="1">
        <v>37331</v>
      </c>
      <c r="M954" s="1">
        <v>37331</v>
      </c>
      <c r="N954" s="1">
        <v>37332</v>
      </c>
      <c r="O954" t="s">
        <v>1117</v>
      </c>
      <c r="P954">
        <v>2</v>
      </c>
      <c r="Q954" t="s">
        <v>1215</v>
      </c>
      <c r="R954">
        <f t="shared" si="29"/>
        <v>12</v>
      </c>
      <c r="S954">
        <f t="shared" si="30"/>
        <v>1</v>
      </c>
    </row>
    <row r="955" spans="1:19" x14ac:dyDescent="0.25">
      <c r="A955" t="s">
        <v>2076</v>
      </c>
      <c r="B955" t="s">
        <v>1199</v>
      </c>
      <c r="C955">
        <v>0.8</v>
      </c>
      <c r="D955">
        <v>1000</v>
      </c>
      <c r="E955">
        <v>0</v>
      </c>
      <c r="F955">
        <v>3</v>
      </c>
      <c r="G955">
        <v>3</v>
      </c>
      <c r="H955" t="s">
        <v>1208</v>
      </c>
      <c r="I955" s="1">
        <v>37159</v>
      </c>
      <c r="J955" s="1">
        <v>37319</v>
      </c>
      <c r="K955" s="1">
        <v>37351</v>
      </c>
      <c r="L955" s="1">
        <v>37351</v>
      </c>
      <c r="M955" s="1">
        <v>37351</v>
      </c>
      <c r="N955" s="1">
        <v>37351</v>
      </c>
      <c r="O955" t="s">
        <v>1117</v>
      </c>
      <c r="P955">
        <v>2</v>
      </c>
      <c r="Q955" t="s">
        <v>1215</v>
      </c>
      <c r="R955">
        <f t="shared" si="29"/>
        <v>14</v>
      </c>
      <c r="S955">
        <f t="shared" si="30"/>
        <v>1</v>
      </c>
    </row>
    <row r="956" spans="1:19" x14ac:dyDescent="0.25">
      <c r="A956" t="s">
        <v>2077</v>
      </c>
      <c r="B956" t="s">
        <v>1199</v>
      </c>
      <c r="C956">
        <v>1.2</v>
      </c>
      <c r="D956">
        <v>1250</v>
      </c>
      <c r="E956">
        <v>0</v>
      </c>
      <c r="F956">
        <v>6</v>
      </c>
      <c r="G956">
        <v>6</v>
      </c>
      <c r="H956" t="s">
        <v>1208</v>
      </c>
      <c r="I956" s="1">
        <v>37159</v>
      </c>
      <c r="J956" s="1">
        <v>37323</v>
      </c>
      <c r="K956" s="1">
        <v>37344</v>
      </c>
      <c r="L956" s="1">
        <v>37344</v>
      </c>
      <c r="M956" s="1">
        <v>37344</v>
      </c>
      <c r="N956" s="1">
        <v>37344</v>
      </c>
      <c r="O956" t="s">
        <v>1117</v>
      </c>
      <c r="P956">
        <v>5</v>
      </c>
      <c r="Q956" t="s">
        <v>1215</v>
      </c>
      <c r="R956">
        <f t="shared" si="29"/>
        <v>13</v>
      </c>
      <c r="S956">
        <f t="shared" si="30"/>
        <v>1</v>
      </c>
    </row>
    <row r="957" spans="1:19" x14ac:dyDescent="0.25">
      <c r="A957" t="s">
        <v>2078</v>
      </c>
      <c r="B957" t="s">
        <v>4027</v>
      </c>
      <c r="C957">
        <v>0.8</v>
      </c>
      <c r="D957">
        <v>1000</v>
      </c>
      <c r="E957">
        <v>0</v>
      </c>
      <c r="F957">
        <v>3</v>
      </c>
      <c r="G957">
        <v>0.49</v>
      </c>
      <c r="H957" t="s">
        <v>1208</v>
      </c>
      <c r="I957" s="1">
        <v>37114</v>
      </c>
      <c r="J957" s="1">
        <v>37321</v>
      </c>
      <c r="K957" s="1">
        <v>37351</v>
      </c>
      <c r="L957" s="1">
        <v>37351</v>
      </c>
      <c r="M957" s="1">
        <v>37351</v>
      </c>
      <c r="N957" s="1">
        <v>37351</v>
      </c>
      <c r="O957" t="s">
        <v>1117</v>
      </c>
      <c r="P957">
        <v>1</v>
      </c>
      <c r="Q957" t="s">
        <v>1215</v>
      </c>
      <c r="R957">
        <f t="shared" si="29"/>
        <v>14</v>
      </c>
      <c r="S957">
        <f t="shared" si="30"/>
        <v>0</v>
      </c>
    </row>
    <row r="958" spans="1:19" x14ac:dyDescent="0.25">
      <c r="A958" t="s">
        <v>2079</v>
      </c>
      <c r="B958" t="s">
        <v>4026</v>
      </c>
      <c r="C958">
        <v>1.2</v>
      </c>
      <c r="D958">
        <v>1000</v>
      </c>
      <c r="E958">
        <v>0</v>
      </c>
      <c r="F958">
        <v>3</v>
      </c>
      <c r="G958">
        <v>3</v>
      </c>
      <c r="H958" t="s">
        <v>1208</v>
      </c>
      <c r="I958" s="1">
        <v>37108</v>
      </c>
      <c r="J958" s="1">
        <v>37320</v>
      </c>
      <c r="K958" s="1">
        <v>37331</v>
      </c>
      <c r="L958" s="1">
        <v>37331</v>
      </c>
      <c r="M958" s="1">
        <v>37331</v>
      </c>
      <c r="N958" s="1">
        <v>37332</v>
      </c>
      <c r="O958" t="s">
        <v>1117</v>
      </c>
      <c r="P958">
        <v>3</v>
      </c>
      <c r="Q958" t="s">
        <v>1215</v>
      </c>
      <c r="R958">
        <f t="shared" si="29"/>
        <v>12</v>
      </c>
      <c r="S958">
        <f t="shared" si="30"/>
        <v>1</v>
      </c>
    </row>
    <row r="959" spans="1:19" x14ac:dyDescent="0.25">
      <c r="A959" t="s">
        <v>2080</v>
      </c>
      <c r="B959" t="s">
        <v>1199</v>
      </c>
      <c r="C959">
        <v>2</v>
      </c>
      <c r="D959">
        <v>1250</v>
      </c>
      <c r="E959">
        <v>0</v>
      </c>
      <c r="F959">
        <v>3</v>
      </c>
      <c r="G959">
        <v>3</v>
      </c>
      <c r="H959" t="s">
        <v>1208</v>
      </c>
      <c r="I959" s="1">
        <v>37120</v>
      </c>
      <c r="J959" s="1">
        <v>37322</v>
      </c>
      <c r="K959" s="1">
        <v>37355</v>
      </c>
      <c r="L959" s="1">
        <v>37355</v>
      </c>
      <c r="M959" s="1">
        <v>37355</v>
      </c>
      <c r="N959" s="1">
        <v>37355</v>
      </c>
      <c r="O959" t="s">
        <v>1117</v>
      </c>
      <c r="P959">
        <v>1</v>
      </c>
      <c r="Q959" t="s">
        <v>1215</v>
      </c>
      <c r="R959">
        <f t="shared" si="29"/>
        <v>15</v>
      </c>
      <c r="S959">
        <f t="shared" si="30"/>
        <v>1</v>
      </c>
    </row>
    <row r="960" spans="1:19" x14ac:dyDescent="0.25">
      <c r="A960" t="s">
        <v>2081</v>
      </c>
      <c r="B960" t="s">
        <v>1199</v>
      </c>
      <c r="C960">
        <v>1.2</v>
      </c>
      <c r="D960">
        <v>1000</v>
      </c>
      <c r="E960">
        <v>0</v>
      </c>
      <c r="F960">
        <v>3</v>
      </c>
      <c r="G960">
        <v>3</v>
      </c>
      <c r="H960" t="s">
        <v>1208</v>
      </c>
      <c r="I960" s="1">
        <v>37159</v>
      </c>
      <c r="J960" s="1">
        <v>37319</v>
      </c>
      <c r="K960" s="1">
        <v>37331</v>
      </c>
      <c r="L960" s="1">
        <v>37331</v>
      </c>
      <c r="M960" s="1">
        <v>37331</v>
      </c>
      <c r="N960" s="1">
        <v>37332</v>
      </c>
      <c r="O960" t="s">
        <v>1117</v>
      </c>
      <c r="P960">
        <v>1</v>
      </c>
      <c r="Q960" t="s">
        <v>1215</v>
      </c>
      <c r="R960">
        <f t="shared" si="29"/>
        <v>12</v>
      </c>
      <c r="S960">
        <f t="shared" si="30"/>
        <v>1</v>
      </c>
    </row>
    <row r="961" spans="1:19" x14ac:dyDescent="0.25">
      <c r="A961" t="s">
        <v>2082</v>
      </c>
      <c r="B961" t="s">
        <v>1199</v>
      </c>
      <c r="C961">
        <v>1.2</v>
      </c>
      <c r="D961">
        <v>1000</v>
      </c>
      <c r="E961">
        <v>0</v>
      </c>
      <c r="F961">
        <v>3</v>
      </c>
      <c r="G961">
        <v>3</v>
      </c>
      <c r="H961" t="s">
        <v>1208</v>
      </c>
      <c r="I961" s="1">
        <v>37128</v>
      </c>
      <c r="J961" s="1">
        <v>37311</v>
      </c>
      <c r="K961" s="1">
        <v>37330</v>
      </c>
      <c r="L961" s="1">
        <v>37330</v>
      </c>
      <c r="M961" s="1">
        <v>37330</v>
      </c>
      <c r="N961" s="1">
        <v>37332</v>
      </c>
      <c r="O961" t="s">
        <v>1117</v>
      </c>
      <c r="P961">
        <v>1</v>
      </c>
      <c r="Q961" t="s">
        <v>1215</v>
      </c>
      <c r="R961">
        <f t="shared" si="29"/>
        <v>12</v>
      </c>
      <c r="S961">
        <f t="shared" si="30"/>
        <v>1</v>
      </c>
    </row>
    <row r="962" spans="1:19" x14ac:dyDescent="0.25">
      <c r="A962" t="s">
        <v>2083</v>
      </c>
      <c r="B962" t="s">
        <v>1199</v>
      </c>
      <c r="C962">
        <v>1.5</v>
      </c>
      <c r="D962">
        <v>1250</v>
      </c>
      <c r="E962">
        <v>0</v>
      </c>
      <c r="F962">
        <v>3</v>
      </c>
      <c r="G962">
        <v>3</v>
      </c>
      <c r="H962" t="s">
        <v>1208</v>
      </c>
      <c r="I962" s="1">
        <v>37159</v>
      </c>
      <c r="J962" s="1">
        <v>37323</v>
      </c>
      <c r="K962" s="1">
        <v>37337</v>
      </c>
      <c r="L962" s="1">
        <v>37337</v>
      </c>
      <c r="M962" s="1">
        <v>37337</v>
      </c>
      <c r="N962" s="1">
        <v>37337</v>
      </c>
      <c r="O962" t="s">
        <v>1117</v>
      </c>
      <c r="P962">
        <v>4</v>
      </c>
      <c r="Q962" t="s">
        <v>1215</v>
      </c>
      <c r="R962">
        <f t="shared" si="29"/>
        <v>12</v>
      </c>
      <c r="S962">
        <f t="shared" si="30"/>
        <v>1</v>
      </c>
    </row>
    <row r="963" spans="1:19" x14ac:dyDescent="0.25">
      <c r="A963" t="s">
        <v>2084</v>
      </c>
      <c r="B963" t="s">
        <v>1199</v>
      </c>
      <c r="C963">
        <v>2</v>
      </c>
      <c r="D963">
        <v>1250</v>
      </c>
      <c r="E963">
        <v>0</v>
      </c>
      <c r="F963">
        <v>3</v>
      </c>
      <c r="G963">
        <v>3</v>
      </c>
      <c r="H963" t="s">
        <v>1208</v>
      </c>
      <c r="I963" s="1">
        <v>37124</v>
      </c>
      <c r="J963" s="1">
        <v>37311</v>
      </c>
      <c r="K963" s="1">
        <v>37355</v>
      </c>
      <c r="L963" s="1">
        <v>37355</v>
      </c>
      <c r="M963" s="1">
        <v>37355</v>
      </c>
      <c r="N963" s="1">
        <v>37355</v>
      </c>
      <c r="O963" t="s">
        <v>1117</v>
      </c>
      <c r="P963">
        <v>3</v>
      </c>
      <c r="Q963" t="s">
        <v>1215</v>
      </c>
      <c r="R963">
        <f t="shared" ref="R963:R1026" si="31">WEEKNUM(N963,1)</f>
        <v>15</v>
      </c>
      <c r="S963">
        <f t="shared" ref="S963:S1026" si="32">IF(AND(F963=G963, M963&lt;=N963), 1,0)</f>
        <v>1</v>
      </c>
    </row>
    <row r="964" spans="1:19" x14ac:dyDescent="0.25">
      <c r="A964" t="s">
        <v>2085</v>
      </c>
      <c r="B964" t="s">
        <v>1199</v>
      </c>
      <c r="C964">
        <v>1.2</v>
      </c>
      <c r="D964">
        <v>1000</v>
      </c>
      <c r="E964">
        <v>0</v>
      </c>
      <c r="F964">
        <v>3</v>
      </c>
      <c r="G964">
        <v>3</v>
      </c>
      <c r="H964" t="s">
        <v>1208</v>
      </c>
      <c r="I964" s="1">
        <v>37159</v>
      </c>
      <c r="J964" s="1">
        <v>37323</v>
      </c>
      <c r="K964" s="1">
        <v>37331</v>
      </c>
      <c r="L964" s="1">
        <v>37331</v>
      </c>
      <c r="M964" s="1">
        <v>37331</v>
      </c>
      <c r="N964" s="1">
        <v>37332</v>
      </c>
      <c r="O964" t="s">
        <v>1117</v>
      </c>
      <c r="P964">
        <v>3</v>
      </c>
      <c r="Q964" t="s">
        <v>1215</v>
      </c>
      <c r="R964">
        <f t="shared" si="31"/>
        <v>12</v>
      </c>
      <c r="S964">
        <f t="shared" si="32"/>
        <v>1</v>
      </c>
    </row>
    <row r="965" spans="1:19" x14ac:dyDescent="0.25">
      <c r="A965" t="s">
        <v>2086</v>
      </c>
      <c r="B965" t="s">
        <v>1199</v>
      </c>
      <c r="C965">
        <v>0.8</v>
      </c>
      <c r="D965">
        <v>1000</v>
      </c>
      <c r="E965">
        <v>0</v>
      </c>
      <c r="F965">
        <v>3</v>
      </c>
      <c r="G965">
        <v>0.38</v>
      </c>
      <c r="H965" t="s">
        <v>1208</v>
      </c>
      <c r="I965" s="1">
        <v>37159</v>
      </c>
      <c r="J965" s="1">
        <v>37319</v>
      </c>
      <c r="K965" s="1">
        <v>37351</v>
      </c>
      <c r="L965" s="1">
        <v>37351</v>
      </c>
      <c r="M965" s="1">
        <v>37351</v>
      </c>
      <c r="N965" s="1">
        <v>37351</v>
      </c>
      <c r="O965" t="s">
        <v>1117</v>
      </c>
      <c r="P965">
        <v>3</v>
      </c>
      <c r="Q965" t="s">
        <v>1215</v>
      </c>
      <c r="R965">
        <f t="shared" si="31"/>
        <v>14</v>
      </c>
      <c r="S965">
        <f t="shared" si="32"/>
        <v>0</v>
      </c>
    </row>
    <row r="966" spans="1:19" x14ac:dyDescent="0.25">
      <c r="A966" t="s">
        <v>2087</v>
      </c>
      <c r="B966" t="s">
        <v>1199</v>
      </c>
      <c r="C966">
        <v>1</v>
      </c>
      <c r="D966">
        <v>1250</v>
      </c>
      <c r="E966">
        <v>0</v>
      </c>
      <c r="F966">
        <v>6</v>
      </c>
      <c r="G966">
        <v>6</v>
      </c>
      <c r="H966" t="s">
        <v>1208</v>
      </c>
      <c r="I966" s="1">
        <v>37159</v>
      </c>
      <c r="J966" s="1">
        <v>37323</v>
      </c>
      <c r="K966" s="1">
        <v>37366</v>
      </c>
      <c r="L966" s="1">
        <v>37366</v>
      </c>
      <c r="M966" s="1">
        <v>37366</v>
      </c>
      <c r="N966" s="1">
        <v>37366</v>
      </c>
      <c r="O966" t="s">
        <v>1117</v>
      </c>
      <c r="P966">
        <v>4</v>
      </c>
      <c r="Q966" t="s">
        <v>1215</v>
      </c>
      <c r="R966">
        <f t="shared" si="31"/>
        <v>16</v>
      </c>
      <c r="S966">
        <f t="shared" si="32"/>
        <v>1</v>
      </c>
    </row>
    <row r="967" spans="1:19" x14ac:dyDescent="0.25">
      <c r="A967" t="s">
        <v>2088</v>
      </c>
      <c r="B967" t="s">
        <v>4026</v>
      </c>
      <c r="C967">
        <v>0.8</v>
      </c>
      <c r="D967">
        <v>1000</v>
      </c>
      <c r="E967">
        <v>0</v>
      </c>
      <c r="F967">
        <v>3</v>
      </c>
      <c r="G967">
        <v>3</v>
      </c>
      <c r="H967" t="s">
        <v>1208</v>
      </c>
      <c r="I967" s="1">
        <v>37132</v>
      </c>
      <c r="J967" s="1">
        <v>37323</v>
      </c>
      <c r="K967" s="1">
        <v>37351</v>
      </c>
      <c r="L967" s="1">
        <v>37351</v>
      </c>
      <c r="M967" s="1">
        <v>37351</v>
      </c>
      <c r="N967" s="1">
        <v>37351</v>
      </c>
      <c r="O967" t="s">
        <v>1117</v>
      </c>
      <c r="P967">
        <v>1</v>
      </c>
      <c r="Q967" t="s">
        <v>1215</v>
      </c>
      <c r="R967">
        <f t="shared" si="31"/>
        <v>14</v>
      </c>
      <c r="S967">
        <f t="shared" si="32"/>
        <v>1</v>
      </c>
    </row>
    <row r="968" spans="1:19" x14ac:dyDescent="0.25">
      <c r="A968" t="s">
        <v>2089</v>
      </c>
      <c r="B968" t="s">
        <v>4028</v>
      </c>
      <c r="C968">
        <v>1.5</v>
      </c>
      <c r="D968">
        <v>1250</v>
      </c>
      <c r="E968">
        <v>0</v>
      </c>
      <c r="F968">
        <v>6</v>
      </c>
      <c r="G968">
        <v>6</v>
      </c>
      <c r="H968" t="s">
        <v>1208</v>
      </c>
      <c r="I968" s="1">
        <v>37119</v>
      </c>
      <c r="J968" s="1">
        <v>37322</v>
      </c>
      <c r="K968" s="1">
        <v>37369</v>
      </c>
      <c r="L968" s="1">
        <v>37369</v>
      </c>
      <c r="M968" s="1">
        <v>37257</v>
      </c>
      <c r="N968" s="1">
        <v>37287</v>
      </c>
      <c r="O968" t="s">
        <v>1117</v>
      </c>
      <c r="P968">
        <v>4</v>
      </c>
      <c r="Q968" t="s">
        <v>1215</v>
      </c>
      <c r="R968">
        <f t="shared" si="31"/>
        <v>5</v>
      </c>
      <c r="S968">
        <f t="shared" si="32"/>
        <v>1</v>
      </c>
    </row>
    <row r="969" spans="1:19" x14ac:dyDescent="0.25">
      <c r="A969" t="s">
        <v>2090</v>
      </c>
      <c r="B969" t="s">
        <v>1199</v>
      </c>
      <c r="C969">
        <v>2</v>
      </c>
      <c r="D969">
        <v>1250</v>
      </c>
      <c r="E969">
        <v>0</v>
      </c>
      <c r="F969">
        <v>3</v>
      </c>
      <c r="G969">
        <v>3</v>
      </c>
      <c r="H969" t="s">
        <v>1208</v>
      </c>
      <c r="I969" s="1">
        <v>37108</v>
      </c>
      <c r="J969" s="1">
        <v>37320</v>
      </c>
      <c r="K969" s="1">
        <v>37379</v>
      </c>
      <c r="L969" s="1">
        <v>37379</v>
      </c>
      <c r="M969" s="1">
        <v>37272</v>
      </c>
      <c r="N969" s="1">
        <v>37370</v>
      </c>
      <c r="O969" t="s">
        <v>1117</v>
      </c>
      <c r="P969">
        <v>2</v>
      </c>
      <c r="Q969" t="s">
        <v>1215</v>
      </c>
      <c r="R969">
        <f t="shared" si="31"/>
        <v>17</v>
      </c>
      <c r="S969">
        <f t="shared" si="32"/>
        <v>1</v>
      </c>
    </row>
    <row r="970" spans="1:19" x14ac:dyDescent="0.25">
      <c r="A970" t="s">
        <v>2091</v>
      </c>
      <c r="B970" t="s">
        <v>1199</v>
      </c>
      <c r="C970">
        <v>0.8</v>
      </c>
      <c r="D970">
        <v>1250</v>
      </c>
      <c r="E970">
        <v>0</v>
      </c>
      <c r="F970">
        <v>3</v>
      </c>
      <c r="G970">
        <v>3</v>
      </c>
      <c r="H970" t="s">
        <v>1208</v>
      </c>
      <c r="I970" s="1">
        <v>37108</v>
      </c>
      <c r="J970" s="1">
        <v>37321</v>
      </c>
      <c r="K970" s="1">
        <v>37369</v>
      </c>
      <c r="L970" s="1">
        <v>37369</v>
      </c>
      <c r="M970" s="1">
        <v>37362</v>
      </c>
      <c r="N970" s="1">
        <v>37362</v>
      </c>
      <c r="O970" t="s">
        <v>1117</v>
      </c>
      <c r="P970">
        <v>8</v>
      </c>
      <c r="Q970" t="s">
        <v>1215</v>
      </c>
      <c r="R970">
        <f t="shared" si="31"/>
        <v>16</v>
      </c>
      <c r="S970">
        <f t="shared" si="32"/>
        <v>1</v>
      </c>
    </row>
    <row r="971" spans="1:19" x14ac:dyDescent="0.25">
      <c r="A971" t="s">
        <v>2092</v>
      </c>
      <c r="B971" t="s">
        <v>1199</v>
      </c>
      <c r="C971">
        <v>1</v>
      </c>
      <c r="D971">
        <v>1250</v>
      </c>
      <c r="E971">
        <v>0</v>
      </c>
      <c r="F971">
        <v>10</v>
      </c>
      <c r="G971">
        <v>10</v>
      </c>
      <c r="H971" t="s">
        <v>1208</v>
      </c>
      <c r="I971" s="1">
        <v>37106</v>
      </c>
      <c r="J971" s="1">
        <v>37324</v>
      </c>
      <c r="K971" s="1">
        <v>37361</v>
      </c>
      <c r="L971" s="1">
        <v>37361</v>
      </c>
      <c r="M971" s="1">
        <v>37361</v>
      </c>
      <c r="N971" s="1">
        <v>37367</v>
      </c>
      <c r="O971" t="s">
        <v>1117</v>
      </c>
      <c r="P971">
        <v>1</v>
      </c>
      <c r="Q971" t="s">
        <v>1215</v>
      </c>
      <c r="R971">
        <f t="shared" si="31"/>
        <v>17</v>
      </c>
      <c r="S971">
        <f t="shared" si="32"/>
        <v>1</v>
      </c>
    </row>
    <row r="972" spans="1:19" x14ac:dyDescent="0.25">
      <c r="A972" t="s">
        <v>2093</v>
      </c>
      <c r="B972" t="s">
        <v>1199</v>
      </c>
      <c r="C972">
        <v>1.5</v>
      </c>
      <c r="D972">
        <v>1250</v>
      </c>
      <c r="E972">
        <v>0</v>
      </c>
      <c r="F972">
        <v>33</v>
      </c>
      <c r="G972">
        <v>12.151999999999999</v>
      </c>
      <c r="H972" t="s">
        <v>1208</v>
      </c>
      <c r="I972" s="1">
        <v>37106</v>
      </c>
      <c r="J972" s="1">
        <v>37324</v>
      </c>
      <c r="K972" t="s">
        <v>1124</v>
      </c>
      <c r="L972" t="s">
        <v>1124</v>
      </c>
      <c r="M972" s="1">
        <v>37287</v>
      </c>
      <c r="N972" s="1">
        <v>37287</v>
      </c>
      <c r="O972" t="s">
        <v>1117</v>
      </c>
      <c r="P972">
        <v>8</v>
      </c>
      <c r="Q972" t="s">
        <v>1215</v>
      </c>
      <c r="R972">
        <f t="shared" si="31"/>
        <v>5</v>
      </c>
      <c r="S972">
        <f t="shared" si="32"/>
        <v>0</v>
      </c>
    </row>
    <row r="973" spans="1:19" x14ac:dyDescent="0.25">
      <c r="A973" t="s">
        <v>2094</v>
      </c>
      <c r="B973" t="s">
        <v>4028</v>
      </c>
      <c r="C973">
        <v>2</v>
      </c>
      <c r="D973">
        <v>1250</v>
      </c>
      <c r="E973">
        <v>0</v>
      </c>
      <c r="F973">
        <v>12</v>
      </c>
      <c r="G973">
        <v>12</v>
      </c>
      <c r="H973" t="s">
        <v>1208</v>
      </c>
      <c r="I973" s="1">
        <v>37134</v>
      </c>
      <c r="J973" s="1">
        <v>37314</v>
      </c>
      <c r="K973" s="1">
        <v>37308</v>
      </c>
      <c r="L973" s="1">
        <v>37314</v>
      </c>
      <c r="M973" s="1">
        <v>37200</v>
      </c>
      <c r="N973" s="1">
        <v>37200</v>
      </c>
      <c r="O973" t="s">
        <v>1114</v>
      </c>
      <c r="P973">
        <v>2</v>
      </c>
      <c r="Q973" t="s">
        <v>1215</v>
      </c>
      <c r="R973">
        <f t="shared" si="31"/>
        <v>45</v>
      </c>
      <c r="S973">
        <f t="shared" si="32"/>
        <v>1</v>
      </c>
    </row>
    <row r="974" spans="1:19" x14ac:dyDescent="0.25">
      <c r="A974" t="s">
        <v>2095</v>
      </c>
      <c r="B974" t="s">
        <v>1199</v>
      </c>
      <c r="C974">
        <v>1.5</v>
      </c>
      <c r="D974">
        <v>1250</v>
      </c>
      <c r="E974">
        <v>0</v>
      </c>
      <c r="F974">
        <v>6</v>
      </c>
      <c r="G974">
        <v>6</v>
      </c>
      <c r="H974" t="s">
        <v>1208</v>
      </c>
      <c r="I974" s="1">
        <v>37159</v>
      </c>
      <c r="J974" s="1">
        <v>37323</v>
      </c>
      <c r="K974" s="1">
        <v>37337</v>
      </c>
      <c r="L974" s="1">
        <v>37337</v>
      </c>
      <c r="M974" s="1">
        <v>37337</v>
      </c>
      <c r="N974" s="1">
        <v>37337</v>
      </c>
      <c r="O974" t="s">
        <v>1117</v>
      </c>
      <c r="P974">
        <v>1</v>
      </c>
      <c r="Q974" t="s">
        <v>1215</v>
      </c>
      <c r="R974">
        <f t="shared" si="31"/>
        <v>12</v>
      </c>
      <c r="S974">
        <f t="shared" si="32"/>
        <v>1</v>
      </c>
    </row>
    <row r="975" spans="1:19" x14ac:dyDescent="0.25">
      <c r="A975" t="s">
        <v>2096</v>
      </c>
      <c r="B975" t="s">
        <v>4028</v>
      </c>
      <c r="C975">
        <v>0.8</v>
      </c>
      <c r="D975">
        <v>1000</v>
      </c>
      <c r="E975">
        <v>0</v>
      </c>
      <c r="F975">
        <v>6</v>
      </c>
      <c r="G975">
        <v>6</v>
      </c>
      <c r="H975" t="s">
        <v>1208</v>
      </c>
      <c r="I975" s="1">
        <v>37128</v>
      </c>
      <c r="J975" s="1">
        <v>37309</v>
      </c>
      <c r="K975" s="1">
        <v>37370</v>
      </c>
      <c r="L975" s="1">
        <v>37370</v>
      </c>
      <c r="M975" s="1">
        <v>37266</v>
      </c>
      <c r="N975" s="1">
        <v>37270</v>
      </c>
      <c r="O975" t="s">
        <v>1117</v>
      </c>
      <c r="P975">
        <v>1</v>
      </c>
      <c r="Q975" t="s">
        <v>1215</v>
      </c>
      <c r="R975">
        <f t="shared" si="31"/>
        <v>3</v>
      </c>
      <c r="S975">
        <f t="shared" si="32"/>
        <v>1</v>
      </c>
    </row>
    <row r="976" spans="1:19" x14ac:dyDescent="0.25">
      <c r="A976" t="s">
        <v>2097</v>
      </c>
      <c r="B976" t="s">
        <v>1199</v>
      </c>
      <c r="C976">
        <v>1.5</v>
      </c>
      <c r="D976">
        <v>1000</v>
      </c>
      <c r="E976">
        <v>0</v>
      </c>
      <c r="F976">
        <v>6</v>
      </c>
      <c r="G976">
        <v>6</v>
      </c>
      <c r="H976" t="s">
        <v>1208</v>
      </c>
      <c r="I976" s="1">
        <v>37128</v>
      </c>
      <c r="J976" s="1">
        <v>37308</v>
      </c>
      <c r="K976" s="1">
        <v>37372</v>
      </c>
      <c r="L976" s="1">
        <v>37372</v>
      </c>
      <c r="M976" s="1">
        <v>37361</v>
      </c>
      <c r="N976" s="1">
        <v>37361</v>
      </c>
      <c r="O976" t="s">
        <v>1117</v>
      </c>
      <c r="P976">
        <v>3</v>
      </c>
      <c r="Q976" t="s">
        <v>1215</v>
      </c>
      <c r="R976">
        <f t="shared" si="31"/>
        <v>16</v>
      </c>
      <c r="S976">
        <f t="shared" si="32"/>
        <v>1</v>
      </c>
    </row>
    <row r="977" spans="1:19" x14ac:dyDescent="0.25">
      <c r="A977" t="s">
        <v>2098</v>
      </c>
      <c r="B977" t="s">
        <v>4027</v>
      </c>
      <c r="C977">
        <v>1</v>
      </c>
      <c r="D977">
        <v>1250</v>
      </c>
      <c r="E977">
        <v>0</v>
      </c>
      <c r="F977">
        <v>5</v>
      </c>
      <c r="G977">
        <v>5</v>
      </c>
      <c r="H977" t="s">
        <v>1208</v>
      </c>
      <c r="I977" s="1">
        <v>37159</v>
      </c>
      <c r="J977" s="1">
        <v>37319</v>
      </c>
      <c r="K977" s="1">
        <v>37308</v>
      </c>
      <c r="L977" s="1">
        <v>37319</v>
      </c>
      <c r="M977" s="1">
        <v>37287</v>
      </c>
      <c r="N977" s="1">
        <v>37287</v>
      </c>
      <c r="O977" t="s">
        <v>1114</v>
      </c>
      <c r="P977">
        <v>2</v>
      </c>
      <c r="Q977" t="s">
        <v>1215</v>
      </c>
      <c r="R977">
        <f t="shared" si="31"/>
        <v>5</v>
      </c>
      <c r="S977">
        <f t="shared" si="32"/>
        <v>1</v>
      </c>
    </row>
    <row r="978" spans="1:19" x14ac:dyDescent="0.25">
      <c r="A978" t="s">
        <v>2099</v>
      </c>
      <c r="B978" t="s">
        <v>4028</v>
      </c>
      <c r="C978">
        <v>0.8</v>
      </c>
      <c r="D978">
        <v>1000</v>
      </c>
      <c r="E978">
        <v>0</v>
      </c>
      <c r="F978">
        <v>3</v>
      </c>
      <c r="G978">
        <v>0.45</v>
      </c>
      <c r="H978" t="s">
        <v>1208</v>
      </c>
      <c r="I978" s="1">
        <v>37159</v>
      </c>
      <c r="J978" s="1">
        <v>37320</v>
      </c>
      <c r="K978" s="1">
        <v>37351</v>
      </c>
      <c r="L978" s="1">
        <v>37351</v>
      </c>
      <c r="M978" s="1">
        <v>37351</v>
      </c>
      <c r="N978" s="1">
        <v>37351</v>
      </c>
      <c r="O978" t="s">
        <v>1117</v>
      </c>
      <c r="P978">
        <v>3</v>
      </c>
      <c r="Q978" t="s">
        <v>1215</v>
      </c>
      <c r="R978">
        <f t="shared" si="31"/>
        <v>14</v>
      </c>
      <c r="S978">
        <f t="shared" si="32"/>
        <v>0</v>
      </c>
    </row>
    <row r="979" spans="1:19" x14ac:dyDescent="0.25">
      <c r="A979" t="s">
        <v>2100</v>
      </c>
      <c r="B979" t="s">
        <v>1199</v>
      </c>
      <c r="C979">
        <v>1.2</v>
      </c>
      <c r="D979">
        <v>1000</v>
      </c>
      <c r="E979">
        <v>0</v>
      </c>
      <c r="F979">
        <v>3</v>
      </c>
      <c r="G979">
        <v>3</v>
      </c>
      <c r="H979" t="s">
        <v>1208</v>
      </c>
      <c r="I979" s="1">
        <v>37159</v>
      </c>
      <c r="J979" s="1">
        <v>37319</v>
      </c>
      <c r="K979" s="1">
        <v>37331</v>
      </c>
      <c r="L979" s="1">
        <v>37331</v>
      </c>
      <c r="M979" s="1">
        <v>37331</v>
      </c>
      <c r="N979" s="1">
        <v>37332</v>
      </c>
      <c r="O979" t="s">
        <v>1117</v>
      </c>
      <c r="P979">
        <v>2</v>
      </c>
      <c r="Q979" t="s">
        <v>1215</v>
      </c>
      <c r="R979">
        <f t="shared" si="31"/>
        <v>12</v>
      </c>
      <c r="S979">
        <f t="shared" si="32"/>
        <v>1</v>
      </c>
    </row>
    <row r="980" spans="1:19" x14ac:dyDescent="0.25">
      <c r="A980" t="s">
        <v>2101</v>
      </c>
      <c r="B980" t="s">
        <v>1199</v>
      </c>
      <c r="C980">
        <v>2</v>
      </c>
      <c r="D980">
        <v>1250</v>
      </c>
      <c r="E980">
        <v>0</v>
      </c>
      <c r="F980">
        <v>3</v>
      </c>
      <c r="G980">
        <v>3</v>
      </c>
      <c r="H980" t="s">
        <v>1208</v>
      </c>
      <c r="I980" s="1">
        <v>37159</v>
      </c>
      <c r="J980" s="1">
        <v>37323</v>
      </c>
      <c r="K980" s="1">
        <v>37355</v>
      </c>
      <c r="L980" s="1">
        <v>37355</v>
      </c>
      <c r="M980" s="1">
        <v>37355</v>
      </c>
      <c r="N980" s="1">
        <v>37355</v>
      </c>
      <c r="O980" t="s">
        <v>1117</v>
      </c>
      <c r="P980">
        <v>1</v>
      </c>
      <c r="Q980" t="s">
        <v>1215</v>
      </c>
      <c r="R980">
        <f t="shared" si="31"/>
        <v>15</v>
      </c>
      <c r="S980">
        <f t="shared" si="32"/>
        <v>1</v>
      </c>
    </row>
    <row r="981" spans="1:19" x14ac:dyDescent="0.25">
      <c r="A981" t="s">
        <v>2102</v>
      </c>
      <c r="B981" t="s">
        <v>1199</v>
      </c>
      <c r="C981">
        <v>1</v>
      </c>
      <c r="D981">
        <v>1250</v>
      </c>
      <c r="E981">
        <v>0</v>
      </c>
      <c r="F981">
        <v>6</v>
      </c>
      <c r="G981">
        <v>6</v>
      </c>
      <c r="H981" t="s">
        <v>1208</v>
      </c>
      <c r="I981" s="1">
        <v>37128</v>
      </c>
      <c r="J981" s="1">
        <v>37322</v>
      </c>
      <c r="K981" s="1">
        <v>37361</v>
      </c>
      <c r="L981" s="1">
        <v>37361</v>
      </c>
      <c r="M981" s="1">
        <v>37361</v>
      </c>
      <c r="N981" s="1">
        <v>37367</v>
      </c>
      <c r="O981" t="s">
        <v>1117</v>
      </c>
      <c r="P981">
        <v>4</v>
      </c>
      <c r="Q981" t="s">
        <v>1215</v>
      </c>
      <c r="R981">
        <f t="shared" si="31"/>
        <v>17</v>
      </c>
      <c r="S981">
        <f t="shared" si="32"/>
        <v>1</v>
      </c>
    </row>
    <row r="982" spans="1:19" x14ac:dyDescent="0.25">
      <c r="A982" t="s">
        <v>2103</v>
      </c>
      <c r="B982" t="s">
        <v>1199</v>
      </c>
      <c r="C982">
        <v>1.2</v>
      </c>
      <c r="D982">
        <v>1000</v>
      </c>
      <c r="E982">
        <v>0</v>
      </c>
      <c r="F982">
        <v>3</v>
      </c>
      <c r="G982">
        <v>3</v>
      </c>
      <c r="H982" t="s">
        <v>1208</v>
      </c>
      <c r="I982" s="1">
        <v>37133</v>
      </c>
      <c r="J982" s="1">
        <v>37323</v>
      </c>
      <c r="K982" s="1">
        <v>37332</v>
      </c>
      <c r="L982" s="1">
        <v>37332</v>
      </c>
      <c r="M982" s="1">
        <v>37332</v>
      </c>
      <c r="N982" s="1">
        <v>37332</v>
      </c>
      <c r="O982" t="s">
        <v>1117</v>
      </c>
      <c r="P982">
        <v>1</v>
      </c>
      <c r="Q982" t="s">
        <v>1215</v>
      </c>
      <c r="R982">
        <f t="shared" si="31"/>
        <v>12</v>
      </c>
      <c r="S982">
        <f t="shared" si="32"/>
        <v>1</v>
      </c>
    </row>
    <row r="983" spans="1:19" x14ac:dyDescent="0.25">
      <c r="A983" t="s">
        <v>2104</v>
      </c>
      <c r="B983" t="s">
        <v>1199</v>
      </c>
      <c r="C983">
        <v>1.2</v>
      </c>
      <c r="D983">
        <v>1250</v>
      </c>
      <c r="E983">
        <v>0</v>
      </c>
      <c r="F983">
        <v>3</v>
      </c>
      <c r="G983">
        <v>3</v>
      </c>
      <c r="H983" t="s">
        <v>1208</v>
      </c>
      <c r="I983" s="1">
        <v>37128</v>
      </c>
      <c r="J983" s="1">
        <v>37322</v>
      </c>
      <c r="K983" s="1">
        <v>37322</v>
      </c>
      <c r="L983" s="1">
        <v>37322</v>
      </c>
      <c r="M983" s="1">
        <v>37266</v>
      </c>
      <c r="N983" s="1">
        <v>37284</v>
      </c>
      <c r="O983" t="s">
        <v>1117</v>
      </c>
      <c r="P983">
        <v>5</v>
      </c>
      <c r="Q983" t="s">
        <v>1215</v>
      </c>
      <c r="R983">
        <f t="shared" si="31"/>
        <v>5</v>
      </c>
      <c r="S983">
        <f t="shared" si="32"/>
        <v>1</v>
      </c>
    </row>
    <row r="984" spans="1:19" x14ac:dyDescent="0.25">
      <c r="A984" t="s">
        <v>2105</v>
      </c>
      <c r="B984" t="s">
        <v>4026</v>
      </c>
      <c r="C984">
        <v>1.2</v>
      </c>
      <c r="D984">
        <v>1250</v>
      </c>
      <c r="E984">
        <v>0</v>
      </c>
      <c r="F984">
        <v>12</v>
      </c>
      <c r="G984">
        <v>12</v>
      </c>
      <c r="H984" t="s">
        <v>1208</v>
      </c>
      <c r="I984" s="1">
        <v>37126</v>
      </c>
      <c r="J984" s="1">
        <v>37322</v>
      </c>
      <c r="K984" s="1">
        <v>37355</v>
      </c>
      <c r="L984" s="1">
        <v>37355</v>
      </c>
      <c r="M984" s="1">
        <v>37355</v>
      </c>
      <c r="N984" s="1">
        <v>37355</v>
      </c>
      <c r="O984" t="s">
        <v>1117</v>
      </c>
      <c r="P984">
        <v>3</v>
      </c>
      <c r="Q984" t="s">
        <v>1215</v>
      </c>
      <c r="R984">
        <f t="shared" si="31"/>
        <v>15</v>
      </c>
      <c r="S984">
        <f t="shared" si="32"/>
        <v>1</v>
      </c>
    </row>
    <row r="985" spans="1:19" x14ac:dyDescent="0.25">
      <c r="A985" t="s">
        <v>2106</v>
      </c>
      <c r="B985" t="s">
        <v>4028</v>
      </c>
      <c r="C985">
        <v>1</v>
      </c>
      <c r="D985">
        <v>1250</v>
      </c>
      <c r="E985">
        <v>0</v>
      </c>
      <c r="F985">
        <v>39</v>
      </c>
      <c r="G985">
        <v>39</v>
      </c>
      <c r="H985" t="s">
        <v>1208</v>
      </c>
      <c r="I985" s="1">
        <v>37159</v>
      </c>
      <c r="J985" s="1">
        <v>37325</v>
      </c>
      <c r="K985" s="1">
        <v>37327</v>
      </c>
      <c r="L985" s="1">
        <v>37327</v>
      </c>
      <c r="M985" s="1">
        <v>37334</v>
      </c>
      <c r="N985" s="1">
        <v>37367</v>
      </c>
      <c r="O985" t="s">
        <v>1117</v>
      </c>
      <c r="P985">
        <v>3</v>
      </c>
      <c r="Q985" t="s">
        <v>1215</v>
      </c>
      <c r="R985">
        <f t="shared" si="31"/>
        <v>17</v>
      </c>
      <c r="S985">
        <f t="shared" si="32"/>
        <v>1</v>
      </c>
    </row>
    <row r="986" spans="1:19" x14ac:dyDescent="0.25">
      <c r="A986" t="s">
        <v>2107</v>
      </c>
      <c r="B986" t="s">
        <v>4027</v>
      </c>
      <c r="C986">
        <v>0.8</v>
      </c>
      <c r="D986">
        <v>1000</v>
      </c>
      <c r="E986">
        <v>0</v>
      </c>
      <c r="F986">
        <v>6</v>
      </c>
      <c r="G986">
        <v>6</v>
      </c>
      <c r="H986" t="s">
        <v>1208</v>
      </c>
      <c r="I986" s="1">
        <v>37159</v>
      </c>
      <c r="J986" s="1">
        <v>37320</v>
      </c>
      <c r="K986" s="1">
        <v>37351</v>
      </c>
      <c r="L986" s="1">
        <v>37351</v>
      </c>
      <c r="M986" s="1">
        <v>37351</v>
      </c>
      <c r="N986" s="1">
        <v>37351</v>
      </c>
      <c r="O986" t="s">
        <v>1117</v>
      </c>
      <c r="P986">
        <v>2</v>
      </c>
      <c r="Q986" t="s">
        <v>1215</v>
      </c>
      <c r="R986">
        <f t="shared" si="31"/>
        <v>14</v>
      </c>
      <c r="S986">
        <f t="shared" si="32"/>
        <v>1</v>
      </c>
    </row>
    <row r="987" spans="1:19" x14ac:dyDescent="0.25">
      <c r="A987" t="s">
        <v>2108</v>
      </c>
      <c r="B987" t="s">
        <v>4027</v>
      </c>
      <c r="C987">
        <v>1.2</v>
      </c>
      <c r="D987">
        <v>1000</v>
      </c>
      <c r="E987">
        <v>0</v>
      </c>
      <c r="F987">
        <v>6</v>
      </c>
      <c r="G987">
        <v>6</v>
      </c>
      <c r="H987" t="s">
        <v>1208</v>
      </c>
      <c r="I987" s="1">
        <v>37114</v>
      </c>
      <c r="J987" s="1">
        <v>37321</v>
      </c>
      <c r="K987" s="1">
        <v>37331</v>
      </c>
      <c r="L987" s="1">
        <v>37331</v>
      </c>
      <c r="M987" s="1">
        <v>37331</v>
      </c>
      <c r="N987" s="1">
        <v>37332</v>
      </c>
      <c r="O987" t="s">
        <v>1117</v>
      </c>
      <c r="P987">
        <v>1</v>
      </c>
      <c r="Q987" t="s">
        <v>1215</v>
      </c>
      <c r="R987">
        <f t="shared" si="31"/>
        <v>12</v>
      </c>
      <c r="S987">
        <f t="shared" si="32"/>
        <v>1</v>
      </c>
    </row>
    <row r="988" spans="1:19" x14ac:dyDescent="0.25">
      <c r="A988" t="s">
        <v>2109</v>
      </c>
      <c r="B988" t="s">
        <v>1199</v>
      </c>
      <c r="C988">
        <v>0.8</v>
      </c>
      <c r="D988">
        <v>1250</v>
      </c>
      <c r="E988">
        <v>0</v>
      </c>
      <c r="F988">
        <v>12</v>
      </c>
      <c r="G988">
        <v>12</v>
      </c>
      <c r="H988" t="s">
        <v>1208</v>
      </c>
      <c r="I988" s="1">
        <v>37119</v>
      </c>
      <c r="J988" s="1">
        <v>37321</v>
      </c>
      <c r="K988" s="1">
        <v>37378</v>
      </c>
      <c r="L988" s="1">
        <v>37378</v>
      </c>
      <c r="M988" s="1">
        <v>37352</v>
      </c>
      <c r="N988" s="1">
        <v>37353</v>
      </c>
      <c r="O988" t="s">
        <v>1117</v>
      </c>
      <c r="P988">
        <v>4</v>
      </c>
      <c r="Q988" t="s">
        <v>1215</v>
      </c>
      <c r="R988">
        <f t="shared" si="31"/>
        <v>15</v>
      </c>
      <c r="S988">
        <f t="shared" si="32"/>
        <v>1</v>
      </c>
    </row>
    <row r="989" spans="1:19" x14ac:dyDescent="0.25">
      <c r="A989" t="s">
        <v>2110</v>
      </c>
      <c r="B989" t="s">
        <v>4028</v>
      </c>
      <c r="C989">
        <v>0.6</v>
      </c>
      <c r="D989">
        <v>1250</v>
      </c>
      <c r="E989">
        <v>0</v>
      </c>
      <c r="F989">
        <v>3</v>
      </c>
      <c r="G989">
        <v>3</v>
      </c>
      <c r="H989" t="s">
        <v>1208</v>
      </c>
      <c r="I989" s="1">
        <v>37189</v>
      </c>
      <c r="J989" s="1">
        <v>37325</v>
      </c>
      <c r="K989" s="1">
        <v>37360</v>
      </c>
      <c r="L989" s="1">
        <v>37360</v>
      </c>
      <c r="M989" s="1">
        <v>37360</v>
      </c>
      <c r="N989" s="1">
        <v>37362</v>
      </c>
      <c r="O989" t="s">
        <v>1117</v>
      </c>
      <c r="P989">
        <v>1</v>
      </c>
      <c r="Q989" t="s">
        <v>1215</v>
      </c>
      <c r="R989">
        <f t="shared" si="31"/>
        <v>16</v>
      </c>
      <c r="S989">
        <f t="shared" si="32"/>
        <v>1</v>
      </c>
    </row>
    <row r="990" spans="1:19" x14ac:dyDescent="0.25">
      <c r="A990" t="s">
        <v>2111</v>
      </c>
      <c r="B990" t="s">
        <v>1199</v>
      </c>
      <c r="C990">
        <v>2</v>
      </c>
      <c r="D990">
        <v>1250</v>
      </c>
      <c r="E990">
        <v>0</v>
      </c>
      <c r="F990">
        <v>3</v>
      </c>
      <c r="G990">
        <v>3</v>
      </c>
      <c r="H990" t="s">
        <v>1208</v>
      </c>
      <c r="I990" s="1">
        <v>37119</v>
      </c>
      <c r="J990" s="1">
        <v>37321</v>
      </c>
      <c r="K990" s="1">
        <v>37379</v>
      </c>
      <c r="L990" s="1">
        <v>37379</v>
      </c>
      <c r="M990" s="1">
        <v>37285</v>
      </c>
      <c r="N990" s="1">
        <v>37370</v>
      </c>
      <c r="O990" t="s">
        <v>1117</v>
      </c>
      <c r="P990">
        <v>6</v>
      </c>
      <c r="Q990" t="s">
        <v>1215</v>
      </c>
      <c r="R990">
        <f t="shared" si="31"/>
        <v>17</v>
      </c>
      <c r="S990">
        <f t="shared" si="32"/>
        <v>1</v>
      </c>
    </row>
    <row r="991" spans="1:19" x14ac:dyDescent="0.25">
      <c r="A991" t="s">
        <v>2112</v>
      </c>
      <c r="B991" t="s">
        <v>1199</v>
      </c>
      <c r="C991">
        <v>1.2</v>
      </c>
      <c r="D991">
        <v>1000</v>
      </c>
      <c r="E991">
        <v>0</v>
      </c>
      <c r="F991">
        <v>3</v>
      </c>
      <c r="G991">
        <v>3</v>
      </c>
      <c r="H991" t="s">
        <v>1208</v>
      </c>
      <c r="I991" s="1">
        <v>37189</v>
      </c>
      <c r="J991" s="1">
        <v>37323</v>
      </c>
      <c r="K991" s="1">
        <v>37331</v>
      </c>
      <c r="L991" s="1">
        <v>37331</v>
      </c>
      <c r="M991" s="1">
        <v>37331</v>
      </c>
      <c r="N991" s="1">
        <v>37332</v>
      </c>
      <c r="O991" t="s">
        <v>1117</v>
      </c>
      <c r="P991">
        <v>2</v>
      </c>
      <c r="Q991" t="s">
        <v>1215</v>
      </c>
      <c r="R991">
        <f t="shared" si="31"/>
        <v>12</v>
      </c>
      <c r="S991">
        <f t="shared" si="32"/>
        <v>1</v>
      </c>
    </row>
    <row r="992" spans="1:19" x14ac:dyDescent="0.25">
      <c r="A992" t="s">
        <v>2113</v>
      </c>
      <c r="B992" t="s">
        <v>1199</v>
      </c>
      <c r="C992">
        <v>1.2</v>
      </c>
      <c r="D992">
        <v>1000</v>
      </c>
      <c r="E992">
        <v>0</v>
      </c>
      <c r="F992">
        <v>6</v>
      </c>
      <c r="G992">
        <v>6</v>
      </c>
      <c r="H992" t="s">
        <v>1208</v>
      </c>
      <c r="I992" s="1">
        <v>37110</v>
      </c>
      <c r="J992" s="1">
        <v>37321</v>
      </c>
      <c r="K992" s="1">
        <v>37331</v>
      </c>
      <c r="L992" s="1">
        <v>37331</v>
      </c>
      <c r="M992" s="1">
        <v>37331</v>
      </c>
      <c r="N992" s="1">
        <v>37332</v>
      </c>
      <c r="O992" t="s">
        <v>1117</v>
      </c>
      <c r="P992">
        <v>1</v>
      </c>
      <c r="Q992" t="s">
        <v>1215</v>
      </c>
      <c r="R992">
        <f t="shared" si="31"/>
        <v>12</v>
      </c>
      <c r="S992">
        <f t="shared" si="32"/>
        <v>1</v>
      </c>
    </row>
    <row r="993" spans="1:19" x14ac:dyDescent="0.25">
      <c r="A993" t="s">
        <v>2114</v>
      </c>
      <c r="B993" t="s">
        <v>4028</v>
      </c>
      <c r="C993">
        <v>1.2</v>
      </c>
      <c r="D993">
        <v>1250</v>
      </c>
      <c r="E993">
        <v>0</v>
      </c>
      <c r="F993">
        <v>10</v>
      </c>
      <c r="G993">
        <v>10</v>
      </c>
      <c r="H993" t="s">
        <v>1208</v>
      </c>
      <c r="I993" s="1">
        <v>37159</v>
      </c>
      <c r="J993" s="1">
        <v>37323</v>
      </c>
      <c r="K993" s="1">
        <v>37322</v>
      </c>
      <c r="L993" s="1">
        <v>37323</v>
      </c>
      <c r="M993" s="1">
        <v>37273</v>
      </c>
      <c r="N993" s="1">
        <v>37284</v>
      </c>
      <c r="O993" t="s">
        <v>1114</v>
      </c>
      <c r="P993">
        <v>1</v>
      </c>
      <c r="Q993" t="s">
        <v>1215</v>
      </c>
      <c r="R993">
        <f t="shared" si="31"/>
        <v>5</v>
      </c>
      <c r="S993">
        <f t="shared" si="32"/>
        <v>1</v>
      </c>
    </row>
    <row r="994" spans="1:19" x14ac:dyDescent="0.25">
      <c r="A994" t="s">
        <v>2115</v>
      </c>
      <c r="B994" t="s">
        <v>1199</v>
      </c>
      <c r="C994">
        <v>1.2</v>
      </c>
      <c r="D994">
        <v>1000</v>
      </c>
      <c r="E994">
        <v>0</v>
      </c>
      <c r="F994">
        <v>3</v>
      </c>
      <c r="G994">
        <v>3</v>
      </c>
      <c r="H994" t="s">
        <v>1208</v>
      </c>
      <c r="I994" s="1">
        <v>37159</v>
      </c>
      <c r="J994" s="1">
        <v>37312</v>
      </c>
      <c r="K994" t="s">
        <v>1124</v>
      </c>
      <c r="L994" t="s">
        <v>1124</v>
      </c>
      <c r="M994" s="1">
        <v>37281</v>
      </c>
      <c r="N994" s="1">
        <v>37281</v>
      </c>
      <c r="O994" t="s">
        <v>1117</v>
      </c>
      <c r="P994">
        <v>17</v>
      </c>
      <c r="Q994" t="s">
        <v>1215</v>
      </c>
      <c r="R994">
        <f t="shared" si="31"/>
        <v>4</v>
      </c>
      <c r="S994">
        <f t="shared" si="32"/>
        <v>1</v>
      </c>
    </row>
    <row r="995" spans="1:19" x14ac:dyDescent="0.25">
      <c r="A995" t="s">
        <v>2116</v>
      </c>
      <c r="B995" t="s">
        <v>1199</v>
      </c>
      <c r="C995">
        <v>0.6</v>
      </c>
      <c r="D995">
        <v>1000</v>
      </c>
      <c r="E995">
        <v>0</v>
      </c>
      <c r="F995">
        <v>3</v>
      </c>
      <c r="G995">
        <v>3</v>
      </c>
      <c r="H995" t="s">
        <v>1208</v>
      </c>
      <c r="I995" s="1">
        <v>37133</v>
      </c>
      <c r="J995" s="1">
        <v>37323</v>
      </c>
      <c r="K995" s="1">
        <v>37371</v>
      </c>
      <c r="L995" s="1">
        <v>37371</v>
      </c>
      <c r="M995" s="1">
        <v>37346</v>
      </c>
      <c r="N995" s="1">
        <v>37346</v>
      </c>
      <c r="O995" t="s">
        <v>1117</v>
      </c>
      <c r="P995">
        <v>1</v>
      </c>
      <c r="Q995" t="s">
        <v>1215</v>
      </c>
      <c r="R995">
        <f t="shared" si="31"/>
        <v>14</v>
      </c>
      <c r="S995">
        <f t="shared" si="32"/>
        <v>1</v>
      </c>
    </row>
    <row r="996" spans="1:19" x14ac:dyDescent="0.25">
      <c r="A996" t="s">
        <v>2117</v>
      </c>
      <c r="B996" t="s">
        <v>1199</v>
      </c>
      <c r="C996">
        <v>0.7</v>
      </c>
      <c r="D996">
        <v>1250</v>
      </c>
      <c r="E996">
        <v>0</v>
      </c>
      <c r="F996">
        <v>3</v>
      </c>
      <c r="G996">
        <v>3</v>
      </c>
      <c r="H996" t="s">
        <v>1208</v>
      </c>
      <c r="I996" s="1">
        <v>37159</v>
      </c>
      <c r="J996" s="1">
        <v>37322</v>
      </c>
      <c r="K996" t="s">
        <v>1124</v>
      </c>
      <c r="L996" t="s">
        <v>1124</v>
      </c>
      <c r="M996" s="1">
        <v>37368</v>
      </c>
      <c r="N996" s="1">
        <v>37368</v>
      </c>
      <c r="O996" t="s">
        <v>1117</v>
      </c>
      <c r="P996">
        <v>2</v>
      </c>
      <c r="Q996" t="s">
        <v>1215</v>
      </c>
      <c r="R996">
        <f t="shared" si="31"/>
        <v>17</v>
      </c>
      <c r="S996">
        <f t="shared" si="32"/>
        <v>1</v>
      </c>
    </row>
    <row r="997" spans="1:19" x14ac:dyDescent="0.25">
      <c r="A997" t="s">
        <v>2118</v>
      </c>
      <c r="B997" t="s">
        <v>4028</v>
      </c>
      <c r="C997">
        <v>0.9</v>
      </c>
      <c r="D997">
        <v>1250</v>
      </c>
      <c r="E997">
        <v>0</v>
      </c>
      <c r="F997">
        <v>6</v>
      </c>
      <c r="G997">
        <v>6</v>
      </c>
      <c r="H997" t="s">
        <v>1208</v>
      </c>
      <c r="I997" s="1">
        <v>37159</v>
      </c>
      <c r="J997" s="1">
        <v>37312</v>
      </c>
      <c r="K997" s="1">
        <v>37319</v>
      </c>
      <c r="L997" s="1">
        <v>37319</v>
      </c>
      <c r="M997" s="1">
        <v>37272</v>
      </c>
      <c r="N997" s="1">
        <v>37272</v>
      </c>
      <c r="O997" t="s">
        <v>1117</v>
      </c>
      <c r="P997">
        <v>5</v>
      </c>
      <c r="Q997" t="s">
        <v>1215</v>
      </c>
      <c r="R997">
        <f t="shared" si="31"/>
        <v>3</v>
      </c>
      <c r="S997">
        <f t="shared" si="32"/>
        <v>1</v>
      </c>
    </row>
    <row r="998" spans="1:19" x14ac:dyDescent="0.25">
      <c r="A998" t="s">
        <v>2119</v>
      </c>
      <c r="B998" t="s">
        <v>1199</v>
      </c>
      <c r="C998">
        <v>0.6</v>
      </c>
      <c r="D998">
        <v>1250</v>
      </c>
      <c r="E998">
        <v>0</v>
      </c>
      <c r="F998">
        <v>3</v>
      </c>
      <c r="G998">
        <v>3</v>
      </c>
      <c r="H998" t="s">
        <v>1208</v>
      </c>
      <c r="I998" s="1">
        <v>37108</v>
      </c>
      <c r="J998" s="1">
        <v>37320</v>
      </c>
      <c r="K998" s="1">
        <v>37309</v>
      </c>
      <c r="L998" s="1">
        <v>37320</v>
      </c>
      <c r="M998" s="1">
        <v>37272</v>
      </c>
      <c r="N998" s="1">
        <v>37272</v>
      </c>
      <c r="O998" t="s">
        <v>1114</v>
      </c>
      <c r="P998">
        <v>5</v>
      </c>
      <c r="Q998" t="s">
        <v>1215</v>
      </c>
      <c r="R998">
        <f t="shared" si="31"/>
        <v>3</v>
      </c>
      <c r="S998">
        <f t="shared" si="32"/>
        <v>1</v>
      </c>
    </row>
    <row r="999" spans="1:19" x14ac:dyDescent="0.25">
      <c r="A999" t="s">
        <v>2120</v>
      </c>
      <c r="B999" t="s">
        <v>4026</v>
      </c>
      <c r="C999">
        <v>0.8</v>
      </c>
      <c r="D999">
        <v>1250</v>
      </c>
      <c r="E999">
        <v>0</v>
      </c>
      <c r="F999">
        <v>30</v>
      </c>
      <c r="G999">
        <v>30</v>
      </c>
      <c r="H999" t="s">
        <v>1208</v>
      </c>
      <c r="I999" s="1">
        <v>37159</v>
      </c>
      <c r="J999" s="1">
        <v>37325</v>
      </c>
      <c r="K999" s="1">
        <v>37347</v>
      </c>
      <c r="L999" s="1">
        <v>37347</v>
      </c>
      <c r="M999" s="1">
        <v>37354</v>
      </c>
      <c r="N999" s="1">
        <v>37362</v>
      </c>
      <c r="O999" t="s">
        <v>1117</v>
      </c>
      <c r="P999">
        <v>3</v>
      </c>
      <c r="Q999" t="s">
        <v>1215</v>
      </c>
      <c r="R999">
        <f t="shared" si="31"/>
        <v>16</v>
      </c>
      <c r="S999">
        <f t="shared" si="32"/>
        <v>1</v>
      </c>
    </row>
    <row r="1000" spans="1:19" x14ac:dyDescent="0.25">
      <c r="A1000" t="s">
        <v>2121</v>
      </c>
      <c r="B1000" t="s">
        <v>4028</v>
      </c>
      <c r="C1000">
        <v>0.5</v>
      </c>
      <c r="D1000">
        <v>1250</v>
      </c>
      <c r="E1000">
        <v>0</v>
      </c>
      <c r="F1000">
        <v>5</v>
      </c>
      <c r="G1000">
        <v>5</v>
      </c>
      <c r="H1000" t="s">
        <v>1208</v>
      </c>
      <c r="I1000" s="1">
        <v>37133</v>
      </c>
      <c r="J1000" s="1">
        <v>37323</v>
      </c>
      <c r="K1000" s="1">
        <v>37354</v>
      </c>
      <c r="L1000" s="1">
        <v>37354</v>
      </c>
      <c r="M1000" s="1">
        <v>37344</v>
      </c>
      <c r="N1000" s="1">
        <v>37344</v>
      </c>
      <c r="O1000" t="s">
        <v>1117</v>
      </c>
      <c r="P1000">
        <v>4</v>
      </c>
      <c r="Q1000" t="s">
        <v>1215</v>
      </c>
      <c r="R1000">
        <f t="shared" si="31"/>
        <v>13</v>
      </c>
      <c r="S1000">
        <f t="shared" si="32"/>
        <v>1</v>
      </c>
    </row>
    <row r="1001" spans="1:19" x14ac:dyDescent="0.25">
      <c r="A1001" t="s">
        <v>2122</v>
      </c>
      <c r="B1001" t="s">
        <v>1199</v>
      </c>
      <c r="C1001">
        <v>2</v>
      </c>
      <c r="D1001">
        <v>1250</v>
      </c>
      <c r="E1001">
        <v>0</v>
      </c>
      <c r="F1001">
        <v>3</v>
      </c>
      <c r="G1001">
        <v>3</v>
      </c>
      <c r="H1001" t="s">
        <v>1208</v>
      </c>
      <c r="I1001" s="1">
        <v>37159</v>
      </c>
      <c r="J1001" s="1">
        <v>37323</v>
      </c>
      <c r="K1001" t="s">
        <v>1124</v>
      </c>
      <c r="L1001" t="s">
        <v>1124</v>
      </c>
      <c r="M1001" s="1">
        <v>37267</v>
      </c>
      <c r="N1001" s="1">
        <v>37370</v>
      </c>
      <c r="O1001" t="s">
        <v>1117</v>
      </c>
      <c r="P1001">
        <v>1</v>
      </c>
      <c r="Q1001" t="s">
        <v>1215</v>
      </c>
      <c r="R1001">
        <f t="shared" si="31"/>
        <v>17</v>
      </c>
      <c r="S1001">
        <f t="shared" si="32"/>
        <v>1</v>
      </c>
    </row>
    <row r="1002" spans="1:19" x14ac:dyDescent="0.25">
      <c r="A1002" t="s">
        <v>2123</v>
      </c>
      <c r="B1002" t="s">
        <v>1199</v>
      </c>
      <c r="C1002">
        <v>0.6</v>
      </c>
      <c r="D1002">
        <v>1250</v>
      </c>
      <c r="E1002">
        <v>0</v>
      </c>
      <c r="F1002">
        <v>3</v>
      </c>
      <c r="G1002">
        <v>3</v>
      </c>
      <c r="H1002" t="s">
        <v>1208</v>
      </c>
      <c r="I1002" s="1">
        <v>37132</v>
      </c>
      <c r="J1002" s="1">
        <v>37323</v>
      </c>
      <c r="K1002" s="1">
        <v>37361</v>
      </c>
      <c r="L1002" s="1">
        <v>37361</v>
      </c>
      <c r="M1002" s="1">
        <v>37361</v>
      </c>
      <c r="N1002" s="1">
        <v>37361</v>
      </c>
      <c r="O1002" t="s">
        <v>1117</v>
      </c>
      <c r="P1002">
        <v>4</v>
      </c>
      <c r="Q1002" t="s">
        <v>1215</v>
      </c>
      <c r="R1002">
        <f t="shared" si="31"/>
        <v>16</v>
      </c>
      <c r="S1002">
        <f t="shared" si="32"/>
        <v>1</v>
      </c>
    </row>
    <row r="1003" spans="1:19" x14ac:dyDescent="0.25">
      <c r="A1003" t="s">
        <v>2124</v>
      </c>
      <c r="B1003" t="s">
        <v>1199</v>
      </c>
      <c r="C1003">
        <v>1.5</v>
      </c>
      <c r="D1003">
        <v>1250</v>
      </c>
      <c r="E1003">
        <v>0</v>
      </c>
      <c r="F1003">
        <v>3</v>
      </c>
      <c r="G1003">
        <v>3</v>
      </c>
      <c r="H1003" t="s">
        <v>1208</v>
      </c>
      <c r="I1003" s="1">
        <v>37124</v>
      </c>
      <c r="J1003" s="1">
        <v>37308</v>
      </c>
      <c r="K1003" s="1">
        <v>37369</v>
      </c>
      <c r="L1003" s="1">
        <v>37369</v>
      </c>
      <c r="M1003" s="1">
        <v>37261</v>
      </c>
      <c r="N1003" s="1">
        <v>37287</v>
      </c>
      <c r="O1003" t="s">
        <v>1117</v>
      </c>
      <c r="P1003">
        <v>2</v>
      </c>
      <c r="Q1003" t="s">
        <v>1215</v>
      </c>
      <c r="R1003">
        <f t="shared" si="31"/>
        <v>5</v>
      </c>
      <c r="S1003">
        <f t="shared" si="32"/>
        <v>1</v>
      </c>
    </row>
    <row r="1004" spans="1:19" x14ac:dyDescent="0.25">
      <c r="A1004" t="s">
        <v>2125</v>
      </c>
      <c r="B1004" t="s">
        <v>4028</v>
      </c>
      <c r="C1004">
        <v>1.5</v>
      </c>
      <c r="D1004">
        <v>1000</v>
      </c>
      <c r="E1004">
        <v>0</v>
      </c>
      <c r="F1004">
        <v>3</v>
      </c>
      <c r="G1004">
        <v>3</v>
      </c>
      <c r="H1004" t="s">
        <v>1208</v>
      </c>
      <c r="I1004" s="1">
        <v>37132</v>
      </c>
      <c r="J1004" s="1">
        <v>37323</v>
      </c>
      <c r="K1004" s="1">
        <v>37372</v>
      </c>
      <c r="L1004" s="1">
        <v>37372</v>
      </c>
      <c r="M1004" s="1">
        <v>37361</v>
      </c>
      <c r="N1004" s="1">
        <v>37361</v>
      </c>
      <c r="O1004" t="s">
        <v>1117</v>
      </c>
      <c r="P1004">
        <v>3</v>
      </c>
      <c r="Q1004" t="s">
        <v>1215</v>
      </c>
      <c r="R1004">
        <f t="shared" si="31"/>
        <v>16</v>
      </c>
      <c r="S1004">
        <f t="shared" si="32"/>
        <v>1</v>
      </c>
    </row>
    <row r="1005" spans="1:19" x14ac:dyDescent="0.25">
      <c r="A1005" t="s">
        <v>2126</v>
      </c>
      <c r="B1005" t="s">
        <v>4026</v>
      </c>
      <c r="C1005">
        <v>1.5</v>
      </c>
      <c r="D1005">
        <v>1250</v>
      </c>
      <c r="E1005">
        <v>0</v>
      </c>
      <c r="F1005">
        <v>55</v>
      </c>
      <c r="G1005">
        <v>55</v>
      </c>
      <c r="H1005" t="s">
        <v>1208</v>
      </c>
      <c r="I1005" s="1">
        <v>37162</v>
      </c>
      <c r="J1005" s="1">
        <v>37314</v>
      </c>
      <c r="K1005" s="1">
        <v>37339</v>
      </c>
      <c r="L1005" s="1">
        <v>37339</v>
      </c>
      <c r="M1005" s="1">
        <v>37339</v>
      </c>
      <c r="N1005" s="1">
        <v>37339</v>
      </c>
      <c r="O1005" t="s">
        <v>1117</v>
      </c>
      <c r="P1005">
        <v>5</v>
      </c>
      <c r="Q1005" t="s">
        <v>1215</v>
      </c>
      <c r="R1005">
        <f t="shared" si="31"/>
        <v>13</v>
      </c>
      <c r="S1005">
        <f t="shared" si="32"/>
        <v>1</v>
      </c>
    </row>
    <row r="1006" spans="1:19" x14ac:dyDescent="0.25">
      <c r="A1006" t="s">
        <v>2127</v>
      </c>
      <c r="B1006" t="s">
        <v>4027</v>
      </c>
      <c r="C1006">
        <v>1.5</v>
      </c>
      <c r="D1006">
        <v>1250</v>
      </c>
      <c r="E1006">
        <v>0</v>
      </c>
      <c r="F1006">
        <v>55</v>
      </c>
      <c r="G1006">
        <v>55</v>
      </c>
      <c r="H1006" t="s">
        <v>1208</v>
      </c>
      <c r="I1006" s="1">
        <v>37162</v>
      </c>
      <c r="J1006" s="1">
        <v>37314</v>
      </c>
      <c r="K1006" s="1">
        <v>37333</v>
      </c>
      <c r="L1006" s="1">
        <v>37333</v>
      </c>
      <c r="M1006" s="1">
        <v>37333</v>
      </c>
      <c r="N1006" s="1">
        <v>37339</v>
      </c>
      <c r="O1006" t="s">
        <v>1117</v>
      </c>
      <c r="P1006">
        <v>5</v>
      </c>
      <c r="Q1006" t="s">
        <v>1215</v>
      </c>
      <c r="R1006">
        <f t="shared" si="31"/>
        <v>13</v>
      </c>
      <c r="S1006">
        <f t="shared" si="32"/>
        <v>1</v>
      </c>
    </row>
    <row r="1007" spans="1:19" x14ac:dyDescent="0.25">
      <c r="A1007" t="s">
        <v>2128</v>
      </c>
      <c r="B1007" t="s">
        <v>4027</v>
      </c>
      <c r="C1007">
        <v>5</v>
      </c>
      <c r="D1007">
        <v>367</v>
      </c>
      <c r="E1007">
        <v>0</v>
      </c>
      <c r="F1007">
        <v>9</v>
      </c>
      <c r="G1007">
        <v>9</v>
      </c>
      <c r="H1007" t="s">
        <v>1208</v>
      </c>
      <c r="I1007" s="1">
        <v>37126</v>
      </c>
      <c r="J1007" s="1">
        <v>37313</v>
      </c>
      <c r="K1007" s="1">
        <v>37341</v>
      </c>
      <c r="L1007" s="1">
        <v>37341</v>
      </c>
      <c r="M1007" s="1">
        <v>37334</v>
      </c>
      <c r="N1007" s="1">
        <v>37334</v>
      </c>
      <c r="O1007" t="s">
        <v>1117</v>
      </c>
      <c r="P1007">
        <v>3</v>
      </c>
      <c r="Q1007" t="s">
        <v>1215</v>
      </c>
      <c r="R1007">
        <f t="shared" si="31"/>
        <v>12</v>
      </c>
      <c r="S1007">
        <f t="shared" si="32"/>
        <v>1</v>
      </c>
    </row>
    <row r="1008" spans="1:19" x14ac:dyDescent="0.25">
      <c r="A1008" t="s">
        <v>2129</v>
      </c>
      <c r="B1008" t="s">
        <v>4028</v>
      </c>
      <c r="C1008">
        <v>1</v>
      </c>
      <c r="D1008">
        <v>1134</v>
      </c>
      <c r="E1008">
        <v>0</v>
      </c>
      <c r="F1008">
        <v>8</v>
      </c>
      <c r="G1008">
        <v>8</v>
      </c>
      <c r="H1008" t="s">
        <v>1208</v>
      </c>
      <c r="I1008" s="1">
        <v>37119</v>
      </c>
      <c r="J1008" s="1">
        <v>37314</v>
      </c>
      <c r="K1008" s="1">
        <v>37312</v>
      </c>
      <c r="L1008" s="1">
        <v>37314</v>
      </c>
      <c r="M1008" s="1">
        <v>37278</v>
      </c>
      <c r="N1008" s="1">
        <v>37278</v>
      </c>
      <c r="O1008" t="s">
        <v>1114</v>
      </c>
      <c r="P1008">
        <v>3</v>
      </c>
      <c r="Q1008" t="s">
        <v>1215</v>
      </c>
      <c r="R1008">
        <f t="shared" si="31"/>
        <v>4</v>
      </c>
      <c r="S1008">
        <f t="shared" si="32"/>
        <v>1</v>
      </c>
    </row>
    <row r="1009" spans="1:19" x14ac:dyDescent="0.25">
      <c r="A1009" t="s">
        <v>2130</v>
      </c>
      <c r="B1009" t="s">
        <v>1199</v>
      </c>
      <c r="C1009">
        <v>1</v>
      </c>
      <c r="D1009">
        <v>943</v>
      </c>
      <c r="E1009">
        <v>0</v>
      </c>
      <c r="F1009">
        <v>8</v>
      </c>
      <c r="G1009">
        <v>8</v>
      </c>
      <c r="H1009" t="s">
        <v>1208</v>
      </c>
      <c r="I1009" s="1">
        <v>37134</v>
      </c>
      <c r="J1009" s="1">
        <v>37325</v>
      </c>
      <c r="K1009" s="1">
        <v>37312</v>
      </c>
      <c r="L1009" s="1">
        <v>37325</v>
      </c>
      <c r="M1009" s="1">
        <v>37206</v>
      </c>
      <c r="N1009" s="1">
        <v>37206</v>
      </c>
      <c r="O1009" t="s">
        <v>1114</v>
      </c>
      <c r="P1009">
        <v>6</v>
      </c>
      <c r="Q1009" t="s">
        <v>1215</v>
      </c>
      <c r="R1009">
        <f t="shared" si="31"/>
        <v>46</v>
      </c>
      <c r="S1009">
        <f t="shared" si="32"/>
        <v>1</v>
      </c>
    </row>
    <row r="1010" spans="1:19" x14ac:dyDescent="0.25">
      <c r="A1010" t="s">
        <v>2131</v>
      </c>
      <c r="B1010" t="s">
        <v>4027</v>
      </c>
      <c r="C1010">
        <v>1</v>
      </c>
      <c r="D1010">
        <v>1026</v>
      </c>
      <c r="E1010">
        <v>0</v>
      </c>
      <c r="F1010">
        <v>8</v>
      </c>
      <c r="G1010">
        <v>8</v>
      </c>
      <c r="H1010" t="s">
        <v>1208</v>
      </c>
      <c r="I1010" s="1">
        <v>37134</v>
      </c>
      <c r="J1010" s="1">
        <v>37325</v>
      </c>
      <c r="K1010" s="1">
        <v>37312</v>
      </c>
      <c r="L1010" s="1">
        <v>37325</v>
      </c>
      <c r="M1010" s="1">
        <v>37204</v>
      </c>
      <c r="N1010" s="1">
        <v>37204</v>
      </c>
      <c r="O1010" t="s">
        <v>1114</v>
      </c>
      <c r="P1010">
        <v>5</v>
      </c>
      <c r="Q1010" t="s">
        <v>1215</v>
      </c>
      <c r="R1010">
        <f t="shared" si="31"/>
        <v>45</v>
      </c>
      <c r="S1010">
        <f t="shared" si="32"/>
        <v>1</v>
      </c>
    </row>
    <row r="1011" spans="1:19" x14ac:dyDescent="0.25">
      <c r="A1011" t="s">
        <v>2132</v>
      </c>
      <c r="B1011" t="s">
        <v>4028</v>
      </c>
      <c r="C1011">
        <v>5</v>
      </c>
      <c r="D1011">
        <v>1250</v>
      </c>
      <c r="E1011">
        <v>0</v>
      </c>
      <c r="F1011">
        <v>10</v>
      </c>
      <c r="G1011">
        <v>10</v>
      </c>
      <c r="H1011" t="s">
        <v>1208</v>
      </c>
      <c r="I1011" s="1">
        <v>37120</v>
      </c>
      <c r="J1011" s="1">
        <v>37314</v>
      </c>
      <c r="K1011" s="1">
        <v>37332</v>
      </c>
      <c r="L1011" s="1">
        <v>37332</v>
      </c>
      <c r="M1011" s="1">
        <v>37332</v>
      </c>
      <c r="N1011" s="1">
        <v>37332</v>
      </c>
      <c r="O1011" t="s">
        <v>1117</v>
      </c>
      <c r="P1011">
        <v>3</v>
      </c>
      <c r="Q1011" t="s">
        <v>1215</v>
      </c>
      <c r="R1011">
        <f t="shared" si="31"/>
        <v>12</v>
      </c>
      <c r="S1011">
        <f t="shared" si="32"/>
        <v>1</v>
      </c>
    </row>
    <row r="1012" spans="1:19" x14ac:dyDescent="0.25">
      <c r="A1012" t="s">
        <v>2133</v>
      </c>
      <c r="B1012" t="s">
        <v>4028</v>
      </c>
      <c r="C1012">
        <v>2.5</v>
      </c>
      <c r="D1012">
        <v>1250</v>
      </c>
      <c r="E1012">
        <v>2500</v>
      </c>
      <c r="F1012">
        <v>3</v>
      </c>
      <c r="G1012">
        <v>3</v>
      </c>
      <c r="H1012" t="s">
        <v>1208</v>
      </c>
      <c r="I1012" s="1">
        <v>37159</v>
      </c>
      <c r="J1012" s="1">
        <v>37312</v>
      </c>
      <c r="K1012" s="1">
        <v>37334</v>
      </c>
      <c r="L1012" s="1">
        <v>37334</v>
      </c>
      <c r="M1012" s="1">
        <v>37334</v>
      </c>
      <c r="N1012" s="1">
        <v>37335</v>
      </c>
      <c r="O1012" t="s">
        <v>1117</v>
      </c>
      <c r="P1012">
        <v>6</v>
      </c>
      <c r="Q1012" t="s">
        <v>1215</v>
      </c>
      <c r="R1012">
        <f t="shared" si="31"/>
        <v>12</v>
      </c>
      <c r="S1012">
        <f t="shared" si="32"/>
        <v>1</v>
      </c>
    </row>
    <row r="1013" spans="1:19" x14ac:dyDescent="0.25">
      <c r="A1013" t="s">
        <v>2134</v>
      </c>
      <c r="B1013" t="s">
        <v>4028</v>
      </c>
      <c r="C1013">
        <v>1.6</v>
      </c>
      <c r="D1013">
        <v>1250</v>
      </c>
      <c r="E1013">
        <v>2500</v>
      </c>
      <c r="F1013">
        <v>6</v>
      </c>
      <c r="G1013">
        <v>6</v>
      </c>
      <c r="H1013" t="s">
        <v>1208</v>
      </c>
      <c r="I1013" s="1">
        <v>37126</v>
      </c>
      <c r="J1013" s="1">
        <v>37322</v>
      </c>
      <c r="K1013" s="1">
        <v>37345</v>
      </c>
      <c r="L1013" s="1">
        <v>37345</v>
      </c>
      <c r="M1013" s="1">
        <v>37344</v>
      </c>
      <c r="N1013" s="1">
        <v>37344</v>
      </c>
      <c r="O1013" t="s">
        <v>1117</v>
      </c>
      <c r="P1013">
        <v>1</v>
      </c>
      <c r="Q1013" t="s">
        <v>1215</v>
      </c>
      <c r="R1013">
        <f t="shared" si="31"/>
        <v>13</v>
      </c>
      <c r="S1013">
        <f t="shared" si="32"/>
        <v>1</v>
      </c>
    </row>
    <row r="1014" spans="1:19" x14ac:dyDescent="0.25">
      <c r="A1014" t="s">
        <v>2135</v>
      </c>
      <c r="B1014" t="s">
        <v>1199</v>
      </c>
      <c r="C1014">
        <v>1</v>
      </c>
      <c r="D1014">
        <v>1250</v>
      </c>
      <c r="E1014">
        <v>2500</v>
      </c>
      <c r="F1014">
        <v>3</v>
      </c>
      <c r="G1014">
        <v>3</v>
      </c>
      <c r="H1014" t="s">
        <v>1208</v>
      </c>
      <c r="I1014" s="1">
        <v>37159</v>
      </c>
      <c r="J1014" s="1">
        <v>37323</v>
      </c>
      <c r="K1014" s="1">
        <v>37344</v>
      </c>
      <c r="L1014" s="1">
        <v>37344</v>
      </c>
      <c r="M1014" s="1">
        <v>37344</v>
      </c>
      <c r="N1014" s="1">
        <v>37344</v>
      </c>
      <c r="O1014" t="s">
        <v>1117</v>
      </c>
      <c r="P1014">
        <v>2</v>
      </c>
      <c r="Q1014" t="s">
        <v>1215</v>
      </c>
      <c r="R1014">
        <f t="shared" si="31"/>
        <v>13</v>
      </c>
      <c r="S1014">
        <f t="shared" si="32"/>
        <v>1</v>
      </c>
    </row>
    <row r="1015" spans="1:19" x14ac:dyDescent="0.25">
      <c r="A1015" t="s">
        <v>2136</v>
      </c>
      <c r="B1015" t="s">
        <v>1199</v>
      </c>
      <c r="C1015">
        <v>3</v>
      </c>
      <c r="D1015">
        <v>1250</v>
      </c>
      <c r="E1015">
        <v>2500</v>
      </c>
      <c r="F1015">
        <v>3</v>
      </c>
      <c r="G1015">
        <v>3</v>
      </c>
      <c r="H1015" t="s">
        <v>1208</v>
      </c>
      <c r="I1015" s="1">
        <v>37159</v>
      </c>
      <c r="J1015" s="1">
        <v>37325</v>
      </c>
      <c r="K1015" s="1">
        <v>37344</v>
      </c>
      <c r="L1015" s="1">
        <v>37344</v>
      </c>
      <c r="M1015" s="1">
        <v>37344</v>
      </c>
      <c r="N1015" s="1">
        <v>37344</v>
      </c>
      <c r="O1015" t="s">
        <v>1117</v>
      </c>
      <c r="P1015">
        <v>4</v>
      </c>
      <c r="Q1015" t="s">
        <v>1215</v>
      </c>
      <c r="R1015">
        <f t="shared" si="31"/>
        <v>13</v>
      </c>
      <c r="S1015">
        <f t="shared" si="32"/>
        <v>1</v>
      </c>
    </row>
    <row r="1016" spans="1:19" x14ac:dyDescent="0.25">
      <c r="A1016" t="s">
        <v>2137</v>
      </c>
      <c r="B1016" t="s">
        <v>4028</v>
      </c>
      <c r="C1016">
        <v>2</v>
      </c>
      <c r="D1016">
        <v>1250</v>
      </c>
      <c r="E1016">
        <v>2500</v>
      </c>
      <c r="F1016">
        <v>3</v>
      </c>
      <c r="G1016">
        <v>3</v>
      </c>
      <c r="H1016" t="s">
        <v>1208</v>
      </c>
      <c r="I1016" s="1">
        <v>37159</v>
      </c>
      <c r="J1016" s="1">
        <v>37319</v>
      </c>
      <c r="K1016" s="1">
        <v>37344</v>
      </c>
      <c r="L1016" s="1">
        <v>37344</v>
      </c>
      <c r="M1016" s="1">
        <v>37344</v>
      </c>
      <c r="N1016" s="1">
        <v>37344</v>
      </c>
      <c r="O1016" t="s">
        <v>1117</v>
      </c>
      <c r="P1016">
        <v>4</v>
      </c>
      <c r="Q1016" t="s">
        <v>1215</v>
      </c>
      <c r="R1016">
        <f t="shared" si="31"/>
        <v>13</v>
      </c>
      <c r="S1016">
        <f t="shared" si="32"/>
        <v>1</v>
      </c>
    </row>
    <row r="1017" spans="1:19" x14ac:dyDescent="0.25">
      <c r="A1017" t="s">
        <v>2138</v>
      </c>
      <c r="B1017" t="s">
        <v>1199</v>
      </c>
      <c r="C1017">
        <v>0.5</v>
      </c>
      <c r="D1017">
        <v>350</v>
      </c>
      <c r="E1017">
        <v>1614</v>
      </c>
      <c r="F1017">
        <v>20</v>
      </c>
      <c r="G1017">
        <v>20</v>
      </c>
      <c r="H1017" t="s">
        <v>1208</v>
      </c>
      <c r="I1017" s="1">
        <v>37110</v>
      </c>
      <c r="J1017" s="1">
        <v>37319</v>
      </c>
      <c r="K1017" s="1">
        <v>37358</v>
      </c>
      <c r="L1017" s="1">
        <v>37358</v>
      </c>
      <c r="M1017" s="1">
        <v>37351</v>
      </c>
      <c r="N1017" s="1">
        <v>37351</v>
      </c>
      <c r="O1017" t="s">
        <v>1117</v>
      </c>
      <c r="P1017">
        <v>1</v>
      </c>
      <c r="Q1017" t="s">
        <v>1215</v>
      </c>
      <c r="R1017">
        <f t="shared" si="31"/>
        <v>14</v>
      </c>
      <c r="S1017">
        <f t="shared" si="32"/>
        <v>1</v>
      </c>
    </row>
    <row r="1018" spans="1:19" x14ac:dyDescent="0.25">
      <c r="A1018" t="s">
        <v>2139</v>
      </c>
      <c r="B1018" t="s">
        <v>4026</v>
      </c>
      <c r="C1018">
        <v>0.5</v>
      </c>
      <c r="D1018">
        <v>1250</v>
      </c>
      <c r="E1018">
        <v>2100</v>
      </c>
      <c r="F1018">
        <v>30</v>
      </c>
      <c r="G1018">
        <v>4.17</v>
      </c>
      <c r="H1018" t="s">
        <v>1208</v>
      </c>
      <c r="I1018" s="1">
        <v>37159</v>
      </c>
      <c r="J1018" s="1">
        <v>37314</v>
      </c>
      <c r="K1018" s="1">
        <v>37345</v>
      </c>
      <c r="L1018" s="1">
        <v>37345</v>
      </c>
      <c r="M1018" s="1">
        <v>37338</v>
      </c>
      <c r="N1018" s="1">
        <v>37338</v>
      </c>
      <c r="O1018" t="s">
        <v>1117</v>
      </c>
      <c r="P1018">
        <v>1</v>
      </c>
      <c r="Q1018" t="s">
        <v>1215</v>
      </c>
      <c r="R1018">
        <f t="shared" si="31"/>
        <v>12</v>
      </c>
      <c r="S1018">
        <f t="shared" si="32"/>
        <v>0</v>
      </c>
    </row>
    <row r="1019" spans="1:19" x14ac:dyDescent="0.25">
      <c r="A1019" t="s">
        <v>2140</v>
      </c>
      <c r="B1019" t="s">
        <v>4026</v>
      </c>
      <c r="C1019">
        <v>0.5</v>
      </c>
      <c r="D1019">
        <v>1250</v>
      </c>
      <c r="E1019">
        <v>2500</v>
      </c>
      <c r="F1019">
        <v>30</v>
      </c>
      <c r="G1019">
        <v>20.603999999999999</v>
      </c>
      <c r="H1019" t="s">
        <v>1208</v>
      </c>
      <c r="I1019" s="1">
        <v>37159</v>
      </c>
      <c r="J1019" s="1">
        <v>37325</v>
      </c>
      <c r="K1019" s="1">
        <v>37340</v>
      </c>
      <c r="L1019" s="1">
        <v>37340</v>
      </c>
      <c r="M1019" s="1">
        <v>37340</v>
      </c>
      <c r="N1019" s="1">
        <v>37340</v>
      </c>
      <c r="O1019" t="s">
        <v>1117</v>
      </c>
      <c r="P1019">
        <v>1</v>
      </c>
      <c r="Q1019" t="s">
        <v>1215</v>
      </c>
      <c r="R1019">
        <f t="shared" si="31"/>
        <v>13</v>
      </c>
      <c r="S1019">
        <f t="shared" si="32"/>
        <v>0</v>
      </c>
    </row>
    <row r="1020" spans="1:19" x14ac:dyDescent="0.25">
      <c r="A1020" t="s">
        <v>2141</v>
      </c>
      <c r="B1020" t="s">
        <v>4027</v>
      </c>
      <c r="C1020">
        <v>2.5</v>
      </c>
      <c r="D1020">
        <v>1250</v>
      </c>
      <c r="E1020">
        <v>2500</v>
      </c>
      <c r="F1020">
        <v>12</v>
      </c>
      <c r="G1020">
        <v>12</v>
      </c>
      <c r="H1020" t="s">
        <v>1208</v>
      </c>
      <c r="I1020" s="1">
        <v>37159</v>
      </c>
      <c r="J1020" s="1">
        <v>37323</v>
      </c>
      <c r="K1020" s="1">
        <v>37329</v>
      </c>
      <c r="L1020" s="1">
        <v>37329</v>
      </c>
      <c r="M1020" s="1">
        <v>37329</v>
      </c>
      <c r="N1020" s="1">
        <v>37329</v>
      </c>
      <c r="O1020" t="s">
        <v>1117</v>
      </c>
      <c r="P1020">
        <v>1</v>
      </c>
      <c r="Q1020" t="s">
        <v>1215</v>
      </c>
      <c r="R1020">
        <f t="shared" si="31"/>
        <v>11</v>
      </c>
      <c r="S1020">
        <f t="shared" si="32"/>
        <v>1</v>
      </c>
    </row>
    <row r="1021" spans="1:19" x14ac:dyDescent="0.25">
      <c r="A1021" t="s">
        <v>2142</v>
      </c>
      <c r="B1021" t="s">
        <v>3631</v>
      </c>
      <c r="C1021">
        <v>2</v>
      </c>
      <c r="D1021">
        <v>1250</v>
      </c>
      <c r="E1021">
        <v>2500</v>
      </c>
      <c r="F1021">
        <v>3</v>
      </c>
      <c r="G1021">
        <v>3</v>
      </c>
      <c r="H1021" t="s">
        <v>1208</v>
      </c>
      <c r="I1021" s="1">
        <v>37159</v>
      </c>
      <c r="J1021" s="1">
        <v>37323</v>
      </c>
      <c r="K1021" s="1">
        <v>37344</v>
      </c>
      <c r="L1021" s="1">
        <v>37344</v>
      </c>
      <c r="M1021" s="1">
        <v>37344</v>
      </c>
      <c r="N1021" s="1">
        <v>37344</v>
      </c>
      <c r="O1021" t="s">
        <v>1117</v>
      </c>
      <c r="P1021">
        <v>3</v>
      </c>
      <c r="Q1021" t="s">
        <v>1215</v>
      </c>
      <c r="R1021">
        <f t="shared" si="31"/>
        <v>13</v>
      </c>
      <c r="S1021">
        <f t="shared" si="32"/>
        <v>1</v>
      </c>
    </row>
    <row r="1022" spans="1:19" x14ac:dyDescent="0.25">
      <c r="A1022" t="s">
        <v>2143</v>
      </c>
      <c r="B1022" t="s">
        <v>3631</v>
      </c>
      <c r="C1022">
        <v>2</v>
      </c>
      <c r="D1022">
        <v>1250</v>
      </c>
      <c r="E1022">
        <v>2500</v>
      </c>
      <c r="F1022">
        <v>12</v>
      </c>
      <c r="G1022">
        <v>12</v>
      </c>
      <c r="H1022" t="s">
        <v>1208</v>
      </c>
      <c r="I1022" s="1">
        <v>37159</v>
      </c>
      <c r="J1022" s="1">
        <v>37323</v>
      </c>
      <c r="K1022" s="1">
        <v>37344</v>
      </c>
      <c r="L1022" s="1">
        <v>37344</v>
      </c>
      <c r="M1022" s="1">
        <v>37344</v>
      </c>
      <c r="N1022" s="1">
        <v>37344</v>
      </c>
      <c r="O1022" t="s">
        <v>1117</v>
      </c>
      <c r="P1022">
        <v>1</v>
      </c>
      <c r="Q1022" t="s">
        <v>1215</v>
      </c>
      <c r="R1022">
        <f t="shared" si="31"/>
        <v>13</v>
      </c>
      <c r="S1022">
        <f t="shared" si="32"/>
        <v>1</v>
      </c>
    </row>
    <row r="1023" spans="1:19" x14ac:dyDescent="0.25">
      <c r="A1023" t="s">
        <v>2144</v>
      </c>
      <c r="B1023" t="s">
        <v>4027</v>
      </c>
      <c r="C1023">
        <v>2.5</v>
      </c>
      <c r="D1023">
        <v>1250</v>
      </c>
      <c r="E1023">
        <v>2500</v>
      </c>
      <c r="F1023">
        <v>12</v>
      </c>
      <c r="G1023">
        <v>12</v>
      </c>
      <c r="H1023" t="s">
        <v>1208</v>
      </c>
      <c r="I1023" s="1">
        <v>37114</v>
      </c>
      <c r="J1023" s="1">
        <v>37313</v>
      </c>
      <c r="K1023" s="1">
        <v>37328</v>
      </c>
      <c r="L1023" s="1">
        <v>37328</v>
      </c>
      <c r="M1023" s="1">
        <v>37327</v>
      </c>
      <c r="N1023" s="1">
        <v>37327</v>
      </c>
      <c r="O1023" t="s">
        <v>1117</v>
      </c>
      <c r="P1023">
        <v>2</v>
      </c>
      <c r="Q1023" t="s">
        <v>1215</v>
      </c>
      <c r="R1023">
        <f t="shared" si="31"/>
        <v>11</v>
      </c>
      <c r="S1023">
        <f t="shared" si="32"/>
        <v>1</v>
      </c>
    </row>
    <row r="1024" spans="1:19" x14ac:dyDescent="0.25">
      <c r="A1024" t="s">
        <v>2145</v>
      </c>
      <c r="B1024" t="s">
        <v>4026</v>
      </c>
      <c r="C1024">
        <v>0.6</v>
      </c>
      <c r="D1024">
        <v>387</v>
      </c>
      <c r="E1024">
        <v>1610</v>
      </c>
      <c r="F1024">
        <v>175</v>
      </c>
      <c r="G1024">
        <v>175</v>
      </c>
      <c r="H1024" t="s">
        <v>1208</v>
      </c>
      <c r="I1024" s="1">
        <v>37110</v>
      </c>
      <c r="J1024" s="1">
        <v>37319</v>
      </c>
      <c r="K1024" s="1">
        <v>37365</v>
      </c>
      <c r="L1024" s="1">
        <v>37365</v>
      </c>
      <c r="M1024" s="1">
        <v>37358</v>
      </c>
      <c r="N1024" s="1">
        <v>37358</v>
      </c>
      <c r="O1024" t="s">
        <v>1117</v>
      </c>
      <c r="P1024">
        <v>8</v>
      </c>
      <c r="Q1024" t="s">
        <v>1215</v>
      </c>
      <c r="R1024">
        <f t="shared" si="31"/>
        <v>15</v>
      </c>
      <c r="S1024">
        <f t="shared" si="32"/>
        <v>1</v>
      </c>
    </row>
    <row r="1025" spans="1:19" x14ac:dyDescent="0.25">
      <c r="A1025" t="s">
        <v>2146</v>
      </c>
      <c r="B1025" t="s">
        <v>1199</v>
      </c>
      <c r="C1025">
        <v>2</v>
      </c>
      <c r="D1025">
        <v>1250</v>
      </c>
      <c r="E1025">
        <v>2500</v>
      </c>
      <c r="F1025">
        <v>3</v>
      </c>
      <c r="G1025">
        <v>3</v>
      </c>
      <c r="H1025" t="s">
        <v>1208</v>
      </c>
      <c r="I1025" s="1">
        <v>37159</v>
      </c>
      <c r="J1025" s="1">
        <v>37322</v>
      </c>
      <c r="K1025" s="1">
        <v>37344</v>
      </c>
      <c r="L1025" s="1">
        <v>37344</v>
      </c>
      <c r="M1025" s="1">
        <v>37344</v>
      </c>
      <c r="N1025" s="1">
        <v>37344</v>
      </c>
      <c r="O1025" t="s">
        <v>1117</v>
      </c>
      <c r="P1025">
        <v>5</v>
      </c>
      <c r="Q1025" t="s">
        <v>1215</v>
      </c>
      <c r="R1025">
        <f t="shared" si="31"/>
        <v>13</v>
      </c>
      <c r="S1025">
        <f t="shared" si="32"/>
        <v>1</v>
      </c>
    </row>
    <row r="1026" spans="1:19" x14ac:dyDescent="0.25">
      <c r="A1026" t="s">
        <v>2147</v>
      </c>
      <c r="B1026" t="s">
        <v>4026</v>
      </c>
      <c r="C1026">
        <v>0.4</v>
      </c>
      <c r="D1026">
        <v>387.2</v>
      </c>
      <c r="E1026">
        <v>1542.8</v>
      </c>
      <c r="F1026">
        <v>35</v>
      </c>
      <c r="G1026">
        <v>35</v>
      </c>
      <c r="H1026" t="s">
        <v>1208</v>
      </c>
      <c r="I1026" s="1">
        <v>37110</v>
      </c>
      <c r="J1026" s="1">
        <v>37318</v>
      </c>
      <c r="K1026" s="1">
        <v>37339</v>
      </c>
      <c r="L1026" s="1">
        <v>37339</v>
      </c>
      <c r="M1026" s="1">
        <v>37331</v>
      </c>
      <c r="N1026" s="1">
        <v>37331</v>
      </c>
      <c r="O1026" t="s">
        <v>1117</v>
      </c>
      <c r="P1026">
        <v>2</v>
      </c>
      <c r="Q1026" t="s">
        <v>1215</v>
      </c>
      <c r="R1026">
        <f t="shared" si="31"/>
        <v>11</v>
      </c>
      <c r="S1026">
        <f t="shared" si="32"/>
        <v>1</v>
      </c>
    </row>
    <row r="1027" spans="1:19" x14ac:dyDescent="0.25">
      <c r="A1027" t="s">
        <v>2148</v>
      </c>
      <c r="B1027" t="s">
        <v>3631</v>
      </c>
      <c r="C1027">
        <v>3</v>
      </c>
      <c r="D1027">
        <v>1250</v>
      </c>
      <c r="E1027">
        <v>2500</v>
      </c>
      <c r="F1027">
        <v>12</v>
      </c>
      <c r="G1027">
        <v>12</v>
      </c>
      <c r="H1027" t="s">
        <v>1208</v>
      </c>
      <c r="I1027" s="1">
        <v>37114</v>
      </c>
      <c r="J1027" s="1">
        <v>37313</v>
      </c>
      <c r="K1027" t="s">
        <v>1124</v>
      </c>
      <c r="L1027" t="s">
        <v>1124</v>
      </c>
      <c r="M1027" s="1">
        <v>37328</v>
      </c>
      <c r="N1027" s="1">
        <v>37328</v>
      </c>
      <c r="O1027" t="s">
        <v>1117</v>
      </c>
      <c r="P1027">
        <v>1</v>
      </c>
      <c r="Q1027" t="s">
        <v>1215</v>
      </c>
      <c r="R1027">
        <f t="shared" ref="R1027:R1090" si="33">WEEKNUM(N1027,1)</f>
        <v>11</v>
      </c>
      <c r="S1027">
        <f t="shared" ref="S1027:S1090" si="34">IF(AND(F1027=G1027, M1027&lt;=N1027), 1,0)</f>
        <v>1</v>
      </c>
    </row>
    <row r="1028" spans="1:19" x14ac:dyDescent="0.25">
      <c r="A1028" t="s">
        <v>2149</v>
      </c>
      <c r="B1028" t="s">
        <v>1199</v>
      </c>
      <c r="C1028">
        <v>2</v>
      </c>
      <c r="D1028">
        <v>1250</v>
      </c>
      <c r="E1028">
        <v>2500</v>
      </c>
      <c r="F1028">
        <v>6</v>
      </c>
      <c r="G1028">
        <v>6</v>
      </c>
      <c r="H1028" t="s">
        <v>1208</v>
      </c>
      <c r="I1028" s="1">
        <v>37134</v>
      </c>
      <c r="J1028" s="1">
        <v>37323</v>
      </c>
      <c r="K1028" s="1">
        <v>37344</v>
      </c>
      <c r="L1028" s="1">
        <v>37344</v>
      </c>
      <c r="M1028" s="1">
        <v>37344</v>
      </c>
      <c r="N1028" s="1">
        <v>37344</v>
      </c>
      <c r="O1028" t="s">
        <v>1117</v>
      </c>
      <c r="P1028">
        <v>1</v>
      </c>
      <c r="Q1028" t="s">
        <v>1215</v>
      </c>
      <c r="R1028">
        <f t="shared" si="33"/>
        <v>13</v>
      </c>
      <c r="S1028">
        <f t="shared" si="34"/>
        <v>1</v>
      </c>
    </row>
    <row r="1029" spans="1:19" x14ac:dyDescent="0.25">
      <c r="A1029" t="s">
        <v>2150</v>
      </c>
      <c r="B1029" t="s">
        <v>1199</v>
      </c>
      <c r="C1029">
        <v>2</v>
      </c>
      <c r="D1029">
        <v>1250</v>
      </c>
      <c r="E1029">
        <v>2500</v>
      </c>
      <c r="F1029">
        <v>6</v>
      </c>
      <c r="G1029">
        <v>6</v>
      </c>
      <c r="H1029" t="s">
        <v>1208</v>
      </c>
      <c r="I1029" s="1">
        <v>37159</v>
      </c>
      <c r="J1029" s="1">
        <v>37323</v>
      </c>
      <c r="K1029" s="1">
        <v>37344</v>
      </c>
      <c r="L1029" s="1">
        <v>37344</v>
      </c>
      <c r="M1029" s="1">
        <v>37344</v>
      </c>
      <c r="N1029" s="1">
        <v>37344</v>
      </c>
      <c r="O1029" t="s">
        <v>1117</v>
      </c>
      <c r="P1029">
        <v>1</v>
      </c>
      <c r="Q1029" t="s">
        <v>1215</v>
      </c>
      <c r="R1029">
        <f t="shared" si="33"/>
        <v>13</v>
      </c>
      <c r="S1029">
        <f t="shared" si="34"/>
        <v>1</v>
      </c>
    </row>
    <row r="1030" spans="1:19" x14ac:dyDescent="0.25">
      <c r="A1030" t="s">
        <v>2151</v>
      </c>
      <c r="B1030" t="s">
        <v>1199</v>
      </c>
      <c r="C1030">
        <v>2</v>
      </c>
      <c r="D1030">
        <v>1250</v>
      </c>
      <c r="E1030">
        <v>2500</v>
      </c>
      <c r="F1030">
        <v>6</v>
      </c>
      <c r="G1030">
        <v>6</v>
      </c>
      <c r="H1030" t="s">
        <v>1208</v>
      </c>
      <c r="I1030" s="1">
        <v>37159</v>
      </c>
      <c r="J1030" s="1">
        <v>37323</v>
      </c>
      <c r="K1030" s="1">
        <v>37344</v>
      </c>
      <c r="L1030" s="1">
        <v>37344</v>
      </c>
      <c r="M1030" s="1">
        <v>37344</v>
      </c>
      <c r="N1030" s="1">
        <v>37344</v>
      </c>
      <c r="O1030" t="s">
        <v>1117</v>
      </c>
      <c r="P1030">
        <v>1</v>
      </c>
      <c r="Q1030" t="s">
        <v>1215</v>
      </c>
      <c r="R1030">
        <f t="shared" si="33"/>
        <v>13</v>
      </c>
      <c r="S1030">
        <f t="shared" si="34"/>
        <v>1</v>
      </c>
    </row>
    <row r="1031" spans="1:19" x14ac:dyDescent="0.25">
      <c r="A1031" t="s">
        <v>2152</v>
      </c>
      <c r="B1031" t="s">
        <v>1199</v>
      </c>
      <c r="C1031">
        <v>2.5</v>
      </c>
      <c r="D1031">
        <v>1250</v>
      </c>
      <c r="E1031">
        <v>2500</v>
      </c>
      <c r="F1031">
        <v>9</v>
      </c>
      <c r="G1031">
        <v>9</v>
      </c>
      <c r="H1031" t="s">
        <v>1208</v>
      </c>
      <c r="I1031" s="1">
        <v>37159</v>
      </c>
      <c r="J1031" s="1">
        <v>37313</v>
      </c>
      <c r="K1031" s="1">
        <v>37328</v>
      </c>
      <c r="L1031" s="1">
        <v>37328</v>
      </c>
      <c r="M1031" s="1">
        <v>37326</v>
      </c>
      <c r="N1031" s="1">
        <v>37327</v>
      </c>
      <c r="O1031" t="s">
        <v>1117</v>
      </c>
      <c r="P1031">
        <v>1</v>
      </c>
      <c r="Q1031" t="s">
        <v>1215</v>
      </c>
      <c r="R1031">
        <f t="shared" si="33"/>
        <v>11</v>
      </c>
      <c r="S1031">
        <f t="shared" si="34"/>
        <v>1</v>
      </c>
    </row>
    <row r="1032" spans="1:19" x14ac:dyDescent="0.25">
      <c r="A1032" t="s">
        <v>2153</v>
      </c>
      <c r="B1032" t="s">
        <v>1199</v>
      </c>
      <c r="C1032">
        <v>2</v>
      </c>
      <c r="D1032">
        <v>1250</v>
      </c>
      <c r="E1032">
        <v>2500</v>
      </c>
      <c r="F1032">
        <v>6</v>
      </c>
      <c r="G1032">
        <v>6</v>
      </c>
      <c r="H1032" t="s">
        <v>1208</v>
      </c>
      <c r="I1032" s="1">
        <v>37159</v>
      </c>
      <c r="J1032" s="1">
        <v>37323</v>
      </c>
      <c r="K1032" s="1">
        <v>37344</v>
      </c>
      <c r="L1032" s="1">
        <v>37344</v>
      </c>
      <c r="M1032" s="1">
        <v>37344</v>
      </c>
      <c r="N1032" s="1">
        <v>37344</v>
      </c>
      <c r="O1032" t="s">
        <v>1117</v>
      </c>
      <c r="P1032">
        <v>1</v>
      </c>
      <c r="Q1032" t="s">
        <v>1215</v>
      </c>
      <c r="R1032">
        <f t="shared" si="33"/>
        <v>13</v>
      </c>
      <c r="S1032">
        <f t="shared" si="34"/>
        <v>1</v>
      </c>
    </row>
    <row r="1033" spans="1:19" x14ac:dyDescent="0.25">
      <c r="A1033" t="s">
        <v>2154</v>
      </c>
      <c r="B1033" t="s">
        <v>4028</v>
      </c>
      <c r="C1033">
        <v>2.5</v>
      </c>
      <c r="D1033">
        <v>1250</v>
      </c>
      <c r="E1033">
        <v>2500</v>
      </c>
      <c r="F1033">
        <v>15</v>
      </c>
      <c r="G1033">
        <v>13.07</v>
      </c>
      <c r="H1033" t="s">
        <v>1208</v>
      </c>
      <c r="I1033" s="1">
        <v>37159</v>
      </c>
      <c r="J1033" s="1">
        <v>37319</v>
      </c>
      <c r="K1033" s="1">
        <v>37327</v>
      </c>
      <c r="L1033" s="1">
        <v>37327</v>
      </c>
      <c r="M1033" s="1">
        <v>37329</v>
      </c>
      <c r="N1033" s="1">
        <v>37329</v>
      </c>
      <c r="O1033" t="s">
        <v>1117</v>
      </c>
      <c r="P1033">
        <v>2</v>
      </c>
      <c r="Q1033" t="s">
        <v>1215</v>
      </c>
      <c r="R1033">
        <f t="shared" si="33"/>
        <v>11</v>
      </c>
      <c r="S1033">
        <f t="shared" si="34"/>
        <v>0</v>
      </c>
    </row>
    <row r="1034" spans="1:19" x14ac:dyDescent="0.25">
      <c r="A1034" t="s">
        <v>2155</v>
      </c>
      <c r="B1034" t="s">
        <v>3631</v>
      </c>
      <c r="C1034">
        <v>3</v>
      </c>
      <c r="D1034">
        <v>1250</v>
      </c>
      <c r="E1034">
        <v>2500</v>
      </c>
      <c r="F1034">
        <v>9</v>
      </c>
      <c r="G1034">
        <v>9</v>
      </c>
      <c r="H1034" t="s">
        <v>1208</v>
      </c>
      <c r="I1034" s="1">
        <v>37159</v>
      </c>
      <c r="J1034" s="1">
        <v>37325</v>
      </c>
      <c r="K1034" s="1">
        <v>37328</v>
      </c>
      <c r="L1034" s="1">
        <v>37328</v>
      </c>
      <c r="M1034" s="1">
        <v>37328</v>
      </c>
      <c r="N1034" s="1">
        <v>37330</v>
      </c>
      <c r="O1034" t="s">
        <v>1117</v>
      </c>
      <c r="P1034">
        <v>1</v>
      </c>
      <c r="Q1034" t="s">
        <v>1215</v>
      </c>
      <c r="R1034">
        <f t="shared" si="33"/>
        <v>11</v>
      </c>
      <c r="S1034">
        <f t="shared" si="34"/>
        <v>1</v>
      </c>
    </row>
    <row r="1035" spans="1:19" x14ac:dyDescent="0.25">
      <c r="A1035" t="s">
        <v>2156</v>
      </c>
      <c r="B1035" t="s">
        <v>3631</v>
      </c>
      <c r="C1035">
        <v>3</v>
      </c>
      <c r="D1035">
        <v>1250</v>
      </c>
      <c r="E1035">
        <v>2500</v>
      </c>
      <c r="F1035">
        <v>9</v>
      </c>
      <c r="G1035">
        <v>9</v>
      </c>
      <c r="H1035" t="s">
        <v>1208</v>
      </c>
      <c r="I1035" s="1">
        <v>37159</v>
      </c>
      <c r="J1035" s="1">
        <v>37319</v>
      </c>
      <c r="K1035" s="1">
        <v>37328</v>
      </c>
      <c r="L1035" s="1">
        <v>37328</v>
      </c>
      <c r="M1035" s="1">
        <v>37328</v>
      </c>
      <c r="N1035" s="1">
        <v>37330</v>
      </c>
      <c r="O1035" t="s">
        <v>1117</v>
      </c>
      <c r="P1035">
        <v>4</v>
      </c>
      <c r="Q1035" t="s">
        <v>1215</v>
      </c>
      <c r="R1035">
        <f t="shared" si="33"/>
        <v>11</v>
      </c>
      <c r="S1035">
        <f t="shared" si="34"/>
        <v>1</v>
      </c>
    </row>
    <row r="1036" spans="1:19" x14ac:dyDescent="0.25">
      <c r="A1036" t="s">
        <v>2157</v>
      </c>
      <c r="B1036" t="s">
        <v>4026</v>
      </c>
      <c r="C1036">
        <v>2</v>
      </c>
      <c r="D1036">
        <v>1250</v>
      </c>
      <c r="E1036">
        <v>2500</v>
      </c>
      <c r="F1036">
        <v>9</v>
      </c>
      <c r="G1036">
        <v>9</v>
      </c>
      <c r="H1036" t="s">
        <v>1208</v>
      </c>
      <c r="I1036" s="1">
        <v>37159</v>
      </c>
      <c r="J1036" s="1">
        <v>37323</v>
      </c>
      <c r="K1036" s="1">
        <v>37344</v>
      </c>
      <c r="L1036" s="1">
        <v>37344</v>
      </c>
      <c r="M1036" s="1">
        <v>37344</v>
      </c>
      <c r="N1036" s="1">
        <v>37344</v>
      </c>
      <c r="O1036" t="s">
        <v>1117</v>
      </c>
      <c r="P1036">
        <v>1</v>
      </c>
      <c r="Q1036" t="s">
        <v>1215</v>
      </c>
      <c r="R1036">
        <f t="shared" si="33"/>
        <v>13</v>
      </c>
      <c r="S1036">
        <f t="shared" si="34"/>
        <v>1</v>
      </c>
    </row>
    <row r="1037" spans="1:19" x14ac:dyDescent="0.25">
      <c r="A1037" t="s">
        <v>2158</v>
      </c>
      <c r="B1037" t="s">
        <v>4028</v>
      </c>
      <c r="C1037">
        <v>2.5</v>
      </c>
      <c r="D1037">
        <v>1250</v>
      </c>
      <c r="E1037">
        <v>2500</v>
      </c>
      <c r="F1037">
        <v>4</v>
      </c>
      <c r="G1037">
        <v>4</v>
      </c>
      <c r="H1037" t="s">
        <v>1208</v>
      </c>
      <c r="I1037" s="1">
        <v>37159</v>
      </c>
      <c r="J1037" s="1">
        <v>37312</v>
      </c>
      <c r="K1037" s="1">
        <v>37361</v>
      </c>
      <c r="L1037" s="1">
        <v>37361</v>
      </c>
      <c r="M1037" s="1">
        <v>37330</v>
      </c>
      <c r="N1037" s="1">
        <v>37330</v>
      </c>
      <c r="O1037" t="s">
        <v>1117</v>
      </c>
      <c r="P1037">
        <v>1</v>
      </c>
      <c r="Q1037" t="s">
        <v>1215</v>
      </c>
      <c r="R1037">
        <f t="shared" si="33"/>
        <v>11</v>
      </c>
      <c r="S1037">
        <f t="shared" si="34"/>
        <v>1</v>
      </c>
    </row>
    <row r="1038" spans="1:19" x14ac:dyDescent="0.25">
      <c r="A1038" t="s">
        <v>2159</v>
      </c>
      <c r="B1038" t="s">
        <v>3521</v>
      </c>
      <c r="C1038">
        <v>3</v>
      </c>
      <c r="D1038">
        <v>1250</v>
      </c>
      <c r="E1038">
        <v>2500</v>
      </c>
      <c r="F1038">
        <v>3</v>
      </c>
      <c r="G1038">
        <v>3</v>
      </c>
      <c r="H1038" t="s">
        <v>1208</v>
      </c>
      <c r="I1038" s="1">
        <v>37110</v>
      </c>
      <c r="J1038" s="1">
        <v>37321</v>
      </c>
      <c r="K1038" s="1">
        <v>37344</v>
      </c>
      <c r="L1038" s="1">
        <v>37344</v>
      </c>
      <c r="M1038" s="1">
        <v>37344</v>
      </c>
      <c r="N1038" s="1">
        <v>37344</v>
      </c>
      <c r="O1038" t="s">
        <v>1117</v>
      </c>
      <c r="P1038">
        <v>1</v>
      </c>
      <c r="Q1038" t="s">
        <v>1215</v>
      </c>
      <c r="R1038">
        <f t="shared" si="33"/>
        <v>13</v>
      </c>
      <c r="S1038">
        <f t="shared" si="34"/>
        <v>1</v>
      </c>
    </row>
    <row r="1039" spans="1:19" x14ac:dyDescent="0.25">
      <c r="A1039" t="s">
        <v>2160</v>
      </c>
      <c r="B1039" t="s">
        <v>4028</v>
      </c>
      <c r="C1039">
        <v>3</v>
      </c>
      <c r="D1039">
        <v>1250</v>
      </c>
      <c r="E1039">
        <v>2500</v>
      </c>
      <c r="F1039">
        <v>5</v>
      </c>
      <c r="G1039">
        <v>5</v>
      </c>
      <c r="H1039" t="s">
        <v>1208</v>
      </c>
      <c r="I1039" s="1">
        <v>37159</v>
      </c>
      <c r="J1039" s="1">
        <v>37336</v>
      </c>
      <c r="K1039" t="s">
        <v>1124</v>
      </c>
      <c r="L1039" t="s">
        <v>1124</v>
      </c>
      <c r="M1039" s="1">
        <v>37352</v>
      </c>
      <c r="N1039" s="1">
        <v>37352</v>
      </c>
      <c r="O1039" t="s">
        <v>1117</v>
      </c>
      <c r="P1039">
        <v>7</v>
      </c>
      <c r="Q1039" t="s">
        <v>1215</v>
      </c>
      <c r="R1039">
        <f t="shared" si="33"/>
        <v>14</v>
      </c>
      <c r="S1039">
        <f t="shared" si="34"/>
        <v>1</v>
      </c>
    </row>
    <row r="1040" spans="1:19" x14ac:dyDescent="0.25">
      <c r="A1040" t="s">
        <v>2161</v>
      </c>
      <c r="B1040" t="s">
        <v>1199</v>
      </c>
      <c r="C1040">
        <v>3</v>
      </c>
      <c r="D1040">
        <v>1250</v>
      </c>
      <c r="E1040">
        <v>2500</v>
      </c>
      <c r="F1040">
        <v>3</v>
      </c>
      <c r="G1040">
        <v>3</v>
      </c>
      <c r="H1040" t="s">
        <v>1208</v>
      </c>
      <c r="I1040" s="1">
        <v>37114</v>
      </c>
      <c r="J1040" s="1">
        <v>37321</v>
      </c>
      <c r="K1040" s="1">
        <v>37344</v>
      </c>
      <c r="L1040" s="1">
        <v>37344</v>
      </c>
      <c r="M1040" s="1">
        <v>37344</v>
      </c>
      <c r="N1040" s="1">
        <v>37344</v>
      </c>
      <c r="O1040" t="s">
        <v>1117</v>
      </c>
      <c r="P1040">
        <v>2</v>
      </c>
      <c r="Q1040" t="s">
        <v>1215</v>
      </c>
      <c r="R1040">
        <f t="shared" si="33"/>
        <v>13</v>
      </c>
      <c r="S1040">
        <f t="shared" si="34"/>
        <v>1</v>
      </c>
    </row>
    <row r="1041" spans="1:19" x14ac:dyDescent="0.25">
      <c r="A1041" t="s">
        <v>2162</v>
      </c>
      <c r="B1041" t="s">
        <v>1199</v>
      </c>
      <c r="C1041">
        <v>1.6</v>
      </c>
      <c r="D1041">
        <v>1250</v>
      </c>
      <c r="E1041">
        <v>2500</v>
      </c>
      <c r="F1041">
        <v>6</v>
      </c>
      <c r="G1041">
        <v>6</v>
      </c>
      <c r="H1041" t="s">
        <v>1208</v>
      </c>
      <c r="I1041" s="1">
        <v>37114</v>
      </c>
      <c r="J1041" s="1">
        <v>37321</v>
      </c>
      <c r="K1041" s="1">
        <v>37345</v>
      </c>
      <c r="L1041" s="1">
        <v>37345</v>
      </c>
      <c r="M1041" s="1">
        <v>37344</v>
      </c>
      <c r="N1041" s="1">
        <v>37344</v>
      </c>
      <c r="O1041" t="s">
        <v>1117</v>
      </c>
      <c r="P1041">
        <v>5</v>
      </c>
      <c r="Q1041" t="s">
        <v>1215</v>
      </c>
      <c r="R1041">
        <f t="shared" si="33"/>
        <v>13</v>
      </c>
      <c r="S1041">
        <f t="shared" si="34"/>
        <v>1</v>
      </c>
    </row>
    <row r="1042" spans="1:19" x14ac:dyDescent="0.25">
      <c r="A1042" t="s">
        <v>2163</v>
      </c>
      <c r="B1042" t="s">
        <v>4027</v>
      </c>
      <c r="C1042">
        <v>1</v>
      </c>
      <c r="D1042">
        <v>1250</v>
      </c>
      <c r="E1042">
        <v>2500</v>
      </c>
      <c r="F1042">
        <v>6</v>
      </c>
      <c r="G1042">
        <v>6</v>
      </c>
      <c r="H1042" t="s">
        <v>1208</v>
      </c>
      <c r="I1042" s="1">
        <v>37114</v>
      </c>
      <c r="J1042" s="1">
        <v>37321</v>
      </c>
      <c r="K1042" s="1">
        <v>37344</v>
      </c>
      <c r="L1042" s="1">
        <v>37344</v>
      </c>
      <c r="M1042" s="1">
        <v>37344</v>
      </c>
      <c r="N1042" s="1">
        <v>37344</v>
      </c>
      <c r="O1042" t="s">
        <v>1117</v>
      </c>
      <c r="P1042">
        <v>2</v>
      </c>
      <c r="Q1042" t="s">
        <v>1215</v>
      </c>
      <c r="R1042">
        <f t="shared" si="33"/>
        <v>13</v>
      </c>
      <c r="S1042">
        <f t="shared" si="34"/>
        <v>1</v>
      </c>
    </row>
    <row r="1043" spans="1:19" x14ac:dyDescent="0.25">
      <c r="A1043" t="s">
        <v>2164</v>
      </c>
      <c r="B1043" t="s">
        <v>4028</v>
      </c>
      <c r="C1043">
        <v>3</v>
      </c>
      <c r="D1043">
        <v>1250</v>
      </c>
      <c r="E1043">
        <v>2500</v>
      </c>
      <c r="F1043">
        <v>9</v>
      </c>
      <c r="G1043">
        <v>9</v>
      </c>
      <c r="H1043" t="s">
        <v>1208</v>
      </c>
      <c r="I1043" s="1">
        <v>37122</v>
      </c>
      <c r="J1043" s="1">
        <v>37312</v>
      </c>
      <c r="K1043" s="1">
        <v>37328</v>
      </c>
      <c r="L1043" s="1">
        <v>37328</v>
      </c>
      <c r="M1043" s="1">
        <v>37326</v>
      </c>
      <c r="N1043" s="1">
        <v>37330</v>
      </c>
      <c r="O1043" t="s">
        <v>1117</v>
      </c>
      <c r="P1043">
        <v>6</v>
      </c>
      <c r="Q1043" t="s">
        <v>1215</v>
      </c>
      <c r="R1043">
        <f t="shared" si="33"/>
        <v>11</v>
      </c>
      <c r="S1043">
        <f t="shared" si="34"/>
        <v>1</v>
      </c>
    </row>
    <row r="1044" spans="1:19" x14ac:dyDescent="0.25">
      <c r="A1044" t="s">
        <v>2165</v>
      </c>
      <c r="B1044" t="s">
        <v>4026</v>
      </c>
      <c r="C1044">
        <v>3</v>
      </c>
      <c r="D1044">
        <v>1250</v>
      </c>
      <c r="E1044">
        <v>2500</v>
      </c>
      <c r="F1044">
        <v>20</v>
      </c>
      <c r="G1044">
        <v>20</v>
      </c>
      <c r="H1044" t="s">
        <v>1208</v>
      </c>
      <c r="I1044" s="1">
        <v>37159</v>
      </c>
      <c r="J1044" s="1">
        <v>37312</v>
      </c>
      <c r="K1044" s="1">
        <v>37326</v>
      </c>
      <c r="L1044" s="1">
        <v>37326</v>
      </c>
      <c r="M1044" s="1">
        <v>37330</v>
      </c>
      <c r="N1044" s="1">
        <v>37330</v>
      </c>
      <c r="O1044" t="s">
        <v>1117</v>
      </c>
      <c r="P1044">
        <v>1</v>
      </c>
      <c r="Q1044" t="s">
        <v>1215</v>
      </c>
      <c r="R1044">
        <f t="shared" si="33"/>
        <v>11</v>
      </c>
      <c r="S1044">
        <f t="shared" si="34"/>
        <v>1</v>
      </c>
    </row>
    <row r="1045" spans="1:19" x14ac:dyDescent="0.25">
      <c r="A1045" t="s">
        <v>2166</v>
      </c>
      <c r="B1045" t="s">
        <v>4028</v>
      </c>
      <c r="C1045">
        <v>2</v>
      </c>
      <c r="D1045">
        <v>1250</v>
      </c>
      <c r="E1045">
        <v>2500</v>
      </c>
      <c r="F1045">
        <v>6</v>
      </c>
      <c r="G1045">
        <v>6</v>
      </c>
      <c r="H1045" t="s">
        <v>1208</v>
      </c>
      <c r="I1045" s="1">
        <v>37159</v>
      </c>
      <c r="J1045" s="1">
        <v>37312</v>
      </c>
      <c r="K1045" s="1">
        <v>37333</v>
      </c>
      <c r="L1045" s="1">
        <v>37333</v>
      </c>
      <c r="M1045" s="1">
        <v>37333</v>
      </c>
      <c r="N1045" s="1">
        <v>37333</v>
      </c>
      <c r="O1045" t="s">
        <v>1117</v>
      </c>
      <c r="P1045">
        <v>2</v>
      </c>
      <c r="Q1045" t="s">
        <v>1215</v>
      </c>
      <c r="R1045">
        <f t="shared" si="33"/>
        <v>12</v>
      </c>
      <c r="S1045">
        <f t="shared" si="34"/>
        <v>1</v>
      </c>
    </row>
    <row r="1046" spans="1:19" x14ac:dyDescent="0.25">
      <c r="A1046" t="s">
        <v>2167</v>
      </c>
      <c r="B1046" t="s">
        <v>4028</v>
      </c>
      <c r="C1046">
        <v>2</v>
      </c>
      <c r="D1046">
        <v>1250</v>
      </c>
      <c r="E1046">
        <v>2500</v>
      </c>
      <c r="F1046">
        <v>9</v>
      </c>
      <c r="G1046">
        <v>6.0759999999999996</v>
      </c>
      <c r="H1046" t="s">
        <v>1208</v>
      </c>
      <c r="I1046" s="1">
        <v>37119</v>
      </c>
      <c r="J1046" s="1">
        <v>37321</v>
      </c>
      <c r="K1046" s="1">
        <v>37344</v>
      </c>
      <c r="L1046" s="1">
        <v>37344</v>
      </c>
      <c r="M1046" s="1">
        <v>37344</v>
      </c>
      <c r="N1046" s="1">
        <v>37344</v>
      </c>
      <c r="O1046" t="s">
        <v>1117</v>
      </c>
      <c r="P1046">
        <v>1</v>
      </c>
      <c r="Q1046" t="s">
        <v>1215</v>
      </c>
      <c r="R1046">
        <f t="shared" si="33"/>
        <v>13</v>
      </c>
      <c r="S1046">
        <f t="shared" si="34"/>
        <v>0</v>
      </c>
    </row>
    <row r="1047" spans="1:19" x14ac:dyDescent="0.25">
      <c r="A1047" t="s">
        <v>2168</v>
      </c>
      <c r="B1047" t="s">
        <v>4028</v>
      </c>
      <c r="C1047">
        <v>2.5</v>
      </c>
      <c r="D1047">
        <v>1250</v>
      </c>
      <c r="E1047">
        <v>2500</v>
      </c>
      <c r="F1047">
        <v>3</v>
      </c>
      <c r="G1047">
        <v>3</v>
      </c>
      <c r="H1047" t="s">
        <v>1208</v>
      </c>
      <c r="I1047" s="1">
        <v>37119</v>
      </c>
      <c r="J1047" s="1">
        <v>37322</v>
      </c>
      <c r="K1047" t="s">
        <v>1124</v>
      </c>
      <c r="L1047" t="s">
        <v>1124</v>
      </c>
      <c r="M1047" s="1">
        <v>37335</v>
      </c>
      <c r="N1047" s="1">
        <v>37335</v>
      </c>
      <c r="O1047" t="s">
        <v>1117</v>
      </c>
      <c r="P1047">
        <v>2</v>
      </c>
      <c r="Q1047" t="s">
        <v>1215</v>
      </c>
      <c r="R1047">
        <f t="shared" si="33"/>
        <v>12</v>
      </c>
      <c r="S1047">
        <f t="shared" si="34"/>
        <v>1</v>
      </c>
    </row>
    <row r="1048" spans="1:19" x14ac:dyDescent="0.25">
      <c r="A1048" t="s">
        <v>2169</v>
      </c>
      <c r="B1048" t="s">
        <v>4027</v>
      </c>
      <c r="C1048">
        <v>2</v>
      </c>
      <c r="D1048">
        <v>1250</v>
      </c>
      <c r="E1048">
        <v>2900</v>
      </c>
      <c r="F1048">
        <v>13</v>
      </c>
      <c r="G1048">
        <v>2.2160000000000002</v>
      </c>
      <c r="H1048" t="s">
        <v>1208</v>
      </c>
      <c r="I1048" s="1">
        <v>37119</v>
      </c>
      <c r="J1048" s="1">
        <v>37313</v>
      </c>
      <c r="K1048" s="1">
        <v>37362</v>
      </c>
      <c r="L1048" s="1">
        <v>37362</v>
      </c>
      <c r="M1048" s="1">
        <v>37338</v>
      </c>
      <c r="N1048" s="1">
        <v>37338</v>
      </c>
      <c r="O1048" t="s">
        <v>1117</v>
      </c>
      <c r="P1048">
        <v>1</v>
      </c>
      <c r="Q1048" t="s">
        <v>1215</v>
      </c>
      <c r="R1048">
        <f t="shared" si="33"/>
        <v>12</v>
      </c>
      <c r="S1048">
        <f t="shared" si="34"/>
        <v>0</v>
      </c>
    </row>
    <row r="1049" spans="1:19" x14ac:dyDescent="0.25">
      <c r="A1049" t="s">
        <v>2170</v>
      </c>
      <c r="B1049" t="s">
        <v>4028</v>
      </c>
      <c r="C1049">
        <v>2.5</v>
      </c>
      <c r="D1049">
        <v>1250</v>
      </c>
      <c r="E1049">
        <v>2500</v>
      </c>
      <c r="F1049">
        <v>4</v>
      </c>
      <c r="G1049">
        <v>4</v>
      </c>
      <c r="H1049" t="s">
        <v>1208</v>
      </c>
      <c r="I1049" s="1">
        <v>37159</v>
      </c>
      <c r="J1049" s="1">
        <v>37313</v>
      </c>
      <c r="K1049" s="1">
        <v>37361</v>
      </c>
      <c r="L1049" s="1">
        <v>37361</v>
      </c>
      <c r="M1049" s="1">
        <v>37337</v>
      </c>
      <c r="N1049" s="1">
        <v>37337</v>
      </c>
      <c r="O1049" t="s">
        <v>1117</v>
      </c>
      <c r="P1049">
        <v>1</v>
      </c>
      <c r="Q1049" t="s">
        <v>1215</v>
      </c>
      <c r="R1049">
        <f t="shared" si="33"/>
        <v>12</v>
      </c>
      <c r="S1049">
        <f t="shared" si="34"/>
        <v>1</v>
      </c>
    </row>
    <row r="1050" spans="1:19" x14ac:dyDescent="0.25">
      <c r="A1050" t="s">
        <v>2171</v>
      </c>
      <c r="B1050" t="s">
        <v>1199</v>
      </c>
      <c r="C1050">
        <v>3</v>
      </c>
      <c r="D1050">
        <v>1250</v>
      </c>
      <c r="E1050">
        <v>2500</v>
      </c>
      <c r="F1050">
        <v>6</v>
      </c>
      <c r="G1050">
        <v>6</v>
      </c>
      <c r="H1050" t="s">
        <v>1208</v>
      </c>
      <c r="I1050" s="1">
        <v>37122</v>
      </c>
      <c r="J1050" s="1">
        <v>37312</v>
      </c>
      <c r="K1050" s="1">
        <v>37337</v>
      </c>
      <c r="L1050" s="1">
        <v>37337</v>
      </c>
      <c r="M1050" s="1">
        <v>37337</v>
      </c>
      <c r="N1050" s="1">
        <v>37344</v>
      </c>
      <c r="O1050" t="s">
        <v>1117</v>
      </c>
      <c r="P1050">
        <v>3</v>
      </c>
      <c r="Q1050" t="s">
        <v>1215</v>
      </c>
      <c r="R1050">
        <f t="shared" si="33"/>
        <v>13</v>
      </c>
      <c r="S1050">
        <f t="shared" si="34"/>
        <v>1</v>
      </c>
    </row>
    <row r="1051" spans="1:19" x14ac:dyDescent="0.25">
      <c r="A1051" t="s">
        <v>2172</v>
      </c>
      <c r="B1051" t="s">
        <v>4028</v>
      </c>
      <c r="C1051">
        <v>2</v>
      </c>
      <c r="D1051">
        <v>1250</v>
      </c>
      <c r="E1051">
        <v>2100</v>
      </c>
      <c r="F1051">
        <v>250</v>
      </c>
      <c r="G1051">
        <v>2.0819999999999999</v>
      </c>
      <c r="H1051" t="s">
        <v>1208</v>
      </c>
      <c r="I1051" s="1">
        <v>37159</v>
      </c>
      <c r="J1051" s="1">
        <v>37325</v>
      </c>
      <c r="K1051" t="s">
        <v>1124</v>
      </c>
      <c r="L1051" t="s">
        <v>1124</v>
      </c>
      <c r="M1051" s="1">
        <v>37369</v>
      </c>
      <c r="N1051" s="1">
        <v>37369</v>
      </c>
      <c r="O1051" t="s">
        <v>1117</v>
      </c>
      <c r="P1051">
        <v>1</v>
      </c>
      <c r="Q1051" t="s">
        <v>1215</v>
      </c>
      <c r="R1051">
        <f t="shared" si="33"/>
        <v>17</v>
      </c>
      <c r="S1051">
        <f t="shared" si="34"/>
        <v>0</v>
      </c>
    </row>
    <row r="1052" spans="1:19" x14ac:dyDescent="0.25">
      <c r="A1052" t="s">
        <v>2173</v>
      </c>
      <c r="B1052" t="s">
        <v>1199</v>
      </c>
      <c r="C1052">
        <v>2</v>
      </c>
      <c r="D1052">
        <v>1250</v>
      </c>
      <c r="E1052">
        <v>2100</v>
      </c>
      <c r="F1052">
        <v>181.60400000000001</v>
      </c>
      <c r="G1052">
        <v>85.174999999999997</v>
      </c>
      <c r="H1052" t="s">
        <v>1208</v>
      </c>
      <c r="I1052" s="1">
        <v>37159</v>
      </c>
      <c r="J1052" s="1">
        <v>37336</v>
      </c>
      <c r="K1052" s="1">
        <v>37333</v>
      </c>
      <c r="L1052" s="1">
        <v>37336</v>
      </c>
      <c r="M1052" s="1">
        <v>37340</v>
      </c>
      <c r="N1052" s="1">
        <v>37369</v>
      </c>
      <c r="O1052" t="s">
        <v>1114</v>
      </c>
      <c r="P1052">
        <v>1</v>
      </c>
      <c r="Q1052" t="s">
        <v>1215</v>
      </c>
      <c r="R1052">
        <f t="shared" si="33"/>
        <v>17</v>
      </c>
      <c r="S1052">
        <f t="shared" si="34"/>
        <v>0</v>
      </c>
    </row>
    <row r="1053" spans="1:19" x14ac:dyDescent="0.25">
      <c r="A1053" t="s">
        <v>2174</v>
      </c>
      <c r="B1053" t="s">
        <v>1199</v>
      </c>
      <c r="C1053">
        <v>2</v>
      </c>
      <c r="D1053">
        <v>1250</v>
      </c>
      <c r="E1053">
        <v>4000</v>
      </c>
      <c r="F1053">
        <v>80</v>
      </c>
      <c r="G1053">
        <v>41.968000000000004</v>
      </c>
      <c r="H1053" t="s">
        <v>1208</v>
      </c>
      <c r="I1053" s="1">
        <v>37159</v>
      </c>
      <c r="J1053" s="1">
        <v>37337</v>
      </c>
      <c r="K1053" s="1">
        <v>37340</v>
      </c>
      <c r="L1053" s="1">
        <v>37340</v>
      </c>
      <c r="M1053" s="1">
        <v>37340</v>
      </c>
      <c r="N1053" s="1">
        <v>37340</v>
      </c>
      <c r="O1053" t="s">
        <v>1117</v>
      </c>
      <c r="P1053">
        <v>1</v>
      </c>
      <c r="Q1053" t="s">
        <v>1215</v>
      </c>
      <c r="R1053">
        <f t="shared" si="33"/>
        <v>13</v>
      </c>
      <c r="S1053">
        <f t="shared" si="34"/>
        <v>0</v>
      </c>
    </row>
    <row r="1054" spans="1:19" x14ac:dyDescent="0.25">
      <c r="A1054" t="s">
        <v>2175</v>
      </c>
      <c r="B1054" t="s">
        <v>4027</v>
      </c>
      <c r="C1054">
        <v>4</v>
      </c>
      <c r="D1054">
        <v>1250</v>
      </c>
      <c r="E1054">
        <v>3100</v>
      </c>
      <c r="F1054">
        <v>88.176000000000002</v>
      </c>
      <c r="G1054">
        <v>88.176000000000002</v>
      </c>
      <c r="H1054" t="s">
        <v>1208</v>
      </c>
      <c r="I1054" s="1">
        <v>37159</v>
      </c>
      <c r="J1054" s="1">
        <v>37325</v>
      </c>
      <c r="K1054" s="1">
        <v>37325</v>
      </c>
      <c r="L1054" s="1">
        <v>37325</v>
      </c>
      <c r="M1054" s="1">
        <v>37325</v>
      </c>
      <c r="N1054" s="1">
        <v>37325</v>
      </c>
      <c r="O1054" t="s">
        <v>1114</v>
      </c>
      <c r="P1054">
        <v>1</v>
      </c>
      <c r="Q1054" t="s">
        <v>1215</v>
      </c>
      <c r="R1054">
        <f t="shared" si="33"/>
        <v>11</v>
      </c>
      <c r="S1054">
        <f t="shared" si="34"/>
        <v>1</v>
      </c>
    </row>
    <row r="1055" spans="1:19" x14ac:dyDescent="0.25">
      <c r="A1055" t="s">
        <v>2176</v>
      </c>
      <c r="B1055" t="s">
        <v>1199</v>
      </c>
      <c r="C1055">
        <v>3</v>
      </c>
      <c r="D1055">
        <v>1250</v>
      </c>
      <c r="E1055">
        <v>3100</v>
      </c>
      <c r="F1055">
        <v>13.576000000000001</v>
      </c>
      <c r="G1055">
        <v>9.5459999999999994</v>
      </c>
      <c r="H1055" t="s">
        <v>1208</v>
      </c>
      <c r="I1055" s="1">
        <v>37159</v>
      </c>
      <c r="J1055" s="1">
        <v>37336</v>
      </c>
      <c r="K1055" s="1">
        <v>37354</v>
      </c>
      <c r="L1055" s="1">
        <v>37354</v>
      </c>
      <c r="M1055" s="1">
        <v>37354</v>
      </c>
      <c r="N1055" s="1">
        <v>37354</v>
      </c>
      <c r="O1055" t="s">
        <v>1117</v>
      </c>
      <c r="P1055">
        <v>1</v>
      </c>
      <c r="Q1055" t="s">
        <v>1215</v>
      </c>
      <c r="R1055">
        <f t="shared" si="33"/>
        <v>15</v>
      </c>
      <c r="S1055">
        <f t="shared" si="34"/>
        <v>0</v>
      </c>
    </row>
    <row r="1056" spans="1:19" x14ac:dyDescent="0.25">
      <c r="A1056" t="s">
        <v>2177</v>
      </c>
      <c r="B1056" t="s">
        <v>4028</v>
      </c>
      <c r="C1056">
        <v>3</v>
      </c>
      <c r="D1056">
        <v>1250</v>
      </c>
      <c r="E1056">
        <v>3100</v>
      </c>
      <c r="F1056">
        <v>40</v>
      </c>
      <c r="G1056">
        <v>40</v>
      </c>
      <c r="H1056" t="s">
        <v>1208</v>
      </c>
      <c r="I1056" s="1">
        <v>37133</v>
      </c>
      <c r="J1056" s="1">
        <v>37337</v>
      </c>
      <c r="K1056" s="1">
        <v>37354</v>
      </c>
      <c r="L1056" s="1">
        <v>37354</v>
      </c>
      <c r="M1056" s="1">
        <v>37354</v>
      </c>
      <c r="N1056" s="1">
        <v>37354</v>
      </c>
      <c r="O1056" t="s">
        <v>1117</v>
      </c>
      <c r="P1056">
        <v>1</v>
      </c>
      <c r="Q1056" t="s">
        <v>1215</v>
      </c>
      <c r="R1056">
        <f t="shared" si="33"/>
        <v>15</v>
      </c>
      <c r="S1056">
        <f t="shared" si="34"/>
        <v>1</v>
      </c>
    </row>
    <row r="1057" spans="1:19" x14ac:dyDescent="0.25">
      <c r="A1057" t="s">
        <v>2178</v>
      </c>
      <c r="B1057" t="s">
        <v>4028</v>
      </c>
      <c r="C1057">
        <v>2.5</v>
      </c>
      <c r="D1057">
        <v>1250</v>
      </c>
      <c r="E1057">
        <v>4000</v>
      </c>
      <c r="F1057">
        <v>50</v>
      </c>
      <c r="G1057">
        <v>2.5859999999999999</v>
      </c>
      <c r="H1057" t="s">
        <v>1208</v>
      </c>
      <c r="I1057" s="1">
        <v>37159</v>
      </c>
      <c r="J1057" s="1">
        <v>37325</v>
      </c>
      <c r="K1057" s="1">
        <v>37354</v>
      </c>
      <c r="L1057" s="1">
        <v>37354</v>
      </c>
      <c r="M1057" s="1">
        <v>37354</v>
      </c>
      <c r="N1057" s="1">
        <v>37354</v>
      </c>
      <c r="O1057" t="s">
        <v>1117</v>
      </c>
      <c r="P1057">
        <v>1</v>
      </c>
      <c r="Q1057" t="s">
        <v>1215</v>
      </c>
      <c r="R1057">
        <f t="shared" si="33"/>
        <v>15</v>
      </c>
      <c r="S1057">
        <f t="shared" si="34"/>
        <v>0</v>
      </c>
    </row>
    <row r="1058" spans="1:19" x14ac:dyDescent="0.25">
      <c r="A1058" t="s">
        <v>2179</v>
      </c>
      <c r="B1058" t="s">
        <v>4028</v>
      </c>
      <c r="C1058">
        <v>3</v>
      </c>
      <c r="D1058">
        <v>1250</v>
      </c>
      <c r="E1058">
        <v>4000</v>
      </c>
      <c r="F1058">
        <v>50</v>
      </c>
      <c r="G1058">
        <v>27.754999999999999</v>
      </c>
      <c r="H1058" t="s">
        <v>1208</v>
      </c>
      <c r="I1058" s="1">
        <v>37159</v>
      </c>
      <c r="J1058" s="1">
        <v>37325</v>
      </c>
      <c r="K1058" s="1">
        <v>37354</v>
      </c>
      <c r="L1058" s="1">
        <v>37354</v>
      </c>
      <c r="M1058" s="1">
        <v>37354</v>
      </c>
      <c r="N1058" s="1">
        <v>37354</v>
      </c>
      <c r="O1058" t="s">
        <v>1117</v>
      </c>
      <c r="P1058">
        <v>1</v>
      </c>
      <c r="Q1058" t="s">
        <v>1215</v>
      </c>
      <c r="R1058">
        <f t="shared" si="33"/>
        <v>15</v>
      </c>
      <c r="S1058">
        <f t="shared" si="34"/>
        <v>0</v>
      </c>
    </row>
    <row r="1059" spans="1:19" x14ac:dyDescent="0.25">
      <c r="A1059" t="s">
        <v>2180</v>
      </c>
      <c r="B1059" t="s">
        <v>4028</v>
      </c>
      <c r="C1059">
        <v>2.5</v>
      </c>
      <c r="D1059">
        <v>1250</v>
      </c>
      <c r="E1059">
        <v>4000</v>
      </c>
      <c r="F1059">
        <v>40</v>
      </c>
      <c r="G1059">
        <v>23.248000000000001</v>
      </c>
      <c r="H1059" t="s">
        <v>1208</v>
      </c>
      <c r="I1059" s="1">
        <v>37159</v>
      </c>
      <c r="J1059" s="1">
        <v>37336</v>
      </c>
      <c r="K1059" s="1">
        <v>37354</v>
      </c>
      <c r="L1059" s="1">
        <v>37354</v>
      </c>
      <c r="M1059" s="1">
        <v>37354</v>
      </c>
      <c r="N1059" s="1">
        <v>37354</v>
      </c>
      <c r="O1059" t="s">
        <v>1117</v>
      </c>
      <c r="P1059">
        <v>1</v>
      </c>
      <c r="Q1059" t="s">
        <v>1215</v>
      </c>
      <c r="R1059">
        <f t="shared" si="33"/>
        <v>15</v>
      </c>
      <c r="S1059">
        <f t="shared" si="34"/>
        <v>0</v>
      </c>
    </row>
    <row r="1060" spans="1:19" x14ac:dyDescent="0.25">
      <c r="A1060" t="s">
        <v>2181</v>
      </c>
      <c r="B1060" t="s">
        <v>4026</v>
      </c>
      <c r="C1060">
        <v>2</v>
      </c>
      <c r="D1060">
        <v>296</v>
      </c>
      <c r="E1060">
        <v>346</v>
      </c>
      <c r="F1060">
        <v>13.836</v>
      </c>
      <c r="G1060">
        <v>13.836</v>
      </c>
      <c r="H1060" t="s">
        <v>1208</v>
      </c>
      <c r="I1060" s="1">
        <v>37104</v>
      </c>
      <c r="J1060" s="1">
        <v>37314</v>
      </c>
      <c r="K1060" s="1">
        <v>37344</v>
      </c>
      <c r="L1060" s="1">
        <v>37344</v>
      </c>
      <c r="M1060" s="1">
        <v>37337</v>
      </c>
      <c r="N1060" s="1">
        <v>37337</v>
      </c>
      <c r="O1060" t="s">
        <v>1117</v>
      </c>
      <c r="P1060">
        <v>1</v>
      </c>
      <c r="Q1060" t="s">
        <v>1438</v>
      </c>
      <c r="R1060">
        <f t="shared" si="33"/>
        <v>12</v>
      </c>
      <c r="S1060">
        <f t="shared" si="34"/>
        <v>1</v>
      </c>
    </row>
    <row r="1061" spans="1:19" x14ac:dyDescent="0.25">
      <c r="A1061" t="s">
        <v>2182</v>
      </c>
      <c r="B1061" t="s">
        <v>1199</v>
      </c>
      <c r="C1061">
        <v>1.2</v>
      </c>
      <c r="D1061">
        <v>1250</v>
      </c>
      <c r="E1061">
        <v>2500</v>
      </c>
      <c r="F1061">
        <v>5</v>
      </c>
      <c r="G1061">
        <v>5</v>
      </c>
      <c r="H1061" t="s">
        <v>1208</v>
      </c>
      <c r="I1061" s="1">
        <v>37132</v>
      </c>
      <c r="J1061" s="1">
        <v>37315</v>
      </c>
      <c r="K1061" s="1">
        <v>37328</v>
      </c>
      <c r="L1061" s="1">
        <v>37328</v>
      </c>
      <c r="M1061" s="1">
        <v>37327</v>
      </c>
      <c r="N1061" s="1">
        <v>37327</v>
      </c>
      <c r="O1061" t="s">
        <v>1117</v>
      </c>
      <c r="P1061">
        <v>1</v>
      </c>
      <c r="Q1061" t="s">
        <v>1215</v>
      </c>
      <c r="R1061">
        <f t="shared" si="33"/>
        <v>11</v>
      </c>
      <c r="S1061">
        <f t="shared" si="34"/>
        <v>1</v>
      </c>
    </row>
    <row r="1062" spans="1:19" x14ac:dyDescent="0.25">
      <c r="A1062" t="s">
        <v>2183</v>
      </c>
      <c r="B1062" t="s">
        <v>4026</v>
      </c>
      <c r="C1062">
        <v>1.2</v>
      </c>
      <c r="D1062">
        <v>1250</v>
      </c>
      <c r="E1062">
        <v>2500</v>
      </c>
      <c r="F1062">
        <v>5</v>
      </c>
      <c r="G1062">
        <v>5</v>
      </c>
      <c r="H1062" t="s">
        <v>1208</v>
      </c>
      <c r="I1062" s="1">
        <v>37128</v>
      </c>
      <c r="J1062" s="1">
        <v>37314</v>
      </c>
      <c r="K1062" s="1">
        <v>37328</v>
      </c>
      <c r="L1062" s="1">
        <v>37328</v>
      </c>
      <c r="M1062" s="1">
        <v>37327</v>
      </c>
      <c r="N1062" s="1">
        <v>37327</v>
      </c>
      <c r="O1062" t="s">
        <v>1117</v>
      </c>
      <c r="P1062">
        <v>2</v>
      </c>
      <c r="Q1062" t="s">
        <v>1215</v>
      </c>
      <c r="R1062">
        <f t="shared" si="33"/>
        <v>11</v>
      </c>
      <c r="S1062">
        <f t="shared" si="34"/>
        <v>1</v>
      </c>
    </row>
    <row r="1063" spans="1:19" x14ac:dyDescent="0.25">
      <c r="A1063" t="s">
        <v>2184</v>
      </c>
      <c r="B1063" t="s">
        <v>1199</v>
      </c>
      <c r="C1063">
        <v>1.5</v>
      </c>
      <c r="D1063">
        <v>85</v>
      </c>
      <c r="E1063">
        <v>1250</v>
      </c>
      <c r="F1063">
        <v>2</v>
      </c>
      <c r="G1063">
        <v>2</v>
      </c>
      <c r="H1063" t="s">
        <v>1208</v>
      </c>
      <c r="I1063" s="1">
        <v>37119</v>
      </c>
      <c r="J1063" s="1">
        <v>37315</v>
      </c>
      <c r="K1063" s="1">
        <v>37346</v>
      </c>
      <c r="L1063" s="1">
        <v>37346</v>
      </c>
      <c r="M1063" s="1">
        <v>37346</v>
      </c>
      <c r="N1063" s="1">
        <v>37346</v>
      </c>
      <c r="O1063" t="s">
        <v>1117</v>
      </c>
      <c r="P1063">
        <v>3</v>
      </c>
      <c r="Q1063" t="s">
        <v>1215</v>
      </c>
      <c r="R1063">
        <f t="shared" si="33"/>
        <v>14</v>
      </c>
      <c r="S1063">
        <f t="shared" si="34"/>
        <v>1</v>
      </c>
    </row>
    <row r="1064" spans="1:19" x14ac:dyDescent="0.25">
      <c r="A1064" t="s">
        <v>2185</v>
      </c>
      <c r="B1064" t="s">
        <v>1199</v>
      </c>
      <c r="C1064">
        <v>2</v>
      </c>
      <c r="D1064">
        <v>101</v>
      </c>
      <c r="E1064">
        <v>1250</v>
      </c>
      <c r="F1064">
        <v>2</v>
      </c>
      <c r="G1064">
        <v>2</v>
      </c>
      <c r="H1064" t="s">
        <v>1208</v>
      </c>
      <c r="I1064" s="1">
        <v>37119</v>
      </c>
      <c r="J1064" s="1">
        <v>37315</v>
      </c>
      <c r="K1064" t="s">
        <v>1124</v>
      </c>
      <c r="L1064" t="s">
        <v>1124</v>
      </c>
      <c r="M1064" s="1">
        <v>37328</v>
      </c>
      <c r="N1064" s="1">
        <v>37328</v>
      </c>
      <c r="O1064" t="s">
        <v>1117</v>
      </c>
      <c r="P1064">
        <v>5</v>
      </c>
      <c r="Q1064" t="s">
        <v>1215</v>
      </c>
      <c r="R1064">
        <f t="shared" si="33"/>
        <v>11</v>
      </c>
      <c r="S1064">
        <f t="shared" si="34"/>
        <v>1</v>
      </c>
    </row>
    <row r="1065" spans="1:19" x14ac:dyDescent="0.25">
      <c r="A1065" t="s">
        <v>2186</v>
      </c>
      <c r="B1065" t="s">
        <v>4028</v>
      </c>
      <c r="C1065">
        <v>1.2</v>
      </c>
      <c r="D1065">
        <v>188</v>
      </c>
      <c r="E1065">
        <v>1188</v>
      </c>
      <c r="F1065">
        <v>2</v>
      </c>
      <c r="G1065">
        <v>2</v>
      </c>
      <c r="H1065" t="s">
        <v>1208</v>
      </c>
      <c r="I1065" s="1">
        <v>37132</v>
      </c>
      <c r="J1065" s="1">
        <v>37315</v>
      </c>
      <c r="K1065" s="1">
        <v>37326</v>
      </c>
      <c r="L1065" s="1">
        <v>37326</v>
      </c>
      <c r="M1065" s="1">
        <v>37325</v>
      </c>
      <c r="N1065" s="1">
        <v>37325</v>
      </c>
      <c r="O1065" t="s">
        <v>1117</v>
      </c>
      <c r="P1065">
        <v>2</v>
      </c>
      <c r="Q1065" t="s">
        <v>1215</v>
      </c>
      <c r="R1065">
        <f t="shared" si="33"/>
        <v>11</v>
      </c>
      <c r="S1065">
        <f t="shared" si="34"/>
        <v>1</v>
      </c>
    </row>
    <row r="1066" spans="1:19" x14ac:dyDescent="0.25">
      <c r="A1066" t="s">
        <v>2187</v>
      </c>
      <c r="B1066" t="s">
        <v>1199</v>
      </c>
      <c r="C1066">
        <v>1</v>
      </c>
      <c r="D1066">
        <v>410</v>
      </c>
      <c r="E1066">
        <v>1250</v>
      </c>
      <c r="F1066">
        <v>5</v>
      </c>
      <c r="G1066">
        <v>5</v>
      </c>
      <c r="H1066" t="s">
        <v>1208</v>
      </c>
      <c r="I1066" s="1">
        <v>37159</v>
      </c>
      <c r="J1066" s="1">
        <v>37315</v>
      </c>
      <c r="K1066" t="s">
        <v>1124</v>
      </c>
      <c r="L1066" t="s">
        <v>1124</v>
      </c>
      <c r="M1066" s="1">
        <v>37263</v>
      </c>
      <c r="N1066" s="1">
        <v>37263</v>
      </c>
      <c r="O1066" t="s">
        <v>1117</v>
      </c>
      <c r="P1066">
        <v>1</v>
      </c>
      <c r="Q1066" t="s">
        <v>1215</v>
      </c>
      <c r="R1066">
        <f t="shared" si="33"/>
        <v>2</v>
      </c>
      <c r="S1066">
        <f t="shared" si="34"/>
        <v>1</v>
      </c>
    </row>
    <row r="1067" spans="1:19" x14ac:dyDescent="0.25">
      <c r="A1067" t="s">
        <v>2188</v>
      </c>
      <c r="B1067" t="s">
        <v>1199</v>
      </c>
      <c r="C1067">
        <v>1</v>
      </c>
      <c r="D1067">
        <v>177</v>
      </c>
      <c r="E1067">
        <v>1250</v>
      </c>
      <c r="F1067">
        <v>7</v>
      </c>
      <c r="G1067">
        <v>7</v>
      </c>
      <c r="H1067" t="s">
        <v>1208</v>
      </c>
      <c r="I1067" s="1">
        <v>37119</v>
      </c>
      <c r="J1067" s="1">
        <v>37315</v>
      </c>
      <c r="K1067" s="1">
        <v>37303</v>
      </c>
      <c r="L1067" s="1">
        <v>37315</v>
      </c>
      <c r="M1067" s="1">
        <v>37213</v>
      </c>
      <c r="N1067" s="1">
        <v>37262</v>
      </c>
      <c r="O1067" t="s">
        <v>1114</v>
      </c>
      <c r="P1067">
        <v>2</v>
      </c>
      <c r="Q1067" t="s">
        <v>1215</v>
      </c>
      <c r="R1067">
        <f t="shared" si="33"/>
        <v>2</v>
      </c>
      <c r="S1067">
        <f t="shared" si="34"/>
        <v>1</v>
      </c>
    </row>
    <row r="1068" spans="1:19" x14ac:dyDescent="0.25">
      <c r="A1068" t="s">
        <v>2189</v>
      </c>
      <c r="B1068" t="s">
        <v>1199</v>
      </c>
      <c r="C1068">
        <v>2</v>
      </c>
      <c r="D1068">
        <v>108</v>
      </c>
      <c r="E1068">
        <v>1226</v>
      </c>
      <c r="F1068">
        <v>3</v>
      </c>
      <c r="G1068">
        <v>2.2040000000000002</v>
      </c>
      <c r="H1068" t="s">
        <v>1208</v>
      </c>
      <c r="I1068" s="1">
        <v>37159</v>
      </c>
      <c r="J1068" s="1">
        <v>37325</v>
      </c>
      <c r="K1068" s="1">
        <v>37344</v>
      </c>
      <c r="L1068" s="1">
        <v>37344</v>
      </c>
      <c r="M1068" s="1">
        <v>37344</v>
      </c>
      <c r="N1068" s="1">
        <v>37344</v>
      </c>
      <c r="O1068" t="s">
        <v>1117</v>
      </c>
      <c r="P1068">
        <v>3</v>
      </c>
      <c r="Q1068" t="s">
        <v>1215</v>
      </c>
      <c r="R1068">
        <f t="shared" si="33"/>
        <v>13</v>
      </c>
      <c r="S1068">
        <f t="shared" si="34"/>
        <v>0</v>
      </c>
    </row>
    <row r="1069" spans="1:19" x14ac:dyDescent="0.25">
      <c r="A1069" t="s">
        <v>2190</v>
      </c>
      <c r="B1069" t="s">
        <v>4027</v>
      </c>
      <c r="C1069">
        <v>1.5</v>
      </c>
      <c r="D1069">
        <v>113</v>
      </c>
      <c r="E1069">
        <v>1195</v>
      </c>
      <c r="F1069">
        <v>2</v>
      </c>
      <c r="G1069">
        <v>2</v>
      </c>
      <c r="H1069" t="s">
        <v>1208</v>
      </c>
      <c r="I1069" s="1">
        <v>37159</v>
      </c>
      <c r="J1069" s="1">
        <v>37325</v>
      </c>
      <c r="K1069" t="s">
        <v>1124</v>
      </c>
      <c r="L1069" t="s">
        <v>1124</v>
      </c>
      <c r="M1069" s="1">
        <v>37386</v>
      </c>
      <c r="N1069" s="1">
        <v>37386</v>
      </c>
      <c r="O1069" t="s">
        <v>1117</v>
      </c>
      <c r="P1069">
        <v>2</v>
      </c>
      <c r="Q1069" t="s">
        <v>1215</v>
      </c>
      <c r="R1069">
        <f t="shared" si="33"/>
        <v>19</v>
      </c>
      <c r="S1069">
        <f t="shared" si="34"/>
        <v>1</v>
      </c>
    </row>
    <row r="1070" spans="1:19" x14ac:dyDescent="0.25">
      <c r="A1070" t="s">
        <v>2191</v>
      </c>
      <c r="B1070" t="s">
        <v>4028</v>
      </c>
      <c r="C1070">
        <v>2</v>
      </c>
      <c r="D1070">
        <v>106</v>
      </c>
      <c r="E1070">
        <v>1250</v>
      </c>
      <c r="F1070">
        <v>8</v>
      </c>
      <c r="G1070">
        <v>8</v>
      </c>
      <c r="H1070" t="s">
        <v>1208</v>
      </c>
      <c r="I1070" s="1">
        <v>37119</v>
      </c>
      <c r="J1070" s="1">
        <v>37315</v>
      </c>
      <c r="K1070" t="s">
        <v>1124</v>
      </c>
      <c r="L1070" t="s">
        <v>1124</v>
      </c>
      <c r="M1070" s="1">
        <v>37328</v>
      </c>
      <c r="N1070" s="1">
        <v>37328</v>
      </c>
      <c r="O1070" t="s">
        <v>1117</v>
      </c>
      <c r="P1070">
        <v>4</v>
      </c>
      <c r="Q1070" t="s">
        <v>1215</v>
      </c>
      <c r="R1070">
        <f t="shared" si="33"/>
        <v>11</v>
      </c>
      <c r="S1070">
        <f t="shared" si="34"/>
        <v>1</v>
      </c>
    </row>
    <row r="1071" spans="1:19" x14ac:dyDescent="0.25">
      <c r="A1071" t="s">
        <v>2192</v>
      </c>
      <c r="B1071" t="s">
        <v>1199</v>
      </c>
      <c r="C1071">
        <v>1</v>
      </c>
      <c r="D1071">
        <v>410</v>
      </c>
      <c r="E1071">
        <v>1250</v>
      </c>
      <c r="F1071">
        <v>9</v>
      </c>
      <c r="G1071">
        <v>9</v>
      </c>
      <c r="H1071" t="s">
        <v>1208</v>
      </c>
      <c r="I1071" s="1">
        <v>37119</v>
      </c>
      <c r="J1071" s="1">
        <v>37315</v>
      </c>
      <c r="K1071" s="1">
        <v>37301</v>
      </c>
      <c r="L1071" s="1">
        <v>37315</v>
      </c>
      <c r="M1071" s="1">
        <v>37213</v>
      </c>
      <c r="N1071" s="1">
        <v>37263</v>
      </c>
      <c r="O1071" t="s">
        <v>1114</v>
      </c>
      <c r="P1071">
        <v>1</v>
      </c>
      <c r="Q1071" t="s">
        <v>1215</v>
      </c>
      <c r="R1071">
        <f t="shared" si="33"/>
        <v>2</v>
      </c>
      <c r="S1071">
        <f t="shared" si="34"/>
        <v>1</v>
      </c>
    </row>
    <row r="1072" spans="1:19" x14ac:dyDescent="0.25">
      <c r="A1072" t="s">
        <v>2193</v>
      </c>
      <c r="B1072" t="s">
        <v>4028</v>
      </c>
      <c r="C1072">
        <v>2</v>
      </c>
      <c r="D1072">
        <v>108</v>
      </c>
      <c r="E1072">
        <v>1226</v>
      </c>
      <c r="F1072">
        <v>2</v>
      </c>
      <c r="G1072">
        <v>2</v>
      </c>
      <c r="H1072" t="s">
        <v>1208</v>
      </c>
      <c r="I1072" s="1">
        <v>37119</v>
      </c>
      <c r="J1072" s="1">
        <v>37315</v>
      </c>
      <c r="K1072" s="1">
        <v>37338</v>
      </c>
      <c r="L1072" s="1">
        <v>37338</v>
      </c>
      <c r="M1072" s="1">
        <v>37328</v>
      </c>
      <c r="N1072" s="1">
        <v>37344</v>
      </c>
      <c r="O1072" t="s">
        <v>1117</v>
      </c>
      <c r="P1072">
        <v>3</v>
      </c>
      <c r="Q1072" t="s">
        <v>1215</v>
      </c>
      <c r="R1072">
        <f t="shared" si="33"/>
        <v>13</v>
      </c>
      <c r="S1072">
        <f t="shared" si="34"/>
        <v>1</v>
      </c>
    </row>
    <row r="1073" spans="1:19" x14ac:dyDescent="0.25">
      <c r="A1073" t="s">
        <v>2194</v>
      </c>
      <c r="B1073" t="s">
        <v>4026</v>
      </c>
      <c r="C1073">
        <v>2</v>
      </c>
      <c r="D1073">
        <v>101</v>
      </c>
      <c r="E1073">
        <v>1250</v>
      </c>
      <c r="F1073">
        <v>4</v>
      </c>
      <c r="G1073">
        <v>4</v>
      </c>
      <c r="H1073" t="s">
        <v>1208</v>
      </c>
      <c r="I1073" s="1">
        <v>37159</v>
      </c>
      <c r="J1073" s="1">
        <v>37315</v>
      </c>
      <c r="K1073" s="1">
        <v>37331</v>
      </c>
      <c r="L1073" s="1">
        <v>37331</v>
      </c>
      <c r="M1073" s="1">
        <v>37328</v>
      </c>
      <c r="N1073" s="1">
        <v>37328</v>
      </c>
      <c r="O1073" t="s">
        <v>1117</v>
      </c>
      <c r="P1073">
        <v>4</v>
      </c>
      <c r="Q1073" t="s">
        <v>1215</v>
      </c>
      <c r="R1073">
        <f t="shared" si="33"/>
        <v>11</v>
      </c>
      <c r="S1073">
        <f t="shared" si="34"/>
        <v>1</v>
      </c>
    </row>
    <row r="1074" spans="1:19" x14ac:dyDescent="0.25">
      <c r="A1074" t="s">
        <v>2195</v>
      </c>
      <c r="B1074" t="s">
        <v>4027</v>
      </c>
      <c r="C1074">
        <v>2</v>
      </c>
      <c r="D1074">
        <v>106</v>
      </c>
      <c r="E1074">
        <v>1250</v>
      </c>
      <c r="F1074">
        <v>10</v>
      </c>
      <c r="G1074">
        <v>10</v>
      </c>
      <c r="H1074" t="s">
        <v>1208</v>
      </c>
      <c r="I1074" s="1">
        <v>37159</v>
      </c>
      <c r="J1074" s="1">
        <v>37315</v>
      </c>
      <c r="K1074" s="1">
        <v>37331</v>
      </c>
      <c r="L1074" s="1">
        <v>37331</v>
      </c>
      <c r="M1074" s="1">
        <v>37328</v>
      </c>
      <c r="N1074" s="1">
        <v>37328</v>
      </c>
      <c r="O1074" t="s">
        <v>1117</v>
      </c>
      <c r="P1074">
        <v>3</v>
      </c>
      <c r="Q1074" t="s">
        <v>1215</v>
      </c>
      <c r="R1074">
        <f t="shared" si="33"/>
        <v>11</v>
      </c>
      <c r="S1074">
        <f t="shared" si="34"/>
        <v>1</v>
      </c>
    </row>
    <row r="1075" spans="1:19" x14ac:dyDescent="0.25">
      <c r="A1075" t="s">
        <v>2196</v>
      </c>
      <c r="B1075" t="s">
        <v>1199</v>
      </c>
      <c r="C1075">
        <v>1</v>
      </c>
      <c r="D1075">
        <v>410</v>
      </c>
      <c r="E1075">
        <v>1250</v>
      </c>
      <c r="F1075">
        <v>9</v>
      </c>
      <c r="G1075">
        <v>9</v>
      </c>
      <c r="H1075" t="s">
        <v>1208</v>
      </c>
      <c r="I1075" s="1">
        <v>37159</v>
      </c>
      <c r="J1075" s="1">
        <v>37315</v>
      </c>
      <c r="K1075" t="s">
        <v>1124</v>
      </c>
      <c r="L1075" t="s">
        <v>1124</v>
      </c>
      <c r="M1075" s="1">
        <v>37262</v>
      </c>
      <c r="N1075" s="1">
        <v>37263</v>
      </c>
      <c r="O1075" t="s">
        <v>1117</v>
      </c>
      <c r="P1075">
        <v>1</v>
      </c>
      <c r="Q1075" t="s">
        <v>1215</v>
      </c>
      <c r="R1075">
        <f t="shared" si="33"/>
        <v>2</v>
      </c>
      <c r="S1075">
        <f t="shared" si="34"/>
        <v>1</v>
      </c>
    </row>
    <row r="1076" spans="1:19" x14ac:dyDescent="0.25">
      <c r="A1076" t="s">
        <v>2197</v>
      </c>
      <c r="B1076" t="s">
        <v>1199</v>
      </c>
      <c r="C1076">
        <v>1</v>
      </c>
      <c r="D1076">
        <v>177</v>
      </c>
      <c r="E1076">
        <v>1250</v>
      </c>
      <c r="F1076">
        <v>10</v>
      </c>
      <c r="G1076">
        <v>10</v>
      </c>
      <c r="H1076" t="s">
        <v>1208</v>
      </c>
      <c r="I1076" s="1">
        <v>37159</v>
      </c>
      <c r="J1076" s="1">
        <v>37315</v>
      </c>
      <c r="K1076" s="1">
        <v>37302</v>
      </c>
      <c r="L1076" s="1">
        <v>37315</v>
      </c>
      <c r="M1076" s="1">
        <v>37262</v>
      </c>
      <c r="N1076" s="1">
        <v>37262</v>
      </c>
      <c r="O1076" t="s">
        <v>1114</v>
      </c>
      <c r="P1076">
        <v>2</v>
      </c>
      <c r="Q1076" t="s">
        <v>1215</v>
      </c>
      <c r="R1076">
        <f t="shared" si="33"/>
        <v>2</v>
      </c>
      <c r="S1076">
        <f t="shared" si="34"/>
        <v>1</v>
      </c>
    </row>
    <row r="1077" spans="1:19" x14ac:dyDescent="0.25">
      <c r="A1077" t="s">
        <v>2198</v>
      </c>
      <c r="B1077" t="s">
        <v>4028</v>
      </c>
      <c r="C1077">
        <v>1.5</v>
      </c>
      <c r="D1077">
        <v>113</v>
      </c>
      <c r="E1077">
        <v>1195</v>
      </c>
      <c r="F1077">
        <v>2</v>
      </c>
      <c r="G1077">
        <v>2</v>
      </c>
      <c r="H1077" t="s">
        <v>1208</v>
      </c>
      <c r="I1077" s="1">
        <v>37119</v>
      </c>
      <c r="J1077" s="1">
        <v>37315</v>
      </c>
      <c r="K1077" s="1">
        <v>37346</v>
      </c>
      <c r="L1077" s="1">
        <v>37346</v>
      </c>
      <c r="M1077" s="1">
        <v>37346</v>
      </c>
      <c r="N1077" s="1">
        <v>37386</v>
      </c>
      <c r="O1077" t="s">
        <v>1117</v>
      </c>
      <c r="P1077">
        <v>2</v>
      </c>
      <c r="Q1077" t="s">
        <v>1215</v>
      </c>
      <c r="R1077">
        <f t="shared" si="33"/>
        <v>19</v>
      </c>
      <c r="S1077">
        <f t="shared" si="34"/>
        <v>1</v>
      </c>
    </row>
    <row r="1078" spans="1:19" x14ac:dyDescent="0.25">
      <c r="A1078" t="s">
        <v>2199</v>
      </c>
      <c r="B1078" t="s">
        <v>4028</v>
      </c>
      <c r="C1078">
        <v>1</v>
      </c>
      <c r="D1078">
        <v>120</v>
      </c>
      <c r="E1078">
        <v>1078</v>
      </c>
      <c r="F1078">
        <v>9</v>
      </c>
      <c r="G1078">
        <v>9</v>
      </c>
      <c r="H1078" t="s">
        <v>1208</v>
      </c>
      <c r="I1078" s="1">
        <v>37159</v>
      </c>
      <c r="J1078" s="1">
        <v>37315</v>
      </c>
      <c r="K1078" s="1">
        <v>37303</v>
      </c>
      <c r="L1078" s="1">
        <v>37315</v>
      </c>
      <c r="M1078" s="1">
        <v>37262</v>
      </c>
      <c r="N1078" s="1">
        <v>37262</v>
      </c>
      <c r="O1078" t="s">
        <v>1114</v>
      </c>
      <c r="P1078">
        <v>1</v>
      </c>
      <c r="Q1078" t="s">
        <v>1215</v>
      </c>
      <c r="R1078">
        <f t="shared" si="33"/>
        <v>2</v>
      </c>
      <c r="S1078">
        <f t="shared" si="34"/>
        <v>1</v>
      </c>
    </row>
    <row r="1079" spans="1:19" x14ac:dyDescent="0.25">
      <c r="A1079" t="s">
        <v>2200</v>
      </c>
      <c r="B1079" t="s">
        <v>1199</v>
      </c>
      <c r="C1079">
        <v>1</v>
      </c>
      <c r="D1079">
        <v>120</v>
      </c>
      <c r="E1079">
        <v>1078</v>
      </c>
      <c r="F1079">
        <v>13</v>
      </c>
      <c r="G1079">
        <v>13</v>
      </c>
      <c r="H1079" t="s">
        <v>1208</v>
      </c>
      <c r="I1079" s="1">
        <v>37119</v>
      </c>
      <c r="J1079" s="1">
        <v>37315</v>
      </c>
      <c r="K1079" s="1">
        <v>37303</v>
      </c>
      <c r="L1079" s="1">
        <v>37315</v>
      </c>
      <c r="M1079" s="1">
        <v>37213</v>
      </c>
      <c r="N1079" s="1">
        <v>37262</v>
      </c>
      <c r="O1079" t="s">
        <v>1114</v>
      </c>
      <c r="P1079">
        <v>1</v>
      </c>
      <c r="Q1079" t="s">
        <v>1215</v>
      </c>
      <c r="R1079">
        <f t="shared" si="33"/>
        <v>2</v>
      </c>
      <c r="S1079">
        <f t="shared" si="34"/>
        <v>1</v>
      </c>
    </row>
    <row r="1080" spans="1:19" x14ac:dyDescent="0.25">
      <c r="A1080" t="s">
        <v>2201</v>
      </c>
      <c r="B1080" t="s">
        <v>4027</v>
      </c>
      <c r="C1080">
        <v>1.5</v>
      </c>
      <c r="D1080">
        <v>1250</v>
      </c>
      <c r="E1080">
        <v>2500</v>
      </c>
      <c r="F1080">
        <v>10</v>
      </c>
      <c r="G1080">
        <v>4.0270000000000001</v>
      </c>
      <c r="H1080" t="s">
        <v>1208</v>
      </c>
      <c r="I1080" s="1">
        <v>37159</v>
      </c>
      <c r="J1080" s="1">
        <v>37313</v>
      </c>
      <c r="K1080" s="1">
        <v>37328</v>
      </c>
      <c r="L1080" s="1">
        <v>37328</v>
      </c>
      <c r="M1080" s="1">
        <v>37325</v>
      </c>
      <c r="N1080" s="1">
        <v>37325</v>
      </c>
      <c r="O1080" t="s">
        <v>1117</v>
      </c>
      <c r="P1080">
        <v>2</v>
      </c>
      <c r="Q1080" t="s">
        <v>1215</v>
      </c>
      <c r="R1080">
        <f t="shared" si="33"/>
        <v>11</v>
      </c>
      <c r="S1080">
        <f t="shared" si="34"/>
        <v>0</v>
      </c>
    </row>
    <row r="1081" spans="1:19" x14ac:dyDescent="0.25">
      <c r="A1081" t="s">
        <v>2202</v>
      </c>
      <c r="B1081" t="s">
        <v>3631</v>
      </c>
      <c r="C1081">
        <v>3</v>
      </c>
      <c r="D1081">
        <v>1250</v>
      </c>
      <c r="E1081">
        <v>2500</v>
      </c>
      <c r="F1081">
        <v>18</v>
      </c>
      <c r="G1081">
        <v>13.553000000000001</v>
      </c>
      <c r="H1081" t="s">
        <v>1208</v>
      </c>
      <c r="I1081" s="1">
        <v>37159</v>
      </c>
      <c r="J1081" s="1">
        <v>37325</v>
      </c>
      <c r="K1081" s="1">
        <v>37332</v>
      </c>
      <c r="L1081" s="1">
        <v>37332</v>
      </c>
      <c r="M1081" s="1">
        <v>37332</v>
      </c>
      <c r="N1081" s="1">
        <v>37332</v>
      </c>
      <c r="O1081" t="s">
        <v>1117</v>
      </c>
      <c r="P1081">
        <v>1</v>
      </c>
      <c r="Q1081" t="s">
        <v>1215</v>
      </c>
      <c r="R1081">
        <f t="shared" si="33"/>
        <v>12</v>
      </c>
      <c r="S1081">
        <f t="shared" si="34"/>
        <v>0</v>
      </c>
    </row>
    <row r="1082" spans="1:19" x14ac:dyDescent="0.25">
      <c r="A1082" t="s">
        <v>2203</v>
      </c>
      <c r="B1082" t="s">
        <v>4026</v>
      </c>
      <c r="C1082">
        <v>0.8</v>
      </c>
      <c r="D1082">
        <v>1250</v>
      </c>
      <c r="E1082">
        <v>2500</v>
      </c>
      <c r="F1082">
        <v>3</v>
      </c>
      <c r="G1082">
        <v>3</v>
      </c>
      <c r="H1082" t="s">
        <v>1208</v>
      </c>
      <c r="I1082" s="1">
        <v>37116</v>
      </c>
      <c r="J1082" s="1">
        <v>37319</v>
      </c>
      <c r="K1082" s="1">
        <v>37344</v>
      </c>
      <c r="L1082" s="1">
        <v>37344</v>
      </c>
      <c r="M1082" s="1">
        <v>37344</v>
      </c>
      <c r="N1082" s="1">
        <v>37344</v>
      </c>
      <c r="O1082" t="s">
        <v>1117</v>
      </c>
      <c r="P1082">
        <v>7</v>
      </c>
      <c r="Q1082" t="s">
        <v>1215</v>
      </c>
      <c r="R1082">
        <f t="shared" si="33"/>
        <v>13</v>
      </c>
      <c r="S1082">
        <f t="shared" si="34"/>
        <v>1</v>
      </c>
    </row>
    <row r="1083" spans="1:19" x14ac:dyDescent="0.25">
      <c r="A1083" t="s">
        <v>2204</v>
      </c>
      <c r="B1083" t="s">
        <v>4028</v>
      </c>
      <c r="C1083">
        <v>0.8</v>
      </c>
      <c r="D1083">
        <v>1250</v>
      </c>
      <c r="E1083">
        <v>2500</v>
      </c>
      <c r="F1083">
        <v>3</v>
      </c>
      <c r="G1083">
        <v>3</v>
      </c>
      <c r="H1083" t="s">
        <v>1208</v>
      </c>
      <c r="I1083" s="1">
        <v>37122</v>
      </c>
      <c r="J1083" s="1">
        <v>37312</v>
      </c>
      <c r="K1083" s="1">
        <v>37344</v>
      </c>
      <c r="L1083" s="1">
        <v>37344</v>
      </c>
      <c r="M1083" s="1">
        <v>37344</v>
      </c>
      <c r="N1083" s="1">
        <v>37344</v>
      </c>
      <c r="O1083" t="s">
        <v>1117</v>
      </c>
      <c r="P1083">
        <v>1</v>
      </c>
      <c r="Q1083" t="s">
        <v>1215</v>
      </c>
      <c r="R1083">
        <f t="shared" si="33"/>
        <v>13</v>
      </c>
      <c r="S1083">
        <f t="shared" si="34"/>
        <v>1</v>
      </c>
    </row>
    <row r="1084" spans="1:19" x14ac:dyDescent="0.25">
      <c r="A1084" t="s">
        <v>2205</v>
      </c>
      <c r="B1084" t="s">
        <v>1199</v>
      </c>
      <c r="C1084">
        <v>3</v>
      </c>
      <c r="D1084">
        <v>1250</v>
      </c>
      <c r="E1084">
        <v>4000</v>
      </c>
      <c r="F1084">
        <v>4.7939999999999996</v>
      </c>
      <c r="G1084">
        <v>4.7939999999999996</v>
      </c>
      <c r="H1084" t="s">
        <v>1208</v>
      </c>
      <c r="I1084" s="1">
        <v>37119</v>
      </c>
      <c r="J1084" s="1">
        <v>37314</v>
      </c>
      <c r="K1084" s="1">
        <v>37374</v>
      </c>
      <c r="L1084" s="1">
        <v>37374</v>
      </c>
      <c r="M1084" s="1">
        <v>37327</v>
      </c>
      <c r="N1084" s="1">
        <v>37327</v>
      </c>
      <c r="O1084" t="s">
        <v>1117</v>
      </c>
      <c r="P1084">
        <v>2</v>
      </c>
      <c r="Q1084" t="s">
        <v>1215</v>
      </c>
      <c r="R1084">
        <f t="shared" si="33"/>
        <v>11</v>
      </c>
      <c r="S1084">
        <f t="shared" si="34"/>
        <v>1</v>
      </c>
    </row>
    <row r="1085" spans="1:19" x14ac:dyDescent="0.25">
      <c r="A1085" t="s">
        <v>2206</v>
      </c>
      <c r="B1085" t="s">
        <v>1199</v>
      </c>
      <c r="C1085">
        <v>3</v>
      </c>
      <c r="D1085">
        <v>1250</v>
      </c>
      <c r="E1085">
        <v>2870</v>
      </c>
      <c r="F1085">
        <v>15.388</v>
      </c>
      <c r="G1085">
        <v>15.388</v>
      </c>
      <c r="H1085" t="s">
        <v>1208</v>
      </c>
      <c r="I1085" s="1">
        <v>37119</v>
      </c>
      <c r="J1085" s="1">
        <v>37314</v>
      </c>
      <c r="K1085" s="1">
        <v>37326</v>
      </c>
      <c r="L1085" s="1">
        <v>37326</v>
      </c>
      <c r="M1085" s="1">
        <v>37328</v>
      </c>
      <c r="N1085" s="1">
        <v>37328</v>
      </c>
      <c r="O1085" t="s">
        <v>1117</v>
      </c>
      <c r="P1085">
        <v>1</v>
      </c>
      <c r="Q1085" t="s">
        <v>1215</v>
      </c>
      <c r="R1085">
        <f t="shared" si="33"/>
        <v>11</v>
      </c>
      <c r="S1085">
        <f t="shared" si="34"/>
        <v>1</v>
      </c>
    </row>
    <row r="1086" spans="1:19" x14ac:dyDescent="0.25">
      <c r="A1086" t="s">
        <v>2207</v>
      </c>
      <c r="B1086" t="s">
        <v>4028</v>
      </c>
      <c r="C1086">
        <v>1.5</v>
      </c>
      <c r="D1086">
        <v>1250</v>
      </c>
      <c r="E1086">
        <v>2140</v>
      </c>
      <c r="F1086">
        <v>3.21</v>
      </c>
      <c r="G1086">
        <v>3.21</v>
      </c>
      <c r="H1086" t="s">
        <v>1208</v>
      </c>
      <c r="I1086" s="1">
        <v>37114</v>
      </c>
      <c r="J1086" s="1">
        <v>37314</v>
      </c>
      <c r="K1086" s="1">
        <v>37374</v>
      </c>
      <c r="L1086" s="1">
        <v>37374</v>
      </c>
      <c r="M1086" s="1">
        <v>37323</v>
      </c>
      <c r="N1086" s="1">
        <v>37323</v>
      </c>
      <c r="O1086" t="s">
        <v>1117</v>
      </c>
      <c r="P1086">
        <v>2</v>
      </c>
      <c r="Q1086" t="s">
        <v>1215</v>
      </c>
      <c r="R1086">
        <f t="shared" si="33"/>
        <v>10</v>
      </c>
      <c r="S1086">
        <f t="shared" si="34"/>
        <v>1</v>
      </c>
    </row>
    <row r="1087" spans="1:19" x14ac:dyDescent="0.25">
      <c r="A1087" t="s">
        <v>2208</v>
      </c>
      <c r="B1087" t="s">
        <v>1199</v>
      </c>
      <c r="C1087">
        <v>1.5</v>
      </c>
      <c r="D1087">
        <v>1250</v>
      </c>
      <c r="E1087">
        <v>4750</v>
      </c>
      <c r="F1087">
        <v>16.030999999999999</v>
      </c>
      <c r="G1087">
        <v>16.030999999999999</v>
      </c>
      <c r="H1087" t="s">
        <v>1208</v>
      </c>
      <c r="I1087" s="1">
        <v>37114</v>
      </c>
      <c r="J1087" s="1">
        <v>37314</v>
      </c>
      <c r="K1087" s="1">
        <v>37316</v>
      </c>
      <c r="L1087" s="1">
        <v>37316</v>
      </c>
      <c r="M1087" s="1">
        <v>37323</v>
      </c>
      <c r="N1087" s="1">
        <v>37323</v>
      </c>
      <c r="O1087" t="s">
        <v>1117</v>
      </c>
      <c r="P1087">
        <v>1</v>
      </c>
      <c r="Q1087" t="s">
        <v>1215</v>
      </c>
      <c r="R1087">
        <f t="shared" si="33"/>
        <v>10</v>
      </c>
      <c r="S1087">
        <f t="shared" si="34"/>
        <v>1</v>
      </c>
    </row>
    <row r="1088" spans="1:19" x14ac:dyDescent="0.25">
      <c r="A1088" t="s">
        <v>2209</v>
      </c>
      <c r="B1088" t="s">
        <v>4026</v>
      </c>
      <c r="C1088">
        <v>2</v>
      </c>
      <c r="D1088">
        <v>1250</v>
      </c>
      <c r="E1088">
        <v>2700</v>
      </c>
      <c r="F1088">
        <v>19.010000000000002</v>
      </c>
      <c r="G1088">
        <v>19.010000000000002</v>
      </c>
      <c r="H1088" t="s">
        <v>1208</v>
      </c>
      <c r="I1088" s="1">
        <v>37119</v>
      </c>
      <c r="J1088" s="1">
        <v>37314</v>
      </c>
      <c r="K1088" s="1">
        <v>37319</v>
      </c>
      <c r="L1088" s="1">
        <v>37319</v>
      </c>
      <c r="M1088" s="1">
        <v>37326</v>
      </c>
      <c r="N1088" s="1">
        <v>37326</v>
      </c>
      <c r="O1088" t="s">
        <v>1117</v>
      </c>
      <c r="P1088">
        <v>1</v>
      </c>
      <c r="Q1088" t="s">
        <v>1215</v>
      </c>
      <c r="R1088">
        <f t="shared" si="33"/>
        <v>11</v>
      </c>
      <c r="S1088">
        <f t="shared" si="34"/>
        <v>1</v>
      </c>
    </row>
    <row r="1089" spans="1:19" x14ac:dyDescent="0.25">
      <c r="A1089" t="s">
        <v>2210</v>
      </c>
      <c r="B1089" t="s">
        <v>1199</v>
      </c>
      <c r="C1089">
        <v>2.5</v>
      </c>
      <c r="D1089">
        <v>1250</v>
      </c>
      <c r="E1089">
        <v>2500</v>
      </c>
      <c r="F1089">
        <v>3</v>
      </c>
      <c r="G1089">
        <v>3</v>
      </c>
      <c r="H1089" t="s">
        <v>1208</v>
      </c>
      <c r="I1089" s="1">
        <v>37159</v>
      </c>
      <c r="J1089" s="1">
        <v>37319</v>
      </c>
      <c r="K1089" s="1">
        <v>37334</v>
      </c>
      <c r="L1089" s="1">
        <v>37334</v>
      </c>
      <c r="M1089" s="1">
        <v>37334</v>
      </c>
      <c r="N1089" s="1">
        <v>37335</v>
      </c>
      <c r="O1089" t="s">
        <v>1117</v>
      </c>
      <c r="P1089">
        <v>11</v>
      </c>
      <c r="Q1089" t="s">
        <v>1215</v>
      </c>
      <c r="R1089">
        <f t="shared" si="33"/>
        <v>12</v>
      </c>
      <c r="S1089">
        <f t="shared" si="34"/>
        <v>1</v>
      </c>
    </row>
    <row r="1090" spans="1:19" x14ac:dyDescent="0.25">
      <c r="A1090" t="s">
        <v>2211</v>
      </c>
      <c r="B1090" t="s">
        <v>1199</v>
      </c>
      <c r="C1090">
        <v>1</v>
      </c>
      <c r="D1090">
        <v>1250</v>
      </c>
      <c r="E1090">
        <v>2500</v>
      </c>
      <c r="F1090">
        <v>6</v>
      </c>
      <c r="G1090">
        <v>6</v>
      </c>
      <c r="H1090" t="s">
        <v>1208</v>
      </c>
      <c r="I1090" s="1">
        <v>37133</v>
      </c>
      <c r="J1090" s="1">
        <v>37323</v>
      </c>
      <c r="K1090" s="1">
        <v>37344</v>
      </c>
      <c r="L1090" s="1">
        <v>37344</v>
      </c>
      <c r="M1090" s="1">
        <v>37344</v>
      </c>
      <c r="N1090" s="1">
        <v>37344</v>
      </c>
      <c r="O1090" t="s">
        <v>1117</v>
      </c>
      <c r="P1090">
        <v>4</v>
      </c>
      <c r="Q1090" t="s">
        <v>1215</v>
      </c>
      <c r="R1090">
        <f t="shared" si="33"/>
        <v>13</v>
      </c>
      <c r="S1090">
        <f t="shared" si="34"/>
        <v>1</v>
      </c>
    </row>
    <row r="1091" spans="1:19" x14ac:dyDescent="0.25">
      <c r="A1091" t="s">
        <v>2212</v>
      </c>
      <c r="B1091" t="s">
        <v>1199</v>
      </c>
      <c r="C1091">
        <v>0.8</v>
      </c>
      <c r="D1091">
        <v>1250</v>
      </c>
      <c r="E1091">
        <v>2500</v>
      </c>
      <c r="F1091">
        <v>3</v>
      </c>
      <c r="G1091">
        <v>3</v>
      </c>
      <c r="H1091" t="s">
        <v>1208</v>
      </c>
      <c r="I1091" s="1">
        <v>37122</v>
      </c>
      <c r="J1091" s="1">
        <v>37312</v>
      </c>
      <c r="K1091" s="1">
        <v>37344</v>
      </c>
      <c r="L1091" s="1">
        <v>37344</v>
      </c>
      <c r="M1091" s="1">
        <v>37344</v>
      </c>
      <c r="N1091" s="1">
        <v>37344</v>
      </c>
      <c r="O1091" t="s">
        <v>1117</v>
      </c>
      <c r="P1091">
        <v>1</v>
      </c>
      <c r="Q1091" t="s">
        <v>1215</v>
      </c>
      <c r="R1091">
        <f t="shared" ref="R1091:R1154" si="35">WEEKNUM(N1091,1)</f>
        <v>13</v>
      </c>
      <c r="S1091">
        <f t="shared" ref="S1091:S1154" si="36">IF(AND(F1091=G1091, M1091&lt;=N1091), 1,0)</f>
        <v>1</v>
      </c>
    </row>
    <row r="1092" spans="1:19" x14ac:dyDescent="0.25">
      <c r="A1092" t="s">
        <v>2213</v>
      </c>
      <c r="B1092" t="s">
        <v>1199</v>
      </c>
      <c r="C1092">
        <v>0.8</v>
      </c>
      <c r="D1092">
        <v>1250</v>
      </c>
      <c r="E1092">
        <v>2500</v>
      </c>
      <c r="F1092">
        <v>3</v>
      </c>
      <c r="G1092">
        <v>3</v>
      </c>
      <c r="H1092" t="s">
        <v>1208</v>
      </c>
      <c r="I1092" s="1">
        <v>37122</v>
      </c>
      <c r="J1092" s="1">
        <v>37312</v>
      </c>
      <c r="K1092" s="1">
        <v>37344</v>
      </c>
      <c r="L1092" s="1">
        <v>37344</v>
      </c>
      <c r="M1092" s="1">
        <v>37344</v>
      </c>
      <c r="N1092" s="1">
        <v>37344</v>
      </c>
      <c r="O1092" t="s">
        <v>1117</v>
      </c>
      <c r="P1092">
        <v>2</v>
      </c>
      <c r="Q1092" t="s">
        <v>1215</v>
      </c>
      <c r="R1092">
        <f t="shared" si="35"/>
        <v>13</v>
      </c>
      <c r="S1092">
        <f t="shared" si="36"/>
        <v>1</v>
      </c>
    </row>
    <row r="1093" spans="1:19" x14ac:dyDescent="0.25">
      <c r="A1093" t="s">
        <v>2214</v>
      </c>
      <c r="B1093" t="s">
        <v>1199</v>
      </c>
      <c r="C1093">
        <v>0.8</v>
      </c>
      <c r="D1093">
        <v>1250</v>
      </c>
      <c r="E1093">
        <v>2500</v>
      </c>
      <c r="F1093">
        <v>3</v>
      </c>
      <c r="G1093">
        <v>3</v>
      </c>
      <c r="H1093" t="s">
        <v>1208</v>
      </c>
      <c r="I1093" s="1">
        <v>37122</v>
      </c>
      <c r="J1093" s="1">
        <v>37312</v>
      </c>
      <c r="K1093" s="1">
        <v>37344</v>
      </c>
      <c r="L1093" s="1">
        <v>37344</v>
      </c>
      <c r="M1093" s="1">
        <v>37344</v>
      </c>
      <c r="N1093" s="1">
        <v>37344</v>
      </c>
      <c r="O1093" t="s">
        <v>1117</v>
      </c>
      <c r="P1093">
        <v>1</v>
      </c>
      <c r="Q1093" t="s">
        <v>1215</v>
      </c>
      <c r="R1093">
        <f t="shared" si="35"/>
        <v>13</v>
      </c>
      <c r="S1093">
        <f t="shared" si="36"/>
        <v>1</v>
      </c>
    </row>
    <row r="1094" spans="1:19" x14ac:dyDescent="0.25">
      <c r="A1094" t="s">
        <v>2215</v>
      </c>
      <c r="B1094" t="s">
        <v>4028</v>
      </c>
      <c r="C1094">
        <v>3</v>
      </c>
      <c r="D1094">
        <v>1250</v>
      </c>
      <c r="E1094">
        <v>3300</v>
      </c>
      <c r="F1094">
        <v>8.5310000000000006</v>
      </c>
      <c r="G1094">
        <v>8.5310000000000006</v>
      </c>
      <c r="H1094" t="s">
        <v>1208</v>
      </c>
      <c r="I1094" s="1">
        <v>37159</v>
      </c>
      <c r="J1094" s="1">
        <v>37336</v>
      </c>
      <c r="K1094" s="1">
        <v>37352</v>
      </c>
      <c r="L1094" s="1">
        <v>37352</v>
      </c>
      <c r="M1094" s="1">
        <v>37352</v>
      </c>
      <c r="N1094" s="1">
        <v>37352</v>
      </c>
      <c r="O1094" t="s">
        <v>1117</v>
      </c>
      <c r="P1094">
        <v>1</v>
      </c>
      <c r="Q1094" t="s">
        <v>1215</v>
      </c>
      <c r="R1094">
        <f t="shared" si="35"/>
        <v>14</v>
      </c>
      <c r="S1094">
        <f t="shared" si="36"/>
        <v>1</v>
      </c>
    </row>
    <row r="1095" spans="1:19" x14ac:dyDescent="0.25">
      <c r="A1095" t="s">
        <v>2216</v>
      </c>
      <c r="B1095" t="s">
        <v>1199</v>
      </c>
      <c r="C1095">
        <v>2.5</v>
      </c>
      <c r="D1095">
        <v>1250</v>
      </c>
      <c r="E1095">
        <v>2500</v>
      </c>
      <c r="F1095">
        <v>18</v>
      </c>
      <c r="G1095">
        <v>18</v>
      </c>
      <c r="H1095" t="s">
        <v>1208</v>
      </c>
      <c r="I1095" s="1">
        <v>37110</v>
      </c>
      <c r="J1095" s="1">
        <v>37314</v>
      </c>
      <c r="K1095" s="1">
        <v>37337</v>
      </c>
      <c r="L1095" s="1">
        <v>37337</v>
      </c>
      <c r="M1095" s="1">
        <v>37337</v>
      </c>
      <c r="N1095" s="1">
        <v>37337</v>
      </c>
      <c r="O1095" t="s">
        <v>1117</v>
      </c>
      <c r="P1095">
        <v>2</v>
      </c>
      <c r="Q1095" t="s">
        <v>1215</v>
      </c>
      <c r="R1095">
        <f t="shared" si="35"/>
        <v>12</v>
      </c>
      <c r="S1095">
        <f t="shared" si="36"/>
        <v>1</v>
      </c>
    </row>
    <row r="1096" spans="1:19" x14ac:dyDescent="0.25">
      <c r="A1096" t="s">
        <v>2217</v>
      </c>
      <c r="B1096" t="s">
        <v>4028</v>
      </c>
      <c r="C1096">
        <v>0.5</v>
      </c>
      <c r="D1096">
        <v>1250</v>
      </c>
      <c r="E1096">
        <v>2750</v>
      </c>
      <c r="F1096">
        <v>20</v>
      </c>
      <c r="G1096">
        <v>20</v>
      </c>
      <c r="H1096" t="s">
        <v>1208</v>
      </c>
      <c r="I1096" s="1">
        <v>37126</v>
      </c>
      <c r="J1096" s="1">
        <v>37322</v>
      </c>
      <c r="K1096" s="1">
        <v>37331</v>
      </c>
      <c r="L1096" s="1">
        <v>37331</v>
      </c>
      <c r="M1096" s="1">
        <v>37335</v>
      </c>
      <c r="N1096" s="1">
        <v>37335</v>
      </c>
      <c r="O1096" t="s">
        <v>1117</v>
      </c>
      <c r="P1096">
        <v>1</v>
      </c>
      <c r="Q1096" t="s">
        <v>1215</v>
      </c>
      <c r="R1096">
        <f t="shared" si="35"/>
        <v>12</v>
      </c>
      <c r="S1096">
        <f t="shared" si="36"/>
        <v>1</v>
      </c>
    </row>
    <row r="1097" spans="1:19" x14ac:dyDescent="0.25">
      <c r="A1097" t="s">
        <v>2218</v>
      </c>
      <c r="B1097" t="s">
        <v>4027</v>
      </c>
      <c r="C1097">
        <v>0.7</v>
      </c>
      <c r="D1097">
        <v>1250</v>
      </c>
      <c r="E1097">
        <v>2500</v>
      </c>
      <c r="F1097">
        <v>3</v>
      </c>
      <c r="G1097">
        <v>3</v>
      </c>
      <c r="H1097" t="s">
        <v>1208</v>
      </c>
      <c r="I1097" s="1">
        <v>37108</v>
      </c>
      <c r="J1097" s="1">
        <v>37320</v>
      </c>
      <c r="K1097" s="1">
        <v>37372</v>
      </c>
      <c r="L1097" s="1">
        <v>37372</v>
      </c>
      <c r="M1097" s="1">
        <v>37365</v>
      </c>
      <c r="N1097" s="1">
        <v>37365</v>
      </c>
      <c r="O1097" t="s">
        <v>1117</v>
      </c>
      <c r="P1097">
        <v>3</v>
      </c>
      <c r="Q1097" t="s">
        <v>1215</v>
      </c>
      <c r="R1097">
        <f t="shared" si="35"/>
        <v>16</v>
      </c>
      <c r="S1097">
        <f t="shared" si="36"/>
        <v>1</v>
      </c>
    </row>
    <row r="1098" spans="1:19" x14ac:dyDescent="0.25">
      <c r="A1098" t="s">
        <v>2219</v>
      </c>
      <c r="B1098" t="s">
        <v>4027</v>
      </c>
      <c r="C1098">
        <v>0.5</v>
      </c>
      <c r="D1098">
        <v>1250</v>
      </c>
      <c r="E1098">
        <v>2500</v>
      </c>
      <c r="F1098">
        <v>3</v>
      </c>
      <c r="G1098">
        <v>3</v>
      </c>
      <c r="H1098" t="s">
        <v>1208</v>
      </c>
      <c r="I1098" s="1">
        <v>37159</v>
      </c>
      <c r="J1098" s="1">
        <v>37323</v>
      </c>
      <c r="K1098" s="1">
        <v>37352</v>
      </c>
      <c r="L1098" s="1">
        <v>37352</v>
      </c>
      <c r="M1098" s="1">
        <v>37351</v>
      </c>
      <c r="N1098" s="1">
        <v>37351</v>
      </c>
      <c r="O1098" t="s">
        <v>1117</v>
      </c>
      <c r="P1098">
        <v>1</v>
      </c>
      <c r="Q1098" t="s">
        <v>1215</v>
      </c>
      <c r="R1098">
        <f t="shared" si="35"/>
        <v>14</v>
      </c>
      <c r="S1098">
        <f t="shared" si="36"/>
        <v>1</v>
      </c>
    </row>
    <row r="1099" spans="1:19" x14ac:dyDescent="0.25">
      <c r="A1099" t="s">
        <v>2220</v>
      </c>
      <c r="B1099" t="s">
        <v>4027</v>
      </c>
      <c r="C1099">
        <v>0.7</v>
      </c>
      <c r="D1099">
        <v>1250</v>
      </c>
      <c r="E1099">
        <v>2500</v>
      </c>
      <c r="F1099">
        <v>6</v>
      </c>
      <c r="G1099">
        <v>6</v>
      </c>
      <c r="H1099" t="s">
        <v>1208</v>
      </c>
      <c r="I1099" s="1">
        <v>37159</v>
      </c>
      <c r="J1099" s="1">
        <v>37320</v>
      </c>
      <c r="K1099" s="1">
        <v>37372</v>
      </c>
      <c r="L1099" s="1">
        <v>37372</v>
      </c>
      <c r="M1099" s="1">
        <v>37365</v>
      </c>
      <c r="N1099" s="1">
        <v>37365</v>
      </c>
      <c r="O1099" t="s">
        <v>1117</v>
      </c>
      <c r="P1099">
        <v>2</v>
      </c>
      <c r="Q1099" t="s">
        <v>1215</v>
      </c>
      <c r="R1099">
        <f t="shared" si="35"/>
        <v>16</v>
      </c>
      <c r="S1099">
        <f t="shared" si="36"/>
        <v>1</v>
      </c>
    </row>
    <row r="1100" spans="1:19" x14ac:dyDescent="0.25">
      <c r="A1100" t="s">
        <v>2221</v>
      </c>
      <c r="B1100" t="s">
        <v>4026</v>
      </c>
      <c r="C1100">
        <v>0.6</v>
      </c>
      <c r="D1100">
        <v>1250</v>
      </c>
      <c r="E1100">
        <v>2500</v>
      </c>
      <c r="F1100">
        <v>6</v>
      </c>
      <c r="G1100">
        <v>6</v>
      </c>
      <c r="H1100" t="s">
        <v>1208</v>
      </c>
      <c r="I1100" s="1">
        <v>37108</v>
      </c>
      <c r="J1100" s="1">
        <v>37320</v>
      </c>
      <c r="K1100" s="1">
        <v>37352</v>
      </c>
      <c r="L1100" s="1">
        <v>37352</v>
      </c>
      <c r="M1100" s="1">
        <v>37351</v>
      </c>
      <c r="N1100" s="1">
        <v>37352</v>
      </c>
      <c r="O1100" t="s">
        <v>1117</v>
      </c>
      <c r="P1100">
        <v>2</v>
      </c>
      <c r="Q1100" t="s">
        <v>1215</v>
      </c>
      <c r="R1100">
        <f t="shared" si="35"/>
        <v>14</v>
      </c>
      <c r="S1100">
        <f t="shared" si="36"/>
        <v>1</v>
      </c>
    </row>
    <row r="1101" spans="1:19" x14ac:dyDescent="0.25">
      <c r="A1101" t="s">
        <v>2222</v>
      </c>
      <c r="B1101" t="s">
        <v>1199</v>
      </c>
      <c r="C1101">
        <v>3</v>
      </c>
      <c r="D1101">
        <v>1250</v>
      </c>
      <c r="E1101">
        <v>3000</v>
      </c>
      <c r="F1101">
        <v>16</v>
      </c>
      <c r="G1101">
        <v>3.8940000000000001</v>
      </c>
      <c r="H1101" t="s">
        <v>1208</v>
      </c>
      <c r="I1101" s="1">
        <v>37159</v>
      </c>
      <c r="J1101" s="1">
        <v>37314</v>
      </c>
      <c r="K1101" s="1">
        <v>37335</v>
      </c>
      <c r="L1101" s="1">
        <v>37335</v>
      </c>
      <c r="M1101" s="1">
        <v>37335</v>
      </c>
      <c r="N1101" s="1">
        <v>37335</v>
      </c>
      <c r="O1101" t="s">
        <v>1117</v>
      </c>
      <c r="P1101">
        <v>1</v>
      </c>
      <c r="Q1101" t="s">
        <v>1215</v>
      </c>
      <c r="R1101">
        <f t="shared" si="35"/>
        <v>12</v>
      </c>
      <c r="S1101">
        <f t="shared" si="36"/>
        <v>0</v>
      </c>
    </row>
    <row r="1102" spans="1:19" x14ac:dyDescent="0.25">
      <c r="A1102" t="s">
        <v>2223</v>
      </c>
      <c r="B1102" t="s">
        <v>1199</v>
      </c>
      <c r="C1102">
        <v>2.7</v>
      </c>
      <c r="D1102">
        <v>1250</v>
      </c>
      <c r="E1102">
        <v>3000</v>
      </c>
      <c r="F1102">
        <v>38.08</v>
      </c>
      <c r="G1102">
        <v>38.08</v>
      </c>
      <c r="H1102" t="s">
        <v>1208</v>
      </c>
      <c r="I1102" s="1">
        <v>37159</v>
      </c>
      <c r="J1102" s="1">
        <v>37314</v>
      </c>
      <c r="K1102" s="1">
        <v>37339</v>
      </c>
      <c r="L1102" s="1">
        <v>37339</v>
      </c>
      <c r="M1102" s="1">
        <v>37339</v>
      </c>
      <c r="N1102" s="1">
        <v>37360</v>
      </c>
      <c r="O1102" t="s">
        <v>1117</v>
      </c>
      <c r="P1102">
        <v>3</v>
      </c>
      <c r="Q1102" t="s">
        <v>1215</v>
      </c>
      <c r="R1102">
        <f t="shared" si="35"/>
        <v>16</v>
      </c>
      <c r="S1102">
        <f t="shared" si="36"/>
        <v>1</v>
      </c>
    </row>
    <row r="1103" spans="1:19" x14ac:dyDescent="0.25">
      <c r="A1103" t="s">
        <v>2224</v>
      </c>
      <c r="B1103" t="s">
        <v>1199</v>
      </c>
      <c r="C1103">
        <v>2.7</v>
      </c>
      <c r="D1103">
        <v>1250</v>
      </c>
      <c r="E1103">
        <v>3000</v>
      </c>
      <c r="F1103">
        <v>38.4</v>
      </c>
      <c r="G1103">
        <v>38.4</v>
      </c>
      <c r="H1103" t="s">
        <v>1208</v>
      </c>
      <c r="I1103" s="1">
        <v>37124</v>
      </c>
      <c r="J1103" s="1">
        <v>37314</v>
      </c>
      <c r="K1103" s="1">
        <v>37353</v>
      </c>
      <c r="L1103" s="1">
        <v>37353</v>
      </c>
      <c r="M1103" s="1">
        <v>37360</v>
      </c>
      <c r="N1103" s="1">
        <v>37360</v>
      </c>
      <c r="O1103" t="s">
        <v>1117</v>
      </c>
      <c r="P1103">
        <v>3</v>
      </c>
      <c r="Q1103" t="s">
        <v>1215</v>
      </c>
      <c r="R1103">
        <f t="shared" si="35"/>
        <v>16</v>
      </c>
      <c r="S1103">
        <f t="shared" si="36"/>
        <v>1</v>
      </c>
    </row>
    <row r="1104" spans="1:19" x14ac:dyDescent="0.25">
      <c r="A1104" t="s">
        <v>2225</v>
      </c>
      <c r="B1104" t="s">
        <v>4026</v>
      </c>
      <c r="C1104">
        <v>0.6</v>
      </c>
      <c r="D1104">
        <v>1250</v>
      </c>
      <c r="E1104">
        <v>2500</v>
      </c>
      <c r="F1104">
        <v>3</v>
      </c>
      <c r="G1104">
        <v>3</v>
      </c>
      <c r="H1104" t="s">
        <v>1208</v>
      </c>
      <c r="I1104" s="1">
        <v>37124</v>
      </c>
      <c r="J1104" s="1">
        <v>37322</v>
      </c>
      <c r="K1104" s="1">
        <v>37352</v>
      </c>
      <c r="L1104" s="1">
        <v>37352</v>
      </c>
      <c r="M1104" s="1">
        <v>37351</v>
      </c>
      <c r="N1104" s="1">
        <v>37352</v>
      </c>
      <c r="O1104" t="s">
        <v>1117</v>
      </c>
      <c r="P1104">
        <v>2</v>
      </c>
      <c r="Q1104" t="s">
        <v>1215</v>
      </c>
      <c r="R1104">
        <f t="shared" si="35"/>
        <v>14</v>
      </c>
      <c r="S1104">
        <f t="shared" si="36"/>
        <v>1</v>
      </c>
    </row>
    <row r="1105" spans="1:19" x14ac:dyDescent="0.25">
      <c r="A1105" t="s">
        <v>2226</v>
      </c>
      <c r="B1105" t="s">
        <v>4028</v>
      </c>
      <c r="C1105">
        <v>2.7</v>
      </c>
      <c r="D1105">
        <v>1250</v>
      </c>
      <c r="E1105">
        <v>3000</v>
      </c>
      <c r="F1105">
        <v>61.76</v>
      </c>
      <c r="G1105">
        <v>40.741</v>
      </c>
      <c r="H1105" t="s">
        <v>1208</v>
      </c>
      <c r="I1105" s="1">
        <v>37159</v>
      </c>
      <c r="J1105" s="1">
        <v>37314</v>
      </c>
      <c r="K1105" s="1">
        <v>37360</v>
      </c>
      <c r="L1105" s="1">
        <v>37360</v>
      </c>
      <c r="M1105" s="1">
        <v>37360</v>
      </c>
      <c r="N1105" s="1">
        <v>37360</v>
      </c>
      <c r="O1105" t="s">
        <v>1117</v>
      </c>
      <c r="P1105">
        <v>1</v>
      </c>
      <c r="Q1105" t="s">
        <v>1215</v>
      </c>
      <c r="R1105">
        <f t="shared" si="35"/>
        <v>16</v>
      </c>
      <c r="S1105">
        <f t="shared" si="36"/>
        <v>0</v>
      </c>
    </row>
    <row r="1106" spans="1:19" x14ac:dyDescent="0.25">
      <c r="A1106" t="s">
        <v>2227</v>
      </c>
      <c r="B1106" t="s">
        <v>1199</v>
      </c>
      <c r="C1106">
        <v>2.7</v>
      </c>
      <c r="D1106">
        <v>1250</v>
      </c>
      <c r="E1106">
        <v>3000</v>
      </c>
      <c r="F1106">
        <v>38.08</v>
      </c>
      <c r="G1106">
        <v>38.08</v>
      </c>
      <c r="H1106" t="s">
        <v>1208</v>
      </c>
      <c r="I1106" s="1">
        <v>37159</v>
      </c>
      <c r="J1106" s="1">
        <v>37314</v>
      </c>
      <c r="K1106" s="1">
        <v>37360</v>
      </c>
      <c r="L1106" s="1">
        <v>37360</v>
      </c>
      <c r="M1106" s="1">
        <v>37360</v>
      </c>
      <c r="N1106" s="1">
        <v>37360</v>
      </c>
      <c r="O1106" t="s">
        <v>1117</v>
      </c>
      <c r="P1106">
        <v>2</v>
      </c>
      <c r="Q1106" t="s">
        <v>1215</v>
      </c>
      <c r="R1106">
        <f t="shared" si="35"/>
        <v>16</v>
      </c>
      <c r="S1106">
        <f t="shared" si="36"/>
        <v>1</v>
      </c>
    </row>
    <row r="1107" spans="1:19" x14ac:dyDescent="0.25">
      <c r="A1107" t="s">
        <v>2228</v>
      </c>
      <c r="B1107" t="s">
        <v>4026</v>
      </c>
      <c r="C1107">
        <v>2.7</v>
      </c>
      <c r="D1107">
        <v>1250</v>
      </c>
      <c r="E1107">
        <v>3000</v>
      </c>
      <c r="F1107">
        <v>35.76</v>
      </c>
      <c r="G1107">
        <v>35.76</v>
      </c>
      <c r="H1107" t="s">
        <v>1208</v>
      </c>
      <c r="I1107" s="1">
        <v>37124</v>
      </c>
      <c r="J1107" s="1">
        <v>37314</v>
      </c>
      <c r="K1107" s="1">
        <v>37339</v>
      </c>
      <c r="L1107" s="1">
        <v>37339</v>
      </c>
      <c r="M1107" s="1">
        <v>37339</v>
      </c>
      <c r="N1107" s="1">
        <v>37360</v>
      </c>
      <c r="O1107" t="s">
        <v>1117</v>
      </c>
      <c r="P1107">
        <v>9</v>
      </c>
      <c r="Q1107" t="s">
        <v>1215</v>
      </c>
      <c r="R1107">
        <f t="shared" si="35"/>
        <v>16</v>
      </c>
      <c r="S1107">
        <f t="shared" si="36"/>
        <v>1</v>
      </c>
    </row>
    <row r="1108" spans="1:19" x14ac:dyDescent="0.25">
      <c r="A1108" t="s">
        <v>2229</v>
      </c>
      <c r="B1108" t="s">
        <v>1199</v>
      </c>
      <c r="C1108">
        <v>2.7</v>
      </c>
      <c r="D1108">
        <v>1250</v>
      </c>
      <c r="E1108">
        <v>3000</v>
      </c>
      <c r="F1108">
        <v>38.4</v>
      </c>
      <c r="G1108">
        <v>38.4</v>
      </c>
      <c r="H1108" t="s">
        <v>1208</v>
      </c>
      <c r="I1108" s="1">
        <v>37124</v>
      </c>
      <c r="J1108" s="1">
        <v>37314</v>
      </c>
      <c r="K1108" s="1">
        <v>37339</v>
      </c>
      <c r="L1108" s="1">
        <v>37339</v>
      </c>
      <c r="M1108" s="1">
        <v>37339</v>
      </c>
      <c r="N1108" s="1">
        <v>37360</v>
      </c>
      <c r="O1108" t="s">
        <v>1117</v>
      </c>
      <c r="P1108">
        <v>7</v>
      </c>
      <c r="Q1108" t="s">
        <v>1215</v>
      </c>
      <c r="R1108">
        <f t="shared" si="35"/>
        <v>16</v>
      </c>
      <c r="S1108">
        <f t="shared" si="36"/>
        <v>1</v>
      </c>
    </row>
    <row r="1109" spans="1:19" x14ac:dyDescent="0.25">
      <c r="A1109" t="s">
        <v>2230</v>
      </c>
      <c r="B1109" t="s">
        <v>1199</v>
      </c>
      <c r="C1109">
        <v>2.7</v>
      </c>
      <c r="D1109">
        <v>1250</v>
      </c>
      <c r="E1109">
        <v>3000</v>
      </c>
      <c r="F1109">
        <v>15.5</v>
      </c>
      <c r="G1109">
        <v>6.8129999999999997</v>
      </c>
      <c r="H1109" t="s">
        <v>1208</v>
      </c>
      <c r="I1109" s="1">
        <v>37159</v>
      </c>
      <c r="J1109" s="1">
        <v>37314</v>
      </c>
      <c r="K1109" s="1">
        <v>37365</v>
      </c>
      <c r="L1109" s="1">
        <v>37365</v>
      </c>
      <c r="M1109" s="1">
        <v>37365</v>
      </c>
      <c r="N1109" s="1">
        <v>37365</v>
      </c>
      <c r="O1109" t="s">
        <v>1117</v>
      </c>
      <c r="P1109">
        <v>1</v>
      </c>
      <c r="Q1109" t="s">
        <v>1438</v>
      </c>
      <c r="R1109">
        <f t="shared" si="35"/>
        <v>16</v>
      </c>
      <c r="S1109">
        <f t="shared" si="36"/>
        <v>0</v>
      </c>
    </row>
    <row r="1110" spans="1:19" x14ac:dyDescent="0.25">
      <c r="A1110" t="s">
        <v>2231</v>
      </c>
      <c r="B1110" t="s">
        <v>1199</v>
      </c>
      <c r="C1110">
        <v>2.7</v>
      </c>
      <c r="D1110">
        <v>1250</v>
      </c>
      <c r="E1110">
        <v>3000</v>
      </c>
      <c r="F1110">
        <v>38.08</v>
      </c>
      <c r="G1110">
        <v>38.08</v>
      </c>
      <c r="H1110" t="s">
        <v>1208</v>
      </c>
      <c r="I1110" s="1">
        <v>37159</v>
      </c>
      <c r="J1110" s="1">
        <v>37314</v>
      </c>
      <c r="K1110" s="1">
        <v>37334</v>
      </c>
      <c r="L1110" s="1">
        <v>37334</v>
      </c>
      <c r="M1110" s="1">
        <v>37334</v>
      </c>
      <c r="N1110" s="1">
        <v>37360</v>
      </c>
      <c r="O1110" t="s">
        <v>1117</v>
      </c>
      <c r="P1110">
        <v>4</v>
      </c>
      <c r="Q1110" t="s">
        <v>1215</v>
      </c>
      <c r="R1110">
        <f t="shared" si="35"/>
        <v>16</v>
      </c>
      <c r="S1110">
        <f t="shared" si="36"/>
        <v>1</v>
      </c>
    </row>
    <row r="1111" spans="1:19" x14ac:dyDescent="0.25">
      <c r="A1111" t="s">
        <v>2232</v>
      </c>
      <c r="B1111" t="s">
        <v>1199</v>
      </c>
      <c r="C1111">
        <v>3</v>
      </c>
      <c r="D1111">
        <v>1250</v>
      </c>
      <c r="E1111">
        <v>2500</v>
      </c>
      <c r="F1111">
        <v>9</v>
      </c>
      <c r="G1111">
        <v>9</v>
      </c>
      <c r="H1111" t="s">
        <v>1208</v>
      </c>
      <c r="I1111" s="1">
        <v>37122</v>
      </c>
      <c r="J1111" s="1">
        <v>37312</v>
      </c>
      <c r="K1111" s="1">
        <v>37328</v>
      </c>
      <c r="L1111" s="1">
        <v>37328</v>
      </c>
      <c r="M1111" s="1">
        <v>37326</v>
      </c>
      <c r="N1111" s="1">
        <v>37330</v>
      </c>
      <c r="O1111" t="s">
        <v>1117</v>
      </c>
      <c r="P1111">
        <v>7</v>
      </c>
      <c r="Q1111" t="s">
        <v>1215</v>
      </c>
      <c r="R1111">
        <f t="shared" si="35"/>
        <v>11</v>
      </c>
      <c r="S1111">
        <f t="shared" si="36"/>
        <v>1</v>
      </c>
    </row>
    <row r="1112" spans="1:19" x14ac:dyDescent="0.25">
      <c r="A1112" t="s">
        <v>2233</v>
      </c>
      <c r="B1112" t="s">
        <v>4028</v>
      </c>
      <c r="C1112">
        <v>2.7</v>
      </c>
      <c r="D1112">
        <v>1250</v>
      </c>
      <c r="E1112">
        <v>3000</v>
      </c>
      <c r="F1112">
        <v>38.4</v>
      </c>
      <c r="G1112">
        <v>38.4</v>
      </c>
      <c r="H1112" t="s">
        <v>1208</v>
      </c>
      <c r="I1112" s="1">
        <v>37124</v>
      </c>
      <c r="J1112" s="1">
        <v>37314</v>
      </c>
      <c r="K1112" s="1">
        <v>37326</v>
      </c>
      <c r="L1112" s="1">
        <v>37326</v>
      </c>
      <c r="M1112" s="1">
        <v>37327</v>
      </c>
      <c r="N1112" s="1">
        <v>37360</v>
      </c>
      <c r="O1112" t="s">
        <v>1117</v>
      </c>
      <c r="P1112">
        <v>5</v>
      </c>
      <c r="Q1112" t="s">
        <v>1215</v>
      </c>
      <c r="R1112">
        <f t="shared" si="35"/>
        <v>16</v>
      </c>
      <c r="S1112">
        <f t="shared" si="36"/>
        <v>1</v>
      </c>
    </row>
    <row r="1113" spans="1:19" x14ac:dyDescent="0.25">
      <c r="A1113" t="s">
        <v>2234</v>
      </c>
      <c r="B1113" t="s">
        <v>1199</v>
      </c>
      <c r="C1113">
        <v>2.7</v>
      </c>
      <c r="D1113">
        <v>1250</v>
      </c>
      <c r="E1113">
        <v>3000</v>
      </c>
      <c r="F1113">
        <v>38.4</v>
      </c>
      <c r="G1113">
        <v>38.4</v>
      </c>
      <c r="H1113" t="s">
        <v>1208</v>
      </c>
      <c r="I1113" s="1">
        <v>37124</v>
      </c>
      <c r="J1113" s="1">
        <v>37314</v>
      </c>
      <c r="K1113" s="1">
        <v>37360</v>
      </c>
      <c r="L1113" s="1">
        <v>37360</v>
      </c>
      <c r="M1113" s="1">
        <v>37360</v>
      </c>
      <c r="N1113" s="1">
        <v>37360</v>
      </c>
      <c r="O1113" t="s">
        <v>1117</v>
      </c>
      <c r="P1113">
        <v>2</v>
      </c>
      <c r="Q1113" t="s">
        <v>1215</v>
      </c>
      <c r="R1113">
        <f t="shared" si="35"/>
        <v>16</v>
      </c>
      <c r="S1113">
        <f t="shared" si="36"/>
        <v>1</v>
      </c>
    </row>
    <row r="1114" spans="1:19" x14ac:dyDescent="0.25">
      <c r="A1114" t="s">
        <v>2235</v>
      </c>
      <c r="B1114" t="s">
        <v>1199</v>
      </c>
      <c r="C1114">
        <v>2.7</v>
      </c>
      <c r="D1114">
        <v>1250</v>
      </c>
      <c r="E1114">
        <v>3000</v>
      </c>
      <c r="F1114">
        <v>38.4</v>
      </c>
      <c r="G1114">
        <v>38.4</v>
      </c>
      <c r="H1114" t="s">
        <v>1208</v>
      </c>
      <c r="I1114" s="1">
        <v>37124</v>
      </c>
      <c r="J1114" s="1">
        <v>37314</v>
      </c>
      <c r="K1114" t="s">
        <v>1124</v>
      </c>
      <c r="L1114" t="s">
        <v>1124</v>
      </c>
      <c r="M1114" s="1">
        <v>37339</v>
      </c>
      <c r="N1114" s="1">
        <v>37360</v>
      </c>
      <c r="O1114" t="s">
        <v>1117</v>
      </c>
      <c r="P1114">
        <v>6</v>
      </c>
      <c r="Q1114" t="s">
        <v>1215</v>
      </c>
      <c r="R1114">
        <f t="shared" si="35"/>
        <v>16</v>
      </c>
      <c r="S1114">
        <f t="shared" si="36"/>
        <v>1</v>
      </c>
    </row>
    <row r="1115" spans="1:19" x14ac:dyDescent="0.25">
      <c r="A1115" t="s">
        <v>2236</v>
      </c>
      <c r="B1115" t="s">
        <v>4026</v>
      </c>
      <c r="C1115">
        <v>2.7</v>
      </c>
      <c r="D1115">
        <v>1250</v>
      </c>
      <c r="E1115">
        <v>3000</v>
      </c>
      <c r="F1115">
        <v>38.4</v>
      </c>
      <c r="G1115">
        <v>38.4</v>
      </c>
      <c r="H1115" t="s">
        <v>1208</v>
      </c>
      <c r="I1115" s="1">
        <v>37124</v>
      </c>
      <c r="J1115" s="1">
        <v>37314</v>
      </c>
      <c r="K1115" s="1">
        <v>37360</v>
      </c>
      <c r="L1115" s="1">
        <v>37360</v>
      </c>
      <c r="M1115" s="1">
        <v>37360</v>
      </c>
      <c r="N1115" s="1">
        <v>37360</v>
      </c>
      <c r="O1115" t="s">
        <v>1117</v>
      </c>
      <c r="P1115">
        <v>1</v>
      </c>
      <c r="Q1115" t="s">
        <v>1215</v>
      </c>
      <c r="R1115">
        <f t="shared" si="35"/>
        <v>16</v>
      </c>
      <c r="S1115">
        <f t="shared" si="36"/>
        <v>1</v>
      </c>
    </row>
    <row r="1116" spans="1:19" x14ac:dyDescent="0.25">
      <c r="A1116" t="s">
        <v>2237</v>
      </c>
      <c r="B1116" t="s">
        <v>4026</v>
      </c>
      <c r="C1116">
        <v>3</v>
      </c>
      <c r="D1116">
        <v>1250</v>
      </c>
      <c r="E1116">
        <v>2500</v>
      </c>
      <c r="F1116">
        <v>6</v>
      </c>
      <c r="G1116">
        <v>6</v>
      </c>
      <c r="H1116" t="s">
        <v>1208</v>
      </c>
      <c r="I1116" s="1">
        <v>37159</v>
      </c>
      <c r="J1116" s="1">
        <v>37320</v>
      </c>
      <c r="K1116" s="1">
        <v>37354</v>
      </c>
      <c r="L1116" s="1">
        <v>37354</v>
      </c>
      <c r="M1116" s="1">
        <v>37345</v>
      </c>
      <c r="N1116" s="1">
        <v>37345</v>
      </c>
      <c r="O1116" t="s">
        <v>1117</v>
      </c>
      <c r="P1116">
        <v>4</v>
      </c>
      <c r="Q1116" t="s">
        <v>1215</v>
      </c>
      <c r="R1116">
        <f t="shared" si="35"/>
        <v>13</v>
      </c>
      <c r="S1116">
        <f t="shared" si="36"/>
        <v>1</v>
      </c>
    </row>
    <row r="1117" spans="1:19" x14ac:dyDescent="0.25">
      <c r="A1117" t="s">
        <v>2238</v>
      </c>
      <c r="B1117" t="s">
        <v>1199</v>
      </c>
      <c r="C1117">
        <v>3</v>
      </c>
      <c r="D1117">
        <v>1250</v>
      </c>
      <c r="E1117">
        <v>3000</v>
      </c>
      <c r="F1117">
        <v>7</v>
      </c>
      <c r="G1117">
        <v>7</v>
      </c>
      <c r="H1117" t="s">
        <v>1208</v>
      </c>
      <c r="I1117" s="1">
        <v>37109</v>
      </c>
      <c r="J1117" s="1">
        <v>37314</v>
      </c>
      <c r="K1117" s="1">
        <v>37361</v>
      </c>
      <c r="L1117" s="1">
        <v>37361</v>
      </c>
      <c r="M1117" s="1">
        <v>37211</v>
      </c>
      <c r="N1117" s="1">
        <v>37211</v>
      </c>
      <c r="O1117" t="s">
        <v>1117</v>
      </c>
      <c r="P1117">
        <v>1</v>
      </c>
      <c r="Q1117" t="s">
        <v>1215</v>
      </c>
      <c r="R1117">
        <f t="shared" si="35"/>
        <v>46</v>
      </c>
      <c r="S1117">
        <f t="shared" si="36"/>
        <v>1</v>
      </c>
    </row>
    <row r="1118" spans="1:19" x14ac:dyDescent="0.25">
      <c r="A1118" t="s">
        <v>2239</v>
      </c>
      <c r="B1118" t="s">
        <v>1199</v>
      </c>
      <c r="C1118">
        <v>0.6</v>
      </c>
      <c r="D1118">
        <v>1250</v>
      </c>
      <c r="E1118">
        <v>2500</v>
      </c>
      <c r="F1118">
        <v>3</v>
      </c>
      <c r="G1118">
        <v>3</v>
      </c>
      <c r="H1118" t="s">
        <v>1208</v>
      </c>
      <c r="I1118" s="1">
        <v>37108</v>
      </c>
      <c r="J1118" s="1">
        <v>37320</v>
      </c>
      <c r="K1118" t="s">
        <v>1124</v>
      </c>
      <c r="L1118" t="s">
        <v>1124</v>
      </c>
      <c r="M1118" s="1">
        <v>37352</v>
      </c>
      <c r="N1118" s="1">
        <v>37352</v>
      </c>
      <c r="O1118" t="s">
        <v>1117</v>
      </c>
      <c r="P1118">
        <v>1</v>
      </c>
      <c r="Q1118" t="s">
        <v>1215</v>
      </c>
      <c r="R1118">
        <f t="shared" si="35"/>
        <v>14</v>
      </c>
      <c r="S1118">
        <f t="shared" si="36"/>
        <v>1</v>
      </c>
    </row>
    <row r="1119" spans="1:19" x14ac:dyDescent="0.25">
      <c r="A1119" t="s">
        <v>2240</v>
      </c>
      <c r="B1119" t="s">
        <v>1199</v>
      </c>
      <c r="C1119">
        <v>3</v>
      </c>
      <c r="D1119">
        <v>1250</v>
      </c>
      <c r="E1119">
        <v>2500</v>
      </c>
      <c r="F1119">
        <v>9</v>
      </c>
      <c r="G1119">
        <v>3.9620000000000002</v>
      </c>
      <c r="H1119" t="s">
        <v>1208</v>
      </c>
      <c r="I1119" s="1">
        <v>37159</v>
      </c>
      <c r="J1119" s="1">
        <v>37325</v>
      </c>
      <c r="K1119" t="s">
        <v>1124</v>
      </c>
      <c r="L1119" t="s">
        <v>1124</v>
      </c>
      <c r="M1119" s="1">
        <v>37345</v>
      </c>
      <c r="N1119" s="1">
        <v>37345</v>
      </c>
      <c r="O1119" t="s">
        <v>1117</v>
      </c>
      <c r="P1119">
        <v>3</v>
      </c>
      <c r="Q1119" t="s">
        <v>1215</v>
      </c>
      <c r="R1119">
        <f t="shared" si="35"/>
        <v>13</v>
      </c>
      <c r="S1119">
        <f t="shared" si="36"/>
        <v>0</v>
      </c>
    </row>
    <row r="1120" spans="1:19" x14ac:dyDescent="0.25">
      <c r="A1120" t="s">
        <v>2241</v>
      </c>
      <c r="B1120" t="s">
        <v>4028</v>
      </c>
      <c r="C1120">
        <v>0.6</v>
      </c>
      <c r="D1120">
        <v>1250</v>
      </c>
      <c r="E1120">
        <v>2500</v>
      </c>
      <c r="F1120">
        <v>3</v>
      </c>
      <c r="G1120">
        <v>3</v>
      </c>
      <c r="H1120" t="s">
        <v>1208</v>
      </c>
      <c r="I1120" s="1">
        <v>37110</v>
      </c>
      <c r="J1120" s="1">
        <v>37321</v>
      </c>
      <c r="K1120" s="1">
        <v>37352</v>
      </c>
      <c r="L1120" s="1">
        <v>37352</v>
      </c>
      <c r="M1120" s="1">
        <v>37351</v>
      </c>
      <c r="N1120" s="1">
        <v>37352</v>
      </c>
      <c r="O1120" t="s">
        <v>1117</v>
      </c>
      <c r="P1120">
        <v>3</v>
      </c>
      <c r="Q1120" t="s">
        <v>1215</v>
      </c>
      <c r="R1120">
        <f t="shared" si="35"/>
        <v>14</v>
      </c>
      <c r="S1120">
        <f t="shared" si="36"/>
        <v>1</v>
      </c>
    </row>
    <row r="1121" spans="1:19" x14ac:dyDescent="0.25">
      <c r="A1121" t="s">
        <v>2242</v>
      </c>
      <c r="B1121" t="s">
        <v>1199</v>
      </c>
      <c r="C1121">
        <v>2</v>
      </c>
      <c r="D1121">
        <v>1250</v>
      </c>
      <c r="E1121">
        <v>2500</v>
      </c>
      <c r="F1121">
        <v>9</v>
      </c>
      <c r="G1121">
        <v>9</v>
      </c>
      <c r="H1121" t="s">
        <v>1208</v>
      </c>
      <c r="I1121" s="1">
        <v>37122</v>
      </c>
      <c r="J1121" s="1">
        <v>37312</v>
      </c>
      <c r="K1121" s="1">
        <v>37345</v>
      </c>
      <c r="L1121" s="1">
        <v>37345</v>
      </c>
      <c r="M1121" s="1">
        <v>37344</v>
      </c>
      <c r="N1121" s="1">
        <v>37344</v>
      </c>
      <c r="O1121" t="s">
        <v>1117</v>
      </c>
      <c r="P1121">
        <v>3</v>
      </c>
      <c r="Q1121" t="s">
        <v>1215</v>
      </c>
      <c r="R1121">
        <f t="shared" si="35"/>
        <v>13</v>
      </c>
      <c r="S1121">
        <f t="shared" si="36"/>
        <v>1</v>
      </c>
    </row>
    <row r="1122" spans="1:19" x14ac:dyDescent="0.25">
      <c r="A1122" t="s">
        <v>2243</v>
      </c>
      <c r="B1122" t="s">
        <v>1199</v>
      </c>
      <c r="C1122">
        <v>0.6</v>
      </c>
      <c r="D1122">
        <v>1250</v>
      </c>
      <c r="E1122">
        <v>2500</v>
      </c>
      <c r="F1122">
        <v>3</v>
      </c>
      <c r="G1122">
        <v>3</v>
      </c>
      <c r="H1122" t="s">
        <v>1208</v>
      </c>
      <c r="I1122" s="1">
        <v>37159</v>
      </c>
      <c r="J1122" s="1">
        <v>37319</v>
      </c>
      <c r="K1122" s="1">
        <v>37352</v>
      </c>
      <c r="L1122" s="1">
        <v>37352</v>
      </c>
      <c r="M1122" s="1">
        <v>37351</v>
      </c>
      <c r="N1122" s="1">
        <v>37351</v>
      </c>
      <c r="O1122" t="s">
        <v>1117</v>
      </c>
      <c r="P1122">
        <v>1</v>
      </c>
      <c r="Q1122" t="s">
        <v>1215</v>
      </c>
      <c r="R1122">
        <f t="shared" si="35"/>
        <v>14</v>
      </c>
      <c r="S1122">
        <f t="shared" si="36"/>
        <v>1</v>
      </c>
    </row>
    <row r="1123" spans="1:19" x14ac:dyDescent="0.25">
      <c r="A1123" t="s">
        <v>2244</v>
      </c>
      <c r="B1123" t="s">
        <v>1199</v>
      </c>
      <c r="C1123">
        <v>1.5</v>
      </c>
      <c r="D1123">
        <v>1250</v>
      </c>
      <c r="E1123">
        <v>2300</v>
      </c>
      <c r="F1123">
        <v>18</v>
      </c>
      <c r="G1123">
        <v>18</v>
      </c>
      <c r="H1123" t="s">
        <v>1208</v>
      </c>
      <c r="I1123" s="1">
        <v>37159</v>
      </c>
      <c r="J1123" s="1">
        <v>37312</v>
      </c>
      <c r="K1123" s="1">
        <v>37326</v>
      </c>
      <c r="L1123" s="1">
        <v>37326</v>
      </c>
      <c r="M1123" s="1">
        <v>37333</v>
      </c>
      <c r="N1123" s="1">
        <v>37333</v>
      </c>
      <c r="O1123" t="s">
        <v>1117</v>
      </c>
      <c r="P1123">
        <v>2</v>
      </c>
      <c r="Q1123" t="s">
        <v>1215</v>
      </c>
      <c r="R1123">
        <f t="shared" si="35"/>
        <v>12</v>
      </c>
      <c r="S1123">
        <f t="shared" si="36"/>
        <v>1</v>
      </c>
    </row>
    <row r="1124" spans="1:19" x14ac:dyDescent="0.25">
      <c r="A1124" t="s">
        <v>2245</v>
      </c>
      <c r="B1124" t="s">
        <v>3601</v>
      </c>
      <c r="C1124">
        <v>0.5</v>
      </c>
      <c r="D1124">
        <v>1250</v>
      </c>
      <c r="E1124">
        <v>2500</v>
      </c>
      <c r="F1124">
        <v>3</v>
      </c>
      <c r="G1124">
        <v>3</v>
      </c>
      <c r="H1124" t="s">
        <v>1208</v>
      </c>
      <c r="I1124" s="1">
        <v>37159</v>
      </c>
      <c r="J1124" s="1">
        <v>37325</v>
      </c>
      <c r="K1124" s="1">
        <v>37352</v>
      </c>
      <c r="L1124" s="1">
        <v>37352</v>
      </c>
      <c r="M1124" s="1">
        <v>37351</v>
      </c>
      <c r="N1124" s="1">
        <v>37351</v>
      </c>
      <c r="O1124" t="s">
        <v>1117</v>
      </c>
      <c r="P1124">
        <v>7</v>
      </c>
      <c r="Q1124" t="s">
        <v>1215</v>
      </c>
      <c r="R1124">
        <f t="shared" si="35"/>
        <v>14</v>
      </c>
      <c r="S1124">
        <f t="shared" si="36"/>
        <v>1</v>
      </c>
    </row>
    <row r="1125" spans="1:19" x14ac:dyDescent="0.25">
      <c r="A1125" t="s">
        <v>2246</v>
      </c>
      <c r="B1125" t="s">
        <v>1199</v>
      </c>
      <c r="C1125">
        <v>3</v>
      </c>
      <c r="D1125">
        <v>1250</v>
      </c>
      <c r="E1125">
        <v>2500</v>
      </c>
      <c r="F1125">
        <v>3</v>
      </c>
      <c r="G1125">
        <v>3</v>
      </c>
      <c r="H1125" t="s">
        <v>1208</v>
      </c>
      <c r="I1125" s="1">
        <v>37159</v>
      </c>
      <c r="J1125" s="1">
        <v>37319</v>
      </c>
      <c r="K1125" s="1">
        <v>37344</v>
      </c>
      <c r="L1125" s="1">
        <v>37344</v>
      </c>
      <c r="M1125" s="1">
        <v>37344</v>
      </c>
      <c r="N1125" s="1">
        <v>37344</v>
      </c>
      <c r="O1125" t="s">
        <v>1117</v>
      </c>
      <c r="P1125">
        <v>3</v>
      </c>
      <c r="Q1125" t="s">
        <v>1215</v>
      </c>
      <c r="R1125">
        <f t="shared" si="35"/>
        <v>13</v>
      </c>
      <c r="S1125">
        <f t="shared" si="36"/>
        <v>1</v>
      </c>
    </row>
    <row r="1126" spans="1:19" x14ac:dyDescent="0.25">
      <c r="A1126" t="s">
        <v>2247</v>
      </c>
      <c r="B1126" t="s">
        <v>4026</v>
      </c>
      <c r="C1126">
        <v>3</v>
      </c>
      <c r="D1126">
        <v>1250</v>
      </c>
      <c r="E1126">
        <v>2500</v>
      </c>
      <c r="F1126">
        <v>3</v>
      </c>
      <c r="G1126">
        <v>3</v>
      </c>
      <c r="H1126" t="s">
        <v>1208</v>
      </c>
      <c r="I1126" s="1">
        <v>37131</v>
      </c>
      <c r="J1126" s="1">
        <v>37312</v>
      </c>
      <c r="K1126" t="s">
        <v>1124</v>
      </c>
      <c r="L1126" t="s">
        <v>1124</v>
      </c>
      <c r="M1126" s="1">
        <v>37337</v>
      </c>
      <c r="N1126" s="1">
        <v>37337</v>
      </c>
      <c r="O1126" t="s">
        <v>1117</v>
      </c>
      <c r="P1126">
        <v>1</v>
      </c>
      <c r="Q1126" t="s">
        <v>1215</v>
      </c>
      <c r="R1126">
        <f t="shared" si="35"/>
        <v>12</v>
      </c>
      <c r="S1126">
        <f t="shared" si="36"/>
        <v>1</v>
      </c>
    </row>
    <row r="1127" spans="1:19" x14ac:dyDescent="0.25">
      <c r="A1127" t="s">
        <v>2248</v>
      </c>
      <c r="B1127" t="s">
        <v>4026</v>
      </c>
      <c r="C1127">
        <v>2</v>
      </c>
      <c r="D1127">
        <v>1250</v>
      </c>
      <c r="E1127">
        <v>2500</v>
      </c>
      <c r="F1127">
        <v>6</v>
      </c>
      <c r="G1127">
        <v>6</v>
      </c>
      <c r="H1127" t="s">
        <v>1208</v>
      </c>
      <c r="I1127" s="1">
        <v>37122</v>
      </c>
      <c r="J1127" s="1">
        <v>37312</v>
      </c>
      <c r="K1127" s="1">
        <v>37345</v>
      </c>
      <c r="L1127" s="1">
        <v>37345</v>
      </c>
      <c r="M1127" s="1">
        <v>37344</v>
      </c>
      <c r="N1127" s="1">
        <v>37344</v>
      </c>
      <c r="O1127" t="s">
        <v>1117</v>
      </c>
      <c r="P1127">
        <v>3</v>
      </c>
      <c r="Q1127" t="s">
        <v>1215</v>
      </c>
      <c r="R1127">
        <f t="shared" si="35"/>
        <v>13</v>
      </c>
      <c r="S1127">
        <f t="shared" si="36"/>
        <v>1</v>
      </c>
    </row>
    <row r="1128" spans="1:19" x14ac:dyDescent="0.25">
      <c r="A1128" t="s">
        <v>2249</v>
      </c>
      <c r="B1128" t="s">
        <v>4027</v>
      </c>
      <c r="C1128">
        <v>2.5</v>
      </c>
      <c r="D1128">
        <v>1250</v>
      </c>
      <c r="E1128">
        <v>2500</v>
      </c>
      <c r="F1128">
        <v>3</v>
      </c>
      <c r="G1128">
        <v>3</v>
      </c>
      <c r="H1128" t="s">
        <v>1208</v>
      </c>
      <c r="I1128" s="1">
        <v>37159</v>
      </c>
      <c r="J1128" s="1">
        <v>37319</v>
      </c>
      <c r="K1128" s="1">
        <v>37330</v>
      </c>
      <c r="L1128" s="1">
        <v>37330</v>
      </c>
      <c r="M1128" s="1">
        <v>37330</v>
      </c>
      <c r="N1128" s="1">
        <v>37330</v>
      </c>
      <c r="O1128" t="s">
        <v>1117</v>
      </c>
      <c r="P1128">
        <v>7</v>
      </c>
      <c r="Q1128" t="s">
        <v>1215</v>
      </c>
      <c r="R1128">
        <f t="shared" si="35"/>
        <v>11</v>
      </c>
      <c r="S1128">
        <f t="shared" si="36"/>
        <v>1</v>
      </c>
    </row>
    <row r="1129" spans="1:19" x14ac:dyDescent="0.25">
      <c r="A1129" t="s">
        <v>2250</v>
      </c>
      <c r="B1129" t="s">
        <v>4028</v>
      </c>
      <c r="C1129">
        <v>0.7</v>
      </c>
      <c r="D1129">
        <v>1250</v>
      </c>
      <c r="E1129">
        <v>2500</v>
      </c>
      <c r="F1129">
        <v>3</v>
      </c>
      <c r="G1129">
        <v>3</v>
      </c>
      <c r="H1129" t="s">
        <v>1208</v>
      </c>
      <c r="I1129" s="1">
        <v>37159</v>
      </c>
      <c r="J1129" s="1">
        <v>37323</v>
      </c>
      <c r="K1129" s="1">
        <v>37372</v>
      </c>
      <c r="L1129" s="1">
        <v>37372</v>
      </c>
      <c r="M1129" s="1">
        <v>37365</v>
      </c>
      <c r="N1129" s="1">
        <v>37365</v>
      </c>
      <c r="O1129" t="s">
        <v>1117</v>
      </c>
      <c r="P1129">
        <v>4</v>
      </c>
      <c r="Q1129" t="s">
        <v>1215</v>
      </c>
      <c r="R1129">
        <f t="shared" si="35"/>
        <v>16</v>
      </c>
      <c r="S1129">
        <f t="shared" si="36"/>
        <v>1</v>
      </c>
    </row>
    <row r="1130" spans="1:19" x14ac:dyDescent="0.25">
      <c r="A1130" t="s">
        <v>2251</v>
      </c>
      <c r="B1130" t="s">
        <v>4026</v>
      </c>
      <c r="C1130">
        <v>1.6</v>
      </c>
      <c r="D1130">
        <v>1250</v>
      </c>
      <c r="E1130">
        <v>2500</v>
      </c>
      <c r="F1130">
        <v>20</v>
      </c>
      <c r="G1130">
        <v>20</v>
      </c>
      <c r="H1130" t="s">
        <v>1208</v>
      </c>
      <c r="I1130" s="1">
        <v>37159</v>
      </c>
      <c r="J1130" s="1">
        <v>37325</v>
      </c>
      <c r="K1130" s="1">
        <v>37327</v>
      </c>
      <c r="L1130" s="1">
        <v>37327</v>
      </c>
      <c r="M1130" s="1">
        <v>37331</v>
      </c>
      <c r="N1130" s="1">
        <v>37331</v>
      </c>
      <c r="O1130" t="s">
        <v>1117</v>
      </c>
      <c r="P1130">
        <v>4</v>
      </c>
      <c r="Q1130" t="s">
        <v>1215</v>
      </c>
      <c r="R1130">
        <f t="shared" si="35"/>
        <v>11</v>
      </c>
      <c r="S1130">
        <f t="shared" si="36"/>
        <v>1</v>
      </c>
    </row>
    <row r="1131" spans="1:19" x14ac:dyDescent="0.25">
      <c r="A1131" t="s">
        <v>2252</v>
      </c>
      <c r="B1131" t="s">
        <v>4026</v>
      </c>
      <c r="C1131">
        <v>0.7</v>
      </c>
      <c r="D1131">
        <v>1250</v>
      </c>
      <c r="E1131">
        <v>2500</v>
      </c>
      <c r="F1131">
        <v>3</v>
      </c>
      <c r="G1131">
        <v>3</v>
      </c>
      <c r="H1131" t="s">
        <v>1208</v>
      </c>
      <c r="I1131" s="1">
        <v>37159</v>
      </c>
      <c r="J1131" s="1">
        <v>37320</v>
      </c>
      <c r="K1131" s="1">
        <v>37372</v>
      </c>
      <c r="L1131" s="1">
        <v>37372</v>
      </c>
      <c r="M1131" s="1">
        <v>37365</v>
      </c>
      <c r="N1131" s="1">
        <v>37365</v>
      </c>
      <c r="O1131" t="s">
        <v>1117</v>
      </c>
      <c r="P1131">
        <v>3</v>
      </c>
      <c r="Q1131" t="s">
        <v>1215</v>
      </c>
      <c r="R1131">
        <f t="shared" si="35"/>
        <v>16</v>
      </c>
      <c r="S1131">
        <f t="shared" si="36"/>
        <v>1</v>
      </c>
    </row>
    <row r="1132" spans="1:19" x14ac:dyDescent="0.25">
      <c r="A1132" t="s">
        <v>2253</v>
      </c>
      <c r="B1132" t="s">
        <v>4027</v>
      </c>
      <c r="C1132">
        <v>2.5</v>
      </c>
      <c r="D1132">
        <v>1250</v>
      </c>
      <c r="E1132">
        <v>2500</v>
      </c>
      <c r="F1132">
        <v>3</v>
      </c>
      <c r="G1132">
        <v>3</v>
      </c>
      <c r="H1132" t="s">
        <v>1208</v>
      </c>
      <c r="I1132" s="1">
        <v>37159</v>
      </c>
      <c r="J1132" s="1">
        <v>37322</v>
      </c>
      <c r="K1132" t="s">
        <v>1124</v>
      </c>
      <c r="L1132" t="s">
        <v>1124</v>
      </c>
      <c r="M1132" s="1">
        <v>37335</v>
      </c>
      <c r="N1132" s="1">
        <v>37335</v>
      </c>
      <c r="O1132" t="s">
        <v>1117</v>
      </c>
      <c r="P1132">
        <v>7</v>
      </c>
      <c r="Q1132" t="s">
        <v>1215</v>
      </c>
      <c r="R1132">
        <f t="shared" si="35"/>
        <v>12</v>
      </c>
      <c r="S1132">
        <f t="shared" si="36"/>
        <v>1</v>
      </c>
    </row>
    <row r="1133" spans="1:19" x14ac:dyDescent="0.25">
      <c r="A1133" t="s">
        <v>2254</v>
      </c>
      <c r="B1133" t="s">
        <v>4026</v>
      </c>
      <c r="C1133">
        <v>0.5</v>
      </c>
      <c r="D1133">
        <v>1250</v>
      </c>
      <c r="E1133">
        <v>2750</v>
      </c>
      <c r="F1133">
        <v>20</v>
      </c>
      <c r="G1133">
        <v>20</v>
      </c>
      <c r="H1133" t="s">
        <v>1208</v>
      </c>
      <c r="I1133" s="1">
        <v>37128</v>
      </c>
      <c r="J1133" s="1">
        <v>37315</v>
      </c>
      <c r="K1133" s="1">
        <v>37330</v>
      </c>
      <c r="L1133" s="1">
        <v>37330</v>
      </c>
      <c r="M1133" s="1">
        <v>37334</v>
      </c>
      <c r="N1133" s="1">
        <v>37335</v>
      </c>
      <c r="O1133" t="s">
        <v>1117</v>
      </c>
      <c r="P1133">
        <v>1</v>
      </c>
      <c r="Q1133" t="s">
        <v>1215</v>
      </c>
      <c r="R1133">
        <f t="shared" si="35"/>
        <v>12</v>
      </c>
      <c r="S1133">
        <f t="shared" si="36"/>
        <v>1</v>
      </c>
    </row>
    <row r="1134" spans="1:19" x14ac:dyDescent="0.25">
      <c r="A1134" t="s">
        <v>2255</v>
      </c>
      <c r="B1134" t="s">
        <v>1199</v>
      </c>
      <c r="C1134">
        <v>0.5</v>
      </c>
      <c r="D1134">
        <v>1250</v>
      </c>
      <c r="E1134">
        <v>2500</v>
      </c>
      <c r="F1134">
        <v>3</v>
      </c>
      <c r="G1134">
        <v>3</v>
      </c>
      <c r="H1134" t="s">
        <v>1208</v>
      </c>
      <c r="I1134" s="1">
        <v>37132</v>
      </c>
      <c r="J1134" s="1">
        <v>37308</v>
      </c>
      <c r="K1134" s="1">
        <v>37352</v>
      </c>
      <c r="L1134" s="1">
        <v>37352</v>
      </c>
      <c r="M1134" s="1">
        <v>37351</v>
      </c>
      <c r="N1134" s="1">
        <v>37351</v>
      </c>
      <c r="O1134" t="s">
        <v>1117</v>
      </c>
      <c r="P1134">
        <v>3</v>
      </c>
      <c r="Q1134" t="s">
        <v>1215</v>
      </c>
      <c r="R1134">
        <f t="shared" si="35"/>
        <v>14</v>
      </c>
      <c r="S1134">
        <f t="shared" si="36"/>
        <v>1</v>
      </c>
    </row>
    <row r="1135" spans="1:19" x14ac:dyDescent="0.25">
      <c r="A1135" t="s">
        <v>2256</v>
      </c>
      <c r="B1135" t="s">
        <v>1199</v>
      </c>
      <c r="C1135">
        <v>1</v>
      </c>
      <c r="D1135">
        <v>1250</v>
      </c>
      <c r="E1135">
        <v>2500</v>
      </c>
      <c r="F1135">
        <v>3</v>
      </c>
      <c r="G1135">
        <v>3</v>
      </c>
      <c r="H1135" t="s">
        <v>1208</v>
      </c>
      <c r="I1135" s="1">
        <v>37119</v>
      </c>
      <c r="J1135" s="1">
        <v>37322</v>
      </c>
      <c r="K1135" s="1">
        <v>37367</v>
      </c>
      <c r="L1135" s="1">
        <v>37367</v>
      </c>
      <c r="M1135" s="1">
        <v>37367</v>
      </c>
      <c r="N1135" s="1">
        <v>37367</v>
      </c>
      <c r="O1135" t="s">
        <v>1117</v>
      </c>
      <c r="P1135">
        <v>2</v>
      </c>
      <c r="Q1135" t="s">
        <v>1215</v>
      </c>
      <c r="R1135">
        <f t="shared" si="35"/>
        <v>17</v>
      </c>
      <c r="S1135">
        <f t="shared" si="36"/>
        <v>1</v>
      </c>
    </row>
    <row r="1136" spans="1:19" x14ac:dyDescent="0.25">
      <c r="A1136" t="s">
        <v>2257</v>
      </c>
      <c r="B1136" t="s">
        <v>4028</v>
      </c>
      <c r="C1136">
        <v>0.5</v>
      </c>
      <c r="D1136">
        <v>1250</v>
      </c>
      <c r="E1136">
        <v>2500</v>
      </c>
      <c r="F1136">
        <v>3</v>
      </c>
      <c r="G1136">
        <v>3</v>
      </c>
      <c r="H1136" t="s">
        <v>1208</v>
      </c>
      <c r="I1136" s="1">
        <v>37124</v>
      </c>
      <c r="J1136" s="1">
        <v>37322</v>
      </c>
      <c r="K1136" s="1">
        <v>37352</v>
      </c>
      <c r="L1136" s="1">
        <v>37352</v>
      </c>
      <c r="M1136" s="1">
        <v>37351</v>
      </c>
      <c r="N1136" s="1">
        <v>37351</v>
      </c>
      <c r="O1136" t="s">
        <v>1117</v>
      </c>
      <c r="P1136">
        <v>3</v>
      </c>
      <c r="Q1136" t="s">
        <v>1215</v>
      </c>
      <c r="R1136">
        <f t="shared" si="35"/>
        <v>14</v>
      </c>
      <c r="S1136">
        <f t="shared" si="36"/>
        <v>1</v>
      </c>
    </row>
    <row r="1137" spans="1:19" x14ac:dyDescent="0.25">
      <c r="A1137" t="s">
        <v>2258</v>
      </c>
      <c r="B1137" t="s">
        <v>4028</v>
      </c>
      <c r="C1137">
        <v>2.7</v>
      </c>
      <c r="D1137">
        <v>1250</v>
      </c>
      <c r="E1137">
        <v>3000</v>
      </c>
      <c r="F1137">
        <v>38.4</v>
      </c>
      <c r="G1137">
        <v>16.297999999999998</v>
      </c>
      <c r="H1137" t="s">
        <v>1208</v>
      </c>
      <c r="I1137" s="1">
        <v>37124</v>
      </c>
      <c r="J1137" s="1">
        <v>37314</v>
      </c>
      <c r="K1137" t="s">
        <v>1124</v>
      </c>
      <c r="L1137" t="s">
        <v>1124</v>
      </c>
      <c r="M1137" s="1">
        <v>37336</v>
      </c>
      <c r="N1137" s="1">
        <v>37360</v>
      </c>
      <c r="O1137" t="s">
        <v>1117</v>
      </c>
      <c r="P1137">
        <v>4</v>
      </c>
      <c r="Q1137" t="s">
        <v>1215</v>
      </c>
      <c r="R1137">
        <f t="shared" si="35"/>
        <v>16</v>
      </c>
      <c r="S1137">
        <f t="shared" si="36"/>
        <v>0</v>
      </c>
    </row>
    <row r="1138" spans="1:19" x14ac:dyDescent="0.25">
      <c r="A1138" t="s">
        <v>2259</v>
      </c>
      <c r="B1138" t="s">
        <v>1199</v>
      </c>
      <c r="C1138">
        <v>0.8</v>
      </c>
      <c r="D1138">
        <v>1000</v>
      </c>
      <c r="E1138">
        <v>2500</v>
      </c>
      <c r="F1138">
        <v>3</v>
      </c>
      <c r="G1138">
        <v>3</v>
      </c>
      <c r="H1138" t="s">
        <v>1208</v>
      </c>
      <c r="I1138" s="1">
        <v>37159</v>
      </c>
      <c r="J1138" s="1">
        <v>37323</v>
      </c>
      <c r="K1138" t="s">
        <v>1124</v>
      </c>
      <c r="L1138" t="s">
        <v>1124</v>
      </c>
      <c r="M1138" s="1">
        <v>37335</v>
      </c>
      <c r="N1138" s="1">
        <v>37335</v>
      </c>
      <c r="O1138" t="s">
        <v>1117</v>
      </c>
      <c r="P1138">
        <v>3</v>
      </c>
      <c r="Q1138" t="s">
        <v>1215</v>
      </c>
      <c r="R1138">
        <f t="shared" si="35"/>
        <v>12</v>
      </c>
      <c r="S1138">
        <f t="shared" si="36"/>
        <v>1</v>
      </c>
    </row>
    <row r="1139" spans="1:19" x14ac:dyDescent="0.25">
      <c r="A1139" t="s">
        <v>2260</v>
      </c>
      <c r="B1139" t="s">
        <v>1199</v>
      </c>
      <c r="C1139">
        <v>2</v>
      </c>
      <c r="D1139">
        <v>1250</v>
      </c>
      <c r="E1139">
        <v>2500</v>
      </c>
      <c r="F1139">
        <v>3</v>
      </c>
      <c r="G1139">
        <v>3</v>
      </c>
      <c r="H1139" t="s">
        <v>1208</v>
      </c>
      <c r="I1139" s="1">
        <v>37159</v>
      </c>
      <c r="J1139" s="1">
        <v>37323</v>
      </c>
      <c r="K1139" s="1">
        <v>37344</v>
      </c>
      <c r="L1139" s="1">
        <v>37344</v>
      </c>
      <c r="M1139" s="1">
        <v>37344</v>
      </c>
      <c r="N1139" s="1">
        <v>37344</v>
      </c>
      <c r="O1139" t="s">
        <v>1117</v>
      </c>
      <c r="P1139">
        <v>11</v>
      </c>
      <c r="Q1139" t="s">
        <v>1215</v>
      </c>
      <c r="R1139">
        <f t="shared" si="35"/>
        <v>13</v>
      </c>
      <c r="S1139">
        <f t="shared" si="36"/>
        <v>1</v>
      </c>
    </row>
    <row r="1140" spans="1:19" x14ac:dyDescent="0.25">
      <c r="A1140" t="s">
        <v>2261</v>
      </c>
      <c r="B1140" t="s">
        <v>1199</v>
      </c>
      <c r="C1140">
        <v>1</v>
      </c>
      <c r="D1140">
        <v>1250</v>
      </c>
      <c r="E1140">
        <v>2500</v>
      </c>
      <c r="F1140">
        <v>6</v>
      </c>
      <c r="G1140">
        <v>6</v>
      </c>
      <c r="H1140" t="s">
        <v>1208</v>
      </c>
      <c r="I1140" s="1">
        <v>37159</v>
      </c>
      <c r="J1140" s="1">
        <v>37323</v>
      </c>
      <c r="K1140" s="1">
        <v>37344</v>
      </c>
      <c r="L1140" s="1">
        <v>37344</v>
      </c>
      <c r="M1140" s="1">
        <v>37344</v>
      </c>
      <c r="N1140" s="1">
        <v>37344</v>
      </c>
      <c r="O1140" t="s">
        <v>1117</v>
      </c>
      <c r="P1140">
        <v>8</v>
      </c>
      <c r="Q1140" t="s">
        <v>1215</v>
      </c>
      <c r="R1140">
        <f t="shared" si="35"/>
        <v>13</v>
      </c>
      <c r="S1140">
        <f t="shared" si="36"/>
        <v>1</v>
      </c>
    </row>
    <row r="1141" spans="1:19" x14ac:dyDescent="0.25">
      <c r="A1141" t="s">
        <v>2262</v>
      </c>
      <c r="B1141" t="s">
        <v>4028</v>
      </c>
      <c r="C1141">
        <v>0.8</v>
      </c>
      <c r="D1141">
        <v>1250</v>
      </c>
      <c r="E1141">
        <v>2500</v>
      </c>
      <c r="F1141">
        <v>6</v>
      </c>
      <c r="G1141">
        <v>3</v>
      </c>
      <c r="H1141" t="s">
        <v>1208</v>
      </c>
      <c r="I1141" s="1">
        <v>37325</v>
      </c>
      <c r="J1141" s="1">
        <v>37354</v>
      </c>
      <c r="K1141" s="1">
        <v>37354</v>
      </c>
      <c r="L1141" s="1">
        <v>37354</v>
      </c>
      <c r="M1141" s="1">
        <v>37354</v>
      </c>
      <c r="N1141" s="1">
        <v>37354</v>
      </c>
      <c r="O1141" t="s">
        <v>1114</v>
      </c>
      <c r="P1141">
        <v>2</v>
      </c>
      <c r="Q1141" t="s">
        <v>1215</v>
      </c>
      <c r="R1141">
        <f t="shared" si="35"/>
        <v>15</v>
      </c>
      <c r="S1141">
        <f t="shared" si="36"/>
        <v>0</v>
      </c>
    </row>
    <row r="1142" spans="1:19" x14ac:dyDescent="0.25">
      <c r="A1142" t="s">
        <v>2263</v>
      </c>
      <c r="B1142" t="s">
        <v>4028</v>
      </c>
      <c r="C1142">
        <v>0.7</v>
      </c>
      <c r="D1142">
        <v>1250</v>
      </c>
      <c r="E1142">
        <v>2500</v>
      </c>
      <c r="F1142">
        <v>3</v>
      </c>
      <c r="G1142">
        <v>3</v>
      </c>
      <c r="H1142" t="s">
        <v>1208</v>
      </c>
      <c r="I1142" s="1">
        <v>37124</v>
      </c>
      <c r="J1142" s="1">
        <v>37322</v>
      </c>
      <c r="K1142" s="1">
        <v>37372</v>
      </c>
      <c r="L1142" s="1">
        <v>37372</v>
      </c>
      <c r="M1142" s="1">
        <v>37365</v>
      </c>
      <c r="N1142" s="1">
        <v>37365</v>
      </c>
      <c r="O1142" t="s">
        <v>1117</v>
      </c>
      <c r="P1142">
        <v>1</v>
      </c>
      <c r="Q1142" t="s">
        <v>1215</v>
      </c>
      <c r="R1142">
        <f t="shared" si="35"/>
        <v>16</v>
      </c>
      <c r="S1142">
        <f t="shared" si="36"/>
        <v>1</v>
      </c>
    </row>
    <row r="1143" spans="1:19" x14ac:dyDescent="0.25">
      <c r="A1143" t="s">
        <v>2264</v>
      </c>
      <c r="B1143" t="s">
        <v>4028</v>
      </c>
      <c r="C1143">
        <v>2</v>
      </c>
      <c r="D1143">
        <v>1250</v>
      </c>
      <c r="E1143">
        <v>2500</v>
      </c>
      <c r="F1143">
        <v>3</v>
      </c>
      <c r="G1143">
        <v>3</v>
      </c>
      <c r="H1143" t="s">
        <v>1208</v>
      </c>
      <c r="I1143" s="1">
        <v>37159</v>
      </c>
      <c r="J1143" s="1">
        <v>37325</v>
      </c>
      <c r="K1143" s="1">
        <v>37344</v>
      </c>
      <c r="L1143" s="1">
        <v>37344</v>
      </c>
      <c r="M1143" s="1">
        <v>37344</v>
      </c>
      <c r="N1143" s="1">
        <v>37344</v>
      </c>
      <c r="O1143" t="s">
        <v>1117</v>
      </c>
      <c r="P1143">
        <v>1</v>
      </c>
      <c r="Q1143" t="s">
        <v>1215</v>
      </c>
      <c r="R1143">
        <f t="shared" si="35"/>
        <v>13</v>
      </c>
      <c r="S1143">
        <f t="shared" si="36"/>
        <v>1</v>
      </c>
    </row>
    <row r="1144" spans="1:19" x14ac:dyDescent="0.25">
      <c r="A1144" t="s">
        <v>2265</v>
      </c>
      <c r="B1144" t="s">
        <v>1199</v>
      </c>
      <c r="C1144">
        <v>0.5</v>
      </c>
      <c r="D1144">
        <v>1250</v>
      </c>
      <c r="E1144">
        <v>2500</v>
      </c>
      <c r="F1144">
        <v>6</v>
      </c>
      <c r="G1144">
        <v>6</v>
      </c>
      <c r="H1144" t="s">
        <v>1208</v>
      </c>
      <c r="I1144" s="1">
        <v>37108</v>
      </c>
      <c r="J1144" s="1">
        <v>37320</v>
      </c>
      <c r="K1144" s="1">
        <v>37352</v>
      </c>
      <c r="L1144" s="1">
        <v>37352</v>
      </c>
      <c r="M1144" s="1">
        <v>37351</v>
      </c>
      <c r="N1144" s="1">
        <v>37351</v>
      </c>
      <c r="O1144" t="s">
        <v>1117</v>
      </c>
      <c r="P1144">
        <v>1</v>
      </c>
      <c r="Q1144" t="s">
        <v>1215</v>
      </c>
      <c r="R1144">
        <f t="shared" si="35"/>
        <v>14</v>
      </c>
      <c r="S1144">
        <f t="shared" si="36"/>
        <v>1</v>
      </c>
    </row>
    <row r="1145" spans="1:19" x14ac:dyDescent="0.25">
      <c r="A1145" t="s">
        <v>2266</v>
      </c>
      <c r="B1145" t="s">
        <v>1199</v>
      </c>
      <c r="C1145">
        <v>0.5</v>
      </c>
      <c r="D1145">
        <v>1250</v>
      </c>
      <c r="E1145">
        <v>2500</v>
      </c>
      <c r="F1145">
        <v>3</v>
      </c>
      <c r="G1145">
        <v>3</v>
      </c>
      <c r="H1145" t="s">
        <v>1208</v>
      </c>
      <c r="I1145" s="1">
        <v>37119</v>
      </c>
      <c r="J1145" s="1">
        <v>37322</v>
      </c>
      <c r="K1145" s="1">
        <v>37352</v>
      </c>
      <c r="L1145" s="1">
        <v>37352</v>
      </c>
      <c r="M1145" s="1">
        <v>37351</v>
      </c>
      <c r="N1145" s="1">
        <v>37351</v>
      </c>
      <c r="O1145" t="s">
        <v>1117</v>
      </c>
      <c r="P1145">
        <v>1</v>
      </c>
      <c r="Q1145" t="s">
        <v>1215</v>
      </c>
      <c r="R1145">
        <f t="shared" si="35"/>
        <v>14</v>
      </c>
      <c r="S1145">
        <f t="shared" si="36"/>
        <v>1</v>
      </c>
    </row>
    <row r="1146" spans="1:19" x14ac:dyDescent="0.25">
      <c r="A1146" t="s">
        <v>2267</v>
      </c>
      <c r="B1146" t="s">
        <v>4026</v>
      </c>
      <c r="C1146">
        <v>0.7</v>
      </c>
      <c r="D1146">
        <v>1250</v>
      </c>
      <c r="E1146">
        <v>2500</v>
      </c>
      <c r="F1146">
        <v>5</v>
      </c>
      <c r="G1146">
        <v>5</v>
      </c>
      <c r="H1146" t="s">
        <v>1208</v>
      </c>
      <c r="I1146" s="1">
        <v>37159</v>
      </c>
      <c r="J1146" s="1">
        <v>37320</v>
      </c>
      <c r="K1146" s="1">
        <v>37359</v>
      </c>
      <c r="L1146" s="1">
        <v>37359</v>
      </c>
      <c r="M1146" s="1">
        <v>37351</v>
      </c>
      <c r="N1146" s="1">
        <v>37351</v>
      </c>
      <c r="O1146" t="s">
        <v>1117</v>
      </c>
      <c r="P1146">
        <v>2</v>
      </c>
      <c r="Q1146" t="s">
        <v>1215</v>
      </c>
      <c r="R1146">
        <f t="shared" si="35"/>
        <v>14</v>
      </c>
      <c r="S1146">
        <f t="shared" si="36"/>
        <v>1</v>
      </c>
    </row>
    <row r="1147" spans="1:19" x14ac:dyDescent="0.25">
      <c r="A1147" t="s">
        <v>2268</v>
      </c>
      <c r="B1147" t="s">
        <v>4027</v>
      </c>
      <c r="C1147">
        <v>0.6</v>
      </c>
      <c r="D1147">
        <v>1250</v>
      </c>
      <c r="E1147">
        <v>2500</v>
      </c>
      <c r="F1147">
        <v>5</v>
      </c>
      <c r="G1147">
        <v>5</v>
      </c>
      <c r="H1147" t="s">
        <v>1208</v>
      </c>
      <c r="I1147" s="1">
        <v>37159</v>
      </c>
      <c r="J1147" s="1">
        <v>37325</v>
      </c>
      <c r="K1147" s="1">
        <v>37352</v>
      </c>
      <c r="L1147" s="1">
        <v>37352</v>
      </c>
      <c r="M1147" s="1">
        <v>37351</v>
      </c>
      <c r="N1147" s="1">
        <v>37351</v>
      </c>
      <c r="O1147" t="s">
        <v>1117</v>
      </c>
      <c r="P1147">
        <v>1</v>
      </c>
      <c r="Q1147" t="s">
        <v>1215</v>
      </c>
      <c r="R1147">
        <f t="shared" si="35"/>
        <v>14</v>
      </c>
      <c r="S1147">
        <f t="shared" si="36"/>
        <v>1</v>
      </c>
    </row>
    <row r="1148" spans="1:19" x14ac:dyDescent="0.25">
      <c r="A1148" t="s">
        <v>2269</v>
      </c>
      <c r="B1148" t="s">
        <v>4028</v>
      </c>
      <c r="C1148">
        <v>0.5</v>
      </c>
      <c r="D1148">
        <v>1250</v>
      </c>
      <c r="E1148">
        <v>2750</v>
      </c>
      <c r="F1148">
        <v>15</v>
      </c>
      <c r="G1148">
        <v>15</v>
      </c>
      <c r="H1148" t="s">
        <v>1208</v>
      </c>
      <c r="I1148" s="1">
        <v>37159</v>
      </c>
      <c r="J1148" s="1">
        <v>37312</v>
      </c>
      <c r="K1148" s="1">
        <v>37327</v>
      </c>
      <c r="L1148" s="1">
        <v>37327</v>
      </c>
      <c r="M1148" s="1">
        <v>37331</v>
      </c>
      <c r="N1148" s="1">
        <v>37335</v>
      </c>
      <c r="O1148" t="s">
        <v>1117</v>
      </c>
      <c r="P1148">
        <v>1</v>
      </c>
      <c r="Q1148" t="s">
        <v>1215</v>
      </c>
      <c r="R1148">
        <f t="shared" si="35"/>
        <v>12</v>
      </c>
      <c r="S1148">
        <f t="shared" si="36"/>
        <v>1</v>
      </c>
    </row>
    <row r="1149" spans="1:19" x14ac:dyDescent="0.25">
      <c r="A1149" t="s">
        <v>2270</v>
      </c>
      <c r="B1149" t="s">
        <v>4026</v>
      </c>
      <c r="C1149">
        <v>0.5</v>
      </c>
      <c r="D1149">
        <v>1250</v>
      </c>
      <c r="E1149">
        <v>2500</v>
      </c>
      <c r="F1149">
        <v>3</v>
      </c>
      <c r="G1149">
        <v>3</v>
      </c>
      <c r="H1149" t="s">
        <v>1208</v>
      </c>
      <c r="I1149" s="1">
        <v>37159</v>
      </c>
      <c r="J1149" s="1">
        <v>37319</v>
      </c>
      <c r="K1149" s="1">
        <v>37352</v>
      </c>
      <c r="L1149" s="1">
        <v>37352</v>
      </c>
      <c r="M1149" s="1">
        <v>37351</v>
      </c>
      <c r="N1149" s="1">
        <v>37351</v>
      </c>
      <c r="O1149" t="s">
        <v>1117</v>
      </c>
      <c r="P1149">
        <v>1</v>
      </c>
      <c r="Q1149" t="s">
        <v>1215</v>
      </c>
      <c r="R1149">
        <f t="shared" si="35"/>
        <v>14</v>
      </c>
      <c r="S1149">
        <f t="shared" si="36"/>
        <v>1</v>
      </c>
    </row>
    <row r="1150" spans="1:19" x14ac:dyDescent="0.25">
      <c r="A1150" t="s">
        <v>2271</v>
      </c>
      <c r="B1150" t="s">
        <v>1199</v>
      </c>
      <c r="C1150">
        <v>1.5</v>
      </c>
      <c r="D1150">
        <v>1250</v>
      </c>
      <c r="E1150">
        <v>2500</v>
      </c>
      <c r="F1150">
        <v>3</v>
      </c>
      <c r="G1150">
        <v>3</v>
      </c>
      <c r="H1150" t="s">
        <v>1208</v>
      </c>
      <c r="I1150" s="1">
        <v>37159</v>
      </c>
      <c r="J1150" s="1">
        <v>37322</v>
      </c>
      <c r="K1150" s="1">
        <v>37336</v>
      </c>
      <c r="L1150" s="1">
        <v>37336</v>
      </c>
      <c r="M1150" s="1">
        <v>37336</v>
      </c>
      <c r="N1150" s="1">
        <v>37336</v>
      </c>
      <c r="O1150" t="s">
        <v>1117</v>
      </c>
      <c r="P1150">
        <v>2</v>
      </c>
      <c r="Q1150" t="s">
        <v>1215</v>
      </c>
      <c r="R1150">
        <f t="shared" si="35"/>
        <v>12</v>
      </c>
      <c r="S1150">
        <f t="shared" si="36"/>
        <v>1</v>
      </c>
    </row>
    <row r="1151" spans="1:19" x14ac:dyDescent="0.25">
      <c r="A1151" t="s">
        <v>2272</v>
      </c>
      <c r="B1151" t="s">
        <v>4028</v>
      </c>
      <c r="C1151">
        <v>0.6</v>
      </c>
      <c r="D1151">
        <v>1250</v>
      </c>
      <c r="E1151">
        <v>2500</v>
      </c>
      <c r="F1151">
        <v>3</v>
      </c>
      <c r="G1151">
        <v>3</v>
      </c>
      <c r="H1151" t="s">
        <v>1208</v>
      </c>
      <c r="I1151" s="1">
        <v>37108</v>
      </c>
      <c r="J1151" s="1">
        <v>37321</v>
      </c>
      <c r="K1151" s="1">
        <v>37352</v>
      </c>
      <c r="L1151" s="1">
        <v>37352</v>
      </c>
      <c r="M1151" s="1">
        <v>37351</v>
      </c>
      <c r="N1151" s="1">
        <v>37352</v>
      </c>
      <c r="O1151" t="s">
        <v>1117</v>
      </c>
      <c r="P1151">
        <v>1</v>
      </c>
      <c r="Q1151" t="s">
        <v>1215</v>
      </c>
      <c r="R1151">
        <f t="shared" si="35"/>
        <v>14</v>
      </c>
      <c r="S1151">
        <f t="shared" si="36"/>
        <v>1</v>
      </c>
    </row>
    <row r="1152" spans="1:19" x14ac:dyDescent="0.25">
      <c r="A1152" t="s">
        <v>2273</v>
      </c>
      <c r="B1152" t="s">
        <v>4027</v>
      </c>
      <c r="C1152">
        <v>0.4</v>
      </c>
      <c r="D1152">
        <v>363</v>
      </c>
      <c r="E1152">
        <v>1366</v>
      </c>
      <c r="F1152">
        <v>25</v>
      </c>
      <c r="G1152">
        <v>25</v>
      </c>
      <c r="H1152" t="s">
        <v>1208</v>
      </c>
      <c r="I1152" s="1">
        <v>37110</v>
      </c>
      <c r="J1152" s="1">
        <v>37318</v>
      </c>
      <c r="K1152" s="1">
        <v>37328</v>
      </c>
      <c r="L1152" s="1">
        <v>37328</v>
      </c>
      <c r="M1152" s="1">
        <v>37326</v>
      </c>
      <c r="N1152" s="1">
        <v>37326</v>
      </c>
      <c r="O1152" t="s">
        <v>1117</v>
      </c>
      <c r="P1152">
        <v>1</v>
      </c>
      <c r="Q1152" t="s">
        <v>1215</v>
      </c>
      <c r="R1152">
        <f t="shared" si="35"/>
        <v>11</v>
      </c>
      <c r="S1152">
        <f t="shared" si="36"/>
        <v>1</v>
      </c>
    </row>
    <row r="1153" spans="1:19" x14ac:dyDescent="0.25">
      <c r="A1153" t="s">
        <v>2274</v>
      </c>
      <c r="B1153" t="s">
        <v>4026</v>
      </c>
      <c r="C1153">
        <v>0.8</v>
      </c>
      <c r="D1153">
        <v>1250</v>
      </c>
      <c r="E1153">
        <v>2500</v>
      </c>
      <c r="F1153">
        <v>3</v>
      </c>
      <c r="G1153">
        <v>3</v>
      </c>
      <c r="H1153" t="s">
        <v>1208</v>
      </c>
      <c r="I1153" s="1">
        <v>37159</v>
      </c>
      <c r="J1153" s="1">
        <v>37325</v>
      </c>
      <c r="K1153" s="1">
        <v>37352</v>
      </c>
      <c r="L1153" s="1">
        <v>37352</v>
      </c>
      <c r="M1153" s="1">
        <v>37357</v>
      </c>
      <c r="N1153" s="1">
        <v>37357</v>
      </c>
      <c r="O1153" t="s">
        <v>1117</v>
      </c>
      <c r="P1153">
        <v>1</v>
      </c>
      <c r="Q1153" t="s">
        <v>1215</v>
      </c>
      <c r="R1153">
        <f t="shared" si="35"/>
        <v>15</v>
      </c>
      <c r="S1153">
        <f t="shared" si="36"/>
        <v>1</v>
      </c>
    </row>
    <row r="1154" spans="1:19" x14ac:dyDescent="0.25">
      <c r="A1154" t="s">
        <v>2275</v>
      </c>
      <c r="B1154" t="s">
        <v>3631</v>
      </c>
      <c r="C1154">
        <v>1</v>
      </c>
      <c r="D1154">
        <v>1250</v>
      </c>
      <c r="E1154">
        <v>2500</v>
      </c>
      <c r="F1154">
        <v>3</v>
      </c>
      <c r="G1154">
        <v>3</v>
      </c>
      <c r="H1154" t="s">
        <v>1208</v>
      </c>
      <c r="I1154" s="1">
        <v>37128</v>
      </c>
      <c r="J1154" s="1">
        <v>37313</v>
      </c>
      <c r="K1154" s="1">
        <v>37361</v>
      </c>
      <c r="L1154" s="1">
        <v>37361</v>
      </c>
      <c r="M1154" s="1">
        <v>37354</v>
      </c>
      <c r="N1154" s="1">
        <v>37375</v>
      </c>
      <c r="O1154" t="s">
        <v>1117</v>
      </c>
      <c r="P1154">
        <v>2</v>
      </c>
      <c r="Q1154" t="s">
        <v>1215</v>
      </c>
      <c r="R1154">
        <f t="shared" si="35"/>
        <v>18</v>
      </c>
      <c r="S1154">
        <f t="shared" si="36"/>
        <v>1</v>
      </c>
    </row>
    <row r="1155" spans="1:19" x14ac:dyDescent="0.25">
      <c r="A1155" t="s">
        <v>2276</v>
      </c>
      <c r="B1155" t="s">
        <v>4028</v>
      </c>
      <c r="C1155">
        <v>0.5</v>
      </c>
      <c r="D1155">
        <v>1250</v>
      </c>
      <c r="E1155">
        <v>2500</v>
      </c>
      <c r="F1155">
        <v>3</v>
      </c>
      <c r="G1155">
        <v>3</v>
      </c>
      <c r="H1155" t="s">
        <v>1208</v>
      </c>
      <c r="I1155" s="1">
        <v>37119</v>
      </c>
      <c r="J1155" s="1">
        <v>37322</v>
      </c>
      <c r="K1155" s="1">
        <v>37352</v>
      </c>
      <c r="L1155" s="1">
        <v>37352</v>
      </c>
      <c r="M1155" s="1">
        <v>37351</v>
      </c>
      <c r="N1155" s="1">
        <v>37351</v>
      </c>
      <c r="O1155" t="s">
        <v>1117</v>
      </c>
      <c r="P1155">
        <v>2</v>
      </c>
      <c r="Q1155" t="s">
        <v>1215</v>
      </c>
      <c r="R1155">
        <f t="shared" ref="R1155:R1218" si="37">WEEKNUM(N1155,1)</f>
        <v>14</v>
      </c>
      <c r="S1155">
        <f t="shared" ref="S1155:S1218" si="38">IF(AND(F1155=G1155, M1155&lt;=N1155), 1,0)</f>
        <v>1</v>
      </c>
    </row>
    <row r="1156" spans="1:19" x14ac:dyDescent="0.25">
      <c r="A1156" t="s">
        <v>2277</v>
      </c>
      <c r="B1156" t="s">
        <v>1199</v>
      </c>
      <c r="C1156">
        <v>0.5</v>
      </c>
      <c r="D1156">
        <v>1000</v>
      </c>
      <c r="E1156">
        <v>1013</v>
      </c>
      <c r="F1156">
        <v>20</v>
      </c>
      <c r="G1156">
        <v>20</v>
      </c>
      <c r="H1156" t="s">
        <v>1208</v>
      </c>
      <c r="I1156" s="1">
        <v>37105</v>
      </c>
      <c r="J1156" s="1">
        <v>37314</v>
      </c>
      <c r="K1156" s="1">
        <v>37327</v>
      </c>
      <c r="L1156" s="1">
        <v>37327</v>
      </c>
      <c r="M1156" s="1">
        <v>37329</v>
      </c>
      <c r="N1156" s="1">
        <v>37329</v>
      </c>
      <c r="O1156" t="s">
        <v>1117</v>
      </c>
      <c r="P1156">
        <v>1</v>
      </c>
      <c r="Q1156" t="s">
        <v>1215</v>
      </c>
      <c r="R1156">
        <f t="shared" si="37"/>
        <v>11</v>
      </c>
      <c r="S1156">
        <f t="shared" si="38"/>
        <v>1</v>
      </c>
    </row>
    <row r="1157" spans="1:19" x14ac:dyDescent="0.25">
      <c r="A1157" t="s">
        <v>2278</v>
      </c>
      <c r="B1157" t="s">
        <v>1199</v>
      </c>
      <c r="C1157">
        <v>1</v>
      </c>
      <c r="D1157">
        <v>1000</v>
      </c>
      <c r="E1157">
        <v>2500</v>
      </c>
      <c r="F1157">
        <v>3</v>
      </c>
      <c r="G1157">
        <v>3</v>
      </c>
      <c r="H1157" t="s">
        <v>1208</v>
      </c>
      <c r="I1157" s="1">
        <v>37133</v>
      </c>
      <c r="J1157" s="1">
        <v>37323</v>
      </c>
      <c r="K1157" s="1">
        <v>37346</v>
      </c>
      <c r="L1157" s="1">
        <v>37346</v>
      </c>
      <c r="M1157" s="1">
        <v>37346</v>
      </c>
      <c r="N1157" s="1">
        <v>37346</v>
      </c>
      <c r="O1157" t="s">
        <v>1117</v>
      </c>
      <c r="P1157">
        <v>1</v>
      </c>
      <c r="Q1157" t="s">
        <v>1215</v>
      </c>
      <c r="R1157">
        <f t="shared" si="37"/>
        <v>14</v>
      </c>
      <c r="S1157">
        <f t="shared" si="38"/>
        <v>1</v>
      </c>
    </row>
    <row r="1158" spans="1:19" x14ac:dyDescent="0.25">
      <c r="A1158" t="s">
        <v>2279</v>
      </c>
      <c r="B1158" t="s">
        <v>4026</v>
      </c>
      <c r="C1158">
        <v>2.5</v>
      </c>
      <c r="D1158">
        <v>1250</v>
      </c>
      <c r="E1158">
        <v>2500</v>
      </c>
      <c r="F1158">
        <v>3</v>
      </c>
      <c r="G1158">
        <v>3</v>
      </c>
      <c r="H1158" t="s">
        <v>1208</v>
      </c>
      <c r="I1158" s="1">
        <v>37159</v>
      </c>
      <c r="J1158" s="1">
        <v>37319</v>
      </c>
      <c r="K1158" s="1">
        <v>37334</v>
      </c>
      <c r="L1158" s="1">
        <v>37334</v>
      </c>
      <c r="M1158" s="1">
        <v>37334</v>
      </c>
      <c r="N1158" s="1">
        <v>37335</v>
      </c>
      <c r="O1158" t="s">
        <v>1117</v>
      </c>
      <c r="P1158">
        <v>7</v>
      </c>
      <c r="Q1158" t="s">
        <v>1215</v>
      </c>
      <c r="R1158">
        <f t="shared" si="37"/>
        <v>12</v>
      </c>
      <c r="S1158">
        <f t="shared" si="38"/>
        <v>1</v>
      </c>
    </row>
    <row r="1159" spans="1:19" x14ac:dyDescent="0.25">
      <c r="A1159" t="s">
        <v>2280</v>
      </c>
      <c r="B1159" t="s">
        <v>4028</v>
      </c>
      <c r="C1159">
        <v>1.6</v>
      </c>
      <c r="D1159">
        <v>1250</v>
      </c>
      <c r="E1159">
        <v>2100</v>
      </c>
      <c r="F1159">
        <v>15</v>
      </c>
      <c r="G1159">
        <v>15</v>
      </c>
      <c r="H1159" t="s">
        <v>1208</v>
      </c>
      <c r="I1159" s="1">
        <v>37159</v>
      </c>
      <c r="J1159" s="1">
        <v>37336</v>
      </c>
      <c r="K1159" s="1">
        <v>37338</v>
      </c>
      <c r="L1159" s="1">
        <v>37338</v>
      </c>
      <c r="M1159" s="1">
        <v>37338</v>
      </c>
      <c r="N1159" s="1">
        <v>37338</v>
      </c>
      <c r="O1159" t="s">
        <v>1117</v>
      </c>
      <c r="P1159">
        <v>2</v>
      </c>
      <c r="Q1159" t="s">
        <v>1215</v>
      </c>
      <c r="R1159">
        <f t="shared" si="37"/>
        <v>12</v>
      </c>
      <c r="S1159">
        <f t="shared" si="38"/>
        <v>1</v>
      </c>
    </row>
    <row r="1160" spans="1:19" x14ac:dyDescent="0.25">
      <c r="A1160" t="s">
        <v>2281</v>
      </c>
      <c r="B1160" t="s">
        <v>4028</v>
      </c>
      <c r="C1160">
        <v>1.2</v>
      </c>
      <c r="D1160">
        <v>1250</v>
      </c>
      <c r="E1160">
        <v>2500</v>
      </c>
      <c r="F1160">
        <v>6</v>
      </c>
      <c r="G1160">
        <v>3.226</v>
      </c>
      <c r="H1160" t="s">
        <v>1208</v>
      </c>
      <c r="I1160" s="1">
        <v>37110</v>
      </c>
      <c r="J1160" s="1">
        <v>37319</v>
      </c>
      <c r="K1160" s="1">
        <v>37344</v>
      </c>
      <c r="L1160" s="1">
        <v>37344</v>
      </c>
      <c r="M1160" s="1">
        <v>37344</v>
      </c>
      <c r="N1160" s="1">
        <v>37344</v>
      </c>
      <c r="O1160" t="s">
        <v>1117</v>
      </c>
      <c r="P1160">
        <v>1</v>
      </c>
      <c r="Q1160" t="s">
        <v>1215</v>
      </c>
      <c r="R1160">
        <f t="shared" si="37"/>
        <v>13</v>
      </c>
      <c r="S1160">
        <f t="shared" si="38"/>
        <v>0</v>
      </c>
    </row>
    <row r="1161" spans="1:19" x14ac:dyDescent="0.25">
      <c r="A1161" t="s">
        <v>2282</v>
      </c>
      <c r="B1161" t="s">
        <v>1199</v>
      </c>
      <c r="C1161">
        <v>2</v>
      </c>
      <c r="D1161">
        <v>1250</v>
      </c>
      <c r="E1161">
        <v>2500</v>
      </c>
      <c r="F1161">
        <v>3</v>
      </c>
      <c r="G1161">
        <v>3</v>
      </c>
      <c r="H1161" t="s">
        <v>1208</v>
      </c>
      <c r="I1161" s="1">
        <v>37159</v>
      </c>
      <c r="J1161" s="1">
        <v>37312</v>
      </c>
      <c r="K1161" s="1">
        <v>37345</v>
      </c>
      <c r="L1161" s="1">
        <v>37345</v>
      </c>
      <c r="M1161" s="1">
        <v>37344</v>
      </c>
      <c r="N1161" s="1">
        <v>37344</v>
      </c>
      <c r="O1161" t="s">
        <v>1117</v>
      </c>
      <c r="P1161">
        <v>1</v>
      </c>
      <c r="Q1161" t="s">
        <v>1215</v>
      </c>
      <c r="R1161">
        <f t="shared" si="37"/>
        <v>13</v>
      </c>
      <c r="S1161">
        <f t="shared" si="38"/>
        <v>1</v>
      </c>
    </row>
    <row r="1162" spans="1:19" x14ac:dyDescent="0.25">
      <c r="A1162" t="s">
        <v>2283</v>
      </c>
      <c r="B1162" t="s">
        <v>4028</v>
      </c>
      <c r="C1162">
        <v>0.5</v>
      </c>
      <c r="D1162">
        <v>1250</v>
      </c>
      <c r="E1162">
        <v>2500</v>
      </c>
      <c r="F1162">
        <v>6</v>
      </c>
      <c r="G1162">
        <v>6</v>
      </c>
      <c r="H1162" t="s">
        <v>1208</v>
      </c>
      <c r="I1162" s="1">
        <v>37159</v>
      </c>
      <c r="J1162" s="1">
        <v>37319</v>
      </c>
      <c r="K1162" s="1">
        <v>37352</v>
      </c>
      <c r="L1162" s="1">
        <v>37352</v>
      </c>
      <c r="M1162" s="1">
        <v>37351</v>
      </c>
      <c r="N1162" s="1">
        <v>37351</v>
      </c>
      <c r="O1162" t="s">
        <v>1117</v>
      </c>
      <c r="P1162">
        <v>1</v>
      </c>
      <c r="Q1162" t="s">
        <v>1215</v>
      </c>
      <c r="R1162">
        <f t="shared" si="37"/>
        <v>14</v>
      </c>
      <c r="S1162">
        <f t="shared" si="38"/>
        <v>1</v>
      </c>
    </row>
    <row r="1163" spans="1:19" x14ac:dyDescent="0.25">
      <c r="A1163" t="s">
        <v>2284</v>
      </c>
      <c r="B1163" t="s">
        <v>4027</v>
      </c>
      <c r="C1163">
        <v>3</v>
      </c>
      <c r="D1163">
        <v>1250</v>
      </c>
      <c r="E1163">
        <v>2500</v>
      </c>
      <c r="F1163">
        <v>3</v>
      </c>
      <c r="G1163">
        <v>3</v>
      </c>
      <c r="H1163" t="s">
        <v>1208</v>
      </c>
      <c r="I1163" s="1">
        <v>37159</v>
      </c>
      <c r="J1163" s="1">
        <v>37320</v>
      </c>
      <c r="K1163" s="1">
        <v>37354</v>
      </c>
      <c r="L1163" s="1">
        <v>37354</v>
      </c>
      <c r="M1163" s="1">
        <v>37345</v>
      </c>
      <c r="N1163" s="1">
        <v>37345</v>
      </c>
      <c r="O1163" t="s">
        <v>1117</v>
      </c>
      <c r="P1163">
        <v>4</v>
      </c>
      <c r="Q1163" t="s">
        <v>1215</v>
      </c>
      <c r="R1163">
        <f t="shared" si="37"/>
        <v>13</v>
      </c>
      <c r="S1163">
        <f t="shared" si="38"/>
        <v>1</v>
      </c>
    </row>
    <row r="1164" spans="1:19" x14ac:dyDescent="0.25">
      <c r="A1164" t="s">
        <v>2285</v>
      </c>
      <c r="B1164" t="s">
        <v>3521</v>
      </c>
      <c r="C1164">
        <v>0.5</v>
      </c>
      <c r="D1164">
        <v>1000</v>
      </c>
      <c r="E1164">
        <v>1495</v>
      </c>
      <c r="F1164">
        <v>20</v>
      </c>
      <c r="G1164">
        <v>20</v>
      </c>
      <c r="H1164" t="s">
        <v>1208</v>
      </c>
      <c r="I1164" s="1">
        <v>37105</v>
      </c>
      <c r="J1164" s="1">
        <v>37314</v>
      </c>
      <c r="K1164" s="1">
        <v>37325</v>
      </c>
      <c r="L1164" s="1">
        <v>37325</v>
      </c>
      <c r="M1164" s="1">
        <v>37328</v>
      </c>
      <c r="N1164" s="1">
        <v>37328</v>
      </c>
      <c r="O1164" t="s">
        <v>1117</v>
      </c>
      <c r="P1164">
        <v>2</v>
      </c>
      <c r="Q1164" t="s">
        <v>1215</v>
      </c>
      <c r="R1164">
        <f t="shared" si="37"/>
        <v>11</v>
      </c>
      <c r="S1164">
        <f t="shared" si="38"/>
        <v>1</v>
      </c>
    </row>
    <row r="1165" spans="1:19" x14ac:dyDescent="0.25">
      <c r="A1165" t="s">
        <v>2286</v>
      </c>
      <c r="B1165" t="s">
        <v>4026</v>
      </c>
      <c r="C1165">
        <v>1</v>
      </c>
      <c r="D1165">
        <v>1250</v>
      </c>
      <c r="E1165">
        <v>2500</v>
      </c>
      <c r="F1165">
        <v>3</v>
      </c>
      <c r="G1165">
        <v>3</v>
      </c>
      <c r="H1165" t="s">
        <v>1208</v>
      </c>
      <c r="I1165" s="1">
        <v>37132</v>
      </c>
      <c r="J1165" s="1">
        <v>37323</v>
      </c>
      <c r="K1165" s="1">
        <v>37344</v>
      </c>
      <c r="L1165" s="1">
        <v>37344</v>
      </c>
      <c r="M1165" s="1">
        <v>37344</v>
      </c>
      <c r="N1165" s="1">
        <v>37344</v>
      </c>
      <c r="O1165" t="s">
        <v>1117</v>
      </c>
      <c r="P1165">
        <v>2</v>
      </c>
      <c r="Q1165" t="s">
        <v>1215</v>
      </c>
      <c r="R1165">
        <f t="shared" si="37"/>
        <v>13</v>
      </c>
      <c r="S1165">
        <f t="shared" si="38"/>
        <v>1</v>
      </c>
    </row>
    <row r="1166" spans="1:19" x14ac:dyDescent="0.25">
      <c r="A1166" t="s">
        <v>2287</v>
      </c>
      <c r="B1166" t="s">
        <v>4026</v>
      </c>
      <c r="C1166">
        <v>0.9</v>
      </c>
      <c r="D1166">
        <v>1250</v>
      </c>
      <c r="E1166">
        <v>2300</v>
      </c>
      <c r="F1166">
        <v>18</v>
      </c>
      <c r="G1166">
        <v>18</v>
      </c>
      <c r="H1166" t="s">
        <v>1208</v>
      </c>
      <c r="I1166" s="1">
        <v>37159</v>
      </c>
      <c r="J1166" s="1">
        <v>37312</v>
      </c>
      <c r="K1166" s="1">
        <v>37326</v>
      </c>
      <c r="L1166" s="1">
        <v>37326</v>
      </c>
      <c r="M1166" s="1">
        <v>37331</v>
      </c>
      <c r="N1166" s="1">
        <v>37331</v>
      </c>
      <c r="O1166" t="s">
        <v>1117</v>
      </c>
      <c r="P1166">
        <v>1</v>
      </c>
      <c r="Q1166" t="s">
        <v>1215</v>
      </c>
      <c r="R1166">
        <f t="shared" si="37"/>
        <v>11</v>
      </c>
      <c r="S1166">
        <f t="shared" si="38"/>
        <v>1</v>
      </c>
    </row>
    <row r="1167" spans="1:19" x14ac:dyDescent="0.25">
      <c r="A1167" t="s">
        <v>2288</v>
      </c>
      <c r="B1167" t="s">
        <v>1199</v>
      </c>
      <c r="C1167">
        <v>0.5</v>
      </c>
      <c r="D1167">
        <v>1250</v>
      </c>
      <c r="E1167">
        <v>2500</v>
      </c>
      <c r="F1167">
        <v>3</v>
      </c>
      <c r="G1167">
        <v>3</v>
      </c>
      <c r="H1167" t="s">
        <v>1208</v>
      </c>
      <c r="I1167" s="1">
        <v>37159</v>
      </c>
      <c r="J1167" s="1">
        <v>37319</v>
      </c>
      <c r="K1167" s="1">
        <v>37352</v>
      </c>
      <c r="L1167" s="1">
        <v>37352</v>
      </c>
      <c r="M1167" s="1">
        <v>37351</v>
      </c>
      <c r="N1167" s="1">
        <v>37351</v>
      </c>
      <c r="O1167" t="s">
        <v>1117</v>
      </c>
      <c r="P1167">
        <v>4</v>
      </c>
      <c r="Q1167" t="s">
        <v>1215</v>
      </c>
      <c r="R1167">
        <f t="shared" si="37"/>
        <v>14</v>
      </c>
      <c r="S1167">
        <f t="shared" si="38"/>
        <v>1</v>
      </c>
    </row>
    <row r="1168" spans="1:19" x14ac:dyDescent="0.25">
      <c r="A1168" t="s">
        <v>2289</v>
      </c>
      <c r="B1168" t="s">
        <v>4026</v>
      </c>
      <c r="C1168">
        <v>0.6</v>
      </c>
      <c r="D1168">
        <v>1250</v>
      </c>
      <c r="E1168">
        <v>2500</v>
      </c>
      <c r="F1168">
        <v>3</v>
      </c>
      <c r="G1168">
        <v>3</v>
      </c>
      <c r="H1168" t="s">
        <v>1208</v>
      </c>
      <c r="I1168" s="1">
        <v>37114</v>
      </c>
      <c r="J1168" s="1">
        <v>37321</v>
      </c>
      <c r="K1168" s="1">
        <v>37352</v>
      </c>
      <c r="L1168" s="1">
        <v>37352</v>
      </c>
      <c r="M1168" s="1">
        <v>37351</v>
      </c>
      <c r="N1168" s="1">
        <v>37352</v>
      </c>
      <c r="O1168" t="s">
        <v>1117</v>
      </c>
      <c r="P1168">
        <v>3</v>
      </c>
      <c r="Q1168" t="s">
        <v>1215</v>
      </c>
      <c r="R1168">
        <f t="shared" si="37"/>
        <v>14</v>
      </c>
      <c r="S1168">
        <f t="shared" si="38"/>
        <v>1</v>
      </c>
    </row>
    <row r="1169" spans="1:19" x14ac:dyDescent="0.25">
      <c r="A1169" t="s">
        <v>2290</v>
      </c>
      <c r="B1169" t="s">
        <v>1199</v>
      </c>
      <c r="C1169">
        <v>0.6</v>
      </c>
      <c r="D1169">
        <v>1250</v>
      </c>
      <c r="E1169">
        <v>2500</v>
      </c>
      <c r="F1169">
        <v>3</v>
      </c>
      <c r="G1169">
        <v>3</v>
      </c>
      <c r="H1169" t="s">
        <v>1208</v>
      </c>
      <c r="I1169" s="1">
        <v>37159</v>
      </c>
      <c r="J1169" s="1">
        <v>37320</v>
      </c>
      <c r="K1169" s="1">
        <v>37352</v>
      </c>
      <c r="L1169" s="1">
        <v>37352</v>
      </c>
      <c r="M1169" s="1">
        <v>37351</v>
      </c>
      <c r="N1169" s="1">
        <v>37352</v>
      </c>
      <c r="O1169" t="s">
        <v>1117</v>
      </c>
      <c r="P1169">
        <v>1</v>
      </c>
      <c r="Q1169" t="s">
        <v>1215</v>
      </c>
      <c r="R1169">
        <f t="shared" si="37"/>
        <v>14</v>
      </c>
      <c r="S1169">
        <f t="shared" si="38"/>
        <v>1</v>
      </c>
    </row>
    <row r="1170" spans="1:19" x14ac:dyDescent="0.25">
      <c r="A1170" t="s">
        <v>2291</v>
      </c>
      <c r="B1170" t="s">
        <v>4026</v>
      </c>
      <c r="C1170">
        <v>0.6</v>
      </c>
      <c r="D1170">
        <v>1250</v>
      </c>
      <c r="E1170">
        <v>2500</v>
      </c>
      <c r="F1170">
        <v>6</v>
      </c>
      <c r="G1170">
        <v>6</v>
      </c>
      <c r="H1170" t="s">
        <v>1208</v>
      </c>
      <c r="I1170" s="1">
        <v>37119</v>
      </c>
      <c r="J1170" s="1">
        <v>37322</v>
      </c>
      <c r="K1170" s="1">
        <v>37352</v>
      </c>
      <c r="L1170" s="1">
        <v>37352</v>
      </c>
      <c r="M1170" s="1">
        <v>37351</v>
      </c>
      <c r="N1170" s="1">
        <v>37352</v>
      </c>
      <c r="O1170" t="s">
        <v>1117</v>
      </c>
      <c r="P1170">
        <v>1</v>
      </c>
      <c r="Q1170" t="s">
        <v>1215</v>
      </c>
      <c r="R1170">
        <f t="shared" si="37"/>
        <v>14</v>
      </c>
      <c r="S1170">
        <f t="shared" si="38"/>
        <v>1</v>
      </c>
    </row>
    <row r="1171" spans="1:19" x14ac:dyDescent="0.25">
      <c r="A1171" t="s">
        <v>2292</v>
      </c>
      <c r="B1171" t="s">
        <v>3601</v>
      </c>
      <c r="C1171">
        <v>0.5</v>
      </c>
      <c r="D1171">
        <v>350</v>
      </c>
      <c r="E1171">
        <v>1614</v>
      </c>
      <c r="F1171">
        <v>40</v>
      </c>
      <c r="G1171">
        <v>40</v>
      </c>
      <c r="H1171" t="s">
        <v>1208</v>
      </c>
      <c r="I1171" s="1">
        <v>37159</v>
      </c>
      <c r="J1171" s="1">
        <v>37317</v>
      </c>
      <c r="K1171" s="1">
        <v>37358</v>
      </c>
      <c r="L1171" s="1">
        <v>37358</v>
      </c>
      <c r="M1171" s="1">
        <v>37351</v>
      </c>
      <c r="N1171" s="1">
        <v>37351</v>
      </c>
      <c r="O1171" t="s">
        <v>1117</v>
      </c>
      <c r="P1171">
        <v>3</v>
      </c>
      <c r="Q1171" t="s">
        <v>1215</v>
      </c>
      <c r="R1171">
        <f t="shared" si="37"/>
        <v>14</v>
      </c>
      <c r="S1171">
        <f t="shared" si="38"/>
        <v>1</v>
      </c>
    </row>
    <row r="1172" spans="1:19" x14ac:dyDescent="0.25">
      <c r="A1172" t="s">
        <v>2293</v>
      </c>
      <c r="B1172" t="s">
        <v>1199</v>
      </c>
      <c r="C1172">
        <v>0.9</v>
      </c>
      <c r="D1172">
        <v>1250</v>
      </c>
      <c r="E1172">
        <v>2500</v>
      </c>
      <c r="F1172">
        <v>3</v>
      </c>
      <c r="G1172">
        <v>3</v>
      </c>
      <c r="H1172" t="s">
        <v>1208</v>
      </c>
      <c r="I1172" s="1">
        <v>37124</v>
      </c>
      <c r="J1172" s="1">
        <v>37322</v>
      </c>
      <c r="K1172" s="1">
        <v>37361</v>
      </c>
      <c r="L1172" s="1">
        <v>37361</v>
      </c>
      <c r="M1172" s="1">
        <v>37354</v>
      </c>
      <c r="N1172" s="1">
        <v>37354</v>
      </c>
      <c r="O1172" t="s">
        <v>1117</v>
      </c>
      <c r="P1172">
        <v>4</v>
      </c>
      <c r="Q1172" t="s">
        <v>1215</v>
      </c>
      <c r="R1172">
        <f t="shared" si="37"/>
        <v>15</v>
      </c>
      <c r="S1172">
        <f t="shared" si="38"/>
        <v>1</v>
      </c>
    </row>
    <row r="1173" spans="1:19" x14ac:dyDescent="0.25">
      <c r="A1173" t="s">
        <v>2294</v>
      </c>
      <c r="B1173" t="s">
        <v>1199</v>
      </c>
      <c r="C1173">
        <v>0.5</v>
      </c>
      <c r="D1173">
        <v>350</v>
      </c>
      <c r="E1173">
        <v>1614</v>
      </c>
      <c r="F1173">
        <v>50</v>
      </c>
      <c r="G1173">
        <v>50</v>
      </c>
      <c r="H1173" t="s">
        <v>1208</v>
      </c>
      <c r="I1173" s="1">
        <v>37132</v>
      </c>
      <c r="J1173" s="1">
        <v>37326</v>
      </c>
      <c r="K1173" s="1">
        <v>37351</v>
      </c>
      <c r="L1173" s="1">
        <v>37351</v>
      </c>
      <c r="M1173" s="1">
        <v>37351</v>
      </c>
      <c r="N1173" s="1">
        <v>37351</v>
      </c>
      <c r="O1173" t="s">
        <v>1117</v>
      </c>
      <c r="P1173">
        <v>1</v>
      </c>
      <c r="Q1173" t="s">
        <v>1215</v>
      </c>
      <c r="R1173">
        <f t="shared" si="37"/>
        <v>14</v>
      </c>
      <c r="S1173">
        <f t="shared" si="38"/>
        <v>1</v>
      </c>
    </row>
    <row r="1174" spans="1:19" x14ac:dyDescent="0.25">
      <c r="A1174" t="s">
        <v>2295</v>
      </c>
      <c r="B1174" t="s">
        <v>4028</v>
      </c>
      <c r="C1174">
        <v>0.5</v>
      </c>
      <c r="D1174">
        <v>1250</v>
      </c>
      <c r="E1174">
        <v>2500</v>
      </c>
      <c r="F1174">
        <v>6</v>
      </c>
      <c r="G1174">
        <v>6</v>
      </c>
      <c r="H1174" t="s">
        <v>1208</v>
      </c>
      <c r="I1174" s="1">
        <v>37114</v>
      </c>
      <c r="J1174" s="1">
        <v>37321</v>
      </c>
      <c r="K1174" s="1">
        <v>37352</v>
      </c>
      <c r="L1174" s="1">
        <v>37352</v>
      </c>
      <c r="M1174" s="1">
        <v>37351</v>
      </c>
      <c r="N1174" s="1">
        <v>37351</v>
      </c>
      <c r="O1174" t="s">
        <v>1117</v>
      </c>
      <c r="P1174">
        <v>2</v>
      </c>
      <c r="Q1174" t="s">
        <v>1215</v>
      </c>
      <c r="R1174">
        <f t="shared" si="37"/>
        <v>14</v>
      </c>
      <c r="S1174">
        <f t="shared" si="38"/>
        <v>1</v>
      </c>
    </row>
    <row r="1175" spans="1:19" x14ac:dyDescent="0.25">
      <c r="A1175" t="s">
        <v>2296</v>
      </c>
      <c r="B1175" t="s">
        <v>1199</v>
      </c>
      <c r="C1175">
        <v>0.5</v>
      </c>
      <c r="D1175">
        <v>1000</v>
      </c>
      <c r="E1175">
        <v>1013</v>
      </c>
      <c r="F1175">
        <v>20</v>
      </c>
      <c r="G1175">
        <v>20</v>
      </c>
      <c r="H1175" t="s">
        <v>1208</v>
      </c>
      <c r="I1175" s="1">
        <v>37159</v>
      </c>
      <c r="J1175" s="1">
        <v>37314</v>
      </c>
      <c r="K1175" s="1">
        <v>37325</v>
      </c>
      <c r="L1175" s="1">
        <v>37325</v>
      </c>
      <c r="M1175" s="1">
        <v>37328</v>
      </c>
      <c r="N1175" s="1">
        <v>37328</v>
      </c>
      <c r="O1175" t="s">
        <v>1117</v>
      </c>
      <c r="P1175">
        <v>1</v>
      </c>
      <c r="Q1175" t="s">
        <v>1215</v>
      </c>
      <c r="R1175">
        <f t="shared" si="37"/>
        <v>11</v>
      </c>
      <c r="S1175">
        <f t="shared" si="38"/>
        <v>1</v>
      </c>
    </row>
    <row r="1176" spans="1:19" x14ac:dyDescent="0.25">
      <c r="A1176" t="s">
        <v>2297</v>
      </c>
      <c r="B1176" t="s">
        <v>1199</v>
      </c>
      <c r="C1176">
        <v>0.5</v>
      </c>
      <c r="D1176">
        <v>1000</v>
      </c>
      <c r="E1176">
        <v>1977</v>
      </c>
      <c r="F1176">
        <v>20</v>
      </c>
      <c r="G1176">
        <v>20</v>
      </c>
      <c r="H1176" t="s">
        <v>1208</v>
      </c>
      <c r="I1176" s="1">
        <v>37159</v>
      </c>
      <c r="J1176" s="1">
        <v>37325</v>
      </c>
      <c r="K1176" s="1">
        <v>37326</v>
      </c>
      <c r="L1176" s="1">
        <v>37326</v>
      </c>
      <c r="M1176" s="1">
        <v>37329</v>
      </c>
      <c r="N1176" s="1">
        <v>37329</v>
      </c>
      <c r="O1176" t="s">
        <v>1117</v>
      </c>
      <c r="P1176">
        <v>2</v>
      </c>
      <c r="Q1176" t="s">
        <v>1215</v>
      </c>
      <c r="R1176">
        <f t="shared" si="37"/>
        <v>11</v>
      </c>
      <c r="S1176">
        <f t="shared" si="38"/>
        <v>1</v>
      </c>
    </row>
    <row r="1177" spans="1:19" x14ac:dyDescent="0.25">
      <c r="A1177" t="s">
        <v>2298</v>
      </c>
      <c r="B1177" t="s">
        <v>4027</v>
      </c>
      <c r="C1177">
        <v>0.5</v>
      </c>
      <c r="D1177">
        <v>560</v>
      </c>
      <c r="E1177">
        <v>559</v>
      </c>
      <c r="F1177">
        <v>35</v>
      </c>
      <c r="G1177">
        <v>35</v>
      </c>
      <c r="H1177" t="s">
        <v>1208</v>
      </c>
      <c r="I1177" s="1">
        <v>37110</v>
      </c>
      <c r="J1177" s="1">
        <v>37316</v>
      </c>
      <c r="K1177" s="1">
        <v>37344</v>
      </c>
      <c r="L1177" s="1">
        <v>37344</v>
      </c>
      <c r="M1177" s="1">
        <v>37344</v>
      </c>
      <c r="N1177" s="1">
        <v>37344</v>
      </c>
      <c r="O1177" t="s">
        <v>1117</v>
      </c>
      <c r="P1177">
        <v>3</v>
      </c>
      <c r="Q1177" t="s">
        <v>1215</v>
      </c>
      <c r="R1177">
        <f t="shared" si="37"/>
        <v>13</v>
      </c>
      <c r="S1177">
        <f t="shared" si="38"/>
        <v>1</v>
      </c>
    </row>
    <row r="1178" spans="1:19" x14ac:dyDescent="0.25">
      <c r="A1178" t="s">
        <v>2299</v>
      </c>
      <c r="B1178" t="s">
        <v>1199</v>
      </c>
      <c r="C1178">
        <v>1.2</v>
      </c>
      <c r="D1178">
        <v>1250</v>
      </c>
      <c r="E1178">
        <v>3048</v>
      </c>
      <c r="F1178">
        <v>100</v>
      </c>
      <c r="G1178">
        <v>100</v>
      </c>
      <c r="H1178" t="s">
        <v>1208</v>
      </c>
      <c r="I1178" s="1">
        <v>37368</v>
      </c>
      <c r="J1178" s="1">
        <v>37383</v>
      </c>
      <c r="K1178" t="s">
        <v>1124</v>
      </c>
      <c r="L1178" t="s">
        <v>1124</v>
      </c>
      <c r="M1178" t="s">
        <v>1124</v>
      </c>
      <c r="N1178" s="1">
        <v>37351</v>
      </c>
      <c r="O1178" t="s">
        <v>1117</v>
      </c>
      <c r="P1178">
        <v>2</v>
      </c>
      <c r="Q1178" t="s">
        <v>1215</v>
      </c>
      <c r="R1178">
        <f t="shared" si="37"/>
        <v>14</v>
      </c>
      <c r="S1178">
        <f t="shared" si="38"/>
        <v>0</v>
      </c>
    </row>
    <row r="1179" spans="1:19" x14ac:dyDescent="0.25">
      <c r="A1179" t="s">
        <v>2300</v>
      </c>
      <c r="B1179" t="s">
        <v>1199</v>
      </c>
      <c r="C1179">
        <v>1.2</v>
      </c>
      <c r="D1179">
        <v>1250</v>
      </c>
      <c r="E1179">
        <v>2300</v>
      </c>
      <c r="F1179">
        <v>46</v>
      </c>
      <c r="G1179">
        <v>46</v>
      </c>
      <c r="H1179" t="s">
        <v>1208</v>
      </c>
      <c r="I1179" s="1">
        <v>37159</v>
      </c>
      <c r="J1179" s="1">
        <v>37312</v>
      </c>
      <c r="K1179" s="1">
        <v>37340</v>
      </c>
      <c r="L1179" s="1">
        <v>37340</v>
      </c>
      <c r="M1179" s="1">
        <v>37340</v>
      </c>
      <c r="N1179" s="1">
        <v>37340</v>
      </c>
      <c r="O1179" t="s">
        <v>1117</v>
      </c>
      <c r="P1179">
        <v>1</v>
      </c>
      <c r="Q1179" t="s">
        <v>1215</v>
      </c>
      <c r="R1179">
        <f t="shared" si="37"/>
        <v>13</v>
      </c>
      <c r="S1179">
        <f t="shared" si="38"/>
        <v>1</v>
      </c>
    </row>
    <row r="1180" spans="1:19" x14ac:dyDescent="0.25">
      <c r="A1180" t="s">
        <v>2301</v>
      </c>
      <c r="B1180" t="s">
        <v>4028</v>
      </c>
      <c r="C1180">
        <v>0.8</v>
      </c>
      <c r="D1180">
        <v>1250</v>
      </c>
      <c r="E1180">
        <v>2500</v>
      </c>
      <c r="F1180">
        <v>3</v>
      </c>
      <c r="G1180">
        <v>3</v>
      </c>
      <c r="H1180" t="s">
        <v>1208</v>
      </c>
      <c r="I1180" s="1">
        <v>37126</v>
      </c>
      <c r="J1180" s="1">
        <v>37322</v>
      </c>
      <c r="K1180" s="1">
        <v>37352</v>
      </c>
      <c r="L1180" s="1">
        <v>37352</v>
      </c>
      <c r="M1180" s="1">
        <v>37351</v>
      </c>
      <c r="N1180" s="1">
        <v>37357</v>
      </c>
      <c r="O1180" t="s">
        <v>1117</v>
      </c>
      <c r="P1180">
        <v>1</v>
      </c>
      <c r="Q1180" t="s">
        <v>1215</v>
      </c>
      <c r="R1180">
        <f t="shared" si="37"/>
        <v>15</v>
      </c>
      <c r="S1180">
        <f t="shared" si="38"/>
        <v>1</v>
      </c>
    </row>
    <row r="1181" spans="1:19" x14ac:dyDescent="0.25">
      <c r="A1181" t="s">
        <v>2302</v>
      </c>
      <c r="B1181" t="s">
        <v>1199</v>
      </c>
      <c r="C1181">
        <v>0.5</v>
      </c>
      <c r="D1181">
        <v>1250</v>
      </c>
      <c r="E1181">
        <v>2500</v>
      </c>
      <c r="F1181">
        <v>3</v>
      </c>
      <c r="G1181">
        <v>3</v>
      </c>
      <c r="H1181" t="s">
        <v>1208</v>
      </c>
      <c r="I1181" s="1">
        <v>37126</v>
      </c>
      <c r="J1181" s="1">
        <v>37322</v>
      </c>
      <c r="K1181" s="1">
        <v>37352</v>
      </c>
      <c r="L1181" s="1">
        <v>37352</v>
      </c>
      <c r="M1181" s="1">
        <v>37351</v>
      </c>
      <c r="N1181" s="1">
        <v>37351</v>
      </c>
      <c r="O1181" t="s">
        <v>1117</v>
      </c>
      <c r="P1181">
        <v>1</v>
      </c>
      <c r="Q1181" t="s">
        <v>1215</v>
      </c>
      <c r="R1181">
        <f t="shared" si="37"/>
        <v>14</v>
      </c>
      <c r="S1181">
        <f t="shared" si="38"/>
        <v>1</v>
      </c>
    </row>
    <row r="1182" spans="1:19" x14ac:dyDescent="0.25">
      <c r="A1182" t="s">
        <v>2303</v>
      </c>
      <c r="B1182" t="s">
        <v>1199</v>
      </c>
      <c r="C1182">
        <v>1.6</v>
      </c>
      <c r="D1182">
        <v>1250</v>
      </c>
      <c r="E1182">
        <v>2300</v>
      </c>
      <c r="F1182">
        <v>5</v>
      </c>
      <c r="G1182">
        <v>5</v>
      </c>
      <c r="H1182" t="s">
        <v>1208</v>
      </c>
      <c r="I1182" s="1">
        <v>37159</v>
      </c>
      <c r="J1182" s="1">
        <v>37336</v>
      </c>
      <c r="K1182" t="s">
        <v>1124</v>
      </c>
      <c r="L1182" t="s">
        <v>1124</v>
      </c>
      <c r="M1182" s="1">
        <v>37352</v>
      </c>
      <c r="N1182" s="1">
        <v>37352</v>
      </c>
      <c r="O1182" t="s">
        <v>1117</v>
      </c>
      <c r="P1182">
        <v>3</v>
      </c>
      <c r="Q1182" t="s">
        <v>1215</v>
      </c>
      <c r="R1182">
        <f t="shared" si="37"/>
        <v>14</v>
      </c>
      <c r="S1182">
        <f t="shared" si="38"/>
        <v>1</v>
      </c>
    </row>
    <row r="1183" spans="1:19" x14ac:dyDescent="0.25">
      <c r="A1183" t="s">
        <v>2304</v>
      </c>
      <c r="B1183" t="s">
        <v>1199</v>
      </c>
      <c r="C1183">
        <v>3</v>
      </c>
      <c r="D1183">
        <v>1250</v>
      </c>
      <c r="E1183">
        <v>3000</v>
      </c>
      <c r="F1183">
        <v>15</v>
      </c>
      <c r="G1183">
        <v>15</v>
      </c>
      <c r="H1183" t="s">
        <v>1208</v>
      </c>
      <c r="I1183" s="1">
        <v>37159</v>
      </c>
      <c r="J1183" s="1">
        <v>37314</v>
      </c>
      <c r="K1183" s="1">
        <v>37327</v>
      </c>
      <c r="L1183" s="1">
        <v>37327</v>
      </c>
      <c r="M1183" s="1">
        <v>37328</v>
      </c>
      <c r="N1183" s="1">
        <v>37328</v>
      </c>
      <c r="O1183" t="s">
        <v>1117</v>
      </c>
      <c r="P1183">
        <v>3</v>
      </c>
      <c r="Q1183" t="s">
        <v>1215</v>
      </c>
      <c r="R1183">
        <f t="shared" si="37"/>
        <v>11</v>
      </c>
      <c r="S1183">
        <f t="shared" si="38"/>
        <v>1</v>
      </c>
    </row>
    <row r="1184" spans="1:19" x14ac:dyDescent="0.25">
      <c r="A1184" t="s">
        <v>2305</v>
      </c>
      <c r="B1184" t="s">
        <v>1199</v>
      </c>
      <c r="C1184">
        <v>0.7</v>
      </c>
      <c r="D1184">
        <v>1250</v>
      </c>
      <c r="E1184">
        <v>2500</v>
      </c>
      <c r="F1184">
        <v>3</v>
      </c>
      <c r="G1184">
        <v>3</v>
      </c>
      <c r="H1184" t="s">
        <v>1208</v>
      </c>
      <c r="I1184" s="1">
        <v>37159</v>
      </c>
      <c r="J1184" s="1">
        <v>37319</v>
      </c>
      <c r="K1184" s="1">
        <v>37372</v>
      </c>
      <c r="L1184" s="1">
        <v>37372</v>
      </c>
      <c r="M1184" s="1">
        <v>37365</v>
      </c>
      <c r="N1184" s="1">
        <v>37365</v>
      </c>
      <c r="O1184" t="s">
        <v>1117</v>
      </c>
      <c r="P1184">
        <v>1</v>
      </c>
      <c r="Q1184" t="s">
        <v>1215</v>
      </c>
      <c r="R1184">
        <f t="shared" si="37"/>
        <v>16</v>
      </c>
      <c r="S1184">
        <f t="shared" si="38"/>
        <v>1</v>
      </c>
    </row>
    <row r="1185" spans="1:19" x14ac:dyDescent="0.25">
      <c r="A1185" t="s">
        <v>2306</v>
      </c>
      <c r="B1185" t="s">
        <v>1199</v>
      </c>
      <c r="C1185">
        <v>0.6</v>
      </c>
      <c r="D1185">
        <v>1250</v>
      </c>
      <c r="E1185">
        <v>2500</v>
      </c>
      <c r="F1185">
        <v>2.5</v>
      </c>
      <c r="G1185">
        <v>2.5</v>
      </c>
      <c r="H1185" t="s">
        <v>1208</v>
      </c>
      <c r="I1185" s="1">
        <v>37159</v>
      </c>
      <c r="J1185" s="1">
        <v>37325</v>
      </c>
      <c r="K1185" s="1">
        <v>37352</v>
      </c>
      <c r="L1185" s="1">
        <v>37352</v>
      </c>
      <c r="M1185" s="1">
        <v>37351</v>
      </c>
      <c r="N1185" s="1">
        <v>37352</v>
      </c>
      <c r="O1185" t="s">
        <v>1117</v>
      </c>
      <c r="P1185">
        <v>1</v>
      </c>
      <c r="Q1185" t="s">
        <v>1215</v>
      </c>
      <c r="R1185">
        <f t="shared" si="37"/>
        <v>14</v>
      </c>
      <c r="S1185">
        <f t="shared" si="38"/>
        <v>1</v>
      </c>
    </row>
    <row r="1186" spans="1:19" x14ac:dyDescent="0.25">
      <c r="A1186" t="s">
        <v>2307</v>
      </c>
      <c r="B1186" t="s">
        <v>1199</v>
      </c>
      <c r="C1186">
        <v>0.6</v>
      </c>
      <c r="D1186">
        <v>1250</v>
      </c>
      <c r="E1186">
        <v>2500</v>
      </c>
      <c r="F1186">
        <v>12</v>
      </c>
      <c r="G1186">
        <v>12</v>
      </c>
      <c r="H1186" t="s">
        <v>1208</v>
      </c>
      <c r="I1186" s="1">
        <v>37159</v>
      </c>
      <c r="J1186" s="1">
        <v>37323</v>
      </c>
      <c r="K1186" s="1">
        <v>37352</v>
      </c>
      <c r="L1186" s="1">
        <v>37352</v>
      </c>
      <c r="M1186" s="1">
        <v>37351</v>
      </c>
      <c r="N1186" s="1">
        <v>37352</v>
      </c>
      <c r="O1186" t="s">
        <v>1117</v>
      </c>
      <c r="P1186">
        <v>2</v>
      </c>
      <c r="Q1186" t="s">
        <v>1215</v>
      </c>
      <c r="R1186">
        <f t="shared" si="37"/>
        <v>14</v>
      </c>
      <c r="S1186">
        <f t="shared" si="38"/>
        <v>1</v>
      </c>
    </row>
    <row r="1187" spans="1:19" x14ac:dyDescent="0.25">
      <c r="A1187" t="s">
        <v>2308</v>
      </c>
      <c r="B1187" t="s">
        <v>4028</v>
      </c>
      <c r="C1187">
        <v>0.6</v>
      </c>
      <c r="D1187">
        <v>1250</v>
      </c>
      <c r="E1187">
        <v>2500</v>
      </c>
      <c r="F1187">
        <v>6</v>
      </c>
      <c r="G1187">
        <v>6</v>
      </c>
      <c r="H1187" t="s">
        <v>1208</v>
      </c>
      <c r="I1187" s="1">
        <v>37159</v>
      </c>
      <c r="J1187" s="1">
        <v>37319</v>
      </c>
      <c r="K1187" s="1">
        <v>37352</v>
      </c>
      <c r="L1187" s="1">
        <v>37352</v>
      </c>
      <c r="M1187" s="1">
        <v>37351</v>
      </c>
      <c r="N1187" s="1">
        <v>37352</v>
      </c>
      <c r="O1187" t="s">
        <v>1117</v>
      </c>
      <c r="P1187">
        <v>2</v>
      </c>
      <c r="Q1187" t="s">
        <v>1215</v>
      </c>
      <c r="R1187">
        <f t="shared" si="37"/>
        <v>14</v>
      </c>
      <c r="S1187">
        <f t="shared" si="38"/>
        <v>1</v>
      </c>
    </row>
    <row r="1188" spans="1:19" x14ac:dyDescent="0.25">
      <c r="A1188" t="s">
        <v>2309</v>
      </c>
      <c r="B1188" t="s">
        <v>1199</v>
      </c>
      <c r="C1188">
        <v>0.5</v>
      </c>
      <c r="D1188">
        <v>1250</v>
      </c>
      <c r="E1188">
        <v>2500</v>
      </c>
      <c r="F1188">
        <v>12</v>
      </c>
      <c r="G1188">
        <v>12</v>
      </c>
      <c r="H1188" t="s">
        <v>1208</v>
      </c>
      <c r="I1188" s="1">
        <v>37159</v>
      </c>
      <c r="J1188" s="1">
        <v>37323</v>
      </c>
      <c r="K1188" s="1">
        <v>37352</v>
      </c>
      <c r="L1188" s="1">
        <v>37352</v>
      </c>
      <c r="M1188" s="1">
        <v>37351</v>
      </c>
      <c r="N1188" s="1">
        <v>37351</v>
      </c>
      <c r="O1188" t="s">
        <v>1117</v>
      </c>
      <c r="P1188">
        <v>1</v>
      </c>
      <c r="Q1188" t="s">
        <v>1215</v>
      </c>
      <c r="R1188">
        <f t="shared" si="37"/>
        <v>14</v>
      </c>
      <c r="S1188">
        <f t="shared" si="38"/>
        <v>1</v>
      </c>
    </row>
    <row r="1189" spans="1:19" x14ac:dyDescent="0.25">
      <c r="A1189" t="s">
        <v>2310</v>
      </c>
      <c r="B1189" t="s">
        <v>4028</v>
      </c>
      <c r="C1189">
        <v>0.7</v>
      </c>
      <c r="D1189">
        <v>1250</v>
      </c>
      <c r="E1189">
        <v>2500</v>
      </c>
      <c r="F1189">
        <v>3</v>
      </c>
      <c r="G1189">
        <v>3</v>
      </c>
      <c r="H1189" t="s">
        <v>1208</v>
      </c>
      <c r="I1189" s="1">
        <v>37159</v>
      </c>
      <c r="J1189" s="1">
        <v>37325</v>
      </c>
      <c r="K1189" s="1">
        <v>37372</v>
      </c>
      <c r="L1189" s="1">
        <v>37372</v>
      </c>
      <c r="M1189" s="1">
        <v>37365</v>
      </c>
      <c r="N1189" s="1">
        <v>37365</v>
      </c>
      <c r="O1189" t="s">
        <v>1117</v>
      </c>
      <c r="P1189">
        <v>1</v>
      </c>
      <c r="Q1189" t="s">
        <v>1215</v>
      </c>
      <c r="R1189">
        <f t="shared" si="37"/>
        <v>16</v>
      </c>
      <c r="S1189">
        <f t="shared" si="38"/>
        <v>1</v>
      </c>
    </row>
    <row r="1190" spans="1:19" x14ac:dyDescent="0.25">
      <c r="A1190" t="s">
        <v>2311</v>
      </c>
      <c r="B1190" t="s">
        <v>4028</v>
      </c>
      <c r="C1190">
        <v>1.2</v>
      </c>
      <c r="D1190">
        <v>1000</v>
      </c>
      <c r="E1190">
        <v>2500</v>
      </c>
      <c r="F1190">
        <v>3</v>
      </c>
      <c r="G1190">
        <v>3</v>
      </c>
      <c r="H1190" t="s">
        <v>1208</v>
      </c>
      <c r="I1190" s="1">
        <v>37133</v>
      </c>
      <c r="J1190" s="1">
        <v>37323</v>
      </c>
      <c r="K1190" s="1">
        <v>37346</v>
      </c>
      <c r="L1190" s="1">
        <v>37346</v>
      </c>
      <c r="M1190" s="1">
        <v>37346</v>
      </c>
      <c r="N1190" s="1">
        <v>37346</v>
      </c>
      <c r="O1190" t="s">
        <v>1117</v>
      </c>
      <c r="P1190">
        <v>2</v>
      </c>
      <c r="Q1190" t="s">
        <v>1215</v>
      </c>
      <c r="R1190">
        <f t="shared" si="37"/>
        <v>14</v>
      </c>
      <c r="S1190">
        <f t="shared" si="38"/>
        <v>1</v>
      </c>
    </row>
    <row r="1191" spans="1:19" x14ac:dyDescent="0.25">
      <c r="A1191" t="s">
        <v>2312</v>
      </c>
      <c r="B1191" t="s">
        <v>1199</v>
      </c>
      <c r="C1191">
        <v>0.4</v>
      </c>
      <c r="D1191">
        <v>360</v>
      </c>
      <c r="E1191">
        <v>1265</v>
      </c>
      <c r="F1191">
        <v>20</v>
      </c>
      <c r="G1191">
        <v>20</v>
      </c>
      <c r="H1191" t="s">
        <v>1208</v>
      </c>
      <c r="I1191" s="1">
        <v>37159</v>
      </c>
      <c r="J1191" s="1">
        <v>37317</v>
      </c>
      <c r="K1191" s="1">
        <v>37324</v>
      </c>
      <c r="L1191" s="1">
        <v>37324</v>
      </c>
      <c r="M1191" s="1">
        <v>37325</v>
      </c>
      <c r="N1191" s="1">
        <v>37325</v>
      </c>
      <c r="O1191" t="s">
        <v>1117</v>
      </c>
      <c r="P1191">
        <v>3</v>
      </c>
      <c r="Q1191" t="s">
        <v>1215</v>
      </c>
      <c r="R1191">
        <f t="shared" si="37"/>
        <v>11</v>
      </c>
      <c r="S1191">
        <f t="shared" si="38"/>
        <v>1</v>
      </c>
    </row>
    <row r="1192" spans="1:19" x14ac:dyDescent="0.25">
      <c r="A1192" t="s">
        <v>2313</v>
      </c>
      <c r="B1192" t="s">
        <v>4028</v>
      </c>
      <c r="C1192">
        <v>2</v>
      </c>
      <c r="D1192">
        <v>1250</v>
      </c>
      <c r="E1192">
        <v>2500</v>
      </c>
      <c r="F1192">
        <v>6</v>
      </c>
      <c r="G1192">
        <v>6</v>
      </c>
      <c r="H1192" t="s">
        <v>1208</v>
      </c>
      <c r="I1192" s="1">
        <v>37159</v>
      </c>
      <c r="J1192" s="1">
        <v>37319</v>
      </c>
      <c r="K1192" s="1">
        <v>37345</v>
      </c>
      <c r="L1192" s="1">
        <v>37345</v>
      </c>
      <c r="M1192" s="1">
        <v>37344</v>
      </c>
      <c r="N1192" s="1">
        <v>37344</v>
      </c>
      <c r="O1192" t="s">
        <v>1117</v>
      </c>
      <c r="P1192">
        <v>5</v>
      </c>
      <c r="Q1192" t="s">
        <v>1215</v>
      </c>
      <c r="R1192">
        <f t="shared" si="37"/>
        <v>13</v>
      </c>
      <c r="S1192">
        <f t="shared" si="38"/>
        <v>1</v>
      </c>
    </row>
    <row r="1193" spans="1:19" x14ac:dyDescent="0.25">
      <c r="A1193" t="s">
        <v>2314</v>
      </c>
      <c r="B1193" t="s">
        <v>1199</v>
      </c>
      <c r="C1193">
        <v>0.8</v>
      </c>
      <c r="D1193">
        <v>1250</v>
      </c>
      <c r="E1193">
        <v>2500</v>
      </c>
      <c r="F1193">
        <v>3</v>
      </c>
      <c r="G1193">
        <v>3</v>
      </c>
      <c r="H1193" t="s">
        <v>1208</v>
      </c>
      <c r="I1193" s="1">
        <v>37159</v>
      </c>
      <c r="J1193" s="1">
        <v>37325</v>
      </c>
      <c r="K1193" s="1">
        <v>37352</v>
      </c>
      <c r="L1193" s="1">
        <v>37352</v>
      </c>
      <c r="M1193" s="1">
        <v>37357</v>
      </c>
      <c r="N1193" s="1">
        <v>37357</v>
      </c>
      <c r="O1193" t="s">
        <v>1117</v>
      </c>
      <c r="P1193">
        <v>6</v>
      </c>
      <c r="Q1193" t="s">
        <v>1215</v>
      </c>
      <c r="R1193">
        <f t="shared" si="37"/>
        <v>15</v>
      </c>
      <c r="S1193">
        <f t="shared" si="38"/>
        <v>1</v>
      </c>
    </row>
    <row r="1194" spans="1:19" x14ac:dyDescent="0.25">
      <c r="A1194" t="s">
        <v>2315</v>
      </c>
      <c r="B1194" t="s">
        <v>4026</v>
      </c>
      <c r="C1194">
        <v>0.4</v>
      </c>
      <c r="D1194">
        <v>387.2</v>
      </c>
      <c r="E1194">
        <v>1542.8</v>
      </c>
      <c r="F1194">
        <v>15</v>
      </c>
      <c r="G1194">
        <v>9.6069999999999993</v>
      </c>
      <c r="H1194" t="s">
        <v>1208</v>
      </c>
      <c r="I1194" s="1">
        <v>37159</v>
      </c>
      <c r="J1194" s="1">
        <v>37325</v>
      </c>
      <c r="K1194" s="1">
        <v>37339</v>
      </c>
      <c r="L1194" s="1">
        <v>37339</v>
      </c>
      <c r="M1194" s="1">
        <v>37331</v>
      </c>
      <c r="N1194" s="1">
        <v>37331</v>
      </c>
      <c r="O1194" t="s">
        <v>1117</v>
      </c>
      <c r="P1194">
        <v>1</v>
      </c>
      <c r="Q1194" t="s">
        <v>1215</v>
      </c>
      <c r="R1194">
        <f t="shared" si="37"/>
        <v>11</v>
      </c>
      <c r="S1194">
        <f t="shared" si="38"/>
        <v>0</v>
      </c>
    </row>
    <row r="1195" spans="1:19" x14ac:dyDescent="0.25">
      <c r="A1195" t="s">
        <v>2316</v>
      </c>
      <c r="B1195" t="s">
        <v>4026</v>
      </c>
      <c r="C1195">
        <v>0.4</v>
      </c>
      <c r="D1195">
        <v>363</v>
      </c>
      <c r="E1195">
        <v>1366</v>
      </c>
      <c r="F1195">
        <v>25</v>
      </c>
      <c r="G1195">
        <v>25</v>
      </c>
      <c r="H1195" t="s">
        <v>1208</v>
      </c>
      <c r="I1195" s="1">
        <v>37159</v>
      </c>
      <c r="J1195" s="1">
        <v>37317</v>
      </c>
      <c r="K1195" s="1">
        <v>37328</v>
      </c>
      <c r="L1195" s="1">
        <v>37328</v>
      </c>
      <c r="M1195" s="1">
        <v>37326</v>
      </c>
      <c r="N1195" s="1">
        <v>37326</v>
      </c>
      <c r="O1195" t="s">
        <v>1117</v>
      </c>
      <c r="P1195">
        <v>2</v>
      </c>
      <c r="Q1195" t="s">
        <v>1215</v>
      </c>
      <c r="R1195">
        <f t="shared" si="37"/>
        <v>11</v>
      </c>
      <c r="S1195">
        <f t="shared" si="38"/>
        <v>1</v>
      </c>
    </row>
    <row r="1196" spans="1:19" x14ac:dyDescent="0.25">
      <c r="A1196" t="s">
        <v>2317</v>
      </c>
      <c r="B1196" t="s">
        <v>4028</v>
      </c>
      <c r="C1196">
        <v>3</v>
      </c>
      <c r="D1196">
        <v>1250</v>
      </c>
      <c r="E1196">
        <v>2500</v>
      </c>
      <c r="F1196">
        <v>12</v>
      </c>
      <c r="G1196">
        <v>12</v>
      </c>
      <c r="H1196" t="s">
        <v>1208</v>
      </c>
      <c r="I1196" s="1">
        <v>37120</v>
      </c>
      <c r="J1196" s="1">
        <v>37322</v>
      </c>
      <c r="K1196" s="1">
        <v>37354</v>
      </c>
      <c r="L1196" s="1">
        <v>37354</v>
      </c>
      <c r="M1196" s="1">
        <v>37345</v>
      </c>
      <c r="N1196" s="1">
        <v>37345</v>
      </c>
      <c r="O1196" t="s">
        <v>1117</v>
      </c>
      <c r="P1196">
        <v>3</v>
      </c>
      <c r="Q1196" t="s">
        <v>1215</v>
      </c>
      <c r="R1196">
        <f t="shared" si="37"/>
        <v>13</v>
      </c>
      <c r="S1196">
        <f t="shared" si="38"/>
        <v>1</v>
      </c>
    </row>
    <row r="1197" spans="1:19" x14ac:dyDescent="0.25">
      <c r="A1197" t="s">
        <v>2318</v>
      </c>
      <c r="B1197" t="s">
        <v>4027</v>
      </c>
      <c r="C1197">
        <v>2.5</v>
      </c>
      <c r="D1197">
        <v>1250</v>
      </c>
      <c r="E1197">
        <v>2500</v>
      </c>
      <c r="F1197">
        <v>6</v>
      </c>
      <c r="G1197">
        <v>6</v>
      </c>
      <c r="H1197" t="s">
        <v>1208</v>
      </c>
      <c r="I1197" s="1">
        <v>37159</v>
      </c>
      <c r="J1197" s="1">
        <v>37325</v>
      </c>
      <c r="K1197" s="1">
        <v>37335</v>
      </c>
      <c r="L1197" s="1">
        <v>37335</v>
      </c>
      <c r="M1197" s="1">
        <v>37335</v>
      </c>
      <c r="N1197" s="1">
        <v>37335</v>
      </c>
      <c r="O1197" t="s">
        <v>1117</v>
      </c>
      <c r="P1197">
        <v>1</v>
      </c>
      <c r="Q1197" t="s">
        <v>1215</v>
      </c>
      <c r="R1197">
        <f t="shared" si="37"/>
        <v>12</v>
      </c>
      <c r="S1197">
        <f t="shared" si="38"/>
        <v>1</v>
      </c>
    </row>
    <row r="1198" spans="1:19" x14ac:dyDescent="0.25">
      <c r="A1198" t="s">
        <v>2319</v>
      </c>
      <c r="B1198" t="s">
        <v>1199</v>
      </c>
      <c r="C1198">
        <v>0.4</v>
      </c>
      <c r="D1198">
        <v>387.2</v>
      </c>
      <c r="E1198">
        <v>1542.8</v>
      </c>
      <c r="F1198">
        <v>20</v>
      </c>
      <c r="G1198">
        <v>20</v>
      </c>
      <c r="H1198" t="s">
        <v>1208</v>
      </c>
      <c r="I1198" s="1">
        <v>37159</v>
      </c>
      <c r="J1198" s="1">
        <v>37317</v>
      </c>
      <c r="K1198" s="1">
        <v>37346</v>
      </c>
      <c r="L1198" s="1">
        <v>37346</v>
      </c>
      <c r="M1198" s="1">
        <v>37330</v>
      </c>
      <c r="N1198" s="1">
        <v>37331</v>
      </c>
      <c r="O1198" t="s">
        <v>1117</v>
      </c>
      <c r="P1198">
        <v>1</v>
      </c>
      <c r="Q1198" t="s">
        <v>1215</v>
      </c>
      <c r="R1198">
        <f t="shared" si="37"/>
        <v>11</v>
      </c>
      <c r="S1198">
        <f t="shared" si="38"/>
        <v>1</v>
      </c>
    </row>
    <row r="1199" spans="1:19" x14ac:dyDescent="0.25">
      <c r="A1199" t="s">
        <v>2320</v>
      </c>
      <c r="B1199" t="s">
        <v>4028</v>
      </c>
      <c r="C1199">
        <v>0.4</v>
      </c>
      <c r="D1199">
        <v>590</v>
      </c>
      <c r="E1199">
        <v>589</v>
      </c>
      <c r="F1199">
        <v>26</v>
      </c>
      <c r="G1199">
        <v>26</v>
      </c>
      <c r="H1199" t="s">
        <v>1208</v>
      </c>
      <c r="I1199" s="1">
        <v>37110</v>
      </c>
      <c r="J1199" s="1">
        <v>37317</v>
      </c>
      <c r="K1199" s="1">
        <v>37351</v>
      </c>
      <c r="L1199" s="1">
        <v>37351</v>
      </c>
      <c r="M1199" s="1">
        <v>37351</v>
      </c>
      <c r="N1199" s="1">
        <v>37351</v>
      </c>
      <c r="O1199" t="s">
        <v>1117</v>
      </c>
      <c r="P1199">
        <v>4</v>
      </c>
      <c r="Q1199" t="s">
        <v>1215</v>
      </c>
      <c r="R1199">
        <f t="shared" si="37"/>
        <v>14</v>
      </c>
      <c r="S1199">
        <f t="shared" si="38"/>
        <v>1</v>
      </c>
    </row>
    <row r="1200" spans="1:19" x14ac:dyDescent="0.25">
      <c r="A1200" t="s">
        <v>2321</v>
      </c>
      <c r="B1200" t="s">
        <v>4026</v>
      </c>
      <c r="C1200">
        <v>1.5</v>
      </c>
      <c r="D1200">
        <v>1250</v>
      </c>
      <c r="E1200">
        <v>2500</v>
      </c>
      <c r="F1200">
        <v>6</v>
      </c>
      <c r="G1200">
        <v>6</v>
      </c>
      <c r="H1200" t="s">
        <v>1208</v>
      </c>
      <c r="I1200" s="1">
        <v>37159</v>
      </c>
      <c r="J1200" s="1">
        <v>37323</v>
      </c>
      <c r="K1200" s="1">
        <v>37354</v>
      </c>
      <c r="L1200" s="1">
        <v>37354</v>
      </c>
      <c r="M1200" s="1">
        <v>37344</v>
      </c>
      <c r="N1200" s="1">
        <v>37344</v>
      </c>
      <c r="O1200" t="s">
        <v>1117</v>
      </c>
      <c r="P1200">
        <v>3</v>
      </c>
      <c r="Q1200" t="s">
        <v>1215</v>
      </c>
      <c r="R1200">
        <f t="shared" si="37"/>
        <v>13</v>
      </c>
      <c r="S1200">
        <f t="shared" si="38"/>
        <v>1</v>
      </c>
    </row>
    <row r="1201" spans="1:19" x14ac:dyDescent="0.25">
      <c r="A1201" t="s">
        <v>2322</v>
      </c>
      <c r="B1201" t="s">
        <v>4028</v>
      </c>
      <c r="C1201">
        <v>0.5</v>
      </c>
      <c r="D1201">
        <v>1250</v>
      </c>
      <c r="E1201">
        <v>2500</v>
      </c>
      <c r="F1201">
        <v>6</v>
      </c>
      <c r="G1201">
        <v>6</v>
      </c>
      <c r="H1201" t="s">
        <v>1208</v>
      </c>
      <c r="I1201" s="1">
        <v>37159</v>
      </c>
      <c r="J1201" s="1">
        <v>37319</v>
      </c>
      <c r="K1201" s="1">
        <v>37352</v>
      </c>
      <c r="L1201" s="1">
        <v>37352</v>
      </c>
      <c r="M1201" s="1">
        <v>37351</v>
      </c>
      <c r="N1201" s="1">
        <v>37351</v>
      </c>
      <c r="O1201" t="s">
        <v>1117</v>
      </c>
      <c r="P1201">
        <v>1</v>
      </c>
      <c r="Q1201" t="s">
        <v>1215</v>
      </c>
      <c r="R1201">
        <f t="shared" si="37"/>
        <v>14</v>
      </c>
      <c r="S1201">
        <f t="shared" si="38"/>
        <v>1</v>
      </c>
    </row>
    <row r="1202" spans="1:19" x14ac:dyDescent="0.25">
      <c r="A1202" t="s">
        <v>2323</v>
      </c>
      <c r="B1202" t="s">
        <v>4026</v>
      </c>
      <c r="C1202">
        <v>0.7</v>
      </c>
      <c r="D1202">
        <v>1250</v>
      </c>
      <c r="E1202">
        <v>2500</v>
      </c>
      <c r="F1202">
        <v>6</v>
      </c>
      <c r="G1202">
        <v>6</v>
      </c>
      <c r="H1202" t="s">
        <v>1208</v>
      </c>
      <c r="I1202" s="1">
        <v>37159</v>
      </c>
      <c r="J1202" s="1">
        <v>37320</v>
      </c>
      <c r="K1202" s="1">
        <v>37372</v>
      </c>
      <c r="L1202" s="1">
        <v>37372</v>
      </c>
      <c r="M1202" s="1">
        <v>37365</v>
      </c>
      <c r="N1202" s="1">
        <v>37365</v>
      </c>
      <c r="O1202" t="s">
        <v>1117</v>
      </c>
      <c r="P1202">
        <v>1</v>
      </c>
      <c r="Q1202" t="s">
        <v>1215</v>
      </c>
      <c r="R1202">
        <f t="shared" si="37"/>
        <v>16</v>
      </c>
      <c r="S1202">
        <f t="shared" si="38"/>
        <v>1</v>
      </c>
    </row>
    <row r="1203" spans="1:19" x14ac:dyDescent="0.25">
      <c r="A1203" t="s">
        <v>2324</v>
      </c>
      <c r="B1203" t="s">
        <v>1199</v>
      </c>
      <c r="C1203">
        <v>3</v>
      </c>
      <c r="D1203">
        <v>1250</v>
      </c>
      <c r="E1203">
        <v>2500</v>
      </c>
      <c r="F1203">
        <v>3</v>
      </c>
      <c r="G1203">
        <v>3</v>
      </c>
      <c r="H1203" t="s">
        <v>1208</v>
      </c>
      <c r="I1203" s="1">
        <v>37159</v>
      </c>
      <c r="J1203" s="1">
        <v>37319</v>
      </c>
      <c r="K1203" t="s">
        <v>1124</v>
      </c>
      <c r="L1203" t="s">
        <v>1124</v>
      </c>
      <c r="M1203" s="1">
        <v>37345</v>
      </c>
      <c r="N1203" s="1">
        <v>37345</v>
      </c>
      <c r="O1203" t="s">
        <v>1117</v>
      </c>
      <c r="P1203">
        <v>5</v>
      </c>
      <c r="Q1203" t="s">
        <v>1215</v>
      </c>
      <c r="R1203">
        <f t="shared" si="37"/>
        <v>13</v>
      </c>
      <c r="S1203">
        <f t="shared" si="38"/>
        <v>1</v>
      </c>
    </row>
    <row r="1204" spans="1:19" x14ac:dyDescent="0.25">
      <c r="A1204" t="s">
        <v>2325</v>
      </c>
      <c r="B1204" t="s">
        <v>4028</v>
      </c>
      <c r="C1204">
        <v>2.5</v>
      </c>
      <c r="D1204">
        <v>1250</v>
      </c>
      <c r="E1204">
        <v>2500</v>
      </c>
      <c r="F1204">
        <v>3</v>
      </c>
      <c r="G1204">
        <v>3</v>
      </c>
      <c r="H1204" t="s">
        <v>1208</v>
      </c>
      <c r="I1204" s="1">
        <v>37132</v>
      </c>
      <c r="J1204" s="1">
        <v>37307</v>
      </c>
      <c r="K1204" s="1">
        <v>37334</v>
      </c>
      <c r="L1204" s="1">
        <v>37334</v>
      </c>
      <c r="M1204" s="1">
        <v>37334</v>
      </c>
      <c r="N1204" s="1">
        <v>37335</v>
      </c>
      <c r="O1204" t="s">
        <v>1117</v>
      </c>
      <c r="P1204">
        <v>1</v>
      </c>
      <c r="Q1204" t="s">
        <v>1215</v>
      </c>
      <c r="R1204">
        <f t="shared" si="37"/>
        <v>12</v>
      </c>
      <c r="S1204">
        <f t="shared" si="38"/>
        <v>1</v>
      </c>
    </row>
    <row r="1205" spans="1:19" x14ac:dyDescent="0.25">
      <c r="A1205" t="s">
        <v>2326</v>
      </c>
      <c r="B1205" t="s">
        <v>1199</v>
      </c>
      <c r="C1205">
        <v>1</v>
      </c>
      <c r="D1205">
        <v>1250</v>
      </c>
      <c r="E1205">
        <v>2500</v>
      </c>
      <c r="F1205">
        <v>3</v>
      </c>
      <c r="G1205">
        <v>3</v>
      </c>
      <c r="H1205" t="s">
        <v>1208</v>
      </c>
      <c r="I1205" s="1">
        <v>37132</v>
      </c>
      <c r="J1205" s="1">
        <v>37311</v>
      </c>
      <c r="K1205" s="1">
        <v>37361</v>
      </c>
      <c r="L1205" s="1">
        <v>37361</v>
      </c>
      <c r="M1205" s="1">
        <v>37354</v>
      </c>
      <c r="N1205" s="1">
        <v>37375</v>
      </c>
      <c r="O1205" t="s">
        <v>1117</v>
      </c>
      <c r="P1205">
        <v>1</v>
      </c>
      <c r="Q1205" t="s">
        <v>1215</v>
      </c>
      <c r="R1205">
        <f t="shared" si="37"/>
        <v>18</v>
      </c>
      <c r="S1205">
        <f t="shared" si="38"/>
        <v>1</v>
      </c>
    </row>
    <row r="1206" spans="1:19" x14ac:dyDescent="0.25">
      <c r="A1206" t="s">
        <v>2327</v>
      </c>
      <c r="B1206" t="s">
        <v>4028</v>
      </c>
      <c r="C1206">
        <v>0.5</v>
      </c>
      <c r="D1206">
        <v>1250</v>
      </c>
      <c r="E1206">
        <v>2500</v>
      </c>
      <c r="F1206">
        <v>3</v>
      </c>
      <c r="G1206">
        <v>3</v>
      </c>
      <c r="H1206" t="s">
        <v>1208</v>
      </c>
      <c r="I1206" s="1">
        <v>37132</v>
      </c>
      <c r="J1206" s="1">
        <v>37312</v>
      </c>
      <c r="K1206" s="1">
        <v>37352</v>
      </c>
      <c r="L1206" s="1">
        <v>37352</v>
      </c>
      <c r="M1206" s="1">
        <v>37351</v>
      </c>
      <c r="N1206" s="1">
        <v>37351</v>
      </c>
      <c r="O1206" t="s">
        <v>1117</v>
      </c>
      <c r="P1206">
        <v>6</v>
      </c>
      <c r="Q1206" t="s">
        <v>1215</v>
      </c>
      <c r="R1206">
        <f t="shared" si="37"/>
        <v>14</v>
      </c>
      <c r="S1206">
        <f t="shared" si="38"/>
        <v>1</v>
      </c>
    </row>
    <row r="1207" spans="1:19" x14ac:dyDescent="0.25">
      <c r="A1207" t="s">
        <v>2328</v>
      </c>
      <c r="B1207" t="s">
        <v>1199</v>
      </c>
      <c r="C1207">
        <v>0.6</v>
      </c>
      <c r="D1207">
        <v>1250</v>
      </c>
      <c r="E1207">
        <v>2500</v>
      </c>
      <c r="F1207">
        <v>3</v>
      </c>
      <c r="G1207">
        <v>3</v>
      </c>
      <c r="H1207" t="s">
        <v>1208</v>
      </c>
      <c r="I1207" s="1">
        <v>37159</v>
      </c>
      <c r="J1207" s="1">
        <v>37319</v>
      </c>
      <c r="K1207" s="1">
        <v>37352</v>
      </c>
      <c r="L1207" s="1">
        <v>37352</v>
      </c>
      <c r="M1207" s="1">
        <v>37351</v>
      </c>
      <c r="N1207" s="1">
        <v>37352</v>
      </c>
      <c r="O1207" t="s">
        <v>1117</v>
      </c>
      <c r="P1207">
        <v>5</v>
      </c>
      <c r="Q1207" t="s">
        <v>1215</v>
      </c>
      <c r="R1207">
        <f t="shared" si="37"/>
        <v>14</v>
      </c>
      <c r="S1207">
        <f t="shared" si="38"/>
        <v>1</v>
      </c>
    </row>
    <row r="1208" spans="1:19" x14ac:dyDescent="0.25">
      <c r="A1208" t="s">
        <v>2329</v>
      </c>
      <c r="B1208" t="s">
        <v>4026</v>
      </c>
      <c r="C1208">
        <v>1</v>
      </c>
      <c r="D1208">
        <v>1250</v>
      </c>
      <c r="E1208">
        <v>2500</v>
      </c>
      <c r="F1208">
        <v>3</v>
      </c>
      <c r="G1208">
        <v>3</v>
      </c>
      <c r="H1208" t="s">
        <v>1208</v>
      </c>
      <c r="I1208" s="1">
        <v>37132</v>
      </c>
      <c r="J1208" s="1">
        <v>37308</v>
      </c>
      <c r="K1208" t="s">
        <v>1124</v>
      </c>
      <c r="L1208" t="s">
        <v>1124</v>
      </c>
      <c r="M1208" s="1">
        <v>37375</v>
      </c>
      <c r="N1208" s="1">
        <v>37375</v>
      </c>
      <c r="O1208" t="s">
        <v>1117</v>
      </c>
      <c r="P1208">
        <v>3</v>
      </c>
      <c r="Q1208" t="s">
        <v>1215</v>
      </c>
      <c r="R1208">
        <f t="shared" si="37"/>
        <v>18</v>
      </c>
      <c r="S1208">
        <f t="shared" si="38"/>
        <v>1</v>
      </c>
    </row>
    <row r="1209" spans="1:19" x14ac:dyDescent="0.25">
      <c r="A1209" t="s">
        <v>2330</v>
      </c>
      <c r="B1209" t="s">
        <v>1199</v>
      </c>
      <c r="C1209">
        <v>0.7</v>
      </c>
      <c r="D1209">
        <v>1250</v>
      </c>
      <c r="E1209">
        <v>2500</v>
      </c>
      <c r="F1209">
        <v>3</v>
      </c>
      <c r="G1209">
        <v>3</v>
      </c>
      <c r="H1209" t="s">
        <v>1208</v>
      </c>
      <c r="I1209" s="1">
        <v>37159</v>
      </c>
      <c r="J1209" s="1">
        <v>37320</v>
      </c>
      <c r="K1209" s="1">
        <v>37372</v>
      </c>
      <c r="L1209" s="1">
        <v>37372</v>
      </c>
      <c r="M1209" s="1">
        <v>37365</v>
      </c>
      <c r="N1209" s="1">
        <v>37365</v>
      </c>
      <c r="O1209" t="s">
        <v>1117</v>
      </c>
      <c r="P1209">
        <v>1</v>
      </c>
      <c r="Q1209" t="s">
        <v>1215</v>
      </c>
      <c r="R1209">
        <f t="shared" si="37"/>
        <v>16</v>
      </c>
      <c r="S1209">
        <f t="shared" si="38"/>
        <v>1</v>
      </c>
    </row>
    <row r="1210" spans="1:19" x14ac:dyDescent="0.25">
      <c r="A1210" t="s">
        <v>2331</v>
      </c>
      <c r="B1210" t="s">
        <v>4028</v>
      </c>
      <c r="C1210">
        <v>2.75</v>
      </c>
      <c r="D1210">
        <v>1250</v>
      </c>
      <c r="E1210">
        <v>2500</v>
      </c>
      <c r="F1210">
        <v>18</v>
      </c>
      <c r="G1210">
        <v>18</v>
      </c>
      <c r="H1210" t="s">
        <v>1208</v>
      </c>
      <c r="I1210" s="1">
        <v>37110</v>
      </c>
      <c r="J1210" s="1">
        <v>37314</v>
      </c>
      <c r="K1210" s="1">
        <v>37323</v>
      </c>
      <c r="L1210" s="1">
        <v>37323</v>
      </c>
      <c r="M1210" s="1">
        <v>37325</v>
      </c>
      <c r="N1210" s="1">
        <v>37325</v>
      </c>
      <c r="O1210" t="s">
        <v>1117</v>
      </c>
      <c r="P1210">
        <v>3</v>
      </c>
      <c r="Q1210" t="s">
        <v>1215</v>
      </c>
      <c r="R1210">
        <f t="shared" si="37"/>
        <v>11</v>
      </c>
      <c r="S1210">
        <f t="shared" si="38"/>
        <v>1</v>
      </c>
    </row>
    <row r="1211" spans="1:19" x14ac:dyDescent="0.25">
      <c r="A1211" t="s">
        <v>2332</v>
      </c>
      <c r="B1211" t="s">
        <v>4028</v>
      </c>
      <c r="C1211">
        <v>3</v>
      </c>
      <c r="D1211">
        <v>1250</v>
      </c>
      <c r="E1211">
        <v>2500</v>
      </c>
      <c r="F1211">
        <v>18</v>
      </c>
      <c r="G1211">
        <v>18</v>
      </c>
      <c r="H1211" t="s">
        <v>1208</v>
      </c>
      <c r="I1211" s="1">
        <v>37110</v>
      </c>
      <c r="J1211" s="1">
        <v>37314</v>
      </c>
      <c r="K1211" s="1">
        <v>37337</v>
      </c>
      <c r="L1211" s="1">
        <v>37337</v>
      </c>
      <c r="M1211" s="1">
        <v>37337</v>
      </c>
      <c r="N1211" s="1">
        <v>37337</v>
      </c>
      <c r="O1211" t="s">
        <v>1117</v>
      </c>
      <c r="P1211">
        <v>4</v>
      </c>
      <c r="Q1211" t="s">
        <v>1215</v>
      </c>
      <c r="R1211">
        <f t="shared" si="37"/>
        <v>12</v>
      </c>
      <c r="S1211">
        <f t="shared" si="38"/>
        <v>1</v>
      </c>
    </row>
    <row r="1212" spans="1:19" x14ac:dyDescent="0.25">
      <c r="A1212" t="s">
        <v>2333</v>
      </c>
      <c r="B1212" t="s">
        <v>4028</v>
      </c>
      <c r="C1212">
        <v>0.6</v>
      </c>
      <c r="D1212">
        <v>387</v>
      </c>
      <c r="E1212">
        <v>1610</v>
      </c>
      <c r="F1212">
        <v>100</v>
      </c>
      <c r="G1212">
        <v>77.004999999999995</v>
      </c>
      <c r="H1212" t="s">
        <v>1208</v>
      </c>
      <c r="I1212" s="1">
        <v>37159</v>
      </c>
      <c r="J1212" s="1">
        <v>37325</v>
      </c>
      <c r="K1212" s="1">
        <v>37379</v>
      </c>
      <c r="L1212" s="1">
        <v>37379</v>
      </c>
      <c r="M1212" s="1">
        <v>37358</v>
      </c>
      <c r="N1212" s="1">
        <v>37358</v>
      </c>
      <c r="O1212" t="s">
        <v>1117</v>
      </c>
      <c r="P1212">
        <v>6</v>
      </c>
      <c r="Q1212" t="s">
        <v>1215</v>
      </c>
      <c r="R1212">
        <f t="shared" si="37"/>
        <v>15</v>
      </c>
      <c r="S1212">
        <f t="shared" si="38"/>
        <v>0</v>
      </c>
    </row>
    <row r="1213" spans="1:19" x14ac:dyDescent="0.25">
      <c r="A1213" t="s">
        <v>2334</v>
      </c>
      <c r="B1213" t="s">
        <v>4028</v>
      </c>
      <c r="C1213">
        <v>0.5</v>
      </c>
      <c r="D1213">
        <v>1250</v>
      </c>
      <c r="E1213">
        <v>2500</v>
      </c>
      <c r="F1213">
        <v>6</v>
      </c>
      <c r="G1213">
        <v>6</v>
      </c>
      <c r="H1213" t="s">
        <v>1208</v>
      </c>
      <c r="I1213" s="1">
        <v>37159</v>
      </c>
      <c r="J1213" s="1">
        <v>37319</v>
      </c>
      <c r="K1213" s="1">
        <v>37352</v>
      </c>
      <c r="L1213" s="1">
        <v>37352</v>
      </c>
      <c r="M1213" s="1">
        <v>37351</v>
      </c>
      <c r="N1213" s="1">
        <v>37351</v>
      </c>
      <c r="O1213" t="s">
        <v>1117</v>
      </c>
      <c r="P1213">
        <v>4</v>
      </c>
      <c r="Q1213" t="s">
        <v>1215</v>
      </c>
      <c r="R1213">
        <f t="shared" si="37"/>
        <v>14</v>
      </c>
      <c r="S1213">
        <f t="shared" si="38"/>
        <v>1</v>
      </c>
    </row>
    <row r="1214" spans="1:19" x14ac:dyDescent="0.25">
      <c r="A1214" t="s">
        <v>2335</v>
      </c>
      <c r="B1214" t="s">
        <v>4028</v>
      </c>
      <c r="C1214">
        <v>2</v>
      </c>
      <c r="D1214">
        <v>1250</v>
      </c>
      <c r="E1214">
        <v>2500</v>
      </c>
      <c r="F1214">
        <v>18</v>
      </c>
      <c r="G1214">
        <v>18</v>
      </c>
      <c r="H1214" t="s">
        <v>1208</v>
      </c>
      <c r="I1214" s="1">
        <v>37110</v>
      </c>
      <c r="J1214" s="1">
        <v>37314</v>
      </c>
      <c r="K1214" s="1">
        <v>37337</v>
      </c>
      <c r="L1214" s="1">
        <v>37337</v>
      </c>
      <c r="M1214" s="1">
        <v>37337</v>
      </c>
      <c r="N1214" s="1">
        <v>37337</v>
      </c>
      <c r="O1214" t="s">
        <v>1117</v>
      </c>
      <c r="P1214">
        <v>1</v>
      </c>
      <c r="Q1214" t="s">
        <v>1215</v>
      </c>
      <c r="R1214">
        <f t="shared" si="37"/>
        <v>12</v>
      </c>
      <c r="S1214">
        <f t="shared" si="38"/>
        <v>1</v>
      </c>
    </row>
    <row r="1215" spans="1:19" x14ac:dyDescent="0.25">
      <c r="A1215" t="s">
        <v>2336</v>
      </c>
      <c r="B1215" t="s">
        <v>1199</v>
      </c>
      <c r="C1215">
        <v>3</v>
      </c>
      <c r="D1215">
        <v>1250</v>
      </c>
      <c r="E1215">
        <v>2500</v>
      </c>
      <c r="F1215">
        <v>3</v>
      </c>
      <c r="G1215">
        <v>3</v>
      </c>
      <c r="H1215" t="s">
        <v>1208</v>
      </c>
      <c r="I1215" s="1">
        <v>37132</v>
      </c>
      <c r="J1215" s="1">
        <v>37309</v>
      </c>
      <c r="K1215" s="1">
        <v>37354</v>
      </c>
      <c r="L1215" s="1">
        <v>37354</v>
      </c>
      <c r="M1215" s="1">
        <v>37345</v>
      </c>
      <c r="N1215" s="1">
        <v>37345</v>
      </c>
      <c r="O1215" t="s">
        <v>1117</v>
      </c>
      <c r="P1215">
        <v>2</v>
      </c>
      <c r="Q1215" t="s">
        <v>1215</v>
      </c>
      <c r="R1215">
        <f t="shared" si="37"/>
        <v>13</v>
      </c>
      <c r="S1215">
        <f t="shared" si="38"/>
        <v>1</v>
      </c>
    </row>
    <row r="1216" spans="1:19" x14ac:dyDescent="0.25">
      <c r="A1216" t="s">
        <v>2337</v>
      </c>
      <c r="B1216" t="s">
        <v>4028</v>
      </c>
      <c r="C1216">
        <v>0.7</v>
      </c>
      <c r="D1216">
        <v>1250</v>
      </c>
      <c r="E1216">
        <v>2500</v>
      </c>
      <c r="F1216">
        <v>3</v>
      </c>
      <c r="G1216">
        <v>3</v>
      </c>
      <c r="H1216" t="s">
        <v>1208</v>
      </c>
      <c r="I1216" s="1">
        <v>37159</v>
      </c>
      <c r="J1216" s="1">
        <v>37321</v>
      </c>
      <c r="K1216" s="1">
        <v>37372</v>
      </c>
      <c r="L1216" s="1">
        <v>37372</v>
      </c>
      <c r="M1216" s="1">
        <v>37365</v>
      </c>
      <c r="N1216" s="1">
        <v>37365</v>
      </c>
      <c r="O1216" t="s">
        <v>1117</v>
      </c>
      <c r="P1216">
        <v>1</v>
      </c>
      <c r="Q1216" t="s">
        <v>1215</v>
      </c>
      <c r="R1216">
        <f t="shared" si="37"/>
        <v>16</v>
      </c>
      <c r="S1216">
        <f t="shared" si="38"/>
        <v>1</v>
      </c>
    </row>
    <row r="1217" spans="1:19" x14ac:dyDescent="0.25">
      <c r="A1217" t="s">
        <v>2338</v>
      </c>
      <c r="B1217" t="s">
        <v>4028</v>
      </c>
      <c r="C1217">
        <v>0.8</v>
      </c>
      <c r="D1217">
        <v>592</v>
      </c>
      <c r="E1217">
        <v>2114</v>
      </c>
      <c r="F1217">
        <v>2</v>
      </c>
      <c r="G1217">
        <v>2</v>
      </c>
      <c r="H1217" t="s">
        <v>1208</v>
      </c>
      <c r="I1217" s="1">
        <v>37159</v>
      </c>
      <c r="J1217" s="1">
        <v>37313</v>
      </c>
      <c r="K1217" t="s">
        <v>1124</v>
      </c>
      <c r="L1217" t="s">
        <v>1124</v>
      </c>
      <c r="M1217" s="1">
        <v>37335</v>
      </c>
      <c r="N1217" s="1">
        <v>37335</v>
      </c>
      <c r="O1217" t="s">
        <v>1117</v>
      </c>
      <c r="P1217">
        <v>4</v>
      </c>
      <c r="Q1217" t="s">
        <v>1215</v>
      </c>
      <c r="R1217">
        <f t="shared" si="37"/>
        <v>12</v>
      </c>
      <c r="S1217">
        <f t="shared" si="38"/>
        <v>1</v>
      </c>
    </row>
    <row r="1218" spans="1:19" x14ac:dyDescent="0.25">
      <c r="A1218" t="s">
        <v>2339</v>
      </c>
      <c r="B1218" t="s">
        <v>1199</v>
      </c>
      <c r="C1218">
        <v>1</v>
      </c>
      <c r="D1218">
        <v>1250</v>
      </c>
      <c r="E1218">
        <v>2155</v>
      </c>
      <c r="F1218">
        <v>10</v>
      </c>
      <c r="G1218">
        <v>10</v>
      </c>
      <c r="H1218" t="s">
        <v>1208</v>
      </c>
      <c r="I1218" s="1">
        <v>37124</v>
      </c>
      <c r="J1218" s="1">
        <v>37313</v>
      </c>
      <c r="K1218" t="s">
        <v>1124</v>
      </c>
      <c r="L1218" t="s">
        <v>1124</v>
      </c>
      <c r="M1218" s="1">
        <v>37344</v>
      </c>
      <c r="N1218" s="1">
        <v>37344</v>
      </c>
      <c r="O1218" t="s">
        <v>1117</v>
      </c>
      <c r="P1218">
        <v>1</v>
      </c>
      <c r="Q1218" t="s">
        <v>1215</v>
      </c>
      <c r="R1218">
        <f t="shared" si="37"/>
        <v>13</v>
      </c>
      <c r="S1218">
        <f t="shared" si="38"/>
        <v>1</v>
      </c>
    </row>
    <row r="1219" spans="1:19" x14ac:dyDescent="0.25">
      <c r="A1219" t="s">
        <v>2340</v>
      </c>
      <c r="B1219" t="s">
        <v>4027</v>
      </c>
      <c r="C1219">
        <v>1</v>
      </c>
      <c r="D1219">
        <v>1004</v>
      </c>
      <c r="E1219">
        <v>2160</v>
      </c>
      <c r="F1219">
        <v>4</v>
      </c>
      <c r="G1219">
        <v>4</v>
      </c>
      <c r="H1219" t="s">
        <v>1208</v>
      </c>
      <c r="I1219" s="1">
        <v>37120</v>
      </c>
      <c r="J1219" s="1">
        <v>37313</v>
      </c>
      <c r="K1219" t="s">
        <v>1124</v>
      </c>
      <c r="L1219" t="s">
        <v>1124</v>
      </c>
      <c r="M1219" s="1">
        <v>37337</v>
      </c>
      <c r="N1219" s="1">
        <v>37337</v>
      </c>
      <c r="O1219" t="s">
        <v>1117</v>
      </c>
      <c r="P1219">
        <v>8</v>
      </c>
      <c r="Q1219" t="s">
        <v>1215</v>
      </c>
      <c r="R1219">
        <f t="shared" ref="R1219:R1282" si="39">WEEKNUM(N1219,1)</f>
        <v>12</v>
      </c>
      <c r="S1219">
        <f t="shared" ref="S1219:S1282" si="40">IF(AND(F1219=G1219, M1219&lt;=N1219), 1,0)</f>
        <v>1</v>
      </c>
    </row>
    <row r="1220" spans="1:19" x14ac:dyDescent="0.25">
      <c r="A1220" t="s">
        <v>2341</v>
      </c>
      <c r="B1220" t="s">
        <v>1199</v>
      </c>
      <c r="C1220">
        <v>2</v>
      </c>
      <c r="D1220">
        <v>1220</v>
      </c>
      <c r="E1220">
        <v>2120</v>
      </c>
      <c r="F1220">
        <v>2</v>
      </c>
      <c r="G1220">
        <v>2</v>
      </c>
      <c r="H1220" t="s">
        <v>1208</v>
      </c>
      <c r="I1220" s="1">
        <v>37159</v>
      </c>
      <c r="J1220" s="1">
        <v>37325</v>
      </c>
      <c r="K1220" s="1">
        <v>37344</v>
      </c>
      <c r="L1220" s="1">
        <v>37344</v>
      </c>
      <c r="M1220" s="1">
        <v>37344</v>
      </c>
      <c r="N1220" s="1">
        <v>37344</v>
      </c>
      <c r="O1220" t="s">
        <v>1117</v>
      </c>
      <c r="P1220">
        <v>2</v>
      </c>
      <c r="Q1220" t="s">
        <v>1215</v>
      </c>
      <c r="R1220">
        <f t="shared" si="39"/>
        <v>13</v>
      </c>
      <c r="S1220">
        <f t="shared" si="40"/>
        <v>1</v>
      </c>
    </row>
    <row r="1221" spans="1:19" x14ac:dyDescent="0.25">
      <c r="A1221" t="s">
        <v>2342</v>
      </c>
      <c r="B1221" t="s">
        <v>1199</v>
      </c>
      <c r="C1221">
        <v>1</v>
      </c>
      <c r="D1221">
        <v>1220</v>
      </c>
      <c r="E1221">
        <v>2486</v>
      </c>
      <c r="F1221">
        <v>42</v>
      </c>
      <c r="G1221">
        <v>42</v>
      </c>
      <c r="H1221" t="s">
        <v>1208</v>
      </c>
      <c r="I1221" s="1">
        <v>37120</v>
      </c>
      <c r="J1221" s="1">
        <v>37313</v>
      </c>
      <c r="K1221" s="1">
        <v>37317</v>
      </c>
      <c r="L1221" s="1">
        <v>37317</v>
      </c>
      <c r="M1221" s="1">
        <v>37324</v>
      </c>
      <c r="N1221" s="1">
        <v>37324</v>
      </c>
      <c r="O1221" t="s">
        <v>1117</v>
      </c>
      <c r="P1221">
        <v>1</v>
      </c>
      <c r="Q1221" t="s">
        <v>1215</v>
      </c>
      <c r="R1221">
        <f t="shared" si="39"/>
        <v>10</v>
      </c>
      <c r="S1221">
        <f t="shared" si="40"/>
        <v>1</v>
      </c>
    </row>
    <row r="1222" spans="1:19" x14ac:dyDescent="0.25">
      <c r="A1222" t="s">
        <v>2343</v>
      </c>
      <c r="B1222" t="s">
        <v>1199</v>
      </c>
      <c r="C1222">
        <v>1</v>
      </c>
      <c r="D1222">
        <v>1250</v>
      </c>
      <c r="E1222">
        <v>2195</v>
      </c>
      <c r="F1222">
        <v>6</v>
      </c>
      <c r="G1222">
        <v>6</v>
      </c>
      <c r="H1222" t="s">
        <v>1208</v>
      </c>
      <c r="I1222" s="1">
        <v>37119</v>
      </c>
      <c r="J1222" s="1">
        <v>37313</v>
      </c>
      <c r="K1222" s="1">
        <v>37352</v>
      </c>
      <c r="L1222" s="1">
        <v>37352</v>
      </c>
      <c r="M1222" s="1">
        <v>37345</v>
      </c>
      <c r="N1222" s="1">
        <v>37345</v>
      </c>
      <c r="O1222" t="s">
        <v>1117</v>
      </c>
      <c r="P1222">
        <v>3</v>
      </c>
      <c r="Q1222" t="s">
        <v>1215</v>
      </c>
      <c r="R1222">
        <f t="shared" si="39"/>
        <v>13</v>
      </c>
      <c r="S1222">
        <f t="shared" si="40"/>
        <v>1</v>
      </c>
    </row>
    <row r="1223" spans="1:19" x14ac:dyDescent="0.25">
      <c r="A1223" t="s">
        <v>2344</v>
      </c>
      <c r="B1223" t="s">
        <v>1199</v>
      </c>
      <c r="C1223">
        <v>1</v>
      </c>
      <c r="D1223">
        <v>1004</v>
      </c>
      <c r="E1223">
        <v>2139</v>
      </c>
      <c r="F1223">
        <v>35</v>
      </c>
      <c r="G1223">
        <v>35</v>
      </c>
      <c r="H1223" t="s">
        <v>1208</v>
      </c>
      <c r="I1223" s="1">
        <v>37120</v>
      </c>
      <c r="J1223" s="1">
        <v>37313</v>
      </c>
      <c r="K1223" s="1">
        <v>37336</v>
      </c>
      <c r="L1223" s="1">
        <v>37336</v>
      </c>
      <c r="M1223" s="1">
        <v>37336</v>
      </c>
      <c r="N1223" s="1">
        <v>37336</v>
      </c>
      <c r="O1223" t="s">
        <v>1117</v>
      </c>
      <c r="P1223">
        <v>7</v>
      </c>
      <c r="Q1223" t="s">
        <v>1215</v>
      </c>
      <c r="R1223">
        <f t="shared" si="39"/>
        <v>12</v>
      </c>
      <c r="S1223">
        <f t="shared" si="40"/>
        <v>1</v>
      </c>
    </row>
    <row r="1224" spans="1:19" x14ac:dyDescent="0.25">
      <c r="A1224" t="s">
        <v>2345</v>
      </c>
      <c r="B1224" t="s">
        <v>4026</v>
      </c>
      <c r="C1224">
        <v>0.8</v>
      </c>
      <c r="D1224">
        <v>1134</v>
      </c>
      <c r="E1224">
        <v>2189</v>
      </c>
      <c r="F1224">
        <v>12</v>
      </c>
      <c r="G1224">
        <v>12</v>
      </c>
      <c r="H1224" t="s">
        <v>1208</v>
      </c>
      <c r="I1224" s="1">
        <v>37132</v>
      </c>
      <c r="J1224" s="1">
        <v>37313</v>
      </c>
      <c r="K1224" s="1">
        <v>37335</v>
      </c>
      <c r="L1224" s="1">
        <v>37335</v>
      </c>
      <c r="M1224" s="1">
        <v>37335</v>
      </c>
      <c r="N1224" s="1">
        <v>37335</v>
      </c>
      <c r="O1224" t="s">
        <v>1117</v>
      </c>
      <c r="P1224">
        <v>1</v>
      </c>
      <c r="Q1224" t="s">
        <v>1215</v>
      </c>
      <c r="R1224">
        <f t="shared" si="39"/>
        <v>12</v>
      </c>
      <c r="S1224">
        <f t="shared" si="40"/>
        <v>1</v>
      </c>
    </row>
    <row r="1225" spans="1:19" x14ac:dyDescent="0.25">
      <c r="A1225" t="s">
        <v>2346</v>
      </c>
      <c r="B1225" t="s">
        <v>4026</v>
      </c>
      <c r="C1225">
        <v>0.8</v>
      </c>
      <c r="D1225">
        <v>1134</v>
      </c>
      <c r="E1225">
        <v>2289</v>
      </c>
      <c r="F1225">
        <v>2</v>
      </c>
      <c r="G1225">
        <v>2</v>
      </c>
      <c r="H1225" t="s">
        <v>1208</v>
      </c>
      <c r="I1225" s="1">
        <v>37159</v>
      </c>
      <c r="J1225" s="1">
        <v>37313</v>
      </c>
      <c r="K1225" s="1">
        <v>37347</v>
      </c>
      <c r="L1225" s="1">
        <v>37347</v>
      </c>
      <c r="M1225" s="1">
        <v>37333</v>
      </c>
      <c r="N1225" s="1">
        <v>37334</v>
      </c>
      <c r="O1225" t="s">
        <v>1117</v>
      </c>
      <c r="P1225">
        <v>2</v>
      </c>
      <c r="Q1225" t="s">
        <v>1215</v>
      </c>
      <c r="R1225">
        <f t="shared" si="39"/>
        <v>12</v>
      </c>
      <c r="S1225">
        <f t="shared" si="40"/>
        <v>1</v>
      </c>
    </row>
    <row r="1226" spans="1:19" x14ac:dyDescent="0.25">
      <c r="A1226" t="s">
        <v>2347</v>
      </c>
      <c r="B1226" t="s">
        <v>4028</v>
      </c>
      <c r="C1226">
        <v>0.8</v>
      </c>
      <c r="D1226">
        <v>1250</v>
      </c>
      <c r="E1226">
        <v>2189</v>
      </c>
      <c r="F1226">
        <v>18</v>
      </c>
      <c r="G1226">
        <v>18</v>
      </c>
      <c r="H1226" t="s">
        <v>1208</v>
      </c>
      <c r="I1226" s="1">
        <v>37159</v>
      </c>
      <c r="J1226" s="1">
        <v>37325</v>
      </c>
      <c r="K1226" t="s">
        <v>1124</v>
      </c>
      <c r="L1226" t="s">
        <v>1124</v>
      </c>
      <c r="M1226" s="1">
        <v>37333</v>
      </c>
      <c r="N1226" s="1">
        <v>37335</v>
      </c>
      <c r="O1226" t="s">
        <v>1117</v>
      </c>
      <c r="P1226">
        <v>1</v>
      </c>
      <c r="Q1226" t="s">
        <v>1215</v>
      </c>
      <c r="R1226">
        <f t="shared" si="39"/>
        <v>12</v>
      </c>
      <c r="S1226">
        <f t="shared" si="40"/>
        <v>1</v>
      </c>
    </row>
    <row r="1227" spans="1:19" x14ac:dyDescent="0.25">
      <c r="A1227" t="s">
        <v>2348</v>
      </c>
      <c r="B1227" t="s">
        <v>1199</v>
      </c>
      <c r="C1227">
        <v>1</v>
      </c>
      <c r="D1227">
        <v>1250</v>
      </c>
      <c r="E1227">
        <v>2500</v>
      </c>
      <c r="F1227">
        <v>4</v>
      </c>
      <c r="G1227">
        <v>4</v>
      </c>
      <c r="H1227" t="s">
        <v>1208</v>
      </c>
      <c r="I1227" s="1">
        <v>37159</v>
      </c>
      <c r="J1227" s="1">
        <v>37313</v>
      </c>
      <c r="K1227" t="s">
        <v>1124</v>
      </c>
      <c r="L1227" t="s">
        <v>1124</v>
      </c>
      <c r="M1227" s="1">
        <v>37337</v>
      </c>
      <c r="N1227" s="1">
        <v>37337</v>
      </c>
      <c r="O1227" t="s">
        <v>1117</v>
      </c>
      <c r="P1227">
        <v>3</v>
      </c>
      <c r="Q1227" t="s">
        <v>1215</v>
      </c>
      <c r="R1227">
        <f t="shared" si="39"/>
        <v>12</v>
      </c>
      <c r="S1227">
        <f t="shared" si="40"/>
        <v>1</v>
      </c>
    </row>
    <row r="1228" spans="1:19" x14ac:dyDescent="0.25">
      <c r="A1228" t="s">
        <v>2349</v>
      </c>
      <c r="B1228" t="s">
        <v>4028</v>
      </c>
      <c r="C1228">
        <v>1</v>
      </c>
      <c r="D1228">
        <v>1068</v>
      </c>
      <c r="E1228">
        <v>2386</v>
      </c>
      <c r="F1228">
        <v>8</v>
      </c>
      <c r="G1228">
        <v>8</v>
      </c>
      <c r="H1228" t="s">
        <v>1208</v>
      </c>
      <c r="I1228" s="1">
        <v>37120</v>
      </c>
      <c r="J1228" s="1">
        <v>37313</v>
      </c>
      <c r="K1228" t="s">
        <v>1124</v>
      </c>
      <c r="L1228" t="s">
        <v>1124</v>
      </c>
      <c r="M1228" s="1">
        <v>37337</v>
      </c>
      <c r="N1228" s="1">
        <v>37337</v>
      </c>
      <c r="O1228" t="s">
        <v>1117</v>
      </c>
      <c r="P1228">
        <v>5</v>
      </c>
      <c r="Q1228" t="s">
        <v>1215</v>
      </c>
      <c r="R1228">
        <f t="shared" si="39"/>
        <v>12</v>
      </c>
      <c r="S1228">
        <f t="shared" si="40"/>
        <v>1</v>
      </c>
    </row>
    <row r="1229" spans="1:19" x14ac:dyDescent="0.25">
      <c r="A1229" t="s">
        <v>2350</v>
      </c>
      <c r="B1229" t="s">
        <v>4028</v>
      </c>
      <c r="C1229">
        <v>0.8</v>
      </c>
      <c r="D1229">
        <v>592</v>
      </c>
      <c r="E1229">
        <v>2114</v>
      </c>
      <c r="F1229">
        <v>2</v>
      </c>
      <c r="G1229">
        <v>2</v>
      </c>
      <c r="H1229" t="s">
        <v>1208</v>
      </c>
      <c r="I1229" s="1">
        <v>37110</v>
      </c>
      <c r="J1229" s="1">
        <v>37313</v>
      </c>
      <c r="K1229" t="s">
        <v>1124</v>
      </c>
      <c r="L1229" t="s">
        <v>1124</v>
      </c>
      <c r="M1229" s="1">
        <v>37335</v>
      </c>
      <c r="N1229" s="1">
        <v>37335</v>
      </c>
      <c r="O1229" t="s">
        <v>1117</v>
      </c>
      <c r="P1229">
        <v>3</v>
      </c>
      <c r="Q1229" t="s">
        <v>1215</v>
      </c>
      <c r="R1229">
        <f t="shared" si="39"/>
        <v>12</v>
      </c>
      <c r="S1229">
        <f t="shared" si="40"/>
        <v>1</v>
      </c>
    </row>
    <row r="1230" spans="1:19" x14ac:dyDescent="0.25">
      <c r="A1230" t="s">
        <v>2351</v>
      </c>
      <c r="B1230" t="s">
        <v>4027</v>
      </c>
      <c r="C1230">
        <v>2</v>
      </c>
      <c r="D1230">
        <v>1220</v>
      </c>
      <c r="E1230">
        <v>2120</v>
      </c>
      <c r="F1230">
        <v>8</v>
      </c>
      <c r="G1230">
        <v>8</v>
      </c>
      <c r="H1230" t="s">
        <v>1208</v>
      </c>
      <c r="I1230" s="1">
        <v>37120</v>
      </c>
      <c r="J1230" s="1">
        <v>37313</v>
      </c>
      <c r="K1230" s="1">
        <v>37344</v>
      </c>
      <c r="L1230" s="1">
        <v>37344</v>
      </c>
      <c r="M1230" s="1">
        <v>37344</v>
      </c>
      <c r="N1230" s="1">
        <v>37344</v>
      </c>
      <c r="O1230" t="s">
        <v>1117</v>
      </c>
      <c r="P1230">
        <v>13</v>
      </c>
      <c r="Q1230" t="s">
        <v>1215</v>
      </c>
      <c r="R1230">
        <f t="shared" si="39"/>
        <v>13</v>
      </c>
      <c r="S1230">
        <f t="shared" si="40"/>
        <v>1</v>
      </c>
    </row>
    <row r="1231" spans="1:19" x14ac:dyDescent="0.25">
      <c r="A1231" t="s">
        <v>2352</v>
      </c>
      <c r="B1231" t="s">
        <v>4028</v>
      </c>
      <c r="C1231">
        <v>0.8</v>
      </c>
      <c r="D1231">
        <v>1134</v>
      </c>
      <c r="E1231">
        <v>2189</v>
      </c>
      <c r="F1231">
        <v>12</v>
      </c>
      <c r="G1231">
        <v>12</v>
      </c>
      <c r="H1231" t="s">
        <v>1208</v>
      </c>
      <c r="I1231" s="1">
        <v>37110</v>
      </c>
      <c r="J1231" s="1">
        <v>37313</v>
      </c>
      <c r="K1231" s="1">
        <v>37335</v>
      </c>
      <c r="L1231" s="1">
        <v>37335</v>
      </c>
      <c r="M1231" s="1">
        <v>37335</v>
      </c>
      <c r="N1231" s="1">
        <v>37335</v>
      </c>
      <c r="O1231" t="s">
        <v>1117</v>
      </c>
      <c r="P1231">
        <v>1</v>
      </c>
      <c r="Q1231" t="s">
        <v>1215</v>
      </c>
      <c r="R1231">
        <f t="shared" si="39"/>
        <v>12</v>
      </c>
      <c r="S1231">
        <f t="shared" si="40"/>
        <v>1</v>
      </c>
    </row>
    <row r="1232" spans="1:19" x14ac:dyDescent="0.25">
      <c r="A1232" t="s">
        <v>2353</v>
      </c>
      <c r="B1232" t="s">
        <v>4027</v>
      </c>
      <c r="C1232">
        <v>1</v>
      </c>
      <c r="D1232">
        <v>1250</v>
      </c>
      <c r="E1232">
        <v>2155</v>
      </c>
      <c r="F1232">
        <v>12</v>
      </c>
      <c r="G1232">
        <v>12</v>
      </c>
      <c r="H1232" t="s">
        <v>1208</v>
      </c>
      <c r="I1232" s="1">
        <v>37110</v>
      </c>
      <c r="J1232" s="1">
        <v>37313</v>
      </c>
      <c r="K1232" t="s">
        <v>1124</v>
      </c>
      <c r="L1232" t="s">
        <v>1124</v>
      </c>
      <c r="M1232" s="1">
        <v>37344</v>
      </c>
      <c r="N1232" s="1">
        <v>37344</v>
      </c>
      <c r="O1232" t="s">
        <v>1117</v>
      </c>
      <c r="P1232">
        <v>1</v>
      </c>
      <c r="Q1232" t="s">
        <v>1215</v>
      </c>
      <c r="R1232">
        <f t="shared" si="39"/>
        <v>13</v>
      </c>
      <c r="S1232">
        <f t="shared" si="40"/>
        <v>1</v>
      </c>
    </row>
    <row r="1233" spans="1:19" x14ac:dyDescent="0.25">
      <c r="A1233" t="s">
        <v>2354</v>
      </c>
      <c r="B1233" t="s">
        <v>1199</v>
      </c>
      <c r="C1233">
        <v>1.5</v>
      </c>
      <c r="D1233">
        <v>1220</v>
      </c>
      <c r="E1233">
        <v>2334</v>
      </c>
      <c r="F1233">
        <v>2</v>
      </c>
      <c r="G1233">
        <v>2</v>
      </c>
      <c r="H1233" t="s">
        <v>1208</v>
      </c>
      <c r="I1233" s="1">
        <v>37120</v>
      </c>
      <c r="J1233" s="1">
        <v>37313</v>
      </c>
      <c r="K1233" s="1">
        <v>37330</v>
      </c>
      <c r="L1233" s="1">
        <v>37330</v>
      </c>
      <c r="M1233" s="1">
        <v>37330</v>
      </c>
      <c r="N1233" s="1">
        <v>37330</v>
      </c>
      <c r="O1233" t="s">
        <v>1117</v>
      </c>
      <c r="P1233">
        <v>11</v>
      </c>
      <c r="Q1233" t="s">
        <v>1215</v>
      </c>
      <c r="R1233">
        <f t="shared" si="39"/>
        <v>11</v>
      </c>
      <c r="S1233">
        <f t="shared" si="40"/>
        <v>1</v>
      </c>
    </row>
    <row r="1234" spans="1:19" x14ac:dyDescent="0.25">
      <c r="A1234" t="s">
        <v>2355</v>
      </c>
      <c r="B1234" t="s">
        <v>4028</v>
      </c>
      <c r="C1234">
        <v>1</v>
      </c>
      <c r="D1234">
        <v>1250</v>
      </c>
      <c r="E1234">
        <v>2255</v>
      </c>
      <c r="F1234">
        <v>4</v>
      </c>
      <c r="G1234">
        <v>4</v>
      </c>
      <c r="H1234" t="s">
        <v>1208</v>
      </c>
      <c r="I1234" s="1">
        <v>37110</v>
      </c>
      <c r="J1234" s="1">
        <v>37313</v>
      </c>
      <c r="K1234" t="s">
        <v>1124</v>
      </c>
      <c r="L1234" t="s">
        <v>1124</v>
      </c>
      <c r="M1234" s="1">
        <v>37337</v>
      </c>
      <c r="N1234" s="1">
        <v>37344</v>
      </c>
      <c r="O1234" t="s">
        <v>1117</v>
      </c>
      <c r="P1234">
        <v>2</v>
      </c>
      <c r="Q1234" t="s">
        <v>1215</v>
      </c>
      <c r="R1234">
        <f t="shared" si="39"/>
        <v>13</v>
      </c>
      <c r="S1234">
        <f t="shared" si="40"/>
        <v>1</v>
      </c>
    </row>
    <row r="1235" spans="1:19" x14ac:dyDescent="0.25">
      <c r="A1235" t="s">
        <v>2356</v>
      </c>
      <c r="B1235" t="s">
        <v>4026</v>
      </c>
      <c r="C1235">
        <v>1.2</v>
      </c>
      <c r="D1235">
        <v>1250</v>
      </c>
      <c r="E1235">
        <v>2500</v>
      </c>
      <c r="F1235">
        <v>10</v>
      </c>
      <c r="G1235">
        <v>8.02</v>
      </c>
      <c r="H1235" t="s">
        <v>1208</v>
      </c>
      <c r="I1235" s="1">
        <v>37159</v>
      </c>
      <c r="J1235" s="1">
        <v>37325</v>
      </c>
      <c r="K1235" t="s">
        <v>1124</v>
      </c>
      <c r="L1235" t="s">
        <v>1124</v>
      </c>
      <c r="M1235" s="1">
        <v>37328</v>
      </c>
      <c r="N1235" s="1">
        <v>37328</v>
      </c>
      <c r="O1235" t="s">
        <v>1117</v>
      </c>
      <c r="P1235">
        <v>1</v>
      </c>
      <c r="Q1235" t="s">
        <v>1215</v>
      </c>
      <c r="R1235">
        <f t="shared" si="39"/>
        <v>11</v>
      </c>
      <c r="S1235">
        <f t="shared" si="40"/>
        <v>0</v>
      </c>
    </row>
    <row r="1236" spans="1:19" x14ac:dyDescent="0.25">
      <c r="A1236" t="s">
        <v>2357</v>
      </c>
      <c r="B1236" t="s">
        <v>4027</v>
      </c>
      <c r="C1236">
        <v>1</v>
      </c>
      <c r="D1236">
        <v>1250</v>
      </c>
      <c r="E1236">
        <v>2500</v>
      </c>
      <c r="F1236">
        <v>4</v>
      </c>
      <c r="G1236">
        <v>4</v>
      </c>
      <c r="H1236" t="s">
        <v>1208</v>
      </c>
      <c r="I1236" s="1">
        <v>37110</v>
      </c>
      <c r="J1236" s="1">
        <v>37313</v>
      </c>
      <c r="K1236" t="s">
        <v>1124</v>
      </c>
      <c r="L1236" t="s">
        <v>1124</v>
      </c>
      <c r="M1236" s="1">
        <v>37337</v>
      </c>
      <c r="N1236" s="1">
        <v>37337</v>
      </c>
      <c r="O1236" t="s">
        <v>1117</v>
      </c>
      <c r="P1236">
        <v>3</v>
      </c>
      <c r="Q1236" t="s">
        <v>1215</v>
      </c>
      <c r="R1236">
        <f t="shared" si="39"/>
        <v>12</v>
      </c>
      <c r="S1236">
        <f t="shared" si="40"/>
        <v>1</v>
      </c>
    </row>
    <row r="1237" spans="1:19" x14ac:dyDescent="0.25">
      <c r="A1237" t="s">
        <v>2358</v>
      </c>
      <c r="B1237" t="s">
        <v>4028</v>
      </c>
      <c r="C1237">
        <v>1</v>
      </c>
      <c r="D1237">
        <v>1250</v>
      </c>
      <c r="E1237">
        <v>2255</v>
      </c>
      <c r="F1237">
        <v>10</v>
      </c>
      <c r="G1237">
        <v>10</v>
      </c>
      <c r="H1237" t="s">
        <v>1208</v>
      </c>
      <c r="I1237" s="1">
        <v>37159</v>
      </c>
      <c r="J1237" s="1">
        <v>37313</v>
      </c>
      <c r="K1237" t="s">
        <v>1124</v>
      </c>
      <c r="L1237" t="s">
        <v>1124</v>
      </c>
      <c r="M1237" s="1">
        <v>37344</v>
      </c>
      <c r="N1237" s="1">
        <v>37344</v>
      </c>
      <c r="O1237" t="s">
        <v>1117</v>
      </c>
      <c r="P1237">
        <v>2</v>
      </c>
      <c r="Q1237" t="s">
        <v>1215</v>
      </c>
      <c r="R1237">
        <f t="shared" si="39"/>
        <v>13</v>
      </c>
      <c r="S1237">
        <f t="shared" si="40"/>
        <v>1</v>
      </c>
    </row>
    <row r="1238" spans="1:19" x14ac:dyDescent="0.25">
      <c r="A1238" t="s">
        <v>2359</v>
      </c>
      <c r="B1238" t="s">
        <v>1199</v>
      </c>
      <c r="C1238">
        <v>0.8</v>
      </c>
      <c r="D1238">
        <v>1134</v>
      </c>
      <c r="E1238">
        <v>2189</v>
      </c>
      <c r="F1238">
        <v>6</v>
      </c>
      <c r="G1238">
        <v>6</v>
      </c>
      <c r="H1238" t="s">
        <v>1208</v>
      </c>
      <c r="I1238" s="1">
        <v>37159</v>
      </c>
      <c r="J1238" s="1">
        <v>37313</v>
      </c>
      <c r="K1238" s="1">
        <v>37340</v>
      </c>
      <c r="L1238" s="1">
        <v>37340</v>
      </c>
      <c r="M1238" s="1">
        <v>37333</v>
      </c>
      <c r="N1238" s="1">
        <v>37335</v>
      </c>
      <c r="O1238" t="s">
        <v>1117</v>
      </c>
      <c r="P1238">
        <v>1</v>
      </c>
      <c r="Q1238" t="s">
        <v>1215</v>
      </c>
      <c r="R1238">
        <f t="shared" si="39"/>
        <v>12</v>
      </c>
      <c r="S1238">
        <f t="shared" si="40"/>
        <v>1</v>
      </c>
    </row>
    <row r="1239" spans="1:19" x14ac:dyDescent="0.25">
      <c r="A1239" t="s">
        <v>2360</v>
      </c>
      <c r="B1239" t="s">
        <v>3601</v>
      </c>
      <c r="C1239">
        <v>1</v>
      </c>
      <c r="D1239">
        <v>1250</v>
      </c>
      <c r="E1239">
        <v>2095</v>
      </c>
      <c r="F1239">
        <v>10</v>
      </c>
      <c r="G1239">
        <v>10</v>
      </c>
      <c r="H1239" t="s">
        <v>1208</v>
      </c>
      <c r="I1239" s="1">
        <v>37119</v>
      </c>
      <c r="J1239" s="1">
        <v>37313</v>
      </c>
      <c r="K1239" s="1">
        <v>37345</v>
      </c>
      <c r="L1239" s="1">
        <v>37345</v>
      </c>
      <c r="M1239" s="1">
        <v>37345</v>
      </c>
      <c r="N1239" s="1">
        <v>37345</v>
      </c>
      <c r="O1239" t="s">
        <v>1117</v>
      </c>
      <c r="P1239">
        <v>2</v>
      </c>
      <c r="Q1239" t="s">
        <v>1215</v>
      </c>
      <c r="R1239">
        <f t="shared" si="39"/>
        <v>13</v>
      </c>
      <c r="S1239">
        <f t="shared" si="40"/>
        <v>1</v>
      </c>
    </row>
    <row r="1240" spans="1:19" x14ac:dyDescent="0.25">
      <c r="A1240" t="s">
        <v>2361</v>
      </c>
      <c r="B1240" t="s">
        <v>1199</v>
      </c>
      <c r="C1240">
        <v>1</v>
      </c>
      <c r="D1240">
        <v>1099</v>
      </c>
      <c r="E1240">
        <v>2139</v>
      </c>
      <c r="F1240">
        <v>48</v>
      </c>
      <c r="G1240">
        <v>38.042999999999999</v>
      </c>
      <c r="H1240" t="s">
        <v>1208</v>
      </c>
      <c r="I1240" s="1">
        <v>37120</v>
      </c>
      <c r="J1240" s="1">
        <v>37313</v>
      </c>
      <c r="K1240" s="1">
        <v>37337</v>
      </c>
      <c r="L1240" s="1">
        <v>37337</v>
      </c>
      <c r="M1240" s="1">
        <v>37337</v>
      </c>
      <c r="N1240" s="1">
        <v>37337</v>
      </c>
      <c r="O1240" t="s">
        <v>1117</v>
      </c>
      <c r="P1240">
        <v>6</v>
      </c>
      <c r="Q1240" t="s">
        <v>1215</v>
      </c>
      <c r="R1240">
        <f t="shared" si="39"/>
        <v>12</v>
      </c>
      <c r="S1240">
        <f t="shared" si="40"/>
        <v>0</v>
      </c>
    </row>
    <row r="1241" spans="1:19" x14ac:dyDescent="0.25">
      <c r="A1241" t="s">
        <v>2362</v>
      </c>
      <c r="B1241" t="s">
        <v>4028</v>
      </c>
      <c r="C1241">
        <v>1</v>
      </c>
      <c r="D1241">
        <v>1250</v>
      </c>
      <c r="E1241">
        <v>2255</v>
      </c>
      <c r="F1241">
        <v>8</v>
      </c>
      <c r="G1241">
        <v>8</v>
      </c>
      <c r="H1241" t="s">
        <v>1208</v>
      </c>
      <c r="I1241" s="1">
        <v>37124</v>
      </c>
      <c r="J1241" s="1">
        <v>37313</v>
      </c>
      <c r="K1241" t="s">
        <v>1124</v>
      </c>
      <c r="L1241" t="s">
        <v>1124</v>
      </c>
      <c r="M1241" s="1">
        <v>37337</v>
      </c>
      <c r="N1241" s="1">
        <v>37344</v>
      </c>
      <c r="O1241" t="s">
        <v>1117</v>
      </c>
      <c r="P1241">
        <v>2</v>
      </c>
      <c r="Q1241" t="s">
        <v>1215</v>
      </c>
      <c r="R1241">
        <f t="shared" si="39"/>
        <v>13</v>
      </c>
      <c r="S1241">
        <f t="shared" si="40"/>
        <v>1</v>
      </c>
    </row>
    <row r="1242" spans="1:19" x14ac:dyDescent="0.25">
      <c r="A1242" t="s">
        <v>2363</v>
      </c>
      <c r="B1242" t="s">
        <v>1199</v>
      </c>
      <c r="C1242">
        <v>1.2</v>
      </c>
      <c r="D1242">
        <v>1250</v>
      </c>
      <c r="E1242">
        <v>3000</v>
      </c>
      <c r="F1242">
        <v>4</v>
      </c>
      <c r="G1242">
        <v>4</v>
      </c>
      <c r="H1242" t="s">
        <v>1208</v>
      </c>
      <c r="I1242" s="1">
        <v>37132</v>
      </c>
      <c r="J1242" s="1">
        <v>37313</v>
      </c>
      <c r="K1242" t="s">
        <v>1124</v>
      </c>
      <c r="L1242" t="s">
        <v>1124</v>
      </c>
      <c r="M1242" s="1">
        <v>37328</v>
      </c>
      <c r="N1242" s="1">
        <v>37328</v>
      </c>
      <c r="O1242" t="s">
        <v>1117</v>
      </c>
      <c r="P1242">
        <v>2</v>
      </c>
      <c r="Q1242" t="s">
        <v>1215</v>
      </c>
      <c r="R1242">
        <f t="shared" si="39"/>
        <v>11</v>
      </c>
      <c r="S1242">
        <f t="shared" si="40"/>
        <v>1</v>
      </c>
    </row>
    <row r="1243" spans="1:19" x14ac:dyDescent="0.25">
      <c r="A1243" t="s">
        <v>2364</v>
      </c>
      <c r="B1243" t="s">
        <v>4028</v>
      </c>
      <c r="C1243">
        <v>1.8029999999999999</v>
      </c>
      <c r="D1243">
        <v>1219.2</v>
      </c>
      <c r="E1243">
        <v>2870.2</v>
      </c>
      <c r="F1243">
        <v>18.169</v>
      </c>
      <c r="G1243">
        <v>18.169</v>
      </c>
      <c r="H1243" t="s">
        <v>1208</v>
      </c>
      <c r="I1243" s="1">
        <v>37110</v>
      </c>
      <c r="J1243" s="1">
        <v>37314</v>
      </c>
      <c r="K1243" s="1">
        <v>37324</v>
      </c>
      <c r="L1243" s="1">
        <v>37324</v>
      </c>
      <c r="M1243" s="1">
        <v>37325</v>
      </c>
      <c r="N1243" s="1">
        <v>37325</v>
      </c>
      <c r="O1243" t="s">
        <v>1117</v>
      </c>
      <c r="P1243">
        <v>1</v>
      </c>
      <c r="Q1243" t="s">
        <v>1215</v>
      </c>
      <c r="R1243">
        <f t="shared" si="39"/>
        <v>11</v>
      </c>
      <c r="S1243">
        <f t="shared" si="40"/>
        <v>1</v>
      </c>
    </row>
    <row r="1244" spans="1:19" x14ac:dyDescent="0.25">
      <c r="A1244" t="s">
        <v>2365</v>
      </c>
      <c r="B1244" t="s">
        <v>4026</v>
      </c>
      <c r="C1244">
        <v>0.8</v>
      </c>
      <c r="D1244">
        <v>592</v>
      </c>
      <c r="E1244">
        <v>2014</v>
      </c>
      <c r="F1244">
        <v>6</v>
      </c>
      <c r="G1244">
        <v>6</v>
      </c>
      <c r="H1244" t="s">
        <v>1208</v>
      </c>
      <c r="I1244" s="1">
        <v>37110</v>
      </c>
      <c r="J1244" s="1">
        <v>37313</v>
      </c>
      <c r="K1244" t="s">
        <v>1124</v>
      </c>
      <c r="L1244" t="s">
        <v>1124</v>
      </c>
      <c r="M1244" s="1">
        <v>37335</v>
      </c>
      <c r="N1244" s="1">
        <v>37335</v>
      </c>
      <c r="O1244" t="s">
        <v>1117</v>
      </c>
      <c r="P1244">
        <v>2</v>
      </c>
      <c r="Q1244" t="s">
        <v>1215</v>
      </c>
      <c r="R1244">
        <f t="shared" si="39"/>
        <v>12</v>
      </c>
      <c r="S1244">
        <f t="shared" si="40"/>
        <v>1</v>
      </c>
    </row>
    <row r="1245" spans="1:19" x14ac:dyDescent="0.25">
      <c r="A1245" t="s">
        <v>2366</v>
      </c>
      <c r="B1245" t="s">
        <v>4028</v>
      </c>
      <c r="C1245">
        <v>1.2</v>
      </c>
      <c r="D1245">
        <v>1250</v>
      </c>
      <c r="E1245">
        <v>2400</v>
      </c>
      <c r="F1245">
        <v>8</v>
      </c>
      <c r="G1245">
        <v>8</v>
      </c>
      <c r="H1245" t="s">
        <v>1208</v>
      </c>
      <c r="I1245" s="1">
        <v>37132</v>
      </c>
      <c r="J1245" s="1">
        <v>37313</v>
      </c>
      <c r="K1245" t="s">
        <v>1124</v>
      </c>
      <c r="L1245" t="s">
        <v>1124</v>
      </c>
      <c r="M1245" s="1">
        <v>37328</v>
      </c>
      <c r="N1245" s="1">
        <v>37328</v>
      </c>
      <c r="O1245" t="s">
        <v>1117</v>
      </c>
      <c r="P1245">
        <v>3</v>
      </c>
      <c r="Q1245" t="s">
        <v>1215</v>
      </c>
      <c r="R1245">
        <f t="shared" si="39"/>
        <v>11</v>
      </c>
      <c r="S1245">
        <f t="shared" si="40"/>
        <v>1</v>
      </c>
    </row>
    <row r="1246" spans="1:19" x14ac:dyDescent="0.25">
      <c r="A1246" t="s">
        <v>2367</v>
      </c>
      <c r="B1246" t="s">
        <v>4029</v>
      </c>
      <c r="C1246">
        <v>1</v>
      </c>
      <c r="D1246">
        <v>1220</v>
      </c>
      <c r="E1246">
        <v>2139</v>
      </c>
      <c r="F1246">
        <v>16</v>
      </c>
      <c r="G1246">
        <v>16</v>
      </c>
      <c r="H1246" t="s">
        <v>1208</v>
      </c>
      <c r="I1246" s="1">
        <v>37120</v>
      </c>
      <c r="J1246" s="1">
        <v>37313</v>
      </c>
      <c r="K1246" s="1">
        <v>37318</v>
      </c>
      <c r="L1246" s="1">
        <v>37318</v>
      </c>
      <c r="M1246" s="1">
        <v>37325</v>
      </c>
      <c r="N1246" s="1">
        <v>37325</v>
      </c>
      <c r="O1246" t="s">
        <v>1117</v>
      </c>
      <c r="P1246">
        <v>3</v>
      </c>
      <c r="Q1246" t="s">
        <v>1215</v>
      </c>
      <c r="R1246">
        <f t="shared" si="39"/>
        <v>11</v>
      </c>
      <c r="S1246">
        <f t="shared" si="40"/>
        <v>1</v>
      </c>
    </row>
    <row r="1247" spans="1:19" x14ac:dyDescent="0.25">
      <c r="A1247" t="s">
        <v>2368</v>
      </c>
      <c r="B1247" t="s">
        <v>1199</v>
      </c>
      <c r="C1247">
        <v>0.8</v>
      </c>
      <c r="D1247">
        <v>1134</v>
      </c>
      <c r="E1247">
        <v>2289</v>
      </c>
      <c r="F1247">
        <v>4</v>
      </c>
      <c r="G1247">
        <v>4</v>
      </c>
      <c r="H1247" t="s">
        <v>1208</v>
      </c>
      <c r="I1247" s="1">
        <v>37110</v>
      </c>
      <c r="J1247" s="1">
        <v>37313</v>
      </c>
      <c r="K1247" s="1">
        <v>37340</v>
      </c>
      <c r="L1247" s="1">
        <v>37340</v>
      </c>
      <c r="M1247" s="1">
        <v>37333</v>
      </c>
      <c r="N1247" s="1">
        <v>37334</v>
      </c>
      <c r="O1247" t="s">
        <v>1117</v>
      </c>
      <c r="P1247">
        <v>2</v>
      </c>
      <c r="Q1247" t="s">
        <v>1215</v>
      </c>
      <c r="R1247">
        <f t="shared" si="39"/>
        <v>12</v>
      </c>
      <c r="S1247">
        <f t="shared" si="40"/>
        <v>1</v>
      </c>
    </row>
    <row r="1248" spans="1:19" x14ac:dyDescent="0.25">
      <c r="A1248" t="s">
        <v>2369</v>
      </c>
      <c r="B1248" t="s">
        <v>4028</v>
      </c>
      <c r="C1248">
        <v>0.8</v>
      </c>
      <c r="D1248">
        <v>592</v>
      </c>
      <c r="E1248">
        <v>2014</v>
      </c>
      <c r="F1248">
        <v>6</v>
      </c>
      <c r="G1248">
        <v>4.3010000000000002</v>
      </c>
      <c r="H1248" t="s">
        <v>1208</v>
      </c>
      <c r="I1248" s="1">
        <v>37159</v>
      </c>
      <c r="J1248" s="1">
        <v>37325</v>
      </c>
      <c r="K1248" t="s">
        <v>1124</v>
      </c>
      <c r="L1248" t="s">
        <v>1124</v>
      </c>
      <c r="M1248" s="1">
        <v>37335</v>
      </c>
      <c r="N1248" s="1">
        <v>37335</v>
      </c>
      <c r="O1248" t="s">
        <v>1117</v>
      </c>
      <c r="P1248">
        <v>3</v>
      </c>
      <c r="Q1248" t="s">
        <v>1215</v>
      </c>
      <c r="R1248">
        <f t="shared" si="39"/>
        <v>12</v>
      </c>
      <c r="S1248">
        <f t="shared" si="40"/>
        <v>0</v>
      </c>
    </row>
    <row r="1249" spans="1:19" x14ac:dyDescent="0.25">
      <c r="A1249" t="s">
        <v>2370</v>
      </c>
      <c r="B1249" t="s">
        <v>4028</v>
      </c>
      <c r="C1249">
        <v>0.8</v>
      </c>
      <c r="D1249">
        <v>1250</v>
      </c>
      <c r="E1249">
        <v>2189</v>
      </c>
      <c r="F1249">
        <v>16</v>
      </c>
      <c r="G1249">
        <v>1.77</v>
      </c>
      <c r="H1249" t="s">
        <v>1208</v>
      </c>
      <c r="I1249" s="1">
        <v>37110</v>
      </c>
      <c r="J1249" s="1">
        <v>37313</v>
      </c>
      <c r="K1249" t="s">
        <v>1124</v>
      </c>
      <c r="L1249" t="s">
        <v>1124</v>
      </c>
      <c r="M1249" s="1">
        <v>37335</v>
      </c>
      <c r="N1249" s="1">
        <v>37335</v>
      </c>
      <c r="O1249" t="s">
        <v>1117</v>
      </c>
      <c r="P1249">
        <v>1</v>
      </c>
      <c r="Q1249" t="s">
        <v>1215</v>
      </c>
      <c r="R1249">
        <f t="shared" si="39"/>
        <v>12</v>
      </c>
      <c r="S1249">
        <f t="shared" si="40"/>
        <v>0</v>
      </c>
    </row>
    <row r="1250" spans="1:19" x14ac:dyDescent="0.25">
      <c r="A1250" t="s">
        <v>2371</v>
      </c>
      <c r="B1250" t="s">
        <v>4028</v>
      </c>
      <c r="C1250">
        <v>2</v>
      </c>
      <c r="D1250">
        <v>1220</v>
      </c>
      <c r="E1250">
        <v>2550</v>
      </c>
      <c r="F1250">
        <v>10</v>
      </c>
      <c r="G1250">
        <v>10</v>
      </c>
      <c r="H1250" t="s">
        <v>1208</v>
      </c>
      <c r="I1250" s="1">
        <v>37120</v>
      </c>
      <c r="J1250" s="1">
        <v>37313</v>
      </c>
      <c r="K1250" s="1">
        <v>37344</v>
      </c>
      <c r="L1250" s="1">
        <v>37344</v>
      </c>
      <c r="M1250" s="1">
        <v>37344</v>
      </c>
      <c r="N1250" s="1">
        <v>37344</v>
      </c>
      <c r="O1250" t="s">
        <v>1117</v>
      </c>
      <c r="P1250">
        <v>12</v>
      </c>
      <c r="Q1250" t="s">
        <v>1215</v>
      </c>
      <c r="R1250">
        <f t="shared" si="39"/>
        <v>13</v>
      </c>
      <c r="S1250">
        <f t="shared" si="40"/>
        <v>1</v>
      </c>
    </row>
    <row r="1251" spans="1:19" x14ac:dyDescent="0.25">
      <c r="A1251" t="s">
        <v>2372</v>
      </c>
      <c r="B1251" t="s">
        <v>1199</v>
      </c>
      <c r="C1251">
        <v>0.8</v>
      </c>
      <c r="D1251">
        <v>1134</v>
      </c>
      <c r="E1251">
        <v>2289</v>
      </c>
      <c r="F1251">
        <v>4</v>
      </c>
      <c r="G1251">
        <v>4</v>
      </c>
      <c r="H1251" t="s">
        <v>1208</v>
      </c>
      <c r="I1251" s="1">
        <v>37132</v>
      </c>
      <c r="J1251" s="1">
        <v>37313</v>
      </c>
      <c r="K1251" s="1">
        <v>37340</v>
      </c>
      <c r="L1251" s="1">
        <v>37340</v>
      </c>
      <c r="M1251" s="1">
        <v>37333</v>
      </c>
      <c r="N1251" s="1">
        <v>37334</v>
      </c>
      <c r="O1251" t="s">
        <v>1117</v>
      </c>
      <c r="P1251">
        <v>2</v>
      </c>
      <c r="Q1251" t="s">
        <v>1215</v>
      </c>
      <c r="R1251">
        <f t="shared" si="39"/>
        <v>12</v>
      </c>
      <c r="S1251">
        <f t="shared" si="40"/>
        <v>1</v>
      </c>
    </row>
    <row r="1252" spans="1:19" x14ac:dyDescent="0.25">
      <c r="A1252" t="s">
        <v>2373</v>
      </c>
      <c r="B1252" t="s">
        <v>4028</v>
      </c>
      <c r="C1252">
        <v>1</v>
      </c>
      <c r="D1252">
        <v>1220</v>
      </c>
      <c r="E1252">
        <v>2239</v>
      </c>
      <c r="F1252">
        <v>88</v>
      </c>
      <c r="G1252">
        <v>88</v>
      </c>
      <c r="H1252" t="s">
        <v>1208</v>
      </c>
      <c r="I1252" s="1">
        <v>37120</v>
      </c>
      <c r="J1252" s="1">
        <v>37313</v>
      </c>
      <c r="K1252" s="1">
        <v>37319</v>
      </c>
      <c r="L1252" s="1">
        <v>37319</v>
      </c>
      <c r="M1252" s="1">
        <v>37326</v>
      </c>
      <c r="N1252" s="1">
        <v>37326</v>
      </c>
      <c r="O1252" t="s">
        <v>1117</v>
      </c>
      <c r="P1252">
        <v>2</v>
      </c>
      <c r="Q1252" t="s">
        <v>1215</v>
      </c>
      <c r="R1252">
        <f t="shared" si="39"/>
        <v>11</v>
      </c>
      <c r="S1252">
        <f t="shared" si="40"/>
        <v>1</v>
      </c>
    </row>
    <row r="1253" spans="1:19" x14ac:dyDescent="0.25">
      <c r="A1253" t="s">
        <v>2374</v>
      </c>
      <c r="B1253" t="s">
        <v>4028</v>
      </c>
      <c r="C1253">
        <v>1</v>
      </c>
      <c r="D1253">
        <v>1250</v>
      </c>
      <c r="E1253">
        <v>2255</v>
      </c>
      <c r="F1253">
        <v>8</v>
      </c>
      <c r="G1253">
        <v>8</v>
      </c>
      <c r="H1253" t="s">
        <v>1208</v>
      </c>
      <c r="I1253" s="1">
        <v>37132</v>
      </c>
      <c r="J1253" s="1">
        <v>37314</v>
      </c>
      <c r="K1253" t="s">
        <v>1124</v>
      </c>
      <c r="L1253" t="s">
        <v>1124</v>
      </c>
      <c r="M1253" s="1">
        <v>37344</v>
      </c>
      <c r="N1253" s="1">
        <v>37344</v>
      </c>
      <c r="O1253" t="s">
        <v>1117</v>
      </c>
      <c r="P1253">
        <v>2</v>
      </c>
      <c r="Q1253" t="s">
        <v>1215</v>
      </c>
      <c r="R1253">
        <f t="shared" si="39"/>
        <v>13</v>
      </c>
      <c r="S1253">
        <f t="shared" si="40"/>
        <v>1</v>
      </c>
    </row>
    <row r="1254" spans="1:19" x14ac:dyDescent="0.25">
      <c r="A1254" t="s">
        <v>2375</v>
      </c>
      <c r="B1254" t="s">
        <v>4026</v>
      </c>
      <c r="C1254">
        <v>1.2</v>
      </c>
      <c r="D1254">
        <v>1250</v>
      </c>
      <c r="E1254">
        <v>2400</v>
      </c>
      <c r="F1254">
        <v>8</v>
      </c>
      <c r="G1254">
        <v>4.0270000000000001</v>
      </c>
      <c r="H1254" t="s">
        <v>1208</v>
      </c>
      <c r="I1254" s="1">
        <v>37159</v>
      </c>
      <c r="J1254" s="1">
        <v>37325</v>
      </c>
      <c r="K1254" t="s">
        <v>1124</v>
      </c>
      <c r="L1254" t="s">
        <v>1124</v>
      </c>
      <c r="M1254" s="1">
        <v>37328</v>
      </c>
      <c r="N1254" s="1">
        <v>37328</v>
      </c>
      <c r="O1254" t="s">
        <v>1117</v>
      </c>
      <c r="P1254">
        <v>2</v>
      </c>
      <c r="Q1254" t="s">
        <v>1215</v>
      </c>
      <c r="R1254">
        <f t="shared" si="39"/>
        <v>11</v>
      </c>
      <c r="S1254">
        <f t="shared" si="40"/>
        <v>0</v>
      </c>
    </row>
    <row r="1255" spans="1:19" x14ac:dyDescent="0.25">
      <c r="A1255" t="s">
        <v>2376</v>
      </c>
      <c r="B1255" t="s">
        <v>1199</v>
      </c>
      <c r="C1255">
        <v>1</v>
      </c>
      <c r="D1255">
        <v>1250</v>
      </c>
      <c r="E1255">
        <v>2155</v>
      </c>
      <c r="F1255">
        <v>12</v>
      </c>
      <c r="G1255">
        <v>12</v>
      </c>
      <c r="H1255" t="s">
        <v>1208</v>
      </c>
      <c r="I1255" s="1">
        <v>37132</v>
      </c>
      <c r="J1255" s="1">
        <v>37313</v>
      </c>
      <c r="K1255" t="s">
        <v>1124</v>
      </c>
      <c r="L1255" t="s">
        <v>1124</v>
      </c>
      <c r="M1255" s="1">
        <v>37344</v>
      </c>
      <c r="N1255" s="1">
        <v>37344</v>
      </c>
      <c r="O1255" t="s">
        <v>1117</v>
      </c>
      <c r="P1255">
        <v>1</v>
      </c>
      <c r="Q1255" t="s">
        <v>1215</v>
      </c>
      <c r="R1255">
        <f t="shared" si="39"/>
        <v>13</v>
      </c>
      <c r="S1255">
        <f t="shared" si="40"/>
        <v>1</v>
      </c>
    </row>
    <row r="1256" spans="1:19" x14ac:dyDescent="0.25">
      <c r="A1256" t="s">
        <v>2377</v>
      </c>
      <c r="B1256" t="s">
        <v>1199</v>
      </c>
      <c r="C1256">
        <v>2</v>
      </c>
      <c r="D1256">
        <v>1220</v>
      </c>
      <c r="E1256">
        <v>2220</v>
      </c>
      <c r="F1256">
        <v>2</v>
      </c>
      <c r="G1256">
        <v>2</v>
      </c>
      <c r="H1256" t="s">
        <v>1208</v>
      </c>
      <c r="I1256" s="1">
        <v>37159</v>
      </c>
      <c r="J1256" s="1">
        <v>37313</v>
      </c>
      <c r="K1256" s="1">
        <v>37344</v>
      </c>
      <c r="L1256" s="1">
        <v>37344</v>
      </c>
      <c r="M1256" s="1">
        <v>37344</v>
      </c>
      <c r="N1256" s="1">
        <v>37344</v>
      </c>
      <c r="O1256" t="s">
        <v>1117</v>
      </c>
      <c r="P1256">
        <v>1</v>
      </c>
      <c r="Q1256" t="s">
        <v>1215</v>
      </c>
      <c r="R1256">
        <f t="shared" si="39"/>
        <v>13</v>
      </c>
      <c r="S1256">
        <f t="shared" si="40"/>
        <v>1</v>
      </c>
    </row>
    <row r="1257" spans="1:19" x14ac:dyDescent="0.25">
      <c r="A1257" t="s">
        <v>2378</v>
      </c>
      <c r="B1257" t="s">
        <v>4026</v>
      </c>
      <c r="C1257">
        <v>1.2</v>
      </c>
      <c r="D1257">
        <v>1250</v>
      </c>
      <c r="E1257">
        <v>2500</v>
      </c>
      <c r="F1257">
        <v>6</v>
      </c>
      <c r="G1257">
        <v>6</v>
      </c>
      <c r="H1257" t="s">
        <v>1208</v>
      </c>
      <c r="I1257" s="1">
        <v>37132</v>
      </c>
      <c r="J1257" s="1">
        <v>37313</v>
      </c>
      <c r="K1257" t="s">
        <v>1124</v>
      </c>
      <c r="L1257" t="s">
        <v>1124</v>
      </c>
      <c r="M1257" s="1">
        <v>37328</v>
      </c>
      <c r="N1257" s="1">
        <v>37328</v>
      </c>
      <c r="O1257" t="s">
        <v>1117</v>
      </c>
      <c r="P1257">
        <v>1</v>
      </c>
      <c r="Q1257" t="s">
        <v>1215</v>
      </c>
      <c r="R1257">
        <f t="shared" si="39"/>
        <v>11</v>
      </c>
      <c r="S1257">
        <f t="shared" si="40"/>
        <v>1</v>
      </c>
    </row>
    <row r="1258" spans="1:19" x14ac:dyDescent="0.25">
      <c r="A1258" t="s">
        <v>2379</v>
      </c>
      <c r="B1258" t="s">
        <v>4028</v>
      </c>
      <c r="C1258">
        <v>1</v>
      </c>
      <c r="D1258">
        <v>1250</v>
      </c>
      <c r="E1258">
        <v>2500</v>
      </c>
      <c r="F1258">
        <v>6</v>
      </c>
      <c r="G1258">
        <v>6</v>
      </c>
      <c r="H1258" t="s">
        <v>1208</v>
      </c>
      <c r="I1258" s="1">
        <v>37132</v>
      </c>
      <c r="J1258" s="1">
        <v>37323</v>
      </c>
      <c r="K1258" s="1">
        <v>37351</v>
      </c>
      <c r="L1258" s="1">
        <v>37351</v>
      </c>
      <c r="M1258" s="1">
        <v>37351</v>
      </c>
      <c r="N1258" s="1">
        <v>37351</v>
      </c>
      <c r="O1258" t="s">
        <v>1117</v>
      </c>
      <c r="P1258">
        <v>2</v>
      </c>
      <c r="Q1258" t="s">
        <v>1215</v>
      </c>
      <c r="R1258">
        <f t="shared" si="39"/>
        <v>14</v>
      </c>
      <c r="S1258">
        <f t="shared" si="40"/>
        <v>1</v>
      </c>
    </row>
    <row r="1259" spans="1:19" x14ac:dyDescent="0.25">
      <c r="A1259" t="s">
        <v>2380</v>
      </c>
      <c r="B1259" t="s">
        <v>1199</v>
      </c>
      <c r="C1259">
        <v>2.5</v>
      </c>
      <c r="D1259">
        <v>1020</v>
      </c>
      <c r="E1259">
        <v>3300</v>
      </c>
      <c r="F1259">
        <v>25</v>
      </c>
      <c r="G1259">
        <v>25</v>
      </c>
      <c r="H1259" t="s">
        <v>1208</v>
      </c>
      <c r="I1259" s="1">
        <v>37159</v>
      </c>
      <c r="J1259" s="1">
        <v>37314</v>
      </c>
      <c r="K1259" s="1">
        <v>37336</v>
      </c>
      <c r="L1259" s="1">
        <v>37336</v>
      </c>
      <c r="M1259" s="1">
        <v>37336</v>
      </c>
      <c r="N1259" s="1">
        <v>37336</v>
      </c>
      <c r="O1259" t="s">
        <v>1117</v>
      </c>
      <c r="P1259">
        <v>2</v>
      </c>
      <c r="Q1259" t="s">
        <v>1215</v>
      </c>
      <c r="R1259">
        <f t="shared" si="39"/>
        <v>12</v>
      </c>
      <c r="S1259">
        <f t="shared" si="40"/>
        <v>1</v>
      </c>
    </row>
    <row r="1260" spans="1:19" x14ac:dyDescent="0.25">
      <c r="A1260" t="s">
        <v>2381</v>
      </c>
      <c r="B1260" t="s">
        <v>1199</v>
      </c>
      <c r="C1260">
        <v>1</v>
      </c>
      <c r="D1260">
        <v>1250</v>
      </c>
      <c r="E1260">
        <v>2500</v>
      </c>
      <c r="F1260">
        <v>9</v>
      </c>
      <c r="G1260">
        <v>9</v>
      </c>
      <c r="H1260" t="s">
        <v>1208</v>
      </c>
      <c r="I1260" s="1">
        <v>37108</v>
      </c>
      <c r="J1260" s="1">
        <v>37320</v>
      </c>
      <c r="K1260" s="1">
        <v>37351</v>
      </c>
      <c r="L1260" s="1">
        <v>37351</v>
      </c>
      <c r="M1260" s="1">
        <v>37351</v>
      </c>
      <c r="N1260" s="1">
        <v>37351</v>
      </c>
      <c r="O1260" t="s">
        <v>1117</v>
      </c>
      <c r="P1260">
        <v>1</v>
      </c>
      <c r="Q1260" t="s">
        <v>1215</v>
      </c>
      <c r="R1260">
        <f t="shared" si="39"/>
        <v>14</v>
      </c>
      <c r="S1260">
        <f t="shared" si="40"/>
        <v>1</v>
      </c>
    </row>
    <row r="1261" spans="1:19" x14ac:dyDescent="0.25">
      <c r="A1261" t="s">
        <v>2382</v>
      </c>
      <c r="B1261" t="s">
        <v>3631</v>
      </c>
      <c r="C1261">
        <v>1.2</v>
      </c>
      <c r="D1261">
        <v>1250</v>
      </c>
      <c r="E1261">
        <v>2350</v>
      </c>
      <c r="F1261">
        <v>6</v>
      </c>
      <c r="G1261">
        <v>6</v>
      </c>
      <c r="H1261" t="s">
        <v>1208</v>
      </c>
      <c r="I1261" s="1">
        <v>37159</v>
      </c>
      <c r="J1261" s="1">
        <v>37320</v>
      </c>
      <c r="K1261" t="s">
        <v>1124</v>
      </c>
      <c r="L1261" t="s">
        <v>1124</v>
      </c>
      <c r="M1261" s="1">
        <v>37337</v>
      </c>
      <c r="N1261" s="1">
        <v>37337</v>
      </c>
      <c r="O1261" t="s">
        <v>1117</v>
      </c>
      <c r="P1261">
        <v>3</v>
      </c>
      <c r="Q1261" t="s">
        <v>1215</v>
      </c>
      <c r="R1261">
        <f t="shared" si="39"/>
        <v>12</v>
      </c>
      <c r="S1261">
        <f t="shared" si="40"/>
        <v>1</v>
      </c>
    </row>
    <row r="1262" spans="1:19" x14ac:dyDescent="0.25">
      <c r="A1262" t="s">
        <v>2383</v>
      </c>
      <c r="B1262" t="s">
        <v>4028</v>
      </c>
      <c r="C1262">
        <v>1</v>
      </c>
      <c r="D1262">
        <v>1250</v>
      </c>
      <c r="E1262">
        <v>3000</v>
      </c>
      <c r="F1262">
        <v>20.010000000000002</v>
      </c>
      <c r="G1262">
        <v>20.010000000000002</v>
      </c>
      <c r="H1262" t="s">
        <v>1208</v>
      </c>
      <c r="I1262" s="1">
        <v>37159</v>
      </c>
      <c r="J1262" s="1">
        <v>37325</v>
      </c>
      <c r="K1262" s="1">
        <v>37328</v>
      </c>
      <c r="L1262" s="1">
        <v>37328</v>
      </c>
      <c r="M1262" s="1">
        <v>37335</v>
      </c>
      <c r="N1262" s="1">
        <v>37335</v>
      </c>
      <c r="O1262" t="s">
        <v>1117</v>
      </c>
      <c r="P1262">
        <v>2</v>
      </c>
      <c r="Q1262" t="s">
        <v>1215</v>
      </c>
      <c r="R1262">
        <f t="shared" si="39"/>
        <v>12</v>
      </c>
      <c r="S1262">
        <f t="shared" si="40"/>
        <v>1</v>
      </c>
    </row>
    <row r="1263" spans="1:19" x14ac:dyDescent="0.25">
      <c r="A1263" t="s">
        <v>2384</v>
      </c>
      <c r="B1263" t="s">
        <v>4028</v>
      </c>
      <c r="C1263">
        <v>2.5</v>
      </c>
      <c r="D1263">
        <v>1020</v>
      </c>
      <c r="E1263">
        <v>2500</v>
      </c>
      <c r="F1263">
        <v>20</v>
      </c>
      <c r="G1263">
        <v>3.9790000000000001</v>
      </c>
      <c r="H1263" t="s">
        <v>1208</v>
      </c>
      <c r="I1263" s="1">
        <v>37159</v>
      </c>
      <c r="J1263" s="1">
        <v>37325</v>
      </c>
      <c r="K1263" s="1">
        <v>37337</v>
      </c>
      <c r="L1263" s="1">
        <v>37337</v>
      </c>
      <c r="M1263" s="1">
        <v>37337</v>
      </c>
      <c r="N1263" s="1">
        <v>37337</v>
      </c>
      <c r="O1263" t="s">
        <v>1117</v>
      </c>
      <c r="P1263">
        <v>1</v>
      </c>
      <c r="Q1263" t="s">
        <v>1215</v>
      </c>
      <c r="R1263">
        <f t="shared" si="39"/>
        <v>12</v>
      </c>
      <c r="S1263">
        <f t="shared" si="40"/>
        <v>0</v>
      </c>
    </row>
    <row r="1264" spans="1:19" x14ac:dyDescent="0.25">
      <c r="A1264" t="s">
        <v>2385</v>
      </c>
      <c r="B1264" t="s">
        <v>1199</v>
      </c>
      <c r="C1264">
        <v>0.8</v>
      </c>
      <c r="D1264">
        <v>1250</v>
      </c>
      <c r="E1264">
        <v>3000</v>
      </c>
      <c r="F1264">
        <v>60</v>
      </c>
      <c r="G1264">
        <v>57.985999999999997</v>
      </c>
      <c r="H1264" t="s">
        <v>1208</v>
      </c>
      <c r="I1264" s="1">
        <v>37159</v>
      </c>
      <c r="J1264" s="1">
        <v>37314</v>
      </c>
      <c r="K1264" s="1">
        <v>37315</v>
      </c>
      <c r="L1264" s="1">
        <v>37315</v>
      </c>
      <c r="M1264" s="1">
        <v>37322</v>
      </c>
      <c r="N1264" s="1">
        <v>37322</v>
      </c>
      <c r="O1264" t="s">
        <v>1117</v>
      </c>
      <c r="P1264">
        <v>1</v>
      </c>
      <c r="Q1264" t="s">
        <v>1215</v>
      </c>
      <c r="R1264">
        <f t="shared" si="39"/>
        <v>10</v>
      </c>
      <c r="S1264">
        <f t="shared" si="40"/>
        <v>0</v>
      </c>
    </row>
    <row r="1265" spans="1:19" x14ac:dyDescent="0.25">
      <c r="A1265" t="s">
        <v>2386</v>
      </c>
      <c r="B1265" t="s">
        <v>1199</v>
      </c>
      <c r="C1265">
        <v>1.2</v>
      </c>
      <c r="D1265">
        <v>1250</v>
      </c>
      <c r="E1265">
        <v>2050</v>
      </c>
      <c r="F1265">
        <v>6</v>
      </c>
      <c r="G1265">
        <v>6</v>
      </c>
      <c r="H1265" t="s">
        <v>1208</v>
      </c>
      <c r="I1265" s="1">
        <v>37159</v>
      </c>
      <c r="J1265" s="1">
        <v>37319</v>
      </c>
      <c r="K1265" t="s">
        <v>1124</v>
      </c>
      <c r="L1265" t="s">
        <v>1124</v>
      </c>
      <c r="M1265" s="1">
        <v>37337</v>
      </c>
      <c r="N1265" s="1">
        <v>37337</v>
      </c>
      <c r="O1265" t="s">
        <v>1117</v>
      </c>
      <c r="P1265">
        <v>5</v>
      </c>
      <c r="Q1265" t="s">
        <v>1215</v>
      </c>
      <c r="R1265">
        <f t="shared" si="39"/>
        <v>12</v>
      </c>
      <c r="S1265">
        <f t="shared" si="40"/>
        <v>1</v>
      </c>
    </row>
    <row r="1266" spans="1:19" x14ac:dyDescent="0.25">
      <c r="A1266" t="s">
        <v>2387</v>
      </c>
      <c r="B1266" t="s">
        <v>4026</v>
      </c>
      <c r="C1266">
        <v>1.5</v>
      </c>
      <c r="D1266">
        <v>1250</v>
      </c>
      <c r="E1266">
        <v>2500</v>
      </c>
      <c r="F1266">
        <v>3</v>
      </c>
      <c r="G1266">
        <v>3</v>
      </c>
      <c r="H1266" t="s">
        <v>1208</v>
      </c>
      <c r="I1266" s="1">
        <v>37159</v>
      </c>
      <c r="J1266" s="1">
        <v>37320</v>
      </c>
      <c r="K1266" s="1">
        <v>37355</v>
      </c>
      <c r="L1266" s="1">
        <v>37355</v>
      </c>
      <c r="M1266" s="1">
        <v>37355</v>
      </c>
      <c r="N1266" s="1">
        <v>37355</v>
      </c>
      <c r="O1266" t="s">
        <v>1117</v>
      </c>
      <c r="P1266">
        <v>8</v>
      </c>
      <c r="Q1266" t="s">
        <v>1215</v>
      </c>
      <c r="R1266">
        <f t="shared" si="39"/>
        <v>15</v>
      </c>
      <c r="S1266">
        <f t="shared" si="40"/>
        <v>1</v>
      </c>
    </row>
    <row r="1267" spans="1:19" x14ac:dyDescent="0.25">
      <c r="A1267" t="s">
        <v>2388</v>
      </c>
      <c r="B1267" t="s">
        <v>4027</v>
      </c>
      <c r="C1267">
        <v>1.2</v>
      </c>
      <c r="D1267">
        <v>1250</v>
      </c>
      <c r="E1267">
        <v>2500</v>
      </c>
      <c r="F1267">
        <v>3</v>
      </c>
      <c r="G1267">
        <v>3</v>
      </c>
      <c r="H1267" t="s">
        <v>1208</v>
      </c>
      <c r="I1267" s="1">
        <v>37159</v>
      </c>
      <c r="J1267" s="1">
        <v>37319</v>
      </c>
      <c r="K1267" t="s">
        <v>1124</v>
      </c>
      <c r="L1267" t="s">
        <v>1124</v>
      </c>
      <c r="M1267" s="1">
        <v>37337</v>
      </c>
      <c r="N1267" s="1">
        <v>37337</v>
      </c>
      <c r="O1267" t="s">
        <v>1117</v>
      </c>
      <c r="P1267">
        <v>3</v>
      </c>
      <c r="Q1267" t="s">
        <v>1215</v>
      </c>
      <c r="R1267">
        <f t="shared" si="39"/>
        <v>12</v>
      </c>
      <c r="S1267">
        <f t="shared" si="40"/>
        <v>1</v>
      </c>
    </row>
    <row r="1268" spans="1:19" x14ac:dyDescent="0.25">
      <c r="A1268" t="s">
        <v>2389</v>
      </c>
      <c r="B1268" t="s">
        <v>1199</v>
      </c>
      <c r="C1268">
        <v>1</v>
      </c>
      <c r="D1268">
        <v>1250</v>
      </c>
      <c r="E1268">
        <v>2500</v>
      </c>
      <c r="F1268">
        <v>6</v>
      </c>
      <c r="G1268">
        <v>6</v>
      </c>
      <c r="H1268" t="s">
        <v>1208</v>
      </c>
      <c r="I1268" s="1">
        <v>37159</v>
      </c>
      <c r="J1268" s="1">
        <v>37319</v>
      </c>
      <c r="K1268" s="1">
        <v>37351</v>
      </c>
      <c r="L1268" s="1">
        <v>37351</v>
      </c>
      <c r="M1268" s="1">
        <v>37351</v>
      </c>
      <c r="N1268" s="1">
        <v>37351</v>
      </c>
      <c r="O1268" t="s">
        <v>1117</v>
      </c>
      <c r="P1268">
        <v>2</v>
      </c>
      <c r="Q1268" t="s">
        <v>1215</v>
      </c>
      <c r="R1268">
        <f t="shared" si="39"/>
        <v>14</v>
      </c>
      <c r="S1268">
        <f t="shared" si="40"/>
        <v>1</v>
      </c>
    </row>
    <row r="1269" spans="1:19" x14ac:dyDescent="0.25">
      <c r="A1269" t="s">
        <v>2390</v>
      </c>
      <c r="B1269" t="s">
        <v>4026</v>
      </c>
      <c r="C1269">
        <v>2</v>
      </c>
      <c r="D1269">
        <v>1020</v>
      </c>
      <c r="E1269">
        <v>2500</v>
      </c>
      <c r="F1269">
        <v>25</v>
      </c>
      <c r="G1269">
        <v>25</v>
      </c>
      <c r="H1269" t="s">
        <v>1208</v>
      </c>
      <c r="I1269" s="1">
        <v>37159</v>
      </c>
      <c r="J1269" s="1">
        <v>37323</v>
      </c>
      <c r="K1269" s="1">
        <v>37323</v>
      </c>
      <c r="L1269" s="1">
        <v>37323</v>
      </c>
      <c r="M1269" s="1">
        <v>37327</v>
      </c>
      <c r="N1269" s="1">
        <v>37327</v>
      </c>
      <c r="O1269" t="s">
        <v>1114</v>
      </c>
      <c r="P1269">
        <v>2</v>
      </c>
      <c r="Q1269" t="s">
        <v>1215</v>
      </c>
      <c r="R1269">
        <f t="shared" si="39"/>
        <v>11</v>
      </c>
      <c r="S1269">
        <f t="shared" si="40"/>
        <v>1</v>
      </c>
    </row>
    <row r="1270" spans="1:19" x14ac:dyDescent="0.25">
      <c r="A1270" t="s">
        <v>2391</v>
      </c>
      <c r="B1270" t="s">
        <v>1199</v>
      </c>
      <c r="C1270">
        <v>1</v>
      </c>
      <c r="D1270">
        <v>1250</v>
      </c>
      <c r="E1270">
        <v>2300</v>
      </c>
      <c r="F1270">
        <v>6</v>
      </c>
      <c r="G1270">
        <v>6</v>
      </c>
      <c r="H1270" t="s">
        <v>1208</v>
      </c>
      <c r="I1270" s="1">
        <v>37159</v>
      </c>
      <c r="J1270" s="1">
        <v>37312</v>
      </c>
      <c r="K1270" s="1">
        <v>37351</v>
      </c>
      <c r="L1270" s="1">
        <v>37351</v>
      </c>
      <c r="M1270" s="1">
        <v>37351</v>
      </c>
      <c r="N1270" s="1">
        <v>37351</v>
      </c>
      <c r="O1270" t="s">
        <v>1117</v>
      </c>
      <c r="P1270">
        <v>1</v>
      </c>
      <c r="Q1270" t="s">
        <v>1215</v>
      </c>
      <c r="R1270">
        <f t="shared" si="39"/>
        <v>14</v>
      </c>
      <c r="S1270">
        <f t="shared" si="40"/>
        <v>1</v>
      </c>
    </row>
    <row r="1271" spans="1:19" x14ac:dyDescent="0.25">
      <c r="A1271" t="s">
        <v>2392</v>
      </c>
      <c r="B1271" t="s">
        <v>4028</v>
      </c>
      <c r="C1271">
        <v>1.2</v>
      </c>
      <c r="D1271">
        <v>1250</v>
      </c>
      <c r="E1271">
        <v>3000</v>
      </c>
      <c r="F1271">
        <v>20.015999999999998</v>
      </c>
      <c r="G1271">
        <v>20.015999999999998</v>
      </c>
      <c r="H1271" t="s">
        <v>1208</v>
      </c>
      <c r="I1271" s="1">
        <v>37159</v>
      </c>
      <c r="J1271" s="1">
        <v>37314</v>
      </c>
      <c r="K1271" s="1">
        <v>37332</v>
      </c>
      <c r="L1271" s="1">
        <v>37332</v>
      </c>
      <c r="M1271" s="1">
        <v>37332</v>
      </c>
      <c r="N1271" s="1">
        <v>37332</v>
      </c>
      <c r="O1271" t="s">
        <v>1117</v>
      </c>
      <c r="P1271">
        <v>3</v>
      </c>
      <c r="Q1271" t="s">
        <v>1215</v>
      </c>
      <c r="R1271">
        <f t="shared" si="39"/>
        <v>12</v>
      </c>
      <c r="S1271">
        <f t="shared" si="40"/>
        <v>1</v>
      </c>
    </row>
    <row r="1272" spans="1:19" x14ac:dyDescent="0.25">
      <c r="A1272" t="s">
        <v>2393</v>
      </c>
      <c r="B1272" t="s">
        <v>1199</v>
      </c>
      <c r="C1272">
        <v>2.5</v>
      </c>
      <c r="D1272">
        <v>1020</v>
      </c>
      <c r="E1272">
        <v>2500</v>
      </c>
      <c r="F1272">
        <v>25</v>
      </c>
      <c r="G1272">
        <v>25</v>
      </c>
      <c r="H1272" t="s">
        <v>1208</v>
      </c>
      <c r="I1272" s="1">
        <v>37159</v>
      </c>
      <c r="J1272" s="1">
        <v>37320</v>
      </c>
      <c r="K1272" s="1">
        <v>37327</v>
      </c>
      <c r="L1272" s="1">
        <v>37327</v>
      </c>
      <c r="M1272" s="1">
        <v>37328</v>
      </c>
      <c r="N1272" s="1">
        <v>37328</v>
      </c>
      <c r="O1272" t="s">
        <v>1117</v>
      </c>
      <c r="P1272">
        <v>2</v>
      </c>
      <c r="Q1272" t="s">
        <v>1215</v>
      </c>
      <c r="R1272">
        <f t="shared" si="39"/>
        <v>11</v>
      </c>
      <c r="S1272">
        <f t="shared" si="40"/>
        <v>1</v>
      </c>
    </row>
    <row r="1273" spans="1:19" x14ac:dyDescent="0.25">
      <c r="A1273" t="s">
        <v>2394</v>
      </c>
      <c r="B1273" t="s">
        <v>4028</v>
      </c>
      <c r="C1273">
        <v>2</v>
      </c>
      <c r="D1273">
        <v>1020</v>
      </c>
      <c r="E1273">
        <v>2500</v>
      </c>
      <c r="F1273">
        <v>25</v>
      </c>
      <c r="G1273">
        <v>25</v>
      </c>
      <c r="H1273" t="s">
        <v>1208</v>
      </c>
      <c r="I1273" s="1">
        <v>37159</v>
      </c>
      <c r="J1273" s="1">
        <v>37320</v>
      </c>
      <c r="K1273" s="1">
        <v>37323</v>
      </c>
      <c r="L1273" s="1">
        <v>37323</v>
      </c>
      <c r="M1273" s="1">
        <v>37327</v>
      </c>
      <c r="N1273" s="1">
        <v>37327</v>
      </c>
      <c r="O1273" t="s">
        <v>1117</v>
      </c>
      <c r="P1273">
        <v>3</v>
      </c>
      <c r="Q1273" t="s">
        <v>1215</v>
      </c>
      <c r="R1273">
        <f t="shared" si="39"/>
        <v>11</v>
      </c>
      <c r="S1273">
        <f t="shared" si="40"/>
        <v>1</v>
      </c>
    </row>
    <row r="1274" spans="1:19" x14ac:dyDescent="0.25">
      <c r="A1274" t="s">
        <v>2395</v>
      </c>
      <c r="B1274" t="s">
        <v>4028</v>
      </c>
      <c r="C1274">
        <v>1</v>
      </c>
      <c r="D1274">
        <v>1250</v>
      </c>
      <c r="E1274">
        <v>2500</v>
      </c>
      <c r="F1274">
        <v>5</v>
      </c>
      <c r="G1274">
        <v>5</v>
      </c>
      <c r="H1274" t="s">
        <v>1208</v>
      </c>
      <c r="I1274" s="1">
        <v>37159</v>
      </c>
      <c r="J1274" s="1">
        <v>37323</v>
      </c>
      <c r="K1274" s="1">
        <v>37351</v>
      </c>
      <c r="L1274" s="1">
        <v>37351</v>
      </c>
      <c r="M1274" s="1">
        <v>37351</v>
      </c>
      <c r="N1274" s="1">
        <v>37351</v>
      </c>
      <c r="O1274" t="s">
        <v>1117</v>
      </c>
      <c r="P1274">
        <v>1</v>
      </c>
      <c r="Q1274" t="s">
        <v>1215</v>
      </c>
      <c r="R1274">
        <f t="shared" si="39"/>
        <v>14</v>
      </c>
      <c r="S1274">
        <f t="shared" si="40"/>
        <v>1</v>
      </c>
    </row>
    <row r="1275" spans="1:19" x14ac:dyDescent="0.25">
      <c r="A1275" t="s">
        <v>2396</v>
      </c>
      <c r="B1275" t="s">
        <v>1199</v>
      </c>
      <c r="C1275">
        <v>1.2</v>
      </c>
      <c r="D1275">
        <v>1250</v>
      </c>
      <c r="E1275">
        <v>2350</v>
      </c>
      <c r="F1275">
        <v>6</v>
      </c>
      <c r="G1275">
        <v>6</v>
      </c>
      <c r="H1275" t="s">
        <v>1208</v>
      </c>
      <c r="I1275" s="1">
        <v>37110</v>
      </c>
      <c r="J1275" s="1">
        <v>37321</v>
      </c>
      <c r="K1275" t="s">
        <v>1124</v>
      </c>
      <c r="L1275" t="s">
        <v>1124</v>
      </c>
      <c r="M1275" s="1">
        <v>37337</v>
      </c>
      <c r="N1275" s="1">
        <v>37337</v>
      </c>
      <c r="O1275" t="s">
        <v>1117</v>
      </c>
      <c r="P1275">
        <v>1</v>
      </c>
      <c r="Q1275" t="s">
        <v>1215</v>
      </c>
      <c r="R1275">
        <f t="shared" si="39"/>
        <v>12</v>
      </c>
      <c r="S1275">
        <f t="shared" si="40"/>
        <v>1</v>
      </c>
    </row>
    <row r="1276" spans="1:19" x14ac:dyDescent="0.25">
      <c r="A1276" t="s">
        <v>2397</v>
      </c>
      <c r="B1276" t="s">
        <v>4027</v>
      </c>
      <c r="C1276">
        <v>2</v>
      </c>
      <c r="D1276">
        <v>1020</v>
      </c>
      <c r="E1276">
        <v>2500</v>
      </c>
      <c r="F1276">
        <v>25</v>
      </c>
      <c r="G1276">
        <v>25</v>
      </c>
      <c r="H1276" t="s">
        <v>1208</v>
      </c>
      <c r="I1276" s="1">
        <v>37104</v>
      </c>
      <c r="J1276" s="1">
        <v>37319</v>
      </c>
      <c r="K1276" s="1">
        <v>37323</v>
      </c>
      <c r="L1276" s="1">
        <v>37323</v>
      </c>
      <c r="M1276" s="1">
        <v>37326</v>
      </c>
      <c r="N1276" s="1">
        <v>37326</v>
      </c>
      <c r="O1276" t="s">
        <v>1117</v>
      </c>
      <c r="P1276">
        <v>2</v>
      </c>
      <c r="Q1276" t="s">
        <v>1215</v>
      </c>
      <c r="R1276">
        <f t="shared" si="39"/>
        <v>11</v>
      </c>
      <c r="S1276">
        <f t="shared" si="40"/>
        <v>1</v>
      </c>
    </row>
    <row r="1277" spans="1:19" x14ac:dyDescent="0.25">
      <c r="A1277" t="s">
        <v>2398</v>
      </c>
      <c r="B1277" t="s">
        <v>4028</v>
      </c>
      <c r="C1277">
        <v>1.2</v>
      </c>
      <c r="D1277">
        <v>1250</v>
      </c>
      <c r="E1277">
        <v>2500</v>
      </c>
      <c r="F1277">
        <v>3</v>
      </c>
      <c r="G1277">
        <v>3</v>
      </c>
      <c r="H1277" t="s">
        <v>1208</v>
      </c>
      <c r="I1277" s="1">
        <v>37159</v>
      </c>
      <c r="J1277" s="1">
        <v>37323</v>
      </c>
      <c r="K1277" t="s">
        <v>1124</v>
      </c>
      <c r="L1277" t="s">
        <v>1124</v>
      </c>
      <c r="M1277" s="1">
        <v>37337</v>
      </c>
      <c r="N1277" s="1">
        <v>37337</v>
      </c>
      <c r="O1277" t="s">
        <v>1117</v>
      </c>
      <c r="P1277">
        <v>4</v>
      </c>
      <c r="Q1277" t="s">
        <v>1215</v>
      </c>
      <c r="R1277">
        <f t="shared" si="39"/>
        <v>12</v>
      </c>
      <c r="S1277">
        <f t="shared" si="40"/>
        <v>1</v>
      </c>
    </row>
    <row r="1278" spans="1:19" x14ac:dyDescent="0.25">
      <c r="A1278" t="s">
        <v>2399</v>
      </c>
      <c r="B1278" t="s">
        <v>4026</v>
      </c>
      <c r="C1278">
        <v>1</v>
      </c>
      <c r="D1278">
        <v>1250</v>
      </c>
      <c r="E1278">
        <v>2500</v>
      </c>
      <c r="F1278">
        <v>6</v>
      </c>
      <c r="G1278">
        <v>6</v>
      </c>
      <c r="H1278" t="s">
        <v>1208</v>
      </c>
      <c r="I1278" s="1">
        <v>37116</v>
      </c>
      <c r="J1278" s="1">
        <v>37319</v>
      </c>
      <c r="K1278" s="1">
        <v>37351</v>
      </c>
      <c r="L1278" s="1">
        <v>37351</v>
      </c>
      <c r="M1278" s="1">
        <v>37351</v>
      </c>
      <c r="N1278" s="1">
        <v>37351</v>
      </c>
      <c r="O1278" t="s">
        <v>1117</v>
      </c>
      <c r="P1278">
        <v>4</v>
      </c>
      <c r="Q1278" t="s">
        <v>1215</v>
      </c>
      <c r="R1278">
        <f t="shared" si="39"/>
        <v>14</v>
      </c>
      <c r="S1278">
        <f t="shared" si="40"/>
        <v>1</v>
      </c>
    </row>
    <row r="1279" spans="1:19" x14ac:dyDescent="0.25">
      <c r="A1279" t="s">
        <v>2400</v>
      </c>
      <c r="B1279" t="s">
        <v>4028</v>
      </c>
      <c r="C1279">
        <v>1</v>
      </c>
      <c r="D1279">
        <v>1250</v>
      </c>
      <c r="E1279">
        <v>2300</v>
      </c>
      <c r="F1279">
        <v>6</v>
      </c>
      <c r="G1279">
        <v>6</v>
      </c>
      <c r="H1279" t="s">
        <v>1208</v>
      </c>
      <c r="I1279" s="1">
        <v>37132</v>
      </c>
      <c r="J1279" s="1">
        <v>37323</v>
      </c>
      <c r="K1279" s="1">
        <v>37351</v>
      </c>
      <c r="L1279" s="1">
        <v>37351</v>
      </c>
      <c r="M1279" s="1">
        <v>37351</v>
      </c>
      <c r="N1279" s="1">
        <v>37351</v>
      </c>
      <c r="O1279" t="s">
        <v>1117</v>
      </c>
      <c r="P1279">
        <v>1</v>
      </c>
      <c r="Q1279" t="s">
        <v>1215</v>
      </c>
      <c r="R1279">
        <f t="shared" si="39"/>
        <v>14</v>
      </c>
      <c r="S1279">
        <f t="shared" si="40"/>
        <v>1</v>
      </c>
    </row>
    <row r="1280" spans="1:19" x14ac:dyDescent="0.25">
      <c r="A1280" t="s">
        <v>2401</v>
      </c>
      <c r="B1280" t="s">
        <v>1199</v>
      </c>
      <c r="C1280">
        <v>0.8</v>
      </c>
      <c r="D1280">
        <v>1000</v>
      </c>
      <c r="E1280">
        <v>2080</v>
      </c>
      <c r="F1280">
        <v>15</v>
      </c>
      <c r="G1280">
        <v>15</v>
      </c>
      <c r="H1280" t="s">
        <v>1208</v>
      </c>
      <c r="I1280" s="1">
        <v>37159</v>
      </c>
      <c r="J1280" s="1">
        <v>37323</v>
      </c>
      <c r="K1280" s="1">
        <v>37331</v>
      </c>
      <c r="L1280" s="1">
        <v>37331</v>
      </c>
      <c r="M1280" s="1">
        <v>37331</v>
      </c>
      <c r="N1280" s="1">
        <v>37331</v>
      </c>
      <c r="O1280" t="s">
        <v>1117</v>
      </c>
      <c r="P1280">
        <v>3</v>
      </c>
      <c r="Q1280" t="s">
        <v>1215</v>
      </c>
      <c r="R1280">
        <f t="shared" si="39"/>
        <v>11</v>
      </c>
      <c r="S1280">
        <f t="shared" si="40"/>
        <v>1</v>
      </c>
    </row>
    <row r="1281" spans="1:19" x14ac:dyDescent="0.25">
      <c r="A1281" t="s">
        <v>2402</v>
      </c>
      <c r="B1281" t="s">
        <v>4026</v>
      </c>
      <c r="C1281">
        <v>2</v>
      </c>
      <c r="D1281">
        <v>1250</v>
      </c>
      <c r="E1281">
        <v>2500</v>
      </c>
      <c r="F1281">
        <v>6</v>
      </c>
      <c r="G1281">
        <v>6</v>
      </c>
      <c r="H1281" t="s">
        <v>1208</v>
      </c>
      <c r="I1281" s="1">
        <v>37189</v>
      </c>
      <c r="J1281" s="1">
        <v>37325</v>
      </c>
      <c r="K1281" s="1">
        <v>37356</v>
      </c>
      <c r="L1281" s="1">
        <v>37356</v>
      </c>
      <c r="M1281" s="1">
        <v>37356</v>
      </c>
      <c r="N1281" s="1">
        <v>37356</v>
      </c>
      <c r="O1281" t="s">
        <v>1117</v>
      </c>
      <c r="P1281">
        <v>1</v>
      </c>
      <c r="Q1281" t="s">
        <v>1215</v>
      </c>
      <c r="R1281">
        <f t="shared" si="39"/>
        <v>15</v>
      </c>
      <c r="S1281">
        <f t="shared" si="40"/>
        <v>1</v>
      </c>
    </row>
    <row r="1282" spans="1:19" x14ac:dyDescent="0.25">
      <c r="A1282" t="s">
        <v>2403</v>
      </c>
      <c r="B1282" t="s">
        <v>4026</v>
      </c>
      <c r="C1282">
        <v>0.8</v>
      </c>
      <c r="D1282">
        <v>1250</v>
      </c>
      <c r="E1282">
        <v>2500</v>
      </c>
      <c r="F1282">
        <v>9</v>
      </c>
      <c r="G1282">
        <v>9</v>
      </c>
      <c r="H1282" t="s">
        <v>1208</v>
      </c>
      <c r="I1282" s="1">
        <v>37130</v>
      </c>
      <c r="J1282" s="1">
        <v>37312</v>
      </c>
      <c r="K1282" s="1">
        <v>37347</v>
      </c>
      <c r="L1282" s="1">
        <v>37347</v>
      </c>
      <c r="M1282" s="1">
        <v>37347</v>
      </c>
      <c r="N1282" s="1">
        <v>37353</v>
      </c>
      <c r="O1282" t="s">
        <v>1117</v>
      </c>
      <c r="P1282">
        <v>1</v>
      </c>
      <c r="Q1282" t="s">
        <v>1215</v>
      </c>
      <c r="R1282">
        <f t="shared" si="39"/>
        <v>15</v>
      </c>
      <c r="S1282">
        <f t="shared" si="40"/>
        <v>1</v>
      </c>
    </row>
    <row r="1283" spans="1:19" x14ac:dyDescent="0.25">
      <c r="A1283" t="s">
        <v>2404</v>
      </c>
      <c r="B1283" t="s">
        <v>1199</v>
      </c>
      <c r="C1283">
        <v>1.2</v>
      </c>
      <c r="D1283">
        <v>1250</v>
      </c>
      <c r="E1283">
        <v>2280</v>
      </c>
      <c r="F1283">
        <v>26</v>
      </c>
      <c r="G1283">
        <v>26</v>
      </c>
      <c r="H1283" t="s">
        <v>1208</v>
      </c>
      <c r="I1283" s="1">
        <v>37159</v>
      </c>
      <c r="J1283" s="1">
        <v>37323</v>
      </c>
      <c r="K1283" s="1">
        <v>37344</v>
      </c>
      <c r="L1283" s="1">
        <v>37344</v>
      </c>
      <c r="M1283" s="1">
        <v>37344</v>
      </c>
      <c r="N1283" s="1">
        <v>37344</v>
      </c>
      <c r="O1283" t="s">
        <v>1117</v>
      </c>
      <c r="P1283">
        <v>1</v>
      </c>
      <c r="Q1283" t="s">
        <v>1215</v>
      </c>
      <c r="R1283">
        <f t="shared" ref="R1283:R1346" si="41">WEEKNUM(N1283,1)</f>
        <v>13</v>
      </c>
      <c r="S1283">
        <f t="shared" ref="S1283:S1346" si="42">IF(AND(F1283=G1283, M1283&lt;=N1283), 1,0)</f>
        <v>1</v>
      </c>
    </row>
    <row r="1284" spans="1:19" x14ac:dyDescent="0.25">
      <c r="A1284" t="s">
        <v>2405</v>
      </c>
      <c r="B1284" t="s">
        <v>1199</v>
      </c>
      <c r="C1284">
        <v>0.8</v>
      </c>
      <c r="D1284">
        <v>1250</v>
      </c>
      <c r="E1284">
        <v>2500</v>
      </c>
      <c r="F1284">
        <v>4</v>
      </c>
      <c r="G1284">
        <v>4</v>
      </c>
      <c r="H1284" t="s">
        <v>1208</v>
      </c>
      <c r="I1284" s="1">
        <v>37106</v>
      </c>
      <c r="J1284" s="1">
        <v>37324</v>
      </c>
      <c r="K1284" s="1">
        <v>37347</v>
      </c>
      <c r="L1284" s="1">
        <v>37347</v>
      </c>
      <c r="M1284" s="1">
        <v>37353</v>
      </c>
      <c r="N1284" s="1">
        <v>37353</v>
      </c>
      <c r="O1284" t="s">
        <v>1117</v>
      </c>
      <c r="P1284">
        <v>5</v>
      </c>
      <c r="Q1284" t="s">
        <v>1215</v>
      </c>
      <c r="R1284">
        <f t="shared" si="41"/>
        <v>15</v>
      </c>
      <c r="S1284">
        <f t="shared" si="42"/>
        <v>1</v>
      </c>
    </row>
    <row r="1285" spans="1:19" x14ac:dyDescent="0.25">
      <c r="A1285" t="s">
        <v>2406</v>
      </c>
      <c r="B1285" t="s">
        <v>4028</v>
      </c>
      <c r="C1285">
        <v>0.8</v>
      </c>
      <c r="D1285">
        <v>1250</v>
      </c>
      <c r="E1285">
        <v>2500</v>
      </c>
      <c r="F1285">
        <v>3</v>
      </c>
      <c r="G1285">
        <v>3</v>
      </c>
      <c r="H1285" t="s">
        <v>1208</v>
      </c>
      <c r="I1285" s="1">
        <v>37159</v>
      </c>
      <c r="J1285" s="1">
        <v>37323</v>
      </c>
      <c r="K1285" s="1">
        <v>37345</v>
      </c>
      <c r="L1285" s="1">
        <v>37345</v>
      </c>
      <c r="M1285" s="1">
        <v>37345</v>
      </c>
      <c r="N1285" s="1">
        <v>37345</v>
      </c>
      <c r="O1285" t="s">
        <v>1117</v>
      </c>
      <c r="P1285">
        <v>2</v>
      </c>
      <c r="Q1285" t="s">
        <v>1215</v>
      </c>
      <c r="R1285">
        <f t="shared" si="41"/>
        <v>13</v>
      </c>
      <c r="S1285">
        <f t="shared" si="42"/>
        <v>1</v>
      </c>
    </row>
    <row r="1286" spans="1:19" x14ac:dyDescent="0.25">
      <c r="A1286" t="s">
        <v>2407</v>
      </c>
      <c r="B1286" t="s">
        <v>4028</v>
      </c>
      <c r="C1286">
        <v>1.8</v>
      </c>
      <c r="D1286">
        <v>1250</v>
      </c>
      <c r="E1286">
        <v>2500</v>
      </c>
      <c r="F1286">
        <v>20</v>
      </c>
      <c r="G1286">
        <v>20</v>
      </c>
      <c r="H1286" t="s">
        <v>1208</v>
      </c>
      <c r="I1286" s="1">
        <v>37159</v>
      </c>
      <c r="J1286" s="1">
        <v>37323</v>
      </c>
      <c r="K1286" s="1">
        <v>37337</v>
      </c>
      <c r="L1286" s="1">
        <v>37337</v>
      </c>
      <c r="M1286" s="1">
        <v>37337</v>
      </c>
      <c r="N1286" s="1">
        <v>37337</v>
      </c>
      <c r="O1286" t="s">
        <v>1117</v>
      </c>
      <c r="P1286">
        <v>1</v>
      </c>
      <c r="Q1286" t="s">
        <v>1215</v>
      </c>
      <c r="R1286">
        <f t="shared" si="41"/>
        <v>12</v>
      </c>
      <c r="S1286">
        <f t="shared" si="42"/>
        <v>1</v>
      </c>
    </row>
    <row r="1287" spans="1:19" x14ac:dyDescent="0.25">
      <c r="A1287" t="s">
        <v>2408</v>
      </c>
      <c r="B1287" t="s">
        <v>1199</v>
      </c>
      <c r="C1287">
        <v>1.5</v>
      </c>
      <c r="D1287">
        <v>1250</v>
      </c>
      <c r="E1287">
        <v>2500</v>
      </c>
      <c r="F1287">
        <v>20</v>
      </c>
      <c r="G1287">
        <v>20</v>
      </c>
      <c r="H1287" t="s">
        <v>1208</v>
      </c>
      <c r="I1287" s="1">
        <v>37159</v>
      </c>
      <c r="J1287" s="1">
        <v>37323</v>
      </c>
      <c r="K1287" s="1">
        <v>37347</v>
      </c>
      <c r="L1287" s="1">
        <v>37347</v>
      </c>
      <c r="M1287" s="1">
        <v>37347</v>
      </c>
      <c r="N1287" s="1">
        <v>37347</v>
      </c>
      <c r="O1287" t="s">
        <v>1117</v>
      </c>
      <c r="P1287">
        <v>1</v>
      </c>
      <c r="Q1287" t="s">
        <v>1215</v>
      </c>
      <c r="R1287">
        <f t="shared" si="41"/>
        <v>14</v>
      </c>
      <c r="S1287">
        <f t="shared" si="42"/>
        <v>1</v>
      </c>
    </row>
    <row r="1288" spans="1:19" x14ac:dyDescent="0.25">
      <c r="A1288" t="s">
        <v>2409</v>
      </c>
      <c r="B1288" t="s">
        <v>1199</v>
      </c>
      <c r="C1288">
        <v>0.8</v>
      </c>
      <c r="D1288">
        <v>1250</v>
      </c>
      <c r="E1288">
        <v>2500</v>
      </c>
      <c r="F1288">
        <v>75</v>
      </c>
      <c r="G1288">
        <v>59.566000000000003</v>
      </c>
      <c r="H1288" t="s">
        <v>1208</v>
      </c>
      <c r="I1288" s="1">
        <v>37159</v>
      </c>
      <c r="J1288" s="1">
        <v>37325</v>
      </c>
      <c r="K1288" s="1">
        <v>37348</v>
      </c>
      <c r="L1288" s="1">
        <v>37348</v>
      </c>
      <c r="M1288" s="1">
        <v>37348</v>
      </c>
      <c r="N1288" s="1">
        <v>37353</v>
      </c>
      <c r="O1288" t="s">
        <v>1117</v>
      </c>
      <c r="P1288">
        <v>6</v>
      </c>
      <c r="Q1288" t="s">
        <v>1215</v>
      </c>
      <c r="R1288">
        <f t="shared" si="41"/>
        <v>15</v>
      </c>
      <c r="S1288">
        <f t="shared" si="42"/>
        <v>0</v>
      </c>
    </row>
    <row r="1289" spans="1:19" x14ac:dyDescent="0.25">
      <c r="A1289" t="s">
        <v>2410</v>
      </c>
      <c r="B1289" t="s">
        <v>4028</v>
      </c>
      <c r="C1289">
        <v>0.8</v>
      </c>
      <c r="D1289">
        <v>1250</v>
      </c>
      <c r="E1289">
        <v>2030</v>
      </c>
      <c r="F1289">
        <v>15</v>
      </c>
      <c r="G1289">
        <v>15</v>
      </c>
      <c r="H1289" t="s">
        <v>1208</v>
      </c>
      <c r="I1289" s="1">
        <v>37159</v>
      </c>
      <c r="J1289" s="1">
        <v>37323</v>
      </c>
      <c r="K1289" s="1">
        <v>37348</v>
      </c>
      <c r="L1289" s="1">
        <v>37348</v>
      </c>
      <c r="M1289" s="1">
        <v>37348</v>
      </c>
      <c r="N1289" s="1">
        <v>37348</v>
      </c>
      <c r="O1289" t="s">
        <v>1117</v>
      </c>
      <c r="P1289">
        <v>2</v>
      </c>
      <c r="Q1289" t="s">
        <v>1215</v>
      </c>
      <c r="R1289">
        <f t="shared" si="41"/>
        <v>14</v>
      </c>
      <c r="S1289">
        <f t="shared" si="42"/>
        <v>1</v>
      </c>
    </row>
    <row r="1290" spans="1:19" x14ac:dyDescent="0.25">
      <c r="A1290" t="s">
        <v>2411</v>
      </c>
      <c r="B1290" t="s">
        <v>1199</v>
      </c>
      <c r="C1290">
        <v>2</v>
      </c>
      <c r="D1290">
        <v>1250</v>
      </c>
      <c r="E1290">
        <v>2500</v>
      </c>
      <c r="F1290">
        <v>30</v>
      </c>
      <c r="G1290">
        <v>30</v>
      </c>
      <c r="H1290" t="s">
        <v>1208</v>
      </c>
      <c r="I1290" s="1">
        <v>37159</v>
      </c>
      <c r="J1290" s="1">
        <v>37323</v>
      </c>
      <c r="K1290" s="1">
        <v>37356</v>
      </c>
      <c r="L1290" s="1">
        <v>37356</v>
      </c>
      <c r="M1290" s="1">
        <v>37356</v>
      </c>
      <c r="N1290" s="1">
        <v>37356</v>
      </c>
      <c r="O1290" t="s">
        <v>1117</v>
      </c>
      <c r="P1290">
        <v>2</v>
      </c>
      <c r="Q1290" t="s">
        <v>1215</v>
      </c>
      <c r="R1290">
        <f t="shared" si="41"/>
        <v>15</v>
      </c>
      <c r="S1290">
        <f t="shared" si="42"/>
        <v>1</v>
      </c>
    </row>
    <row r="1291" spans="1:19" x14ac:dyDescent="0.25">
      <c r="A1291" t="s">
        <v>2412</v>
      </c>
      <c r="B1291" t="s">
        <v>4028</v>
      </c>
      <c r="C1291">
        <v>1.2</v>
      </c>
      <c r="D1291">
        <v>1250</v>
      </c>
      <c r="E1291">
        <v>2280</v>
      </c>
      <c r="F1291">
        <v>6</v>
      </c>
      <c r="G1291">
        <v>6</v>
      </c>
      <c r="H1291" t="s">
        <v>1208</v>
      </c>
      <c r="I1291" s="1">
        <v>37133</v>
      </c>
      <c r="J1291" s="1">
        <v>37323</v>
      </c>
      <c r="K1291" s="1">
        <v>37344</v>
      </c>
      <c r="L1291" s="1">
        <v>37344</v>
      </c>
      <c r="M1291" s="1">
        <v>37344</v>
      </c>
      <c r="N1291" s="1">
        <v>37344</v>
      </c>
      <c r="O1291" t="s">
        <v>1117</v>
      </c>
      <c r="P1291">
        <v>4</v>
      </c>
      <c r="Q1291" t="s">
        <v>1215</v>
      </c>
      <c r="R1291">
        <f t="shared" si="41"/>
        <v>13</v>
      </c>
      <c r="S1291">
        <f t="shared" si="42"/>
        <v>1</v>
      </c>
    </row>
    <row r="1292" spans="1:19" x14ac:dyDescent="0.25">
      <c r="A1292" t="s">
        <v>2413</v>
      </c>
      <c r="B1292" t="s">
        <v>4028</v>
      </c>
      <c r="C1292">
        <v>0.8</v>
      </c>
      <c r="D1292">
        <v>1250</v>
      </c>
      <c r="E1292">
        <v>2500</v>
      </c>
      <c r="F1292">
        <v>3</v>
      </c>
      <c r="G1292">
        <v>3</v>
      </c>
      <c r="H1292" t="s">
        <v>1208</v>
      </c>
      <c r="I1292" s="1">
        <v>37159</v>
      </c>
      <c r="J1292" s="1">
        <v>37323</v>
      </c>
      <c r="K1292" s="1">
        <v>37345</v>
      </c>
      <c r="L1292" s="1">
        <v>37345</v>
      </c>
      <c r="M1292" s="1">
        <v>37345</v>
      </c>
      <c r="N1292" s="1">
        <v>37345</v>
      </c>
      <c r="O1292" t="s">
        <v>1117</v>
      </c>
      <c r="P1292">
        <v>4</v>
      </c>
      <c r="Q1292" t="s">
        <v>1215</v>
      </c>
      <c r="R1292">
        <f t="shared" si="41"/>
        <v>13</v>
      </c>
      <c r="S1292">
        <f t="shared" si="42"/>
        <v>1</v>
      </c>
    </row>
    <row r="1293" spans="1:19" x14ac:dyDescent="0.25">
      <c r="A1293" t="s">
        <v>2414</v>
      </c>
      <c r="B1293" t="s">
        <v>1199</v>
      </c>
      <c r="C1293">
        <v>0.8</v>
      </c>
      <c r="D1293">
        <v>1250</v>
      </c>
      <c r="E1293">
        <v>2510</v>
      </c>
      <c r="F1293">
        <v>32</v>
      </c>
      <c r="G1293">
        <v>32</v>
      </c>
      <c r="H1293" t="s">
        <v>1208</v>
      </c>
      <c r="I1293" s="1">
        <v>37124</v>
      </c>
      <c r="J1293" s="1">
        <v>37322</v>
      </c>
      <c r="K1293" s="1">
        <v>37348</v>
      </c>
      <c r="L1293" s="1">
        <v>37348</v>
      </c>
      <c r="M1293" s="1">
        <v>37348</v>
      </c>
      <c r="N1293" s="1">
        <v>37348</v>
      </c>
      <c r="O1293" t="s">
        <v>1117</v>
      </c>
      <c r="P1293">
        <v>1</v>
      </c>
      <c r="Q1293" t="s">
        <v>1215</v>
      </c>
      <c r="R1293">
        <f t="shared" si="41"/>
        <v>14</v>
      </c>
      <c r="S1293">
        <f t="shared" si="42"/>
        <v>1</v>
      </c>
    </row>
    <row r="1294" spans="1:19" x14ac:dyDescent="0.25">
      <c r="A1294" t="s">
        <v>2415</v>
      </c>
      <c r="B1294" t="s">
        <v>4026</v>
      </c>
      <c r="C1294">
        <v>1.2</v>
      </c>
      <c r="D1294">
        <v>1250</v>
      </c>
      <c r="E1294">
        <v>2280</v>
      </c>
      <c r="F1294">
        <v>3</v>
      </c>
      <c r="G1294">
        <v>3</v>
      </c>
      <c r="H1294" t="s">
        <v>1208</v>
      </c>
      <c r="I1294" s="1">
        <v>37132</v>
      </c>
      <c r="J1294" s="1">
        <v>37323</v>
      </c>
      <c r="K1294" s="1">
        <v>37344</v>
      </c>
      <c r="L1294" s="1">
        <v>37344</v>
      </c>
      <c r="M1294" s="1">
        <v>37344</v>
      </c>
      <c r="N1294" s="1">
        <v>37344</v>
      </c>
      <c r="O1294" t="s">
        <v>1117</v>
      </c>
      <c r="P1294">
        <v>2</v>
      </c>
      <c r="Q1294" t="s">
        <v>1215</v>
      </c>
      <c r="R1294">
        <f t="shared" si="41"/>
        <v>13</v>
      </c>
      <c r="S1294">
        <f t="shared" si="42"/>
        <v>1</v>
      </c>
    </row>
    <row r="1295" spans="1:19" x14ac:dyDescent="0.25">
      <c r="A1295" t="s">
        <v>2416</v>
      </c>
      <c r="B1295" t="s">
        <v>4028</v>
      </c>
      <c r="C1295">
        <v>0.8</v>
      </c>
      <c r="D1295">
        <v>1250</v>
      </c>
      <c r="E1295">
        <v>2500</v>
      </c>
      <c r="F1295">
        <v>3</v>
      </c>
      <c r="G1295">
        <v>3</v>
      </c>
      <c r="H1295" t="s">
        <v>1208</v>
      </c>
      <c r="I1295" s="1">
        <v>37114</v>
      </c>
      <c r="J1295" s="1">
        <v>37321</v>
      </c>
      <c r="K1295" s="1">
        <v>37345</v>
      </c>
      <c r="L1295" s="1">
        <v>37345</v>
      </c>
      <c r="M1295" s="1">
        <v>37345</v>
      </c>
      <c r="N1295" s="1">
        <v>37345</v>
      </c>
      <c r="O1295" t="s">
        <v>1117</v>
      </c>
      <c r="P1295">
        <v>3</v>
      </c>
      <c r="Q1295" t="s">
        <v>1215</v>
      </c>
      <c r="R1295">
        <f t="shared" si="41"/>
        <v>13</v>
      </c>
      <c r="S1295">
        <f t="shared" si="42"/>
        <v>1</v>
      </c>
    </row>
    <row r="1296" spans="1:19" x14ac:dyDescent="0.25">
      <c r="A1296" t="s">
        <v>2417</v>
      </c>
      <c r="B1296" t="s">
        <v>1199</v>
      </c>
      <c r="C1296">
        <v>0.8</v>
      </c>
      <c r="D1296">
        <v>1000</v>
      </c>
      <c r="E1296">
        <v>2500</v>
      </c>
      <c r="F1296">
        <v>12</v>
      </c>
      <c r="G1296">
        <v>4.8179999999999996</v>
      </c>
      <c r="H1296" t="s">
        <v>1208</v>
      </c>
      <c r="I1296" s="1">
        <v>37159</v>
      </c>
      <c r="J1296" s="1">
        <v>37325</v>
      </c>
      <c r="K1296" s="1">
        <v>37351</v>
      </c>
      <c r="L1296" s="1">
        <v>37351</v>
      </c>
      <c r="M1296" s="1">
        <v>37351</v>
      </c>
      <c r="N1296" s="1">
        <v>37351</v>
      </c>
      <c r="O1296" t="s">
        <v>1117</v>
      </c>
      <c r="P1296">
        <v>3</v>
      </c>
      <c r="Q1296" t="s">
        <v>1215</v>
      </c>
      <c r="R1296">
        <f t="shared" si="41"/>
        <v>14</v>
      </c>
      <c r="S1296">
        <f t="shared" si="42"/>
        <v>0</v>
      </c>
    </row>
    <row r="1297" spans="1:19" x14ac:dyDescent="0.25">
      <c r="A1297" t="s">
        <v>2418</v>
      </c>
      <c r="B1297" t="s">
        <v>4028</v>
      </c>
      <c r="C1297">
        <v>0.8</v>
      </c>
      <c r="D1297">
        <v>1250</v>
      </c>
      <c r="E1297">
        <v>2500</v>
      </c>
      <c r="F1297">
        <v>3</v>
      </c>
      <c r="G1297">
        <v>3</v>
      </c>
      <c r="H1297" t="s">
        <v>1208</v>
      </c>
      <c r="I1297" s="1">
        <v>37159</v>
      </c>
      <c r="J1297" s="1">
        <v>37325</v>
      </c>
      <c r="K1297" s="1">
        <v>37345</v>
      </c>
      <c r="L1297" s="1">
        <v>37345</v>
      </c>
      <c r="M1297" s="1">
        <v>37345</v>
      </c>
      <c r="N1297" s="1">
        <v>37345</v>
      </c>
      <c r="O1297" t="s">
        <v>1117</v>
      </c>
      <c r="P1297">
        <v>6</v>
      </c>
      <c r="Q1297" t="s">
        <v>1215</v>
      </c>
      <c r="R1297">
        <f t="shared" si="41"/>
        <v>13</v>
      </c>
      <c r="S1297">
        <f t="shared" si="42"/>
        <v>1</v>
      </c>
    </row>
    <row r="1298" spans="1:19" x14ac:dyDescent="0.25">
      <c r="A1298" t="s">
        <v>2419</v>
      </c>
      <c r="B1298" t="s">
        <v>1199</v>
      </c>
      <c r="C1298">
        <v>0.8</v>
      </c>
      <c r="D1298">
        <v>1250</v>
      </c>
      <c r="E1298">
        <v>2500</v>
      </c>
      <c r="F1298">
        <v>9</v>
      </c>
      <c r="G1298">
        <v>9</v>
      </c>
      <c r="H1298" t="s">
        <v>1208</v>
      </c>
      <c r="I1298" s="1">
        <v>37130</v>
      </c>
      <c r="J1298" s="1">
        <v>37313</v>
      </c>
      <c r="K1298" s="1">
        <v>37347</v>
      </c>
      <c r="L1298" s="1">
        <v>37347</v>
      </c>
      <c r="M1298" s="1">
        <v>37347</v>
      </c>
      <c r="N1298" s="1">
        <v>37353</v>
      </c>
      <c r="O1298" t="s">
        <v>1117</v>
      </c>
      <c r="P1298">
        <v>2</v>
      </c>
      <c r="Q1298" t="s">
        <v>1215</v>
      </c>
      <c r="R1298">
        <f t="shared" si="41"/>
        <v>15</v>
      </c>
      <c r="S1298">
        <f t="shared" si="42"/>
        <v>1</v>
      </c>
    </row>
    <row r="1299" spans="1:19" x14ac:dyDescent="0.25">
      <c r="A1299" t="s">
        <v>2420</v>
      </c>
      <c r="B1299" t="s">
        <v>4026</v>
      </c>
      <c r="C1299">
        <v>1.2</v>
      </c>
      <c r="D1299">
        <v>1250</v>
      </c>
      <c r="E1299">
        <v>2500</v>
      </c>
      <c r="F1299">
        <v>28</v>
      </c>
      <c r="G1299">
        <v>20.262</v>
      </c>
      <c r="H1299" t="s">
        <v>1208</v>
      </c>
      <c r="I1299" s="1">
        <v>37106</v>
      </c>
      <c r="J1299" s="1">
        <v>37324</v>
      </c>
      <c r="K1299" s="1">
        <v>37335</v>
      </c>
      <c r="L1299" s="1">
        <v>37335</v>
      </c>
      <c r="M1299" s="1">
        <v>37342</v>
      </c>
      <c r="N1299" s="1">
        <v>37344</v>
      </c>
      <c r="O1299" t="s">
        <v>1117</v>
      </c>
      <c r="P1299">
        <v>2</v>
      </c>
      <c r="Q1299" t="s">
        <v>1215</v>
      </c>
      <c r="R1299">
        <f t="shared" si="41"/>
        <v>13</v>
      </c>
      <c r="S1299">
        <f t="shared" si="42"/>
        <v>0</v>
      </c>
    </row>
    <row r="1300" spans="1:19" x14ac:dyDescent="0.25">
      <c r="A1300" t="s">
        <v>2421</v>
      </c>
      <c r="B1300" t="s">
        <v>1199</v>
      </c>
      <c r="C1300">
        <v>0.8</v>
      </c>
      <c r="D1300">
        <v>1250</v>
      </c>
      <c r="E1300">
        <v>2500</v>
      </c>
      <c r="F1300">
        <v>7</v>
      </c>
      <c r="G1300">
        <v>7</v>
      </c>
      <c r="H1300" t="s">
        <v>1208</v>
      </c>
      <c r="I1300" s="1">
        <v>37106</v>
      </c>
      <c r="J1300" s="1">
        <v>37314</v>
      </c>
      <c r="K1300" s="1">
        <v>37340</v>
      </c>
      <c r="L1300" s="1">
        <v>37340</v>
      </c>
      <c r="M1300" s="1">
        <v>37333</v>
      </c>
      <c r="N1300" s="1">
        <v>37333</v>
      </c>
      <c r="O1300" t="s">
        <v>1117</v>
      </c>
      <c r="P1300">
        <v>5</v>
      </c>
      <c r="Q1300" t="s">
        <v>1215</v>
      </c>
      <c r="R1300">
        <f t="shared" si="41"/>
        <v>12</v>
      </c>
      <c r="S1300">
        <f t="shared" si="42"/>
        <v>1</v>
      </c>
    </row>
    <row r="1301" spans="1:19" x14ac:dyDescent="0.25">
      <c r="A1301" t="s">
        <v>2422</v>
      </c>
      <c r="B1301" t="s">
        <v>4027</v>
      </c>
      <c r="C1301">
        <v>0.8</v>
      </c>
      <c r="D1301">
        <v>1250</v>
      </c>
      <c r="E1301">
        <v>2500</v>
      </c>
      <c r="F1301">
        <v>12</v>
      </c>
      <c r="G1301">
        <v>12</v>
      </c>
      <c r="H1301" t="s">
        <v>1208</v>
      </c>
      <c r="I1301" s="1">
        <v>37126</v>
      </c>
      <c r="J1301" s="1">
        <v>37322</v>
      </c>
      <c r="K1301" s="1">
        <v>37354</v>
      </c>
      <c r="L1301" s="1">
        <v>37354</v>
      </c>
      <c r="M1301" s="1">
        <v>37353</v>
      </c>
      <c r="N1301" s="1">
        <v>37353</v>
      </c>
      <c r="O1301" t="s">
        <v>1117</v>
      </c>
      <c r="P1301">
        <v>1</v>
      </c>
      <c r="Q1301" t="s">
        <v>1215</v>
      </c>
      <c r="R1301">
        <f t="shared" si="41"/>
        <v>15</v>
      </c>
      <c r="S1301">
        <f t="shared" si="42"/>
        <v>1</v>
      </c>
    </row>
    <row r="1302" spans="1:19" x14ac:dyDescent="0.25">
      <c r="A1302" t="s">
        <v>2423</v>
      </c>
      <c r="B1302" t="s">
        <v>4026</v>
      </c>
      <c r="C1302">
        <v>0.8</v>
      </c>
      <c r="D1302">
        <v>1250</v>
      </c>
      <c r="E1302">
        <v>2500</v>
      </c>
      <c r="F1302">
        <v>5</v>
      </c>
      <c r="G1302">
        <v>5</v>
      </c>
      <c r="H1302" t="s">
        <v>1208</v>
      </c>
      <c r="I1302" s="1">
        <v>37110</v>
      </c>
      <c r="J1302" s="1">
        <v>37321</v>
      </c>
      <c r="K1302" s="1">
        <v>37345</v>
      </c>
      <c r="L1302" s="1">
        <v>37345</v>
      </c>
      <c r="M1302" s="1">
        <v>37345</v>
      </c>
      <c r="N1302" s="1">
        <v>37345</v>
      </c>
      <c r="O1302" t="s">
        <v>1117</v>
      </c>
      <c r="P1302">
        <v>2</v>
      </c>
      <c r="Q1302" t="s">
        <v>1215</v>
      </c>
      <c r="R1302">
        <f t="shared" si="41"/>
        <v>13</v>
      </c>
      <c r="S1302">
        <f t="shared" si="42"/>
        <v>1</v>
      </c>
    </row>
    <row r="1303" spans="1:19" x14ac:dyDescent="0.25">
      <c r="A1303" t="s">
        <v>2424</v>
      </c>
      <c r="B1303" t="s">
        <v>1199</v>
      </c>
      <c r="C1303">
        <v>1.2</v>
      </c>
      <c r="D1303">
        <v>1250</v>
      </c>
      <c r="E1303">
        <v>2500</v>
      </c>
      <c r="F1303">
        <v>12</v>
      </c>
      <c r="G1303">
        <v>2.6539999999999999</v>
      </c>
      <c r="H1303" t="s">
        <v>1208</v>
      </c>
      <c r="I1303" s="1">
        <v>37106</v>
      </c>
      <c r="J1303" s="1">
        <v>37324</v>
      </c>
      <c r="K1303" s="1">
        <v>37344</v>
      </c>
      <c r="L1303" s="1">
        <v>37344</v>
      </c>
      <c r="M1303" s="1">
        <v>37344</v>
      </c>
      <c r="N1303" s="1">
        <v>37344</v>
      </c>
      <c r="O1303" t="s">
        <v>1117</v>
      </c>
      <c r="P1303">
        <v>3</v>
      </c>
      <c r="Q1303" t="s">
        <v>1215</v>
      </c>
      <c r="R1303">
        <f t="shared" si="41"/>
        <v>13</v>
      </c>
      <c r="S1303">
        <f t="shared" si="42"/>
        <v>0</v>
      </c>
    </row>
    <row r="1304" spans="1:19" x14ac:dyDescent="0.25">
      <c r="A1304" t="s">
        <v>2425</v>
      </c>
      <c r="B1304" t="s">
        <v>1199</v>
      </c>
      <c r="C1304">
        <v>1.2</v>
      </c>
      <c r="D1304">
        <v>1000</v>
      </c>
      <c r="E1304">
        <v>2500</v>
      </c>
      <c r="F1304">
        <v>10</v>
      </c>
      <c r="G1304">
        <v>10</v>
      </c>
      <c r="H1304" t="s">
        <v>1208</v>
      </c>
      <c r="I1304" s="1">
        <v>37159</v>
      </c>
      <c r="J1304" s="1">
        <v>37319</v>
      </c>
      <c r="K1304" s="1">
        <v>37328</v>
      </c>
      <c r="L1304" s="1">
        <v>37328</v>
      </c>
      <c r="M1304" s="1">
        <v>37327</v>
      </c>
      <c r="N1304" s="1">
        <v>37327</v>
      </c>
      <c r="O1304" t="s">
        <v>1117</v>
      </c>
      <c r="P1304">
        <v>1</v>
      </c>
      <c r="Q1304" t="s">
        <v>1215</v>
      </c>
      <c r="R1304">
        <f t="shared" si="41"/>
        <v>11</v>
      </c>
      <c r="S1304">
        <f t="shared" si="42"/>
        <v>1</v>
      </c>
    </row>
    <row r="1305" spans="1:19" x14ac:dyDescent="0.25">
      <c r="A1305" t="s">
        <v>2426</v>
      </c>
      <c r="B1305" t="s">
        <v>1199</v>
      </c>
      <c r="C1305">
        <v>0.8</v>
      </c>
      <c r="D1305">
        <v>1250</v>
      </c>
      <c r="E1305">
        <v>2510</v>
      </c>
      <c r="F1305">
        <v>40</v>
      </c>
      <c r="G1305">
        <v>40</v>
      </c>
      <c r="H1305" t="s">
        <v>1208</v>
      </c>
      <c r="I1305" s="1">
        <v>37110</v>
      </c>
      <c r="J1305" s="1">
        <v>37321</v>
      </c>
      <c r="K1305" s="1">
        <v>37341</v>
      </c>
      <c r="L1305" s="1">
        <v>37347</v>
      </c>
      <c r="M1305" s="1">
        <v>37348</v>
      </c>
      <c r="N1305" s="1">
        <v>37348</v>
      </c>
      <c r="O1305" t="s">
        <v>1117</v>
      </c>
      <c r="P1305">
        <v>1</v>
      </c>
      <c r="Q1305" t="s">
        <v>1215</v>
      </c>
      <c r="R1305">
        <f t="shared" si="41"/>
        <v>14</v>
      </c>
      <c r="S1305">
        <f t="shared" si="42"/>
        <v>1</v>
      </c>
    </row>
    <row r="1306" spans="1:19" x14ac:dyDescent="0.25">
      <c r="A1306" t="s">
        <v>2427</v>
      </c>
      <c r="B1306" t="s">
        <v>1199</v>
      </c>
      <c r="C1306">
        <v>0.8</v>
      </c>
      <c r="D1306">
        <v>1250</v>
      </c>
      <c r="E1306">
        <v>2500</v>
      </c>
      <c r="F1306">
        <v>30</v>
      </c>
      <c r="G1306">
        <v>30</v>
      </c>
      <c r="H1306" t="s">
        <v>1208</v>
      </c>
      <c r="I1306" s="1">
        <v>37119</v>
      </c>
      <c r="J1306" s="1">
        <v>37322</v>
      </c>
      <c r="K1306" s="1">
        <v>37347</v>
      </c>
      <c r="L1306" s="1">
        <v>37347</v>
      </c>
      <c r="M1306" s="1">
        <v>37347</v>
      </c>
      <c r="N1306" s="1">
        <v>37354</v>
      </c>
      <c r="O1306" t="s">
        <v>1117</v>
      </c>
      <c r="P1306">
        <v>1</v>
      </c>
      <c r="Q1306" t="s">
        <v>1215</v>
      </c>
      <c r="R1306">
        <f t="shared" si="41"/>
        <v>15</v>
      </c>
      <c r="S1306">
        <f t="shared" si="42"/>
        <v>1</v>
      </c>
    </row>
    <row r="1307" spans="1:19" x14ac:dyDescent="0.25">
      <c r="A1307" t="s">
        <v>2428</v>
      </c>
      <c r="B1307" t="s">
        <v>4026</v>
      </c>
      <c r="C1307">
        <v>1</v>
      </c>
      <c r="D1307">
        <v>1250</v>
      </c>
      <c r="E1307">
        <v>2350</v>
      </c>
      <c r="F1307">
        <v>6</v>
      </c>
      <c r="G1307">
        <v>6</v>
      </c>
      <c r="H1307" t="s">
        <v>1208</v>
      </c>
      <c r="I1307" s="1">
        <v>37119</v>
      </c>
      <c r="J1307" s="1">
        <v>37322</v>
      </c>
      <c r="K1307" s="1">
        <v>37365</v>
      </c>
      <c r="L1307" s="1">
        <v>37365</v>
      </c>
      <c r="M1307" s="1">
        <v>37361</v>
      </c>
      <c r="N1307" s="1">
        <v>37362</v>
      </c>
      <c r="O1307" t="s">
        <v>1117</v>
      </c>
      <c r="P1307">
        <v>1</v>
      </c>
      <c r="Q1307" t="s">
        <v>1215</v>
      </c>
      <c r="R1307">
        <f t="shared" si="41"/>
        <v>16</v>
      </c>
      <c r="S1307">
        <f t="shared" si="42"/>
        <v>1</v>
      </c>
    </row>
    <row r="1308" spans="1:19" x14ac:dyDescent="0.25">
      <c r="A1308" t="s">
        <v>2429</v>
      </c>
      <c r="B1308" t="s">
        <v>1199</v>
      </c>
      <c r="C1308">
        <v>1.2</v>
      </c>
      <c r="D1308">
        <v>1250</v>
      </c>
      <c r="E1308">
        <v>2500</v>
      </c>
      <c r="F1308">
        <v>15</v>
      </c>
      <c r="G1308">
        <v>15</v>
      </c>
      <c r="H1308" t="s">
        <v>1208</v>
      </c>
      <c r="I1308" s="1">
        <v>37114</v>
      </c>
      <c r="J1308" s="1">
        <v>37321</v>
      </c>
      <c r="K1308" t="s">
        <v>1124</v>
      </c>
      <c r="L1308" t="s">
        <v>1124</v>
      </c>
      <c r="M1308" s="1">
        <v>37339</v>
      </c>
      <c r="N1308" s="1">
        <v>37339</v>
      </c>
      <c r="O1308" t="s">
        <v>1117</v>
      </c>
      <c r="P1308">
        <v>3</v>
      </c>
      <c r="Q1308" t="s">
        <v>1215</v>
      </c>
      <c r="R1308">
        <f t="shared" si="41"/>
        <v>13</v>
      </c>
      <c r="S1308">
        <f t="shared" si="42"/>
        <v>1</v>
      </c>
    </row>
    <row r="1309" spans="1:19" x14ac:dyDescent="0.25">
      <c r="A1309" t="s">
        <v>2430</v>
      </c>
      <c r="B1309" t="s">
        <v>4028</v>
      </c>
      <c r="C1309">
        <v>0.6</v>
      </c>
      <c r="D1309">
        <v>1250</v>
      </c>
      <c r="E1309">
        <v>2500</v>
      </c>
      <c r="F1309">
        <v>3</v>
      </c>
      <c r="G1309">
        <v>3</v>
      </c>
      <c r="H1309" t="s">
        <v>1208</v>
      </c>
      <c r="I1309" s="1">
        <v>37114</v>
      </c>
      <c r="J1309" s="1">
        <v>37321</v>
      </c>
      <c r="K1309" s="1">
        <v>37375</v>
      </c>
      <c r="L1309" s="1">
        <v>37375</v>
      </c>
      <c r="M1309" s="1">
        <v>37368</v>
      </c>
      <c r="N1309" s="1">
        <v>37368</v>
      </c>
      <c r="O1309" t="s">
        <v>1117</v>
      </c>
      <c r="P1309">
        <v>1</v>
      </c>
      <c r="Q1309" t="s">
        <v>1215</v>
      </c>
      <c r="R1309">
        <f t="shared" si="41"/>
        <v>17</v>
      </c>
      <c r="S1309">
        <f t="shared" si="42"/>
        <v>1</v>
      </c>
    </row>
    <row r="1310" spans="1:19" x14ac:dyDescent="0.25">
      <c r="A1310" t="s">
        <v>2431</v>
      </c>
      <c r="B1310" t="s">
        <v>4028</v>
      </c>
      <c r="C1310">
        <v>0.6</v>
      </c>
      <c r="D1310">
        <v>1250</v>
      </c>
      <c r="E1310">
        <v>2500</v>
      </c>
      <c r="F1310">
        <v>3</v>
      </c>
      <c r="G1310">
        <v>3</v>
      </c>
      <c r="H1310" t="s">
        <v>1208</v>
      </c>
      <c r="I1310" s="1">
        <v>37159</v>
      </c>
      <c r="J1310" s="1">
        <v>37319</v>
      </c>
      <c r="K1310" t="s">
        <v>1124</v>
      </c>
      <c r="L1310" t="s">
        <v>1124</v>
      </c>
      <c r="M1310" s="1">
        <v>37337</v>
      </c>
      <c r="N1310" s="1">
        <v>37337</v>
      </c>
      <c r="O1310" t="s">
        <v>1117</v>
      </c>
      <c r="P1310">
        <v>2</v>
      </c>
      <c r="Q1310" t="s">
        <v>1215</v>
      </c>
      <c r="R1310">
        <f t="shared" si="41"/>
        <v>12</v>
      </c>
      <c r="S1310">
        <f t="shared" si="42"/>
        <v>1</v>
      </c>
    </row>
    <row r="1311" spans="1:19" x14ac:dyDescent="0.25">
      <c r="A1311" t="s">
        <v>2432</v>
      </c>
      <c r="B1311" t="s">
        <v>1199</v>
      </c>
      <c r="C1311">
        <v>0.6</v>
      </c>
      <c r="D1311">
        <v>1250</v>
      </c>
      <c r="E1311">
        <v>2500</v>
      </c>
      <c r="F1311">
        <v>3</v>
      </c>
      <c r="G1311">
        <v>3</v>
      </c>
      <c r="H1311" t="s">
        <v>1208</v>
      </c>
      <c r="I1311" s="1">
        <v>37114</v>
      </c>
      <c r="J1311" s="1">
        <v>37321</v>
      </c>
      <c r="K1311" s="1">
        <v>37375</v>
      </c>
      <c r="L1311" s="1">
        <v>37375</v>
      </c>
      <c r="M1311" s="1">
        <v>37368</v>
      </c>
      <c r="N1311" s="1">
        <v>37368</v>
      </c>
      <c r="O1311" t="s">
        <v>1117</v>
      </c>
      <c r="P1311">
        <v>1</v>
      </c>
      <c r="Q1311" t="s">
        <v>1215</v>
      </c>
      <c r="R1311">
        <f t="shared" si="41"/>
        <v>17</v>
      </c>
      <c r="S1311">
        <f t="shared" si="42"/>
        <v>1</v>
      </c>
    </row>
    <row r="1312" spans="1:19" x14ac:dyDescent="0.25">
      <c r="A1312" t="s">
        <v>2433</v>
      </c>
      <c r="B1312" t="s">
        <v>4026</v>
      </c>
      <c r="C1312">
        <v>1</v>
      </c>
      <c r="D1312">
        <v>1250</v>
      </c>
      <c r="E1312">
        <v>2500</v>
      </c>
      <c r="F1312">
        <v>15</v>
      </c>
      <c r="G1312">
        <v>15</v>
      </c>
      <c r="H1312" t="s">
        <v>1208</v>
      </c>
      <c r="I1312" s="1">
        <v>37114</v>
      </c>
      <c r="J1312" s="1">
        <v>37321</v>
      </c>
      <c r="K1312" t="s">
        <v>1124</v>
      </c>
      <c r="L1312" t="s">
        <v>1124</v>
      </c>
      <c r="M1312" s="1">
        <v>37339</v>
      </c>
      <c r="N1312" s="1">
        <v>37339</v>
      </c>
      <c r="O1312" t="s">
        <v>1117</v>
      </c>
      <c r="P1312">
        <v>1</v>
      </c>
      <c r="Q1312" t="s">
        <v>1215</v>
      </c>
      <c r="R1312">
        <f t="shared" si="41"/>
        <v>13</v>
      </c>
      <c r="S1312">
        <f t="shared" si="42"/>
        <v>1</v>
      </c>
    </row>
    <row r="1313" spans="1:19" x14ac:dyDescent="0.25">
      <c r="A1313" t="s">
        <v>2434</v>
      </c>
      <c r="B1313" t="s">
        <v>4028</v>
      </c>
      <c r="C1313">
        <v>0.6</v>
      </c>
      <c r="D1313">
        <v>1250</v>
      </c>
      <c r="E1313">
        <v>2500</v>
      </c>
      <c r="F1313">
        <v>3</v>
      </c>
      <c r="G1313">
        <v>3</v>
      </c>
      <c r="H1313" t="s">
        <v>1208</v>
      </c>
      <c r="I1313" s="1">
        <v>37110</v>
      </c>
      <c r="J1313" s="1">
        <v>37321</v>
      </c>
      <c r="K1313" s="1">
        <v>37375</v>
      </c>
      <c r="L1313" s="1">
        <v>37375</v>
      </c>
      <c r="M1313" s="1">
        <v>37368</v>
      </c>
      <c r="N1313" s="1">
        <v>37368</v>
      </c>
      <c r="O1313" t="s">
        <v>1117</v>
      </c>
      <c r="P1313">
        <v>1</v>
      </c>
      <c r="Q1313" t="s">
        <v>1215</v>
      </c>
      <c r="R1313">
        <f t="shared" si="41"/>
        <v>17</v>
      </c>
      <c r="S1313">
        <f t="shared" si="42"/>
        <v>1</v>
      </c>
    </row>
    <row r="1314" spans="1:19" x14ac:dyDescent="0.25">
      <c r="A1314" t="s">
        <v>2435</v>
      </c>
      <c r="B1314" t="s">
        <v>1199</v>
      </c>
      <c r="C1314">
        <v>1</v>
      </c>
      <c r="D1314">
        <v>1250</v>
      </c>
      <c r="E1314">
        <v>2350</v>
      </c>
      <c r="F1314">
        <v>3</v>
      </c>
      <c r="G1314">
        <v>3</v>
      </c>
      <c r="H1314" t="s">
        <v>1208</v>
      </c>
      <c r="I1314" s="1">
        <v>37110</v>
      </c>
      <c r="J1314" s="1">
        <v>37321</v>
      </c>
      <c r="K1314" s="1">
        <v>37365</v>
      </c>
      <c r="L1314" s="1">
        <v>37365</v>
      </c>
      <c r="M1314" s="1">
        <v>37361</v>
      </c>
      <c r="N1314" s="1">
        <v>37362</v>
      </c>
      <c r="O1314" t="s">
        <v>1117</v>
      </c>
      <c r="P1314">
        <v>3</v>
      </c>
      <c r="Q1314" t="s">
        <v>1215</v>
      </c>
      <c r="R1314">
        <f t="shared" si="41"/>
        <v>16</v>
      </c>
      <c r="S1314">
        <f t="shared" si="42"/>
        <v>1</v>
      </c>
    </row>
    <row r="1315" spans="1:19" x14ac:dyDescent="0.25">
      <c r="A1315" t="s">
        <v>2436</v>
      </c>
      <c r="B1315" t="s">
        <v>4026</v>
      </c>
      <c r="C1315">
        <v>1.2</v>
      </c>
      <c r="D1315">
        <v>1000</v>
      </c>
      <c r="E1315">
        <v>2000</v>
      </c>
      <c r="F1315">
        <v>3</v>
      </c>
      <c r="G1315">
        <v>3</v>
      </c>
      <c r="H1315" t="s">
        <v>1208</v>
      </c>
      <c r="I1315" s="1">
        <v>37132</v>
      </c>
      <c r="J1315" s="1">
        <v>37323</v>
      </c>
      <c r="K1315" t="s">
        <v>1124</v>
      </c>
      <c r="L1315" t="s">
        <v>1124</v>
      </c>
      <c r="M1315" s="1">
        <v>37335</v>
      </c>
      <c r="N1315" s="1">
        <v>37335</v>
      </c>
      <c r="O1315" t="s">
        <v>1117</v>
      </c>
      <c r="P1315">
        <v>1</v>
      </c>
      <c r="Q1315" t="s">
        <v>1215</v>
      </c>
      <c r="R1315">
        <f t="shared" si="41"/>
        <v>12</v>
      </c>
      <c r="S1315">
        <f t="shared" si="42"/>
        <v>1</v>
      </c>
    </row>
    <row r="1316" spans="1:19" x14ac:dyDescent="0.25">
      <c r="A1316" t="s">
        <v>4034</v>
      </c>
      <c r="B1316" t="s">
        <v>4027</v>
      </c>
      <c r="C1316">
        <v>1.2</v>
      </c>
      <c r="D1316">
        <v>1250</v>
      </c>
      <c r="E1316">
        <v>2350</v>
      </c>
      <c r="F1316">
        <v>9</v>
      </c>
      <c r="G1316">
        <v>9</v>
      </c>
      <c r="H1316" t="s">
        <v>1208</v>
      </c>
      <c r="I1316" s="1">
        <v>37159</v>
      </c>
      <c r="J1316" s="1">
        <v>37325</v>
      </c>
      <c r="K1316" s="1">
        <v>37369</v>
      </c>
      <c r="L1316" s="1">
        <v>37369</v>
      </c>
      <c r="M1316" s="1">
        <v>37337</v>
      </c>
      <c r="N1316" s="1">
        <v>37346</v>
      </c>
      <c r="O1316" t="s">
        <v>1117</v>
      </c>
      <c r="P1316">
        <v>19</v>
      </c>
      <c r="Q1316" t="s">
        <v>1215</v>
      </c>
      <c r="R1316">
        <f t="shared" si="41"/>
        <v>14</v>
      </c>
      <c r="S1316">
        <f t="shared" si="42"/>
        <v>1</v>
      </c>
    </row>
    <row r="1317" spans="1:19" x14ac:dyDescent="0.25">
      <c r="A1317" t="s">
        <v>2437</v>
      </c>
      <c r="B1317" t="s">
        <v>4028</v>
      </c>
      <c r="C1317">
        <v>1.5</v>
      </c>
      <c r="D1317">
        <v>1250</v>
      </c>
      <c r="E1317">
        <v>2500</v>
      </c>
      <c r="F1317">
        <v>248</v>
      </c>
      <c r="G1317">
        <v>248</v>
      </c>
      <c r="H1317" t="s">
        <v>1208</v>
      </c>
      <c r="I1317" s="1">
        <v>37159</v>
      </c>
      <c r="J1317" s="1">
        <v>37325</v>
      </c>
      <c r="K1317" s="1">
        <v>37370</v>
      </c>
      <c r="L1317" s="1">
        <v>37370</v>
      </c>
      <c r="M1317" s="1">
        <v>37367</v>
      </c>
      <c r="N1317" s="1">
        <v>37367</v>
      </c>
      <c r="O1317" t="s">
        <v>1117</v>
      </c>
      <c r="P1317">
        <v>2</v>
      </c>
      <c r="Q1317" t="s">
        <v>1215</v>
      </c>
      <c r="R1317">
        <f t="shared" si="41"/>
        <v>17</v>
      </c>
      <c r="S1317">
        <f t="shared" si="42"/>
        <v>1</v>
      </c>
    </row>
    <row r="1318" spans="1:19" x14ac:dyDescent="0.25">
      <c r="A1318" t="s">
        <v>2438</v>
      </c>
      <c r="B1318" t="s">
        <v>1199</v>
      </c>
      <c r="C1318">
        <v>1.2</v>
      </c>
      <c r="D1318">
        <v>1250</v>
      </c>
      <c r="E1318">
        <v>2050</v>
      </c>
      <c r="F1318">
        <v>3</v>
      </c>
      <c r="G1318">
        <v>3</v>
      </c>
      <c r="H1318" t="s">
        <v>1208</v>
      </c>
      <c r="I1318" s="1">
        <v>37132</v>
      </c>
      <c r="J1318" s="1">
        <v>37323</v>
      </c>
      <c r="K1318" t="s">
        <v>1124</v>
      </c>
      <c r="L1318" t="s">
        <v>1124</v>
      </c>
      <c r="M1318" s="1">
        <v>37337</v>
      </c>
      <c r="N1318" s="1">
        <v>37337</v>
      </c>
      <c r="O1318" t="s">
        <v>1117</v>
      </c>
      <c r="P1318">
        <v>3</v>
      </c>
      <c r="Q1318" t="s">
        <v>1215</v>
      </c>
      <c r="R1318">
        <f t="shared" si="41"/>
        <v>12</v>
      </c>
      <c r="S1318">
        <f t="shared" si="42"/>
        <v>1</v>
      </c>
    </row>
    <row r="1319" spans="1:19" x14ac:dyDescent="0.25">
      <c r="A1319" t="s">
        <v>2439</v>
      </c>
      <c r="B1319" t="s">
        <v>1199</v>
      </c>
      <c r="C1319">
        <v>1.2</v>
      </c>
      <c r="D1319">
        <v>1250</v>
      </c>
      <c r="E1319">
        <v>2350</v>
      </c>
      <c r="F1319">
        <v>6</v>
      </c>
      <c r="G1319">
        <v>6</v>
      </c>
      <c r="H1319" t="s">
        <v>1208</v>
      </c>
      <c r="I1319" s="1">
        <v>37132</v>
      </c>
      <c r="J1319" s="1">
        <v>37307</v>
      </c>
      <c r="K1319" s="1">
        <v>37369</v>
      </c>
      <c r="L1319" s="1">
        <v>37369</v>
      </c>
      <c r="M1319" s="1">
        <v>37336</v>
      </c>
      <c r="N1319" s="1">
        <v>37346</v>
      </c>
      <c r="O1319" t="s">
        <v>1117</v>
      </c>
      <c r="P1319">
        <v>1</v>
      </c>
      <c r="Q1319" t="s">
        <v>1215</v>
      </c>
      <c r="R1319">
        <f t="shared" si="41"/>
        <v>14</v>
      </c>
      <c r="S1319">
        <f t="shared" si="42"/>
        <v>1</v>
      </c>
    </row>
    <row r="1320" spans="1:19" x14ac:dyDescent="0.25">
      <c r="A1320" t="s">
        <v>2440</v>
      </c>
      <c r="B1320" t="s">
        <v>1199</v>
      </c>
      <c r="C1320">
        <v>1.2</v>
      </c>
      <c r="D1320">
        <v>1250</v>
      </c>
      <c r="E1320">
        <v>2280</v>
      </c>
      <c r="F1320">
        <v>3</v>
      </c>
      <c r="G1320">
        <v>3</v>
      </c>
      <c r="H1320" t="s">
        <v>1208</v>
      </c>
      <c r="I1320" s="1">
        <v>37132</v>
      </c>
      <c r="J1320" s="1">
        <v>37323</v>
      </c>
      <c r="K1320" t="s">
        <v>1124</v>
      </c>
      <c r="L1320" t="s">
        <v>1124</v>
      </c>
      <c r="M1320" s="1">
        <v>37337</v>
      </c>
      <c r="N1320" s="1">
        <v>37337</v>
      </c>
      <c r="O1320" t="s">
        <v>1117</v>
      </c>
      <c r="P1320">
        <v>1</v>
      </c>
      <c r="Q1320" t="s">
        <v>1215</v>
      </c>
      <c r="R1320">
        <f t="shared" si="41"/>
        <v>12</v>
      </c>
      <c r="S1320">
        <f t="shared" si="42"/>
        <v>1</v>
      </c>
    </row>
    <row r="1321" spans="1:19" x14ac:dyDescent="0.25">
      <c r="A1321" t="s">
        <v>2441</v>
      </c>
      <c r="B1321" t="s">
        <v>1199</v>
      </c>
      <c r="C1321">
        <v>3</v>
      </c>
      <c r="D1321">
        <v>1250</v>
      </c>
      <c r="E1321">
        <v>2500</v>
      </c>
      <c r="F1321">
        <v>3</v>
      </c>
      <c r="G1321">
        <v>3</v>
      </c>
      <c r="H1321" t="s">
        <v>1208</v>
      </c>
      <c r="I1321" s="1">
        <v>37132</v>
      </c>
      <c r="J1321" s="1">
        <v>37313</v>
      </c>
      <c r="K1321" s="1">
        <v>37362</v>
      </c>
      <c r="L1321" s="1">
        <v>37362</v>
      </c>
      <c r="M1321" s="1">
        <v>37362</v>
      </c>
      <c r="N1321" s="1">
        <v>37362</v>
      </c>
      <c r="O1321" t="s">
        <v>1117</v>
      </c>
      <c r="P1321">
        <v>4</v>
      </c>
      <c r="Q1321" t="s">
        <v>1215</v>
      </c>
      <c r="R1321">
        <f t="shared" si="41"/>
        <v>16</v>
      </c>
      <c r="S1321">
        <f t="shared" si="42"/>
        <v>1</v>
      </c>
    </row>
    <row r="1322" spans="1:19" x14ac:dyDescent="0.25">
      <c r="A1322" t="s">
        <v>2442</v>
      </c>
      <c r="B1322" t="s">
        <v>1199</v>
      </c>
      <c r="C1322">
        <v>1.2</v>
      </c>
      <c r="D1322">
        <v>1250</v>
      </c>
      <c r="E1322">
        <v>2500</v>
      </c>
      <c r="F1322">
        <v>6</v>
      </c>
      <c r="G1322">
        <v>6</v>
      </c>
      <c r="H1322" t="s">
        <v>1208</v>
      </c>
      <c r="I1322" s="1">
        <v>37130</v>
      </c>
      <c r="J1322" s="1">
        <v>37310</v>
      </c>
      <c r="K1322" s="1">
        <v>37369</v>
      </c>
      <c r="L1322" s="1">
        <v>37369</v>
      </c>
      <c r="M1322" s="1">
        <v>37336</v>
      </c>
      <c r="N1322" s="1">
        <v>37385</v>
      </c>
      <c r="O1322" t="s">
        <v>1117</v>
      </c>
      <c r="P1322">
        <v>1</v>
      </c>
      <c r="Q1322" t="s">
        <v>1215</v>
      </c>
      <c r="R1322">
        <f t="shared" si="41"/>
        <v>19</v>
      </c>
      <c r="S1322">
        <f t="shared" si="42"/>
        <v>1</v>
      </c>
    </row>
    <row r="1323" spans="1:19" x14ac:dyDescent="0.25">
      <c r="A1323" t="s">
        <v>2443</v>
      </c>
      <c r="B1323" t="s">
        <v>4028</v>
      </c>
      <c r="C1323">
        <v>0.6</v>
      </c>
      <c r="D1323">
        <v>1250</v>
      </c>
      <c r="E1323">
        <v>2500</v>
      </c>
      <c r="F1323">
        <v>3</v>
      </c>
      <c r="G1323">
        <v>3</v>
      </c>
      <c r="H1323" t="s">
        <v>1208</v>
      </c>
      <c r="I1323" s="1">
        <v>37132</v>
      </c>
      <c r="J1323" s="1">
        <v>37323</v>
      </c>
      <c r="K1323" s="1">
        <v>37375</v>
      </c>
      <c r="L1323" s="1">
        <v>37375</v>
      </c>
      <c r="M1323" s="1">
        <v>37368</v>
      </c>
      <c r="N1323" s="1">
        <v>37368</v>
      </c>
      <c r="O1323" t="s">
        <v>1117</v>
      </c>
      <c r="P1323">
        <v>1</v>
      </c>
      <c r="Q1323" t="s">
        <v>1215</v>
      </c>
      <c r="R1323">
        <f t="shared" si="41"/>
        <v>17</v>
      </c>
      <c r="S1323">
        <f t="shared" si="42"/>
        <v>1</v>
      </c>
    </row>
    <row r="1324" spans="1:19" x14ac:dyDescent="0.25">
      <c r="A1324" t="s">
        <v>2444</v>
      </c>
      <c r="B1324" t="s">
        <v>4027</v>
      </c>
      <c r="C1324">
        <v>1.2</v>
      </c>
      <c r="D1324">
        <v>1000</v>
      </c>
      <c r="E1324">
        <v>2000</v>
      </c>
      <c r="F1324">
        <v>3</v>
      </c>
      <c r="G1324">
        <v>3</v>
      </c>
      <c r="H1324" t="s">
        <v>1208</v>
      </c>
      <c r="I1324" s="1">
        <v>37128</v>
      </c>
      <c r="J1324" s="1">
        <v>37322</v>
      </c>
      <c r="K1324" s="1">
        <v>37372</v>
      </c>
      <c r="L1324" s="1">
        <v>37372</v>
      </c>
      <c r="M1324" s="1">
        <v>37334</v>
      </c>
      <c r="N1324" s="1">
        <v>37335</v>
      </c>
      <c r="O1324" t="s">
        <v>1117</v>
      </c>
      <c r="P1324">
        <v>1</v>
      </c>
      <c r="Q1324" t="s">
        <v>1215</v>
      </c>
      <c r="R1324">
        <f t="shared" si="41"/>
        <v>12</v>
      </c>
      <c r="S1324">
        <f t="shared" si="42"/>
        <v>1</v>
      </c>
    </row>
    <row r="1325" spans="1:19" x14ac:dyDescent="0.25">
      <c r="A1325" t="s">
        <v>2445</v>
      </c>
      <c r="B1325" t="s">
        <v>4028</v>
      </c>
      <c r="C1325">
        <v>1</v>
      </c>
      <c r="D1325">
        <v>1250</v>
      </c>
      <c r="E1325">
        <v>2350</v>
      </c>
      <c r="F1325">
        <v>6</v>
      </c>
      <c r="G1325">
        <v>6</v>
      </c>
      <c r="H1325" t="s">
        <v>1208</v>
      </c>
      <c r="I1325" s="1">
        <v>37128</v>
      </c>
      <c r="J1325" s="1">
        <v>37322</v>
      </c>
      <c r="K1325" s="1">
        <v>37365</v>
      </c>
      <c r="L1325" s="1">
        <v>37365</v>
      </c>
      <c r="M1325" s="1">
        <v>37361</v>
      </c>
      <c r="N1325" s="1">
        <v>37362</v>
      </c>
      <c r="O1325" t="s">
        <v>1117</v>
      </c>
      <c r="P1325">
        <v>3</v>
      </c>
      <c r="Q1325" t="s">
        <v>1215</v>
      </c>
      <c r="R1325">
        <f t="shared" si="41"/>
        <v>16</v>
      </c>
      <c r="S1325">
        <f t="shared" si="42"/>
        <v>1</v>
      </c>
    </row>
    <row r="1326" spans="1:19" x14ac:dyDescent="0.25">
      <c r="A1326" t="s">
        <v>2446</v>
      </c>
      <c r="B1326" t="s">
        <v>4026</v>
      </c>
      <c r="C1326">
        <v>1</v>
      </c>
      <c r="D1326">
        <v>1250</v>
      </c>
      <c r="E1326">
        <v>2350</v>
      </c>
      <c r="F1326">
        <v>3</v>
      </c>
      <c r="G1326">
        <v>3</v>
      </c>
      <c r="H1326" t="s">
        <v>1208</v>
      </c>
      <c r="I1326" s="1">
        <v>37128</v>
      </c>
      <c r="J1326" s="1">
        <v>37322</v>
      </c>
      <c r="K1326" s="1">
        <v>37365</v>
      </c>
      <c r="L1326" s="1">
        <v>37365</v>
      </c>
      <c r="M1326" s="1">
        <v>37361</v>
      </c>
      <c r="N1326" s="1">
        <v>37362</v>
      </c>
      <c r="O1326" t="s">
        <v>1117</v>
      </c>
      <c r="P1326">
        <v>3</v>
      </c>
      <c r="Q1326" t="s">
        <v>1215</v>
      </c>
      <c r="R1326">
        <f t="shared" si="41"/>
        <v>16</v>
      </c>
      <c r="S1326">
        <f t="shared" si="42"/>
        <v>1</v>
      </c>
    </row>
    <row r="1327" spans="1:19" x14ac:dyDescent="0.25">
      <c r="A1327" t="s">
        <v>2447</v>
      </c>
      <c r="B1327" t="s">
        <v>4028</v>
      </c>
      <c r="C1327">
        <v>0.6</v>
      </c>
      <c r="D1327">
        <v>1250</v>
      </c>
      <c r="E1327">
        <v>2500</v>
      </c>
      <c r="F1327">
        <v>6</v>
      </c>
      <c r="G1327">
        <v>6</v>
      </c>
      <c r="H1327" t="s">
        <v>1208</v>
      </c>
      <c r="I1327" s="1">
        <v>37128</v>
      </c>
      <c r="J1327" s="1">
        <v>37322</v>
      </c>
      <c r="K1327" t="s">
        <v>1124</v>
      </c>
      <c r="L1327" t="s">
        <v>1124</v>
      </c>
      <c r="M1327" s="1">
        <v>37368</v>
      </c>
      <c r="N1327" s="1">
        <v>37368</v>
      </c>
      <c r="O1327" t="s">
        <v>1117</v>
      </c>
      <c r="P1327">
        <v>4</v>
      </c>
      <c r="Q1327" t="s">
        <v>1215</v>
      </c>
      <c r="R1327">
        <f t="shared" si="41"/>
        <v>17</v>
      </c>
      <c r="S1327">
        <f t="shared" si="42"/>
        <v>1</v>
      </c>
    </row>
    <row r="1328" spans="1:19" x14ac:dyDescent="0.25">
      <c r="A1328" t="s">
        <v>2448</v>
      </c>
      <c r="B1328" t="s">
        <v>1199</v>
      </c>
      <c r="C1328">
        <v>2</v>
      </c>
      <c r="D1328">
        <v>1250</v>
      </c>
      <c r="E1328">
        <v>2500</v>
      </c>
      <c r="F1328">
        <v>3</v>
      </c>
      <c r="G1328">
        <v>3</v>
      </c>
      <c r="H1328" t="s">
        <v>1208</v>
      </c>
      <c r="I1328" s="1">
        <v>37119</v>
      </c>
      <c r="J1328" s="1">
        <v>37321</v>
      </c>
      <c r="K1328" s="1">
        <v>37379</v>
      </c>
      <c r="L1328" s="1">
        <v>37379</v>
      </c>
      <c r="M1328" s="1">
        <v>37361</v>
      </c>
      <c r="N1328" s="1">
        <v>37361</v>
      </c>
      <c r="O1328" t="s">
        <v>1117</v>
      </c>
      <c r="P1328">
        <v>1</v>
      </c>
      <c r="Q1328" t="s">
        <v>1215</v>
      </c>
      <c r="R1328">
        <f t="shared" si="41"/>
        <v>16</v>
      </c>
      <c r="S1328">
        <f t="shared" si="42"/>
        <v>1</v>
      </c>
    </row>
    <row r="1329" spans="1:19" x14ac:dyDescent="0.25">
      <c r="A1329" t="s">
        <v>2449</v>
      </c>
      <c r="B1329" t="s">
        <v>1199</v>
      </c>
      <c r="C1329">
        <v>1.2</v>
      </c>
      <c r="D1329">
        <v>1250</v>
      </c>
      <c r="E1329">
        <v>2350</v>
      </c>
      <c r="F1329">
        <v>9</v>
      </c>
      <c r="G1329">
        <v>9</v>
      </c>
      <c r="H1329" t="s">
        <v>1208</v>
      </c>
      <c r="I1329" s="1">
        <v>37108</v>
      </c>
      <c r="J1329" s="1">
        <v>37320</v>
      </c>
      <c r="K1329" s="1">
        <v>37369</v>
      </c>
      <c r="L1329" s="1">
        <v>37369</v>
      </c>
      <c r="M1329" s="1">
        <v>37337</v>
      </c>
      <c r="N1329" s="1">
        <v>37346</v>
      </c>
      <c r="O1329" t="s">
        <v>1117</v>
      </c>
      <c r="P1329">
        <v>2</v>
      </c>
      <c r="Q1329" t="s">
        <v>1215</v>
      </c>
      <c r="R1329">
        <f t="shared" si="41"/>
        <v>14</v>
      </c>
      <c r="S1329">
        <f t="shared" si="42"/>
        <v>1</v>
      </c>
    </row>
    <row r="1330" spans="1:19" x14ac:dyDescent="0.25">
      <c r="A1330" t="s">
        <v>2450</v>
      </c>
      <c r="B1330" t="s">
        <v>1199</v>
      </c>
      <c r="C1330">
        <v>2</v>
      </c>
      <c r="D1330">
        <v>1250</v>
      </c>
      <c r="E1330">
        <v>2500</v>
      </c>
      <c r="F1330">
        <v>3</v>
      </c>
      <c r="G1330">
        <v>3</v>
      </c>
      <c r="H1330" t="s">
        <v>1208</v>
      </c>
      <c r="I1330" s="1">
        <v>37108</v>
      </c>
      <c r="J1330" s="1">
        <v>37320</v>
      </c>
      <c r="K1330" s="1">
        <v>37379</v>
      </c>
      <c r="L1330" s="1">
        <v>37379</v>
      </c>
      <c r="M1330" s="1">
        <v>37361</v>
      </c>
      <c r="N1330" s="1">
        <v>37361</v>
      </c>
      <c r="O1330" t="s">
        <v>1117</v>
      </c>
      <c r="P1330">
        <v>1</v>
      </c>
      <c r="Q1330" t="s">
        <v>1215</v>
      </c>
      <c r="R1330">
        <f t="shared" si="41"/>
        <v>16</v>
      </c>
      <c r="S1330">
        <f t="shared" si="42"/>
        <v>1</v>
      </c>
    </row>
    <row r="1331" spans="1:19" x14ac:dyDescent="0.25">
      <c r="A1331" t="s">
        <v>2451</v>
      </c>
      <c r="B1331" t="s">
        <v>4026</v>
      </c>
      <c r="C1331">
        <v>3</v>
      </c>
      <c r="D1331">
        <v>1250</v>
      </c>
      <c r="E1331">
        <v>2500</v>
      </c>
      <c r="F1331">
        <v>6</v>
      </c>
      <c r="G1331">
        <v>6</v>
      </c>
      <c r="H1331" t="s">
        <v>1208</v>
      </c>
      <c r="I1331" s="1">
        <v>37108</v>
      </c>
      <c r="J1331" s="1">
        <v>37320</v>
      </c>
      <c r="K1331" s="1">
        <v>37362</v>
      </c>
      <c r="L1331" s="1">
        <v>37362</v>
      </c>
      <c r="M1331" s="1">
        <v>37362</v>
      </c>
      <c r="N1331" s="1">
        <v>37362</v>
      </c>
      <c r="O1331" t="s">
        <v>1117</v>
      </c>
      <c r="P1331">
        <v>2</v>
      </c>
      <c r="Q1331" t="s">
        <v>1215</v>
      </c>
      <c r="R1331">
        <f t="shared" si="41"/>
        <v>16</v>
      </c>
      <c r="S1331">
        <f t="shared" si="42"/>
        <v>1</v>
      </c>
    </row>
    <row r="1332" spans="1:19" x14ac:dyDescent="0.25">
      <c r="A1332" t="s">
        <v>2452</v>
      </c>
      <c r="B1332" t="s">
        <v>4026</v>
      </c>
      <c r="C1332">
        <v>1</v>
      </c>
      <c r="D1332">
        <v>1250</v>
      </c>
      <c r="E1332">
        <v>2350</v>
      </c>
      <c r="F1332">
        <v>6</v>
      </c>
      <c r="G1332">
        <v>6</v>
      </c>
      <c r="H1332" t="s">
        <v>1208</v>
      </c>
      <c r="I1332" s="1">
        <v>37108</v>
      </c>
      <c r="J1332" s="1">
        <v>37320</v>
      </c>
      <c r="K1332" s="1">
        <v>37365</v>
      </c>
      <c r="L1332" s="1">
        <v>37365</v>
      </c>
      <c r="M1332" s="1">
        <v>37361</v>
      </c>
      <c r="N1332" s="1">
        <v>37362</v>
      </c>
      <c r="O1332" t="s">
        <v>1117</v>
      </c>
      <c r="P1332">
        <v>3</v>
      </c>
      <c r="Q1332" t="s">
        <v>1215</v>
      </c>
      <c r="R1332">
        <f t="shared" si="41"/>
        <v>16</v>
      </c>
      <c r="S1332">
        <f t="shared" si="42"/>
        <v>1</v>
      </c>
    </row>
    <row r="1333" spans="1:19" x14ac:dyDescent="0.25">
      <c r="A1333" t="s">
        <v>2453</v>
      </c>
      <c r="B1333" t="s">
        <v>3601</v>
      </c>
      <c r="C1333">
        <v>0.6</v>
      </c>
      <c r="D1333">
        <v>1250</v>
      </c>
      <c r="E1333">
        <v>2500</v>
      </c>
      <c r="F1333">
        <v>6</v>
      </c>
      <c r="G1333">
        <v>6</v>
      </c>
      <c r="H1333" t="s">
        <v>1208</v>
      </c>
      <c r="I1333" s="1">
        <v>37108</v>
      </c>
      <c r="J1333" s="1">
        <v>37320</v>
      </c>
      <c r="K1333" s="1">
        <v>37375</v>
      </c>
      <c r="L1333" s="1">
        <v>37375</v>
      </c>
      <c r="M1333" s="1">
        <v>37368</v>
      </c>
      <c r="N1333" s="1">
        <v>37368</v>
      </c>
      <c r="O1333" t="s">
        <v>1117</v>
      </c>
      <c r="P1333">
        <v>2</v>
      </c>
      <c r="Q1333" t="s">
        <v>1215</v>
      </c>
      <c r="R1333">
        <f t="shared" si="41"/>
        <v>17</v>
      </c>
      <c r="S1333">
        <f t="shared" si="42"/>
        <v>1</v>
      </c>
    </row>
    <row r="1334" spans="1:19" x14ac:dyDescent="0.25">
      <c r="A1334" t="s">
        <v>2454</v>
      </c>
      <c r="B1334" t="s">
        <v>1199</v>
      </c>
      <c r="C1334">
        <v>0.6</v>
      </c>
      <c r="D1334">
        <v>1250</v>
      </c>
      <c r="E1334">
        <v>2500</v>
      </c>
      <c r="F1334">
        <v>3</v>
      </c>
      <c r="G1334">
        <v>3</v>
      </c>
      <c r="H1334" t="s">
        <v>1208</v>
      </c>
      <c r="I1334" s="1">
        <v>37159</v>
      </c>
      <c r="J1334" s="1">
        <v>37325</v>
      </c>
      <c r="K1334" s="1">
        <v>37375</v>
      </c>
      <c r="L1334" s="1">
        <v>37375</v>
      </c>
      <c r="M1334" s="1">
        <v>37368</v>
      </c>
      <c r="N1334" s="1">
        <v>37368</v>
      </c>
      <c r="O1334" t="s">
        <v>1117</v>
      </c>
      <c r="P1334">
        <v>4</v>
      </c>
      <c r="Q1334" t="s">
        <v>1215</v>
      </c>
      <c r="R1334">
        <f t="shared" si="41"/>
        <v>17</v>
      </c>
      <c r="S1334">
        <f t="shared" si="42"/>
        <v>1</v>
      </c>
    </row>
    <row r="1335" spans="1:19" x14ac:dyDescent="0.25">
      <c r="A1335" t="s">
        <v>2455</v>
      </c>
      <c r="B1335" t="s">
        <v>3631</v>
      </c>
      <c r="C1335">
        <v>1.2</v>
      </c>
      <c r="D1335">
        <v>1250</v>
      </c>
      <c r="E1335">
        <v>2500</v>
      </c>
      <c r="F1335">
        <v>3</v>
      </c>
      <c r="G1335">
        <v>3</v>
      </c>
      <c r="H1335" t="s">
        <v>1208</v>
      </c>
      <c r="I1335" s="1">
        <v>37159</v>
      </c>
      <c r="J1335" s="1">
        <v>37320</v>
      </c>
      <c r="K1335" s="1">
        <v>37369</v>
      </c>
      <c r="L1335" s="1">
        <v>37369</v>
      </c>
      <c r="M1335" s="1">
        <v>37337</v>
      </c>
      <c r="N1335" s="1">
        <v>37339</v>
      </c>
      <c r="O1335" t="s">
        <v>1117</v>
      </c>
      <c r="P1335">
        <v>5</v>
      </c>
      <c r="Q1335" t="s">
        <v>1215</v>
      </c>
      <c r="R1335">
        <f t="shared" si="41"/>
        <v>13</v>
      </c>
      <c r="S1335">
        <f t="shared" si="42"/>
        <v>1</v>
      </c>
    </row>
    <row r="1336" spans="1:19" x14ac:dyDescent="0.25">
      <c r="A1336" t="s">
        <v>2456</v>
      </c>
      <c r="B1336" t="s">
        <v>4028</v>
      </c>
      <c r="C1336">
        <v>0.8</v>
      </c>
      <c r="D1336">
        <v>1250</v>
      </c>
      <c r="E1336">
        <v>2030</v>
      </c>
      <c r="F1336">
        <v>6</v>
      </c>
      <c r="G1336">
        <v>6</v>
      </c>
      <c r="H1336" t="s">
        <v>1208</v>
      </c>
      <c r="I1336" s="1">
        <v>37108</v>
      </c>
      <c r="J1336" s="1">
        <v>37320</v>
      </c>
      <c r="K1336" s="1">
        <v>37356</v>
      </c>
      <c r="L1336" s="1">
        <v>37356</v>
      </c>
      <c r="M1336" s="1">
        <v>37354</v>
      </c>
      <c r="N1336" s="1">
        <v>37354</v>
      </c>
      <c r="O1336" t="s">
        <v>1117</v>
      </c>
      <c r="P1336">
        <v>2</v>
      </c>
      <c r="Q1336" t="s">
        <v>1215</v>
      </c>
      <c r="R1336">
        <f t="shared" si="41"/>
        <v>15</v>
      </c>
      <c r="S1336">
        <f t="shared" si="42"/>
        <v>1</v>
      </c>
    </row>
    <row r="1337" spans="1:19" x14ac:dyDescent="0.25">
      <c r="A1337" t="s">
        <v>2457</v>
      </c>
      <c r="B1337" t="s">
        <v>4026</v>
      </c>
      <c r="C1337">
        <v>0.6</v>
      </c>
      <c r="D1337">
        <v>1250</v>
      </c>
      <c r="E1337">
        <v>2500</v>
      </c>
      <c r="F1337">
        <v>3</v>
      </c>
      <c r="G1337">
        <v>3</v>
      </c>
      <c r="H1337" t="s">
        <v>1208</v>
      </c>
      <c r="I1337" s="1">
        <v>37108</v>
      </c>
      <c r="J1337" s="1">
        <v>37320</v>
      </c>
      <c r="K1337" s="1">
        <v>37375</v>
      </c>
      <c r="L1337" s="1">
        <v>37375</v>
      </c>
      <c r="M1337" s="1">
        <v>37368</v>
      </c>
      <c r="N1337" s="1">
        <v>37368</v>
      </c>
      <c r="O1337" t="s">
        <v>1117</v>
      </c>
      <c r="P1337">
        <v>6</v>
      </c>
      <c r="Q1337" t="s">
        <v>1215</v>
      </c>
      <c r="R1337">
        <f t="shared" si="41"/>
        <v>17</v>
      </c>
      <c r="S1337">
        <f t="shared" si="42"/>
        <v>1</v>
      </c>
    </row>
    <row r="1338" spans="1:19" x14ac:dyDescent="0.25">
      <c r="A1338" t="s">
        <v>2458</v>
      </c>
      <c r="B1338" t="s">
        <v>4027</v>
      </c>
      <c r="C1338">
        <v>1</v>
      </c>
      <c r="D1338">
        <v>1250</v>
      </c>
      <c r="E1338">
        <v>2300</v>
      </c>
      <c r="F1338">
        <v>51</v>
      </c>
      <c r="G1338">
        <v>51</v>
      </c>
      <c r="H1338" t="s">
        <v>1208</v>
      </c>
      <c r="I1338" s="1">
        <v>37159</v>
      </c>
      <c r="J1338" s="1">
        <v>37325</v>
      </c>
      <c r="K1338" s="1">
        <v>37335</v>
      </c>
      <c r="L1338" s="1">
        <v>37335</v>
      </c>
      <c r="M1338" s="1">
        <v>37342</v>
      </c>
      <c r="N1338" s="1">
        <v>37342</v>
      </c>
      <c r="O1338" t="s">
        <v>1117</v>
      </c>
      <c r="P1338">
        <v>8</v>
      </c>
      <c r="Q1338" t="s">
        <v>1215</v>
      </c>
      <c r="R1338">
        <f t="shared" si="41"/>
        <v>13</v>
      </c>
      <c r="S1338">
        <f t="shared" si="42"/>
        <v>1</v>
      </c>
    </row>
    <row r="1339" spans="1:19" x14ac:dyDescent="0.25">
      <c r="A1339" t="s">
        <v>2459</v>
      </c>
      <c r="B1339" t="s">
        <v>3601</v>
      </c>
      <c r="C1339">
        <v>1.2</v>
      </c>
      <c r="D1339">
        <v>1250</v>
      </c>
      <c r="E1339">
        <v>3048</v>
      </c>
      <c r="F1339">
        <v>20</v>
      </c>
      <c r="G1339">
        <v>20</v>
      </c>
      <c r="H1339" t="s">
        <v>1208</v>
      </c>
      <c r="I1339" s="1">
        <v>37368</v>
      </c>
      <c r="J1339" s="1">
        <v>37383</v>
      </c>
      <c r="K1339" t="s">
        <v>1124</v>
      </c>
      <c r="L1339" t="s">
        <v>1124</v>
      </c>
      <c r="M1339" t="s">
        <v>1124</v>
      </c>
      <c r="N1339" s="1">
        <v>37328</v>
      </c>
      <c r="O1339" t="s">
        <v>1117</v>
      </c>
      <c r="P1339">
        <v>1</v>
      </c>
      <c r="Q1339" t="s">
        <v>1215</v>
      </c>
      <c r="R1339">
        <f t="shared" si="41"/>
        <v>11</v>
      </c>
      <c r="S1339">
        <f t="shared" si="42"/>
        <v>0</v>
      </c>
    </row>
    <row r="1340" spans="1:19" x14ac:dyDescent="0.25">
      <c r="A1340" t="s">
        <v>2460</v>
      </c>
      <c r="B1340" t="s">
        <v>4027</v>
      </c>
      <c r="C1340">
        <v>1.2</v>
      </c>
      <c r="D1340">
        <v>1250</v>
      </c>
      <c r="E1340">
        <v>2050</v>
      </c>
      <c r="F1340">
        <v>6</v>
      </c>
      <c r="G1340">
        <v>6</v>
      </c>
      <c r="H1340" t="s">
        <v>1208</v>
      </c>
      <c r="I1340" s="1">
        <v>37159</v>
      </c>
      <c r="J1340" s="1">
        <v>37319</v>
      </c>
      <c r="K1340" t="s">
        <v>1124</v>
      </c>
      <c r="L1340" t="s">
        <v>1124</v>
      </c>
      <c r="M1340" s="1">
        <v>37337</v>
      </c>
      <c r="N1340" s="1">
        <v>37337</v>
      </c>
      <c r="O1340" t="s">
        <v>1117</v>
      </c>
      <c r="P1340">
        <v>1</v>
      </c>
      <c r="Q1340" t="s">
        <v>1215</v>
      </c>
      <c r="R1340">
        <f t="shared" si="41"/>
        <v>12</v>
      </c>
      <c r="S1340">
        <f t="shared" si="42"/>
        <v>1</v>
      </c>
    </row>
    <row r="1341" spans="1:19" x14ac:dyDescent="0.25">
      <c r="A1341" t="s">
        <v>2461</v>
      </c>
      <c r="B1341" t="s">
        <v>4028</v>
      </c>
      <c r="C1341">
        <v>0.6</v>
      </c>
      <c r="D1341">
        <v>1250</v>
      </c>
      <c r="E1341">
        <v>2500</v>
      </c>
      <c r="F1341">
        <v>3</v>
      </c>
      <c r="G1341">
        <v>3</v>
      </c>
      <c r="H1341" t="s">
        <v>1208</v>
      </c>
      <c r="I1341" s="1">
        <v>37159</v>
      </c>
      <c r="J1341" s="1">
        <v>37320</v>
      </c>
      <c r="K1341" s="1">
        <v>37375</v>
      </c>
      <c r="L1341" s="1">
        <v>37375</v>
      </c>
      <c r="M1341" s="1">
        <v>37368</v>
      </c>
      <c r="N1341" s="1">
        <v>37368</v>
      </c>
      <c r="O1341" t="s">
        <v>1117</v>
      </c>
      <c r="P1341">
        <v>3</v>
      </c>
      <c r="Q1341" t="s">
        <v>1215</v>
      </c>
      <c r="R1341">
        <f t="shared" si="41"/>
        <v>17</v>
      </c>
      <c r="S1341">
        <f t="shared" si="42"/>
        <v>1</v>
      </c>
    </row>
    <row r="1342" spans="1:19" x14ac:dyDescent="0.25">
      <c r="A1342" t="s">
        <v>2462</v>
      </c>
      <c r="B1342" t="s">
        <v>4026</v>
      </c>
      <c r="C1342">
        <v>0.8</v>
      </c>
      <c r="D1342">
        <v>1250</v>
      </c>
      <c r="E1342">
        <v>2500</v>
      </c>
      <c r="F1342">
        <v>6</v>
      </c>
      <c r="G1342">
        <v>6</v>
      </c>
      <c r="H1342" t="s">
        <v>1208</v>
      </c>
      <c r="I1342" s="1">
        <v>37159</v>
      </c>
      <c r="J1342" s="1">
        <v>37320</v>
      </c>
      <c r="K1342" s="1">
        <v>37354</v>
      </c>
      <c r="L1342" s="1">
        <v>37354</v>
      </c>
      <c r="M1342" s="1">
        <v>37354</v>
      </c>
      <c r="N1342" s="1">
        <v>37354</v>
      </c>
      <c r="O1342" t="s">
        <v>1117</v>
      </c>
      <c r="P1342">
        <v>1</v>
      </c>
      <c r="Q1342" t="s">
        <v>1215</v>
      </c>
      <c r="R1342">
        <f t="shared" si="41"/>
        <v>15</v>
      </c>
      <c r="S1342">
        <f t="shared" si="42"/>
        <v>1</v>
      </c>
    </row>
    <row r="1343" spans="1:19" x14ac:dyDescent="0.25">
      <c r="A1343" t="s">
        <v>2463</v>
      </c>
      <c r="B1343" t="s">
        <v>4026</v>
      </c>
      <c r="C1343">
        <v>1</v>
      </c>
      <c r="D1343">
        <v>1250</v>
      </c>
      <c r="E1343">
        <v>2350</v>
      </c>
      <c r="F1343">
        <v>3</v>
      </c>
      <c r="G1343">
        <v>3</v>
      </c>
      <c r="H1343" t="s">
        <v>1208</v>
      </c>
      <c r="I1343" s="1">
        <v>37159</v>
      </c>
      <c r="J1343" s="1">
        <v>37320</v>
      </c>
      <c r="K1343" s="1">
        <v>37365</v>
      </c>
      <c r="L1343" s="1">
        <v>37365</v>
      </c>
      <c r="M1343" s="1">
        <v>37361</v>
      </c>
      <c r="N1343" s="1">
        <v>37362</v>
      </c>
      <c r="O1343" t="s">
        <v>1117</v>
      </c>
      <c r="P1343">
        <v>1</v>
      </c>
      <c r="Q1343" t="s">
        <v>1215</v>
      </c>
      <c r="R1343">
        <f t="shared" si="41"/>
        <v>16</v>
      </c>
      <c r="S1343">
        <f t="shared" si="42"/>
        <v>1</v>
      </c>
    </row>
    <row r="1344" spans="1:19" x14ac:dyDescent="0.25">
      <c r="A1344" t="s">
        <v>2464</v>
      </c>
      <c r="B1344" t="s">
        <v>4028</v>
      </c>
      <c r="C1344">
        <v>0.6</v>
      </c>
      <c r="D1344">
        <v>1250</v>
      </c>
      <c r="E1344">
        <v>2500</v>
      </c>
      <c r="F1344">
        <v>6</v>
      </c>
      <c r="G1344">
        <v>6</v>
      </c>
      <c r="H1344" t="s">
        <v>1208</v>
      </c>
      <c r="I1344" s="1">
        <v>37159</v>
      </c>
      <c r="J1344" s="1">
        <v>37320</v>
      </c>
      <c r="K1344" t="s">
        <v>1124</v>
      </c>
      <c r="L1344" t="s">
        <v>1124</v>
      </c>
      <c r="M1344" s="1">
        <v>37337</v>
      </c>
      <c r="N1344" s="1">
        <v>37337</v>
      </c>
      <c r="O1344" t="s">
        <v>1117</v>
      </c>
      <c r="P1344">
        <v>4</v>
      </c>
      <c r="Q1344" t="s">
        <v>1215</v>
      </c>
      <c r="R1344">
        <f t="shared" si="41"/>
        <v>12</v>
      </c>
      <c r="S1344">
        <f t="shared" si="42"/>
        <v>1</v>
      </c>
    </row>
    <row r="1345" spans="1:19" x14ac:dyDescent="0.25">
      <c r="A1345" t="s">
        <v>2465</v>
      </c>
      <c r="B1345" t="s">
        <v>1199</v>
      </c>
      <c r="C1345">
        <v>1.2</v>
      </c>
      <c r="D1345">
        <v>1250</v>
      </c>
      <c r="E1345">
        <v>2350</v>
      </c>
      <c r="F1345">
        <v>9</v>
      </c>
      <c r="G1345">
        <v>9</v>
      </c>
      <c r="H1345" t="s">
        <v>1208</v>
      </c>
      <c r="I1345" s="1">
        <v>37159</v>
      </c>
      <c r="J1345" s="1">
        <v>37320</v>
      </c>
      <c r="K1345" s="1">
        <v>37369</v>
      </c>
      <c r="L1345" s="1">
        <v>37369</v>
      </c>
      <c r="M1345" s="1">
        <v>37337</v>
      </c>
      <c r="N1345" s="1">
        <v>37346</v>
      </c>
      <c r="O1345" t="s">
        <v>1117</v>
      </c>
      <c r="P1345">
        <v>8</v>
      </c>
      <c r="Q1345" t="s">
        <v>1215</v>
      </c>
      <c r="R1345">
        <f t="shared" si="41"/>
        <v>14</v>
      </c>
      <c r="S1345">
        <f t="shared" si="42"/>
        <v>1</v>
      </c>
    </row>
    <row r="1346" spans="1:19" x14ac:dyDescent="0.25">
      <c r="A1346" t="s">
        <v>2466</v>
      </c>
      <c r="B1346" t="s">
        <v>1199</v>
      </c>
      <c r="C1346">
        <v>1.2</v>
      </c>
      <c r="D1346">
        <v>1250</v>
      </c>
      <c r="E1346">
        <v>2300</v>
      </c>
      <c r="F1346">
        <v>6</v>
      </c>
      <c r="G1346">
        <v>6</v>
      </c>
      <c r="H1346" t="s">
        <v>1208</v>
      </c>
      <c r="I1346" s="1">
        <v>37114</v>
      </c>
      <c r="J1346" s="1">
        <v>37321</v>
      </c>
      <c r="K1346" t="s">
        <v>1124</v>
      </c>
      <c r="L1346" t="s">
        <v>1124</v>
      </c>
      <c r="M1346" s="1">
        <v>37337</v>
      </c>
      <c r="N1346" s="1">
        <v>37337</v>
      </c>
      <c r="O1346" t="s">
        <v>1117</v>
      </c>
      <c r="P1346">
        <v>6</v>
      </c>
      <c r="Q1346" t="s">
        <v>1215</v>
      </c>
      <c r="R1346">
        <f t="shared" si="41"/>
        <v>12</v>
      </c>
      <c r="S1346">
        <f t="shared" si="42"/>
        <v>1</v>
      </c>
    </row>
    <row r="1347" spans="1:19" x14ac:dyDescent="0.25">
      <c r="A1347" t="s">
        <v>2467</v>
      </c>
      <c r="B1347" t="s">
        <v>1199</v>
      </c>
      <c r="C1347">
        <v>1</v>
      </c>
      <c r="D1347">
        <v>1250</v>
      </c>
      <c r="E1347">
        <v>2350</v>
      </c>
      <c r="F1347">
        <v>9</v>
      </c>
      <c r="G1347">
        <v>9</v>
      </c>
      <c r="H1347" t="s">
        <v>1208</v>
      </c>
      <c r="I1347" s="1">
        <v>37159</v>
      </c>
      <c r="J1347" s="1">
        <v>37320</v>
      </c>
      <c r="K1347" s="1">
        <v>37365</v>
      </c>
      <c r="L1347" s="1">
        <v>37365</v>
      </c>
      <c r="M1347" s="1">
        <v>37361</v>
      </c>
      <c r="N1347" s="1">
        <v>37362</v>
      </c>
      <c r="O1347" t="s">
        <v>1117</v>
      </c>
      <c r="P1347">
        <v>2</v>
      </c>
      <c r="Q1347" t="s">
        <v>1215</v>
      </c>
      <c r="R1347">
        <f t="shared" ref="R1347:R1410" si="43">WEEKNUM(N1347,1)</f>
        <v>16</v>
      </c>
      <c r="S1347">
        <f t="shared" ref="S1347:S1410" si="44">IF(AND(F1347=G1347, M1347&lt;=N1347), 1,0)</f>
        <v>1</v>
      </c>
    </row>
    <row r="1348" spans="1:19" x14ac:dyDescent="0.25">
      <c r="A1348" t="s">
        <v>2468</v>
      </c>
      <c r="B1348" t="s">
        <v>1199</v>
      </c>
      <c r="C1348">
        <v>1</v>
      </c>
      <c r="D1348">
        <v>1250</v>
      </c>
      <c r="E1348">
        <v>2280</v>
      </c>
      <c r="F1348">
        <v>68</v>
      </c>
      <c r="G1348">
        <v>68</v>
      </c>
      <c r="H1348" t="s">
        <v>1208</v>
      </c>
      <c r="I1348" s="1">
        <v>37159</v>
      </c>
      <c r="J1348" s="1">
        <v>37325</v>
      </c>
      <c r="K1348" s="1">
        <v>37355</v>
      </c>
      <c r="L1348" s="1">
        <v>37355</v>
      </c>
      <c r="M1348" s="1">
        <v>37362</v>
      </c>
      <c r="N1348" s="1">
        <v>37362</v>
      </c>
      <c r="O1348" t="s">
        <v>1117</v>
      </c>
      <c r="P1348">
        <v>3</v>
      </c>
      <c r="Q1348" t="s">
        <v>1215</v>
      </c>
      <c r="R1348">
        <f t="shared" si="43"/>
        <v>16</v>
      </c>
      <c r="S1348">
        <f t="shared" si="44"/>
        <v>1</v>
      </c>
    </row>
    <row r="1349" spans="1:19" x14ac:dyDescent="0.25">
      <c r="A1349" t="s">
        <v>2469</v>
      </c>
      <c r="B1349" t="s">
        <v>1199</v>
      </c>
      <c r="C1349">
        <v>0.6</v>
      </c>
      <c r="D1349">
        <v>1250</v>
      </c>
      <c r="E1349">
        <v>2500</v>
      </c>
      <c r="F1349">
        <v>3</v>
      </c>
      <c r="G1349">
        <v>3</v>
      </c>
      <c r="H1349" t="s">
        <v>1208</v>
      </c>
      <c r="I1349" s="1">
        <v>37110</v>
      </c>
      <c r="J1349" s="1">
        <v>37321</v>
      </c>
      <c r="K1349" s="1">
        <v>37375</v>
      </c>
      <c r="L1349" s="1">
        <v>37375</v>
      </c>
      <c r="M1349" s="1">
        <v>37368</v>
      </c>
      <c r="N1349" s="1">
        <v>37368</v>
      </c>
      <c r="O1349" t="s">
        <v>1117</v>
      </c>
      <c r="P1349">
        <v>1</v>
      </c>
      <c r="Q1349" t="s">
        <v>1215</v>
      </c>
      <c r="R1349">
        <f t="shared" si="43"/>
        <v>17</v>
      </c>
      <c r="S1349">
        <f t="shared" si="44"/>
        <v>1</v>
      </c>
    </row>
    <row r="1350" spans="1:19" x14ac:dyDescent="0.25">
      <c r="A1350" t="s">
        <v>2470</v>
      </c>
      <c r="B1350" t="s">
        <v>1199</v>
      </c>
      <c r="C1350">
        <v>1.2</v>
      </c>
      <c r="D1350">
        <v>1250</v>
      </c>
      <c r="E1350">
        <v>2350</v>
      </c>
      <c r="F1350">
        <v>3</v>
      </c>
      <c r="G1350">
        <v>3</v>
      </c>
      <c r="H1350" t="s">
        <v>1208</v>
      </c>
      <c r="I1350" s="1">
        <v>37114</v>
      </c>
      <c r="J1350" s="1">
        <v>37321</v>
      </c>
      <c r="K1350" s="1">
        <v>37369</v>
      </c>
      <c r="L1350" s="1">
        <v>37369</v>
      </c>
      <c r="M1350" s="1">
        <v>37337</v>
      </c>
      <c r="N1350" s="1">
        <v>37346</v>
      </c>
      <c r="O1350" t="s">
        <v>1117</v>
      </c>
      <c r="P1350">
        <v>3</v>
      </c>
      <c r="Q1350" t="s">
        <v>1215</v>
      </c>
      <c r="R1350">
        <f t="shared" si="43"/>
        <v>14</v>
      </c>
      <c r="S1350">
        <f t="shared" si="44"/>
        <v>1</v>
      </c>
    </row>
    <row r="1351" spans="1:19" x14ac:dyDescent="0.25">
      <c r="A1351" t="s">
        <v>2471</v>
      </c>
      <c r="B1351" t="s">
        <v>4026</v>
      </c>
      <c r="C1351">
        <v>1</v>
      </c>
      <c r="D1351">
        <v>1250</v>
      </c>
      <c r="E1351">
        <v>2350</v>
      </c>
      <c r="F1351">
        <v>3</v>
      </c>
      <c r="G1351">
        <v>3</v>
      </c>
      <c r="H1351" t="s">
        <v>1208</v>
      </c>
      <c r="I1351" s="1">
        <v>37159</v>
      </c>
      <c r="J1351" s="1">
        <v>37325</v>
      </c>
      <c r="K1351" s="1">
        <v>37365</v>
      </c>
      <c r="L1351" s="1">
        <v>37365</v>
      </c>
      <c r="M1351" s="1">
        <v>37361</v>
      </c>
      <c r="N1351" s="1">
        <v>37362</v>
      </c>
      <c r="O1351" t="s">
        <v>1117</v>
      </c>
      <c r="P1351">
        <v>1</v>
      </c>
      <c r="Q1351" t="s">
        <v>1215</v>
      </c>
      <c r="R1351">
        <f t="shared" si="43"/>
        <v>16</v>
      </c>
      <c r="S1351">
        <f t="shared" si="44"/>
        <v>1</v>
      </c>
    </row>
    <row r="1352" spans="1:19" x14ac:dyDescent="0.25">
      <c r="A1352" t="s">
        <v>2472</v>
      </c>
      <c r="B1352" t="s">
        <v>1199</v>
      </c>
      <c r="C1352">
        <v>1</v>
      </c>
      <c r="D1352">
        <v>1250</v>
      </c>
      <c r="E1352">
        <v>2350</v>
      </c>
      <c r="F1352">
        <v>3</v>
      </c>
      <c r="G1352">
        <v>3</v>
      </c>
      <c r="H1352" t="s">
        <v>1208</v>
      </c>
      <c r="I1352" s="1">
        <v>37159</v>
      </c>
      <c r="J1352" s="1">
        <v>37325</v>
      </c>
      <c r="K1352" s="1">
        <v>37365</v>
      </c>
      <c r="L1352" s="1">
        <v>37365</v>
      </c>
      <c r="M1352" s="1">
        <v>37361</v>
      </c>
      <c r="N1352" s="1">
        <v>37362</v>
      </c>
      <c r="O1352" t="s">
        <v>1117</v>
      </c>
      <c r="P1352">
        <v>1</v>
      </c>
      <c r="Q1352" t="s">
        <v>1215</v>
      </c>
      <c r="R1352">
        <f t="shared" si="43"/>
        <v>16</v>
      </c>
      <c r="S1352">
        <f t="shared" si="44"/>
        <v>1</v>
      </c>
    </row>
    <row r="1353" spans="1:19" x14ac:dyDescent="0.25">
      <c r="A1353" t="s">
        <v>2473</v>
      </c>
      <c r="B1353" t="s">
        <v>1199</v>
      </c>
      <c r="C1353">
        <v>1</v>
      </c>
      <c r="D1353">
        <v>1250</v>
      </c>
      <c r="E1353">
        <v>2350</v>
      </c>
      <c r="F1353">
        <v>3</v>
      </c>
      <c r="G1353">
        <v>3</v>
      </c>
      <c r="H1353" t="s">
        <v>1208</v>
      </c>
      <c r="I1353" s="1">
        <v>37159</v>
      </c>
      <c r="J1353" s="1">
        <v>37320</v>
      </c>
      <c r="K1353" s="1">
        <v>37365</v>
      </c>
      <c r="L1353" s="1">
        <v>37365</v>
      </c>
      <c r="M1353" s="1">
        <v>37361</v>
      </c>
      <c r="N1353" s="1">
        <v>37362</v>
      </c>
      <c r="O1353" t="s">
        <v>1117</v>
      </c>
      <c r="P1353">
        <v>1</v>
      </c>
      <c r="Q1353" t="s">
        <v>1215</v>
      </c>
      <c r="R1353">
        <f t="shared" si="43"/>
        <v>16</v>
      </c>
      <c r="S1353">
        <f t="shared" si="44"/>
        <v>1</v>
      </c>
    </row>
    <row r="1354" spans="1:19" x14ac:dyDescent="0.25">
      <c r="A1354" t="s">
        <v>2474</v>
      </c>
      <c r="B1354" t="s">
        <v>1199</v>
      </c>
      <c r="C1354">
        <v>1</v>
      </c>
      <c r="D1354">
        <v>1250</v>
      </c>
      <c r="E1354">
        <v>2050</v>
      </c>
      <c r="F1354">
        <v>6</v>
      </c>
      <c r="G1354">
        <v>6</v>
      </c>
      <c r="H1354" t="s">
        <v>1208</v>
      </c>
      <c r="I1354" s="1">
        <v>37159</v>
      </c>
      <c r="J1354" s="1">
        <v>37319</v>
      </c>
      <c r="K1354" s="1">
        <v>37365</v>
      </c>
      <c r="L1354" s="1">
        <v>37365</v>
      </c>
      <c r="M1354" s="1">
        <v>37361</v>
      </c>
      <c r="N1354" s="1">
        <v>37361</v>
      </c>
      <c r="O1354" t="s">
        <v>1117</v>
      </c>
      <c r="P1354">
        <v>2</v>
      </c>
      <c r="Q1354" t="s">
        <v>1215</v>
      </c>
      <c r="R1354">
        <f t="shared" si="43"/>
        <v>16</v>
      </c>
      <c r="S1354">
        <f t="shared" si="44"/>
        <v>1</v>
      </c>
    </row>
    <row r="1355" spans="1:19" x14ac:dyDescent="0.25">
      <c r="A1355" t="s">
        <v>2475</v>
      </c>
      <c r="B1355" t="s">
        <v>1199</v>
      </c>
      <c r="C1355">
        <v>1</v>
      </c>
      <c r="D1355">
        <v>1250</v>
      </c>
      <c r="E1355">
        <v>2350</v>
      </c>
      <c r="F1355">
        <v>3</v>
      </c>
      <c r="G1355">
        <v>3</v>
      </c>
      <c r="H1355" t="s">
        <v>1208</v>
      </c>
      <c r="I1355" s="1">
        <v>37159</v>
      </c>
      <c r="J1355" s="1">
        <v>37325</v>
      </c>
      <c r="K1355" s="1">
        <v>37365</v>
      </c>
      <c r="L1355" s="1">
        <v>37365</v>
      </c>
      <c r="M1355" s="1">
        <v>37361</v>
      </c>
      <c r="N1355" s="1">
        <v>37362</v>
      </c>
      <c r="O1355" t="s">
        <v>1117</v>
      </c>
      <c r="P1355">
        <v>1</v>
      </c>
      <c r="Q1355" t="s">
        <v>1215</v>
      </c>
      <c r="R1355">
        <f t="shared" si="43"/>
        <v>16</v>
      </c>
      <c r="S1355">
        <f t="shared" si="44"/>
        <v>1</v>
      </c>
    </row>
    <row r="1356" spans="1:19" x14ac:dyDescent="0.25">
      <c r="A1356" t="s">
        <v>2476</v>
      </c>
      <c r="B1356" t="s">
        <v>4026</v>
      </c>
      <c r="C1356">
        <v>0.6</v>
      </c>
      <c r="D1356">
        <v>1250</v>
      </c>
      <c r="E1356">
        <v>2500</v>
      </c>
      <c r="F1356">
        <v>6</v>
      </c>
      <c r="G1356">
        <v>6</v>
      </c>
      <c r="H1356" t="s">
        <v>1208</v>
      </c>
      <c r="I1356" s="1">
        <v>37122</v>
      </c>
      <c r="J1356" s="1">
        <v>37312</v>
      </c>
      <c r="K1356" s="1">
        <v>37369</v>
      </c>
      <c r="L1356" s="1">
        <v>37369</v>
      </c>
      <c r="M1356" s="1">
        <v>37337</v>
      </c>
      <c r="N1356" s="1">
        <v>37337</v>
      </c>
      <c r="O1356" t="s">
        <v>1117</v>
      </c>
      <c r="P1356">
        <v>1</v>
      </c>
      <c r="Q1356" t="s">
        <v>1215</v>
      </c>
      <c r="R1356">
        <f t="shared" si="43"/>
        <v>12</v>
      </c>
      <c r="S1356">
        <f t="shared" si="44"/>
        <v>1</v>
      </c>
    </row>
    <row r="1357" spans="1:19" x14ac:dyDescent="0.25">
      <c r="A1357" t="s">
        <v>2477</v>
      </c>
      <c r="B1357" t="s">
        <v>1199</v>
      </c>
      <c r="C1357">
        <v>0.8</v>
      </c>
      <c r="D1357">
        <v>1250</v>
      </c>
      <c r="E1357">
        <v>2500</v>
      </c>
      <c r="F1357">
        <v>9</v>
      </c>
      <c r="G1357">
        <v>6.31</v>
      </c>
      <c r="H1357" t="s">
        <v>1208</v>
      </c>
      <c r="I1357" s="1">
        <v>37159</v>
      </c>
      <c r="J1357" s="1">
        <v>37325</v>
      </c>
      <c r="K1357" s="1">
        <v>37354</v>
      </c>
      <c r="L1357" s="1">
        <v>37354</v>
      </c>
      <c r="M1357" s="1">
        <v>37354</v>
      </c>
      <c r="N1357" s="1">
        <v>37354</v>
      </c>
      <c r="O1357" t="s">
        <v>1117</v>
      </c>
      <c r="P1357">
        <v>1</v>
      </c>
      <c r="Q1357" t="s">
        <v>1215</v>
      </c>
      <c r="R1357">
        <f t="shared" si="43"/>
        <v>15</v>
      </c>
      <c r="S1357">
        <f t="shared" si="44"/>
        <v>0</v>
      </c>
    </row>
    <row r="1358" spans="1:19" x14ac:dyDescent="0.25">
      <c r="A1358" t="s">
        <v>2478</v>
      </c>
      <c r="B1358" t="s">
        <v>3521</v>
      </c>
      <c r="C1358">
        <v>0.8</v>
      </c>
      <c r="D1358">
        <v>1250</v>
      </c>
      <c r="E1358">
        <v>2050</v>
      </c>
      <c r="F1358">
        <v>6</v>
      </c>
      <c r="G1358">
        <v>6</v>
      </c>
      <c r="H1358" t="s">
        <v>1208</v>
      </c>
      <c r="I1358" s="1">
        <v>37159</v>
      </c>
      <c r="J1358" s="1">
        <v>37319</v>
      </c>
      <c r="K1358" s="1">
        <v>37356</v>
      </c>
      <c r="L1358" s="1">
        <v>37356</v>
      </c>
      <c r="M1358" s="1">
        <v>37354</v>
      </c>
      <c r="N1358" s="1">
        <v>37354</v>
      </c>
      <c r="O1358" t="s">
        <v>1117</v>
      </c>
      <c r="P1358">
        <v>4</v>
      </c>
      <c r="Q1358" t="s">
        <v>1215</v>
      </c>
      <c r="R1358">
        <f t="shared" si="43"/>
        <v>15</v>
      </c>
      <c r="S1358">
        <f t="shared" si="44"/>
        <v>1</v>
      </c>
    </row>
    <row r="1359" spans="1:19" x14ac:dyDescent="0.25">
      <c r="A1359" t="s">
        <v>2479</v>
      </c>
      <c r="B1359" t="s">
        <v>4026</v>
      </c>
      <c r="C1359">
        <v>1</v>
      </c>
      <c r="D1359">
        <v>1250</v>
      </c>
      <c r="E1359">
        <v>2350</v>
      </c>
      <c r="F1359">
        <v>6</v>
      </c>
      <c r="G1359">
        <v>6</v>
      </c>
      <c r="H1359" t="s">
        <v>1208</v>
      </c>
      <c r="I1359" s="1">
        <v>37159</v>
      </c>
      <c r="J1359" s="1">
        <v>37319</v>
      </c>
      <c r="K1359" s="1">
        <v>37361</v>
      </c>
      <c r="L1359" s="1">
        <v>37361</v>
      </c>
      <c r="M1359" s="1">
        <v>37361</v>
      </c>
      <c r="N1359" s="1">
        <v>37361</v>
      </c>
      <c r="O1359" t="s">
        <v>1117</v>
      </c>
      <c r="P1359">
        <v>3</v>
      </c>
      <c r="Q1359" t="s">
        <v>1215</v>
      </c>
      <c r="R1359">
        <f t="shared" si="43"/>
        <v>16</v>
      </c>
      <c r="S1359">
        <f t="shared" si="44"/>
        <v>1</v>
      </c>
    </row>
    <row r="1360" spans="1:19" x14ac:dyDescent="0.25">
      <c r="A1360" t="s">
        <v>2480</v>
      </c>
      <c r="B1360" t="s">
        <v>1199</v>
      </c>
      <c r="C1360">
        <v>0.8</v>
      </c>
      <c r="D1360">
        <v>1250</v>
      </c>
      <c r="E1360">
        <v>2500</v>
      </c>
      <c r="F1360">
        <v>10</v>
      </c>
      <c r="G1360">
        <v>10</v>
      </c>
      <c r="H1360" t="s">
        <v>1208</v>
      </c>
      <c r="I1360" s="1">
        <v>37159</v>
      </c>
      <c r="J1360" s="1">
        <v>37325</v>
      </c>
      <c r="K1360" s="1">
        <v>37370</v>
      </c>
      <c r="L1360" s="1">
        <v>37370</v>
      </c>
      <c r="M1360" s="1">
        <v>37354</v>
      </c>
      <c r="N1360" s="1">
        <v>37355</v>
      </c>
      <c r="O1360" t="s">
        <v>1117</v>
      </c>
      <c r="P1360">
        <v>5</v>
      </c>
      <c r="Q1360" t="s">
        <v>1215</v>
      </c>
      <c r="R1360">
        <f t="shared" si="43"/>
        <v>15</v>
      </c>
      <c r="S1360">
        <f t="shared" si="44"/>
        <v>1</v>
      </c>
    </row>
    <row r="1361" spans="1:19" x14ac:dyDescent="0.25">
      <c r="A1361" t="s">
        <v>2481</v>
      </c>
      <c r="B1361" t="s">
        <v>4028</v>
      </c>
      <c r="C1361">
        <v>1</v>
      </c>
      <c r="D1361">
        <v>1250</v>
      </c>
      <c r="E1361">
        <v>2350</v>
      </c>
      <c r="F1361">
        <v>9</v>
      </c>
      <c r="G1361">
        <v>9</v>
      </c>
      <c r="H1361" t="s">
        <v>1208</v>
      </c>
      <c r="I1361" s="1">
        <v>37159</v>
      </c>
      <c r="J1361" s="1">
        <v>37319</v>
      </c>
      <c r="K1361" s="1">
        <v>37365</v>
      </c>
      <c r="L1361" s="1">
        <v>37365</v>
      </c>
      <c r="M1361" s="1">
        <v>37361</v>
      </c>
      <c r="N1361" s="1">
        <v>37362</v>
      </c>
      <c r="O1361" t="s">
        <v>1117</v>
      </c>
      <c r="P1361">
        <v>3</v>
      </c>
      <c r="Q1361" t="s">
        <v>1215</v>
      </c>
      <c r="R1361">
        <f t="shared" si="43"/>
        <v>16</v>
      </c>
      <c r="S1361">
        <f t="shared" si="44"/>
        <v>1</v>
      </c>
    </row>
    <row r="1362" spans="1:19" x14ac:dyDescent="0.25">
      <c r="A1362" t="s">
        <v>2482</v>
      </c>
      <c r="B1362" t="s">
        <v>4028</v>
      </c>
      <c r="C1362">
        <v>1.2</v>
      </c>
      <c r="D1362">
        <v>1250</v>
      </c>
      <c r="E1362">
        <v>3048</v>
      </c>
      <c r="F1362">
        <v>20</v>
      </c>
      <c r="G1362">
        <v>20</v>
      </c>
      <c r="H1362" t="s">
        <v>1208</v>
      </c>
      <c r="I1362" s="1">
        <v>37134</v>
      </c>
      <c r="J1362" s="1">
        <v>37314</v>
      </c>
      <c r="K1362" s="1">
        <v>37321</v>
      </c>
      <c r="L1362" s="1">
        <v>37321</v>
      </c>
      <c r="M1362" s="1">
        <v>37328</v>
      </c>
      <c r="N1362" s="1">
        <v>37328</v>
      </c>
      <c r="O1362" t="s">
        <v>1117</v>
      </c>
      <c r="P1362">
        <v>1</v>
      </c>
      <c r="Q1362" t="s">
        <v>1215</v>
      </c>
      <c r="R1362">
        <f t="shared" si="43"/>
        <v>11</v>
      </c>
      <c r="S1362">
        <f t="shared" si="44"/>
        <v>1</v>
      </c>
    </row>
    <row r="1363" spans="1:19" x14ac:dyDescent="0.25">
      <c r="A1363" t="s">
        <v>2483</v>
      </c>
      <c r="B1363" t="s">
        <v>1199</v>
      </c>
      <c r="C1363">
        <v>0.9</v>
      </c>
      <c r="D1363">
        <v>1250</v>
      </c>
      <c r="E1363">
        <v>2500</v>
      </c>
      <c r="F1363">
        <v>6</v>
      </c>
      <c r="G1363">
        <v>6</v>
      </c>
      <c r="H1363" t="s">
        <v>1208</v>
      </c>
      <c r="I1363" s="1">
        <v>37159</v>
      </c>
      <c r="J1363" s="1">
        <v>37323</v>
      </c>
      <c r="K1363" s="1">
        <v>37372</v>
      </c>
      <c r="L1363" s="1">
        <v>37372</v>
      </c>
      <c r="M1363" s="1">
        <v>37358</v>
      </c>
      <c r="N1363" s="1">
        <v>37358</v>
      </c>
      <c r="O1363" t="s">
        <v>1117</v>
      </c>
      <c r="P1363">
        <v>1</v>
      </c>
      <c r="Q1363" t="s">
        <v>1215</v>
      </c>
      <c r="R1363">
        <f t="shared" si="43"/>
        <v>15</v>
      </c>
      <c r="S1363">
        <f t="shared" si="44"/>
        <v>1</v>
      </c>
    </row>
    <row r="1364" spans="1:19" x14ac:dyDescent="0.25">
      <c r="A1364" t="s">
        <v>2484</v>
      </c>
      <c r="B1364" t="s">
        <v>3631</v>
      </c>
      <c r="C1364">
        <v>1</v>
      </c>
      <c r="D1364">
        <v>1250</v>
      </c>
      <c r="E1364">
        <v>2350</v>
      </c>
      <c r="F1364">
        <v>3</v>
      </c>
      <c r="G1364">
        <v>3</v>
      </c>
      <c r="H1364" t="s">
        <v>1208</v>
      </c>
      <c r="I1364" s="1">
        <v>37110</v>
      </c>
      <c r="J1364" s="1">
        <v>37321</v>
      </c>
      <c r="K1364" s="1">
        <v>37365</v>
      </c>
      <c r="L1364" s="1">
        <v>37365</v>
      </c>
      <c r="M1364" s="1">
        <v>37361</v>
      </c>
      <c r="N1364" s="1">
        <v>37362</v>
      </c>
      <c r="O1364" t="s">
        <v>1117</v>
      </c>
      <c r="P1364">
        <v>8</v>
      </c>
      <c r="Q1364" t="s">
        <v>1215</v>
      </c>
      <c r="R1364">
        <f t="shared" si="43"/>
        <v>16</v>
      </c>
      <c r="S1364">
        <f t="shared" si="44"/>
        <v>1</v>
      </c>
    </row>
    <row r="1365" spans="1:19" x14ac:dyDescent="0.25">
      <c r="A1365" t="s">
        <v>2485</v>
      </c>
      <c r="B1365" t="s">
        <v>4028</v>
      </c>
      <c r="C1365">
        <v>1</v>
      </c>
      <c r="D1365">
        <v>1250</v>
      </c>
      <c r="E1365">
        <v>2350</v>
      </c>
      <c r="F1365">
        <v>3</v>
      </c>
      <c r="G1365">
        <v>3</v>
      </c>
      <c r="H1365" t="s">
        <v>1208</v>
      </c>
      <c r="I1365" s="1">
        <v>37126</v>
      </c>
      <c r="J1365" s="1">
        <v>37322</v>
      </c>
      <c r="K1365" s="1">
        <v>37365</v>
      </c>
      <c r="L1365" s="1">
        <v>37365</v>
      </c>
      <c r="M1365" s="1">
        <v>37361</v>
      </c>
      <c r="N1365" s="1">
        <v>37362</v>
      </c>
      <c r="O1365" t="s">
        <v>1117</v>
      </c>
      <c r="P1365">
        <v>1</v>
      </c>
      <c r="Q1365" t="s">
        <v>1215</v>
      </c>
      <c r="R1365">
        <f t="shared" si="43"/>
        <v>16</v>
      </c>
      <c r="S1365">
        <f t="shared" si="44"/>
        <v>1</v>
      </c>
    </row>
    <row r="1366" spans="1:19" x14ac:dyDescent="0.25">
      <c r="A1366" t="s">
        <v>2486</v>
      </c>
      <c r="B1366" t="s">
        <v>1199</v>
      </c>
      <c r="C1366">
        <v>3</v>
      </c>
      <c r="D1366">
        <v>1250</v>
      </c>
      <c r="E1366">
        <v>2500</v>
      </c>
      <c r="F1366">
        <v>6</v>
      </c>
      <c r="G1366">
        <v>6</v>
      </c>
      <c r="H1366" t="s">
        <v>1208</v>
      </c>
      <c r="I1366" s="1">
        <v>37126</v>
      </c>
      <c r="J1366" s="1">
        <v>37322</v>
      </c>
      <c r="K1366" s="1">
        <v>37362</v>
      </c>
      <c r="L1366" s="1">
        <v>37362</v>
      </c>
      <c r="M1366" s="1">
        <v>37362</v>
      </c>
      <c r="N1366" s="1">
        <v>37362</v>
      </c>
      <c r="O1366" t="s">
        <v>1117</v>
      </c>
      <c r="P1366">
        <v>1</v>
      </c>
      <c r="Q1366" t="s">
        <v>1215</v>
      </c>
      <c r="R1366">
        <f t="shared" si="43"/>
        <v>16</v>
      </c>
      <c r="S1366">
        <f t="shared" si="44"/>
        <v>1</v>
      </c>
    </row>
    <row r="1367" spans="1:19" x14ac:dyDescent="0.25">
      <c r="A1367" t="s">
        <v>2487</v>
      </c>
      <c r="B1367" t="s">
        <v>1199</v>
      </c>
      <c r="C1367">
        <v>1.2</v>
      </c>
      <c r="D1367">
        <v>1250</v>
      </c>
      <c r="E1367">
        <v>2280</v>
      </c>
      <c r="F1367">
        <v>12</v>
      </c>
      <c r="G1367">
        <v>12</v>
      </c>
      <c r="H1367" t="s">
        <v>1208</v>
      </c>
      <c r="I1367" s="1">
        <v>37159</v>
      </c>
      <c r="J1367" s="1">
        <v>37320</v>
      </c>
      <c r="K1367" t="s">
        <v>1124</v>
      </c>
      <c r="L1367" t="s">
        <v>1124</v>
      </c>
      <c r="M1367" s="1">
        <v>37337</v>
      </c>
      <c r="N1367" s="1">
        <v>37337</v>
      </c>
      <c r="O1367" t="s">
        <v>1117</v>
      </c>
      <c r="P1367">
        <v>1</v>
      </c>
      <c r="Q1367" t="s">
        <v>1215</v>
      </c>
      <c r="R1367">
        <f t="shared" si="43"/>
        <v>12</v>
      </c>
      <c r="S1367">
        <f t="shared" si="44"/>
        <v>1</v>
      </c>
    </row>
    <row r="1368" spans="1:19" x14ac:dyDescent="0.25">
      <c r="A1368" t="s">
        <v>2488</v>
      </c>
      <c r="B1368" t="s">
        <v>4027</v>
      </c>
      <c r="C1368">
        <v>1.2</v>
      </c>
      <c r="D1368">
        <v>1250</v>
      </c>
      <c r="E1368">
        <v>2350</v>
      </c>
      <c r="F1368">
        <v>6</v>
      </c>
      <c r="G1368">
        <v>6</v>
      </c>
      <c r="H1368" t="s">
        <v>1208</v>
      </c>
      <c r="I1368" s="1">
        <v>37110</v>
      </c>
      <c r="J1368" s="1">
        <v>37321</v>
      </c>
      <c r="K1368" s="1">
        <v>37369</v>
      </c>
      <c r="L1368" s="1">
        <v>37369</v>
      </c>
      <c r="M1368" s="1">
        <v>37337</v>
      </c>
      <c r="N1368" s="1">
        <v>37346</v>
      </c>
      <c r="O1368" t="s">
        <v>1117</v>
      </c>
      <c r="P1368">
        <v>7</v>
      </c>
      <c r="Q1368" t="s">
        <v>1215</v>
      </c>
      <c r="R1368">
        <f t="shared" si="43"/>
        <v>14</v>
      </c>
      <c r="S1368">
        <f t="shared" si="44"/>
        <v>1</v>
      </c>
    </row>
    <row r="1369" spans="1:19" x14ac:dyDescent="0.25">
      <c r="A1369" t="s">
        <v>2489</v>
      </c>
      <c r="B1369" t="s">
        <v>1199</v>
      </c>
      <c r="C1369">
        <v>3</v>
      </c>
      <c r="D1369">
        <v>1250</v>
      </c>
      <c r="E1369">
        <v>2500</v>
      </c>
      <c r="F1369">
        <v>3</v>
      </c>
      <c r="G1369">
        <v>3</v>
      </c>
      <c r="H1369" t="s">
        <v>1208</v>
      </c>
      <c r="I1369" s="1">
        <v>37124</v>
      </c>
      <c r="J1369" s="1">
        <v>37322</v>
      </c>
      <c r="K1369" s="1">
        <v>37362</v>
      </c>
      <c r="L1369" s="1">
        <v>37362</v>
      </c>
      <c r="M1369" s="1">
        <v>37362</v>
      </c>
      <c r="N1369" s="1">
        <v>37362</v>
      </c>
      <c r="O1369" t="s">
        <v>1117</v>
      </c>
      <c r="P1369">
        <v>1</v>
      </c>
      <c r="Q1369" t="s">
        <v>1215</v>
      </c>
      <c r="R1369">
        <f t="shared" si="43"/>
        <v>16</v>
      </c>
      <c r="S1369">
        <f t="shared" si="44"/>
        <v>1</v>
      </c>
    </row>
    <row r="1370" spans="1:19" x14ac:dyDescent="0.25">
      <c r="A1370" t="s">
        <v>2490</v>
      </c>
      <c r="B1370" t="s">
        <v>4028</v>
      </c>
      <c r="C1370">
        <v>1.2</v>
      </c>
      <c r="D1370">
        <v>1250</v>
      </c>
      <c r="E1370">
        <v>2500</v>
      </c>
      <c r="F1370">
        <v>3</v>
      </c>
      <c r="G1370">
        <v>3</v>
      </c>
      <c r="H1370" t="s">
        <v>1208</v>
      </c>
      <c r="I1370" s="1">
        <v>37130</v>
      </c>
      <c r="J1370" s="1">
        <v>37311</v>
      </c>
      <c r="K1370" s="1">
        <v>37369</v>
      </c>
      <c r="L1370" s="1">
        <v>37369</v>
      </c>
      <c r="M1370" s="1">
        <v>37336</v>
      </c>
      <c r="N1370" s="1">
        <v>37385</v>
      </c>
      <c r="O1370" t="s">
        <v>1117</v>
      </c>
      <c r="P1370">
        <v>1</v>
      </c>
      <c r="Q1370" t="s">
        <v>1215</v>
      </c>
      <c r="R1370">
        <f t="shared" si="43"/>
        <v>19</v>
      </c>
      <c r="S1370">
        <f t="shared" si="44"/>
        <v>1</v>
      </c>
    </row>
    <row r="1371" spans="1:19" x14ac:dyDescent="0.25">
      <c r="A1371" t="s">
        <v>2491</v>
      </c>
      <c r="B1371" t="s">
        <v>4028</v>
      </c>
      <c r="C1371">
        <v>1</v>
      </c>
      <c r="D1371">
        <v>1250</v>
      </c>
      <c r="E1371">
        <v>2350</v>
      </c>
      <c r="F1371">
        <v>15</v>
      </c>
      <c r="G1371">
        <v>15</v>
      </c>
      <c r="H1371" t="s">
        <v>1208</v>
      </c>
      <c r="I1371" s="1">
        <v>37128</v>
      </c>
      <c r="J1371" s="1">
        <v>37322</v>
      </c>
      <c r="K1371" s="1">
        <v>37358</v>
      </c>
      <c r="L1371" s="1">
        <v>37358</v>
      </c>
      <c r="M1371" s="1">
        <v>37362</v>
      </c>
      <c r="N1371" s="1">
        <v>37362</v>
      </c>
      <c r="O1371" t="s">
        <v>1117</v>
      </c>
      <c r="P1371">
        <v>1</v>
      </c>
      <c r="Q1371" t="s">
        <v>1215</v>
      </c>
      <c r="R1371">
        <f t="shared" si="43"/>
        <v>16</v>
      </c>
      <c r="S1371">
        <f t="shared" si="44"/>
        <v>1</v>
      </c>
    </row>
    <row r="1372" spans="1:19" x14ac:dyDescent="0.25">
      <c r="A1372" t="s">
        <v>2492</v>
      </c>
      <c r="B1372" t="s">
        <v>4026</v>
      </c>
      <c r="C1372">
        <v>1.2</v>
      </c>
      <c r="D1372">
        <v>1250</v>
      </c>
      <c r="E1372">
        <v>2350</v>
      </c>
      <c r="F1372">
        <v>9</v>
      </c>
      <c r="G1372">
        <v>9</v>
      </c>
      <c r="H1372" t="s">
        <v>1208</v>
      </c>
      <c r="I1372" s="1">
        <v>37159</v>
      </c>
      <c r="J1372" s="1">
        <v>37325</v>
      </c>
      <c r="K1372" s="1">
        <v>37369</v>
      </c>
      <c r="L1372" s="1">
        <v>37369</v>
      </c>
      <c r="M1372" s="1">
        <v>37337</v>
      </c>
      <c r="N1372" s="1">
        <v>37346</v>
      </c>
      <c r="O1372" t="s">
        <v>1117</v>
      </c>
      <c r="P1372">
        <v>4</v>
      </c>
      <c r="Q1372" t="s">
        <v>1215</v>
      </c>
      <c r="R1372">
        <f t="shared" si="43"/>
        <v>14</v>
      </c>
      <c r="S1372">
        <f t="shared" si="44"/>
        <v>1</v>
      </c>
    </row>
    <row r="1373" spans="1:19" x14ac:dyDescent="0.25">
      <c r="A1373" t="s">
        <v>2493</v>
      </c>
      <c r="B1373" t="s">
        <v>1199</v>
      </c>
      <c r="C1373">
        <v>0.6</v>
      </c>
      <c r="D1373">
        <v>1250</v>
      </c>
      <c r="E1373">
        <v>2500</v>
      </c>
      <c r="F1373">
        <v>6</v>
      </c>
      <c r="G1373">
        <v>6</v>
      </c>
      <c r="H1373" t="s">
        <v>1208</v>
      </c>
      <c r="I1373" s="1">
        <v>37108</v>
      </c>
      <c r="J1373" s="1">
        <v>37320</v>
      </c>
      <c r="K1373" s="1">
        <v>37375</v>
      </c>
      <c r="L1373" s="1">
        <v>37375</v>
      </c>
      <c r="M1373" s="1">
        <v>37368</v>
      </c>
      <c r="N1373" s="1">
        <v>37368</v>
      </c>
      <c r="O1373" t="s">
        <v>1117</v>
      </c>
      <c r="P1373">
        <v>1</v>
      </c>
      <c r="Q1373" t="s">
        <v>1215</v>
      </c>
      <c r="R1373">
        <f t="shared" si="43"/>
        <v>17</v>
      </c>
      <c r="S1373">
        <f t="shared" si="44"/>
        <v>1</v>
      </c>
    </row>
    <row r="1374" spans="1:19" x14ac:dyDescent="0.25">
      <c r="A1374" t="s">
        <v>2494</v>
      </c>
      <c r="B1374" t="s">
        <v>1199</v>
      </c>
      <c r="C1374">
        <v>1</v>
      </c>
      <c r="D1374">
        <v>1250</v>
      </c>
      <c r="E1374">
        <v>2350</v>
      </c>
      <c r="F1374">
        <v>9</v>
      </c>
      <c r="G1374">
        <v>9</v>
      </c>
      <c r="H1374" t="s">
        <v>1208</v>
      </c>
      <c r="I1374" s="1">
        <v>37159</v>
      </c>
      <c r="J1374" s="1">
        <v>37319</v>
      </c>
      <c r="K1374" s="1">
        <v>37365</v>
      </c>
      <c r="L1374" s="1">
        <v>37365</v>
      </c>
      <c r="M1374" s="1">
        <v>37361</v>
      </c>
      <c r="N1374" s="1">
        <v>37362</v>
      </c>
      <c r="O1374" t="s">
        <v>1117</v>
      </c>
      <c r="P1374">
        <v>1</v>
      </c>
      <c r="Q1374" t="s">
        <v>1215</v>
      </c>
      <c r="R1374">
        <f t="shared" si="43"/>
        <v>16</v>
      </c>
      <c r="S1374">
        <f t="shared" si="44"/>
        <v>1</v>
      </c>
    </row>
    <row r="1375" spans="1:19" x14ac:dyDescent="0.25">
      <c r="A1375" t="s">
        <v>2495</v>
      </c>
      <c r="B1375" t="s">
        <v>4026</v>
      </c>
      <c r="C1375">
        <v>0.6</v>
      </c>
      <c r="D1375">
        <v>1250</v>
      </c>
      <c r="E1375">
        <v>2500</v>
      </c>
      <c r="F1375">
        <v>6</v>
      </c>
      <c r="G1375">
        <v>6</v>
      </c>
      <c r="H1375" t="s">
        <v>1208</v>
      </c>
      <c r="I1375" s="1">
        <v>37159</v>
      </c>
      <c r="J1375" s="1">
        <v>37319</v>
      </c>
      <c r="K1375" s="1">
        <v>37375</v>
      </c>
      <c r="L1375" s="1">
        <v>37375</v>
      </c>
      <c r="M1375" s="1">
        <v>37368</v>
      </c>
      <c r="N1375" s="1">
        <v>37368</v>
      </c>
      <c r="O1375" t="s">
        <v>1117</v>
      </c>
      <c r="P1375">
        <v>1</v>
      </c>
      <c r="Q1375" t="s">
        <v>1215</v>
      </c>
      <c r="R1375">
        <f t="shared" si="43"/>
        <v>17</v>
      </c>
      <c r="S1375">
        <f t="shared" si="44"/>
        <v>1</v>
      </c>
    </row>
    <row r="1376" spans="1:19" x14ac:dyDescent="0.25">
      <c r="A1376" t="s">
        <v>2496</v>
      </c>
      <c r="B1376" t="s">
        <v>4028</v>
      </c>
      <c r="C1376">
        <v>0.8</v>
      </c>
      <c r="D1376">
        <v>1250</v>
      </c>
      <c r="E1376">
        <v>3000</v>
      </c>
      <c r="F1376">
        <v>6</v>
      </c>
      <c r="G1376">
        <v>6</v>
      </c>
      <c r="H1376" t="s">
        <v>1208</v>
      </c>
      <c r="I1376" s="1">
        <v>37159</v>
      </c>
      <c r="J1376" s="1">
        <v>37319</v>
      </c>
      <c r="K1376" s="1">
        <v>37356</v>
      </c>
      <c r="L1376" s="1">
        <v>37356</v>
      </c>
      <c r="M1376" s="1">
        <v>37354</v>
      </c>
      <c r="N1376" s="1">
        <v>37354</v>
      </c>
      <c r="O1376" t="s">
        <v>1117</v>
      </c>
      <c r="P1376">
        <v>5</v>
      </c>
      <c r="Q1376" t="s">
        <v>1215</v>
      </c>
      <c r="R1376">
        <f t="shared" si="43"/>
        <v>15</v>
      </c>
      <c r="S1376">
        <f t="shared" si="44"/>
        <v>1</v>
      </c>
    </row>
    <row r="1377" spans="1:19" x14ac:dyDescent="0.25">
      <c r="A1377" t="s">
        <v>2497</v>
      </c>
      <c r="B1377" t="s">
        <v>1199</v>
      </c>
      <c r="C1377">
        <v>0.6</v>
      </c>
      <c r="D1377">
        <v>1250</v>
      </c>
      <c r="E1377">
        <v>2500</v>
      </c>
      <c r="F1377">
        <v>6</v>
      </c>
      <c r="G1377">
        <v>6</v>
      </c>
      <c r="H1377" t="s">
        <v>1208</v>
      </c>
      <c r="I1377" s="1">
        <v>37159</v>
      </c>
      <c r="J1377" s="1">
        <v>37319</v>
      </c>
      <c r="K1377" s="1">
        <v>37375</v>
      </c>
      <c r="L1377" s="1">
        <v>37375</v>
      </c>
      <c r="M1377" s="1">
        <v>37368</v>
      </c>
      <c r="N1377" s="1">
        <v>37368</v>
      </c>
      <c r="O1377" t="s">
        <v>1117</v>
      </c>
      <c r="P1377">
        <v>1</v>
      </c>
      <c r="Q1377" t="s">
        <v>1215</v>
      </c>
      <c r="R1377">
        <f t="shared" si="43"/>
        <v>17</v>
      </c>
      <c r="S1377">
        <f t="shared" si="44"/>
        <v>1</v>
      </c>
    </row>
    <row r="1378" spans="1:19" x14ac:dyDescent="0.25">
      <c r="A1378" t="s">
        <v>2498</v>
      </c>
      <c r="B1378" t="s">
        <v>1199</v>
      </c>
      <c r="C1378">
        <v>0.6</v>
      </c>
      <c r="D1378">
        <v>1250</v>
      </c>
      <c r="E1378">
        <v>2500</v>
      </c>
      <c r="F1378">
        <v>3</v>
      </c>
      <c r="G1378">
        <v>3</v>
      </c>
      <c r="H1378" t="s">
        <v>1208</v>
      </c>
      <c r="I1378" s="1">
        <v>37124</v>
      </c>
      <c r="J1378" s="1">
        <v>37322</v>
      </c>
      <c r="K1378" t="s">
        <v>1124</v>
      </c>
      <c r="L1378" t="s">
        <v>1124</v>
      </c>
      <c r="M1378" s="1">
        <v>37368</v>
      </c>
      <c r="N1378" s="1">
        <v>37368</v>
      </c>
      <c r="O1378" t="s">
        <v>1117</v>
      </c>
      <c r="P1378">
        <v>1</v>
      </c>
      <c r="Q1378" t="s">
        <v>1215</v>
      </c>
      <c r="R1378">
        <f t="shared" si="43"/>
        <v>17</v>
      </c>
      <c r="S1378">
        <f t="shared" si="44"/>
        <v>1</v>
      </c>
    </row>
    <row r="1379" spans="1:19" x14ac:dyDescent="0.25">
      <c r="A1379" t="s">
        <v>2499</v>
      </c>
      <c r="B1379" t="s">
        <v>1199</v>
      </c>
      <c r="C1379">
        <v>1.2</v>
      </c>
      <c r="D1379">
        <v>1250</v>
      </c>
      <c r="E1379">
        <v>2500</v>
      </c>
      <c r="F1379">
        <v>50</v>
      </c>
      <c r="G1379">
        <v>50</v>
      </c>
      <c r="H1379" t="s">
        <v>1208</v>
      </c>
      <c r="I1379" s="1">
        <v>37304</v>
      </c>
      <c r="J1379" s="1">
        <v>37314</v>
      </c>
      <c r="K1379" s="1">
        <v>37344</v>
      </c>
      <c r="L1379" s="1">
        <v>37344</v>
      </c>
      <c r="M1379" s="1">
        <v>37344</v>
      </c>
      <c r="N1379" s="1">
        <v>37344</v>
      </c>
      <c r="O1379" t="s">
        <v>1117</v>
      </c>
      <c r="P1379">
        <v>2</v>
      </c>
      <c r="Q1379" t="s">
        <v>1215</v>
      </c>
      <c r="R1379">
        <f t="shared" si="43"/>
        <v>13</v>
      </c>
      <c r="S1379">
        <f t="shared" si="44"/>
        <v>1</v>
      </c>
    </row>
    <row r="1380" spans="1:19" x14ac:dyDescent="0.25">
      <c r="A1380" t="s">
        <v>2500</v>
      </c>
      <c r="B1380" t="s">
        <v>1199</v>
      </c>
      <c r="C1380">
        <v>1.5</v>
      </c>
      <c r="D1380">
        <v>1250</v>
      </c>
      <c r="E1380">
        <v>2500</v>
      </c>
      <c r="F1380">
        <v>15</v>
      </c>
      <c r="G1380">
        <v>15</v>
      </c>
      <c r="H1380" t="s">
        <v>1208</v>
      </c>
      <c r="I1380" s="1">
        <v>37114</v>
      </c>
      <c r="J1380" s="1">
        <v>37321</v>
      </c>
      <c r="K1380" t="s">
        <v>1124</v>
      </c>
      <c r="L1380" t="s">
        <v>1124</v>
      </c>
      <c r="M1380" s="1">
        <v>37340</v>
      </c>
      <c r="N1380" s="1">
        <v>37340</v>
      </c>
      <c r="O1380" t="s">
        <v>1117</v>
      </c>
      <c r="P1380">
        <v>2</v>
      </c>
      <c r="Q1380" t="s">
        <v>1215</v>
      </c>
      <c r="R1380">
        <f t="shared" si="43"/>
        <v>13</v>
      </c>
      <c r="S1380">
        <f t="shared" si="44"/>
        <v>1</v>
      </c>
    </row>
    <row r="1381" spans="1:19" x14ac:dyDescent="0.25">
      <c r="A1381" t="s">
        <v>2501</v>
      </c>
      <c r="B1381" t="s">
        <v>1199</v>
      </c>
      <c r="C1381">
        <v>0.6</v>
      </c>
      <c r="D1381">
        <v>1250</v>
      </c>
      <c r="E1381">
        <v>2500</v>
      </c>
      <c r="F1381">
        <v>6</v>
      </c>
      <c r="G1381">
        <v>6</v>
      </c>
      <c r="H1381" t="s">
        <v>1208</v>
      </c>
      <c r="I1381" s="1">
        <v>37159</v>
      </c>
      <c r="J1381" s="1">
        <v>37319</v>
      </c>
      <c r="K1381" s="1">
        <v>37375</v>
      </c>
      <c r="L1381" s="1">
        <v>37375</v>
      </c>
      <c r="M1381" s="1">
        <v>37368</v>
      </c>
      <c r="N1381" s="1">
        <v>37368</v>
      </c>
      <c r="O1381" t="s">
        <v>1117</v>
      </c>
      <c r="P1381">
        <v>1</v>
      </c>
      <c r="Q1381" t="s">
        <v>1215</v>
      </c>
      <c r="R1381">
        <f t="shared" si="43"/>
        <v>17</v>
      </c>
      <c r="S1381">
        <f t="shared" si="44"/>
        <v>1</v>
      </c>
    </row>
    <row r="1382" spans="1:19" x14ac:dyDescent="0.25">
      <c r="A1382" t="s">
        <v>2502</v>
      </c>
      <c r="B1382" t="s">
        <v>4026</v>
      </c>
      <c r="C1382">
        <v>0.8</v>
      </c>
      <c r="D1382">
        <v>1250</v>
      </c>
      <c r="E1382">
        <v>2500</v>
      </c>
      <c r="F1382">
        <v>3</v>
      </c>
      <c r="G1382">
        <v>3</v>
      </c>
      <c r="H1382" t="s">
        <v>1208</v>
      </c>
      <c r="I1382" s="1">
        <v>37159</v>
      </c>
      <c r="J1382" s="1">
        <v>37319</v>
      </c>
      <c r="K1382" s="1">
        <v>37354</v>
      </c>
      <c r="L1382" s="1">
        <v>37354</v>
      </c>
      <c r="M1382" s="1">
        <v>37354</v>
      </c>
      <c r="N1382" s="1">
        <v>37354</v>
      </c>
      <c r="O1382" t="s">
        <v>1117</v>
      </c>
      <c r="P1382">
        <v>3</v>
      </c>
      <c r="Q1382" t="s">
        <v>1215</v>
      </c>
      <c r="R1382">
        <f t="shared" si="43"/>
        <v>15</v>
      </c>
      <c r="S1382">
        <f t="shared" si="44"/>
        <v>1</v>
      </c>
    </row>
    <row r="1383" spans="1:19" x14ac:dyDescent="0.25">
      <c r="A1383" t="s">
        <v>2503</v>
      </c>
      <c r="B1383" t="s">
        <v>4026</v>
      </c>
      <c r="C1383">
        <v>0.6</v>
      </c>
      <c r="D1383">
        <v>1250</v>
      </c>
      <c r="E1383">
        <v>2500</v>
      </c>
      <c r="F1383">
        <v>3</v>
      </c>
      <c r="G1383">
        <v>3</v>
      </c>
      <c r="H1383" t="s">
        <v>1208</v>
      </c>
      <c r="I1383" s="1">
        <v>37159</v>
      </c>
      <c r="J1383" s="1">
        <v>37325</v>
      </c>
      <c r="K1383" s="1">
        <v>37375</v>
      </c>
      <c r="L1383" s="1">
        <v>37375</v>
      </c>
      <c r="M1383" s="1">
        <v>37368</v>
      </c>
      <c r="N1383" s="1">
        <v>37368</v>
      </c>
      <c r="O1383" t="s">
        <v>1117</v>
      </c>
      <c r="P1383">
        <v>2</v>
      </c>
      <c r="Q1383" t="s">
        <v>1215</v>
      </c>
      <c r="R1383">
        <f t="shared" si="43"/>
        <v>17</v>
      </c>
      <c r="S1383">
        <f t="shared" si="44"/>
        <v>1</v>
      </c>
    </row>
    <row r="1384" spans="1:19" x14ac:dyDescent="0.25">
      <c r="A1384" t="s">
        <v>2504</v>
      </c>
      <c r="B1384" t="s">
        <v>1199</v>
      </c>
      <c r="C1384">
        <v>2</v>
      </c>
      <c r="D1384">
        <v>1250</v>
      </c>
      <c r="E1384">
        <v>2500</v>
      </c>
      <c r="F1384">
        <v>3</v>
      </c>
      <c r="G1384">
        <v>3</v>
      </c>
      <c r="H1384" t="s">
        <v>1208</v>
      </c>
      <c r="I1384" s="1">
        <v>37114</v>
      </c>
      <c r="J1384" s="1">
        <v>37321</v>
      </c>
      <c r="K1384" s="1">
        <v>37379</v>
      </c>
      <c r="L1384" s="1">
        <v>37379</v>
      </c>
      <c r="M1384" s="1">
        <v>37361</v>
      </c>
      <c r="N1384" s="1">
        <v>37361</v>
      </c>
      <c r="O1384" t="s">
        <v>1117</v>
      </c>
      <c r="P1384">
        <v>1</v>
      </c>
      <c r="Q1384" t="s">
        <v>1215</v>
      </c>
      <c r="R1384">
        <f t="shared" si="43"/>
        <v>16</v>
      </c>
      <c r="S1384">
        <f t="shared" si="44"/>
        <v>1</v>
      </c>
    </row>
    <row r="1385" spans="1:19" x14ac:dyDescent="0.25">
      <c r="A1385" t="s">
        <v>2505</v>
      </c>
      <c r="B1385" t="s">
        <v>4028</v>
      </c>
      <c r="C1385">
        <v>1.6</v>
      </c>
      <c r="D1385">
        <v>1250</v>
      </c>
      <c r="E1385">
        <v>2500</v>
      </c>
      <c r="F1385">
        <v>20</v>
      </c>
      <c r="G1385">
        <v>2.4449999999999998</v>
      </c>
      <c r="H1385" t="s">
        <v>1208</v>
      </c>
      <c r="I1385" s="1">
        <v>37159</v>
      </c>
      <c r="J1385" s="1">
        <v>37325</v>
      </c>
      <c r="K1385" s="1">
        <v>37368</v>
      </c>
      <c r="L1385" s="1">
        <v>37368</v>
      </c>
      <c r="M1385" s="1">
        <v>37335</v>
      </c>
      <c r="N1385" s="1">
        <v>37335</v>
      </c>
      <c r="O1385" t="s">
        <v>1117</v>
      </c>
      <c r="P1385">
        <v>1</v>
      </c>
      <c r="Q1385" t="s">
        <v>1215</v>
      </c>
      <c r="R1385">
        <f t="shared" si="43"/>
        <v>12</v>
      </c>
      <c r="S1385">
        <f t="shared" si="44"/>
        <v>0</v>
      </c>
    </row>
    <row r="1386" spans="1:19" x14ac:dyDescent="0.25">
      <c r="A1386" t="s">
        <v>2506</v>
      </c>
      <c r="B1386" t="s">
        <v>1199</v>
      </c>
      <c r="C1386">
        <v>0.8</v>
      </c>
      <c r="D1386">
        <v>1250</v>
      </c>
      <c r="E1386">
        <v>2500</v>
      </c>
      <c r="F1386">
        <v>5</v>
      </c>
      <c r="G1386">
        <v>5</v>
      </c>
      <c r="H1386" t="s">
        <v>1208</v>
      </c>
      <c r="I1386" s="1">
        <v>37106</v>
      </c>
      <c r="J1386" s="1">
        <v>37324</v>
      </c>
      <c r="K1386" s="1">
        <v>37356</v>
      </c>
      <c r="L1386" s="1">
        <v>37356</v>
      </c>
      <c r="M1386" s="1">
        <v>37354</v>
      </c>
      <c r="N1386" s="1">
        <v>37354</v>
      </c>
      <c r="O1386" t="s">
        <v>1117</v>
      </c>
      <c r="P1386">
        <v>4</v>
      </c>
      <c r="Q1386" t="s">
        <v>1215</v>
      </c>
      <c r="R1386">
        <f t="shared" si="43"/>
        <v>15</v>
      </c>
      <c r="S1386">
        <f t="shared" si="44"/>
        <v>1</v>
      </c>
    </row>
    <row r="1387" spans="1:19" x14ac:dyDescent="0.25">
      <c r="A1387" t="s">
        <v>2507</v>
      </c>
      <c r="B1387" t="s">
        <v>1199</v>
      </c>
      <c r="C1387">
        <v>1.2</v>
      </c>
      <c r="D1387">
        <v>1250</v>
      </c>
      <c r="E1387">
        <v>2350</v>
      </c>
      <c r="F1387">
        <v>6</v>
      </c>
      <c r="G1387">
        <v>6</v>
      </c>
      <c r="H1387" t="s">
        <v>1208</v>
      </c>
      <c r="I1387" s="1">
        <v>37159</v>
      </c>
      <c r="J1387" s="1">
        <v>37319</v>
      </c>
      <c r="K1387" t="s">
        <v>1124</v>
      </c>
      <c r="L1387" t="s">
        <v>1124</v>
      </c>
      <c r="M1387" s="1">
        <v>37337</v>
      </c>
      <c r="N1387" s="1">
        <v>37337</v>
      </c>
      <c r="O1387" t="s">
        <v>1117</v>
      </c>
      <c r="P1387">
        <v>2</v>
      </c>
      <c r="Q1387" t="s">
        <v>1215</v>
      </c>
      <c r="R1387">
        <f t="shared" si="43"/>
        <v>12</v>
      </c>
      <c r="S1387">
        <f t="shared" si="44"/>
        <v>1</v>
      </c>
    </row>
    <row r="1388" spans="1:19" x14ac:dyDescent="0.25">
      <c r="A1388" t="s">
        <v>2508</v>
      </c>
      <c r="B1388" t="s">
        <v>1199</v>
      </c>
      <c r="C1388">
        <v>0.8</v>
      </c>
      <c r="D1388">
        <v>1250</v>
      </c>
      <c r="E1388">
        <v>2114</v>
      </c>
      <c r="F1388">
        <v>20</v>
      </c>
      <c r="G1388">
        <v>16.536999999999999</v>
      </c>
      <c r="H1388" t="s">
        <v>1208</v>
      </c>
      <c r="I1388" s="1">
        <v>37159</v>
      </c>
      <c r="J1388" s="1">
        <v>37325</v>
      </c>
      <c r="K1388" s="1">
        <v>37341</v>
      </c>
      <c r="L1388" s="1">
        <v>37341</v>
      </c>
      <c r="M1388" s="1">
        <v>37341</v>
      </c>
      <c r="N1388" s="1">
        <v>37341</v>
      </c>
      <c r="O1388" t="s">
        <v>1117</v>
      </c>
      <c r="P1388">
        <v>1</v>
      </c>
      <c r="Q1388" t="s">
        <v>1215</v>
      </c>
      <c r="R1388">
        <f t="shared" si="43"/>
        <v>13</v>
      </c>
      <c r="S1388">
        <f t="shared" si="44"/>
        <v>0</v>
      </c>
    </row>
    <row r="1389" spans="1:19" x14ac:dyDescent="0.25">
      <c r="A1389" t="s">
        <v>2509</v>
      </c>
      <c r="B1389" t="s">
        <v>1199</v>
      </c>
      <c r="C1389">
        <v>1</v>
      </c>
      <c r="D1389">
        <v>1250</v>
      </c>
      <c r="E1389">
        <v>2050</v>
      </c>
      <c r="F1389">
        <v>15</v>
      </c>
      <c r="G1389">
        <v>15</v>
      </c>
      <c r="H1389" t="s">
        <v>1208</v>
      </c>
      <c r="I1389" s="1">
        <v>37133</v>
      </c>
      <c r="J1389" s="1">
        <v>37323</v>
      </c>
      <c r="K1389" s="1">
        <v>37361</v>
      </c>
      <c r="L1389" s="1">
        <v>37361</v>
      </c>
      <c r="M1389" s="1">
        <v>37361</v>
      </c>
      <c r="N1389" s="1">
        <v>37361</v>
      </c>
      <c r="O1389" t="s">
        <v>1117</v>
      </c>
      <c r="P1389">
        <v>1</v>
      </c>
      <c r="Q1389" t="s">
        <v>1215</v>
      </c>
      <c r="R1389">
        <f t="shared" si="43"/>
        <v>16</v>
      </c>
      <c r="S1389">
        <f t="shared" si="44"/>
        <v>1</v>
      </c>
    </row>
    <row r="1390" spans="1:19" x14ac:dyDescent="0.25">
      <c r="A1390" t="s">
        <v>2510</v>
      </c>
      <c r="B1390" t="s">
        <v>4027</v>
      </c>
      <c r="C1390">
        <v>1.5</v>
      </c>
      <c r="D1390">
        <v>1250</v>
      </c>
      <c r="E1390">
        <v>2500</v>
      </c>
      <c r="F1390">
        <v>5</v>
      </c>
      <c r="G1390">
        <v>2.6520000000000001</v>
      </c>
      <c r="H1390" t="s">
        <v>1208</v>
      </c>
      <c r="I1390" s="1">
        <v>37110</v>
      </c>
      <c r="J1390" s="1">
        <v>37321</v>
      </c>
      <c r="K1390" t="s">
        <v>1124</v>
      </c>
      <c r="L1390" t="s">
        <v>1124</v>
      </c>
      <c r="M1390" s="1">
        <v>37340</v>
      </c>
      <c r="N1390" s="1">
        <v>37340</v>
      </c>
      <c r="O1390" t="s">
        <v>1117</v>
      </c>
      <c r="P1390">
        <v>3</v>
      </c>
      <c r="Q1390" t="s">
        <v>1215</v>
      </c>
      <c r="R1390">
        <f t="shared" si="43"/>
        <v>13</v>
      </c>
      <c r="S1390">
        <f t="shared" si="44"/>
        <v>0</v>
      </c>
    </row>
    <row r="1391" spans="1:19" x14ac:dyDescent="0.25">
      <c r="A1391" t="s">
        <v>2511</v>
      </c>
      <c r="B1391" t="s">
        <v>3521</v>
      </c>
      <c r="C1391">
        <v>0.5</v>
      </c>
      <c r="D1391">
        <v>1250</v>
      </c>
      <c r="E1391">
        <v>2500</v>
      </c>
      <c r="F1391">
        <v>3</v>
      </c>
      <c r="G1391">
        <v>3</v>
      </c>
      <c r="H1391" t="s">
        <v>1208</v>
      </c>
      <c r="I1391" s="1">
        <v>37114</v>
      </c>
      <c r="J1391" s="1">
        <v>37321</v>
      </c>
      <c r="K1391" s="1">
        <v>37359</v>
      </c>
      <c r="L1391" s="1">
        <v>37359</v>
      </c>
      <c r="M1391" s="1">
        <v>37359</v>
      </c>
      <c r="N1391" s="1">
        <v>37359</v>
      </c>
      <c r="O1391" t="s">
        <v>1117</v>
      </c>
      <c r="P1391">
        <v>4</v>
      </c>
      <c r="Q1391" t="s">
        <v>1215</v>
      </c>
      <c r="R1391">
        <f t="shared" si="43"/>
        <v>15</v>
      </c>
      <c r="S1391">
        <f t="shared" si="44"/>
        <v>1</v>
      </c>
    </row>
    <row r="1392" spans="1:19" x14ac:dyDescent="0.25">
      <c r="A1392" t="s">
        <v>2512</v>
      </c>
      <c r="B1392" t="s">
        <v>4026</v>
      </c>
      <c r="C1392">
        <v>1</v>
      </c>
      <c r="D1392">
        <v>1250</v>
      </c>
      <c r="E1392">
        <v>2350</v>
      </c>
      <c r="F1392">
        <v>6</v>
      </c>
      <c r="G1392">
        <v>6</v>
      </c>
      <c r="H1392" t="s">
        <v>1208</v>
      </c>
      <c r="I1392" s="1">
        <v>37114</v>
      </c>
      <c r="J1392" s="1">
        <v>37321</v>
      </c>
      <c r="K1392" s="1">
        <v>37365</v>
      </c>
      <c r="L1392" s="1">
        <v>37365</v>
      </c>
      <c r="M1392" s="1">
        <v>37361</v>
      </c>
      <c r="N1392" s="1">
        <v>37362</v>
      </c>
      <c r="O1392" t="s">
        <v>1117</v>
      </c>
      <c r="P1392">
        <v>5</v>
      </c>
      <c r="Q1392" t="s">
        <v>1215</v>
      </c>
      <c r="R1392">
        <f t="shared" si="43"/>
        <v>16</v>
      </c>
      <c r="S1392">
        <f t="shared" si="44"/>
        <v>1</v>
      </c>
    </row>
    <row r="1393" spans="1:19" x14ac:dyDescent="0.25">
      <c r="A1393" t="s">
        <v>2513</v>
      </c>
      <c r="B1393" t="s">
        <v>4027</v>
      </c>
      <c r="C1393">
        <v>0.8</v>
      </c>
      <c r="D1393">
        <v>1000</v>
      </c>
      <c r="E1393">
        <v>2080</v>
      </c>
      <c r="F1393">
        <v>15</v>
      </c>
      <c r="G1393">
        <v>15</v>
      </c>
      <c r="H1393" t="s">
        <v>1208</v>
      </c>
      <c r="I1393" s="1">
        <v>37159</v>
      </c>
      <c r="J1393" s="1">
        <v>37323</v>
      </c>
      <c r="K1393" s="1">
        <v>37347</v>
      </c>
      <c r="L1393" s="1">
        <v>37347</v>
      </c>
      <c r="M1393" s="1">
        <v>37348</v>
      </c>
      <c r="N1393" s="1">
        <v>37348</v>
      </c>
      <c r="O1393" t="s">
        <v>1117</v>
      </c>
      <c r="P1393">
        <v>1</v>
      </c>
      <c r="Q1393" t="s">
        <v>1215</v>
      </c>
      <c r="R1393">
        <f t="shared" si="43"/>
        <v>14</v>
      </c>
      <c r="S1393">
        <f t="shared" si="44"/>
        <v>1</v>
      </c>
    </row>
    <row r="1394" spans="1:19" x14ac:dyDescent="0.25">
      <c r="A1394" t="s">
        <v>2514</v>
      </c>
      <c r="B1394" t="s">
        <v>4028</v>
      </c>
      <c r="C1394">
        <v>0.8</v>
      </c>
      <c r="D1394">
        <v>1250</v>
      </c>
      <c r="E1394">
        <v>2289</v>
      </c>
      <c r="F1394">
        <v>20</v>
      </c>
      <c r="G1394">
        <v>20</v>
      </c>
      <c r="H1394" t="s">
        <v>1208</v>
      </c>
      <c r="I1394" s="1">
        <v>37159</v>
      </c>
      <c r="J1394" s="1">
        <v>37313</v>
      </c>
      <c r="K1394" s="1">
        <v>37347</v>
      </c>
      <c r="L1394" s="1">
        <v>37347</v>
      </c>
      <c r="M1394" s="1">
        <v>37347</v>
      </c>
      <c r="N1394" s="1">
        <v>37347</v>
      </c>
      <c r="O1394" t="s">
        <v>1117</v>
      </c>
      <c r="P1394">
        <v>1</v>
      </c>
      <c r="Q1394" t="s">
        <v>1215</v>
      </c>
      <c r="R1394">
        <f t="shared" si="43"/>
        <v>14</v>
      </c>
      <c r="S1394">
        <f t="shared" si="44"/>
        <v>1</v>
      </c>
    </row>
    <row r="1395" spans="1:19" x14ac:dyDescent="0.25">
      <c r="A1395" t="s">
        <v>2515</v>
      </c>
      <c r="B1395" t="s">
        <v>4028</v>
      </c>
      <c r="C1395">
        <v>1.2</v>
      </c>
      <c r="D1395">
        <v>1250</v>
      </c>
      <c r="E1395">
        <v>2350</v>
      </c>
      <c r="F1395">
        <v>6</v>
      </c>
      <c r="G1395">
        <v>6</v>
      </c>
      <c r="H1395" t="s">
        <v>1208</v>
      </c>
      <c r="I1395" s="1">
        <v>37110</v>
      </c>
      <c r="J1395" s="1">
        <v>37321</v>
      </c>
      <c r="K1395" s="1">
        <v>37369</v>
      </c>
      <c r="L1395" s="1">
        <v>37369</v>
      </c>
      <c r="M1395" s="1">
        <v>37337</v>
      </c>
      <c r="N1395" s="1">
        <v>37346</v>
      </c>
      <c r="O1395" t="s">
        <v>1117</v>
      </c>
      <c r="P1395">
        <v>4</v>
      </c>
      <c r="Q1395" t="s">
        <v>1215</v>
      </c>
      <c r="R1395">
        <f t="shared" si="43"/>
        <v>14</v>
      </c>
      <c r="S1395">
        <f t="shared" si="44"/>
        <v>1</v>
      </c>
    </row>
    <row r="1396" spans="1:19" x14ac:dyDescent="0.25">
      <c r="A1396" t="s">
        <v>2516</v>
      </c>
      <c r="B1396" t="s">
        <v>4028</v>
      </c>
      <c r="C1396">
        <v>2</v>
      </c>
      <c r="D1396">
        <v>1250</v>
      </c>
      <c r="E1396">
        <v>2500</v>
      </c>
      <c r="F1396">
        <v>3</v>
      </c>
      <c r="G1396">
        <v>3</v>
      </c>
      <c r="H1396" t="s">
        <v>1208</v>
      </c>
      <c r="I1396" s="1">
        <v>37110</v>
      </c>
      <c r="J1396" s="1">
        <v>37321</v>
      </c>
      <c r="K1396" s="1">
        <v>37379</v>
      </c>
      <c r="L1396" s="1">
        <v>37379</v>
      </c>
      <c r="M1396" s="1">
        <v>37361</v>
      </c>
      <c r="N1396" s="1">
        <v>37361</v>
      </c>
      <c r="O1396" t="s">
        <v>1117</v>
      </c>
      <c r="P1396">
        <v>1</v>
      </c>
      <c r="Q1396" t="s">
        <v>1215</v>
      </c>
      <c r="R1396">
        <f t="shared" si="43"/>
        <v>16</v>
      </c>
      <c r="S1396">
        <f t="shared" si="44"/>
        <v>1</v>
      </c>
    </row>
    <row r="1397" spans="1:19" x14ac:dyDescent="0.25">
      <c r="A1397" t="s">
        <v>2517</v>
      </c>
      <c r="B1397" t="s">
        <v>4026</v>
      </c>
      <c r="C1397">
        <v>0.6</v>
      </c>
      <c r="D1397">
        <v>1250</v>
      </c>
      <c r="E1397">
        <v>2500</v>
      </c>
      <c r="F1397">
        <v>3</v>
      </c>
      <c r="G1397">
        <v>3</v>
      </c>
      <c r="H1397" t="s">
        <v>1208</v>
      </c>
      <c r="I1397" s="1">
        <v>37114</v>
      </c>
      <c r="J1397" s="1">
        <v>37321</v>
      </c>
      <c r="K1397" s="1">
        <v>37375</v>
      </c>
      <c r="L1397" s="1">
        <v>37375</v>
      </c>
      <c r="M1397" s="1">
        <v>37368</v>
      </c>
      <c r="N1397" s="1">
        <v>37368</v>
      </c>
      <c r="O1397" t="s">
        <v>1117</v>
      </c>
      <c r="P1397">
        <v>5</v>
      </c>
      <c r="Q1397" t="s">
        <v>1215</v>
      </c>
      <c r="R1397">
        <f t="shared" si="43"/>
        <v>17</v>
      </c>
      <c r="S1397">
        <f t="shared" si="44"/>
        <v>1</v>
      </c>
    </row>
    <row r="1398" spans="1:19" x14ac:dyDescent="0.25">
      <c r="A1398" t="s">
        <v>2518</v>
      </c>
      <c r="B1398" t="s">
        <v>4028</v>
      </c>
      <c r="C1398">
        <v>1.2</v>
      </c>
      <c r="D1398">
        <v>1250</v>
      </c>
      <c r="E1398">
        <v>2350</v>
      </c>
      <c r="F1398">
        <v>9</v>
      </c>
      <c r="G1398">
        <v>9</v>
      </c>
      <c r="H1398" t="s">
        <v>1208</v>
      </c>
      <c r="I1398" s="1">
        <v>37124</v>
      </c>
      <c r="J1398" s="1">
        <v>37322</v>
      </c>
      <c r="K1398" s="1">
        <v>37369</v>
      </c>
      <c r="L1398" s="1">
        <v>37369</v>
      </c>
      <c r="M1398" s="1">
        <v>37337</v>
      </c>
      <c r="N1398" s="1">
        <v>37346</v>
      </c>
      <c r="O1398" t="s">
        <v>1117</v>
      </c>
      <c r="P1398">
        <v>1</v>
      </c>
      <c r="Q1398" t="s">
        <v>1215</v>
      </c>
      <c r="R1398">
        <f t="shared" si="43"/>
        <v>14</v>
      </c>
      <c r="S1398">
        <f t="shared" si="44"/>
        <v>1</v>
      </c>
    </row>
    <row r="1399" spans="1:19" x14ac:dyDescent="0.25">
      <c r="A1399" t="s">
        <v>2519</v>
      </c>
      <c r="B1399" t="s">
        <v>1199</v>
      </c>
      <c r="C1399">
        <v>0.6</v>
      </c>
      <c r="D1399">
        <v>1250</v>
      </c>
      <c r="E1399">
        <v>2500</v>
      </c>
      <c r="F1399">
        <v>3</v>
      </c>
      <c r="G1399">
        <v>3</v>
      </c>
      <c r="H1399" t="s">
        <v>1208</v>
      </c>
      <c r="I1399" s="1">
        <v>37159</v>
      </c>
      <c r="J1399" s="1">
        <v>37323</v>
      </c>
      <c r="K1399" s="1">
        <v>37375</v>
      </c>
      <c r="L1399" s="1">
        <v>37375</v>
      </c>
      <c r="M1399" s="1">
        <v>37368</v>
      </c>
      <c r="N1399" s="1">
        <v>37368</v>
      </c>
      <c r="O1399" t="s">
        <v>1117</v>
      </c>
      <c r="P1399">
        <v>3</v>
      </c>
      <c r="Q1399" t="s">
        <v>1215</v>
      </c>
      <c r="R1399">
        <f t="shared" si="43"/>
        <v>17</v>
      </c>
      <c r="S1399">
        <f t="shared" si="44"/>
        <v>1</v>
      </c>
    </row>
    <row r="1400" spans="1:19" x14ac:dyDescent="0.25">
      <c r="A1400" t="s">
        <v>2520</v>
      </c>
      <c r="B1400" t="s">
        <v>1199</v>
      </c>
      <c r="C1400">
        <v>0.6</v>
      </c>
      <c r="D1400">
        <v>1250</v>
      </c>
      <c r="E1400">
        <v>2500</v>
      </c>
      <c r="F1400">
        <v>6</v>
      </c>
      <c r="G1400">
        <v>6</v>
      </c>
      <c r="H1400" t="s">
        <v>1208</v>
      </c>
      <c r="I1400" s="1">
        <v>37159</v>
      </c>
      <c r="J1400" s="1">
        <v>37320</v>
      </c>
      <c r="K1400" s="1">
        <v>37375</v>
      </c>
      <c r="L1400" s="1">
        <v>37375</v>
      </c>
      <c r="M1400" s="1">
        <v>37368</v>
      </c>
      <c r="N1400" s="1">
        <v>37368</v>
      </c>
      <c r="O1400" t="s">
        <v>1117</v>
      </c>
      <c r="P1400">
        <v>2</v>
      </c>
      <c r="Q1400" t="s">
        <v>1215</v>
      </c>
      <c r="R1400">
        <f t="shared" si="43"/>
        <v>17</v>
      </c>
      <c r="S1400">
        <f t="shared" si="44"/>
        <v>1</v>
      </c>
    </row>
    <row r="1401" spans="1:19" x14ac:dyDescent="0.25">
      <c r="A1401" t="s">
        <v>2521</v>
      </c>
      <c r="B1401" t="s">
        <v>1199</v>
      </c>
      <c r="C1401">
        <v>0.5</v>
      </c>
      <c r="D1401">
        <v>1250</v>
      </c>
      <c r="E1401">
        <v>2500</v>
      </c>
      <c r="F1401">
        <v>3</v>
      </c>
      <c r="G1401">
        <v>3</v>
      </c>
      <c r="H1401" t="s">
        <v>1208</v>
      </c>
      <c r="I1401" s="1">
        <v>37133</v>
      </c>
      <c r="J1401" s="1">
        <v>37323</v>
      </c>
      <c r="K1401" s="1">
        <v>37359</v>
      </c>
      <c r="L1401" s="1">
        <v>37359</v>
      </c>
      <c r="M1401" s="1">
        <v>37359</v>
      </c>
      <c r="N1401" s="1">
        <v>37359</v>
      </c>
      <c r="O1401" t="s">
        <v>1117</v>
      </c>
      <c r="P1401">
        <v>4</v>
      </c>
      <c r="Q1401" t="s">
        <v>1215</v>
      </c>
      <c r="R1401">
        <f t="shared" si="43"/>
        <v>15</v>
      </c>
      <c r="S1401">
        <f t="shared" si="44"/>
        <v>1</v>
      </c>
    </row>
    <row r="1402" spans="1:19" x14ac:dyDescent="0.25">
      <c r="A1402" t="s">
        <v>2522</v>
      </c>
      <c r="B1402" t="s">
        <v>4026</v>
      </c>
      <c r="C1402">
        <v>1</v>
      </c>
      <c r="D1402">
        <v>1250</v>
      </c>
      <c r="E1402">
        <v>2350</v>
      </c>
      <c r="F1402">
        <v>6</v>
      </c>
      <c r="G1402">
        <v>6</v>
      </c>
      <c r="H1402" t="s">
        <v>1208</v>
      </c>
      <c r="I1402" s="1">
        <v>37108</v>
      </c>
      <c r="J1402" s="1">
        <v>37320</v>
      </c>
      <c r="K1402" s="1">
        <v>37365</v>
      </c>
      <c r="L1402" s="1">
        <v>37365</v>
      </c>
      <c r="M1402" s="1">
        <v>37361</v>
      </c>
      <c r="N1402" s="1">
        <v>37362</v>
      </c>
      <c r="O1402" t="s">
        <v>1117</v>
      </c>
      <c r="P1402">
        <v>1</v>
      </c>
      <c r="Q1402" t="s">
        <v>1215</v>
      </c>
      <c r="R1402">
        <f t="shared" si="43"/>
        <v>16</v>
      </c>
      <c r="S1402">
        <f t="shared" si="44"/>
        <v>1</v>
      </c>
    </row>
    <row r="1403" spans="1:19" x14ac:dyDescent="0.25">
      <c r="A1403" t="s">
        <v>2523</v>
      </c>
      <c r="B1403" t="s">
        <v>1199</v>
      </c>
      <c r="C1403">
        <v>0.6</v>
      </c>
      <c r="D1403">
        <v>1250</v>
      </c>
      <c r="E1403">
        <v>2500</v>
      </c>
      <c r="F1403">
        <v>3</v>
      </c>
      <c r="G1403">
        <v>3</v>
      </c>
      <c r="H1403" t="s">
        <v>1208</v>
      </c>
      <c r="I1403" s="1">
        <v>37124</v>
      </c>
      <c r="J1403" s="1">
        <v>37322</v>
      </c>
      <c r="K1403" t="s">
        <v>1124</v>
      </c>
      <c r="L1403" t="s">
        <v>1124</v>
      </c>
      <c r="M1403" s="1">
        <v>37368</v>
      </c>
      <c r="N1403" s="1">
        <v>37368</v>
      </c>
      <c r="O1403" t="s">
        <v>1117</v>
      </c>
      <c r="P1403">
        <v>1</v>
      </c>
      <c r="Q1403" t="s">
        <v>1215</v>
      </c>
      <c r="R1403">
        <f t="shared" si="43"/>
        <v>17</v>
      </c>
      <c r="S1403">
        <f t="shared" si="44"/>
        <v>1</v>
      </c>
    </row>
    <row r="1404" spans="1:19" x14ac:dyDescent="0.25">
      <c r="A1404" t="s">
        <v>2524</v>
      </c>
      <c r="B1404" t="s">
        <v>4028</v>
      </c>
      <c r="C1404">
        <v>1.2</v>
      </c>
      <c r="D1404">
        <v>1250</v>
      </c>
      <c r="E1404">
        <v>2300</v>
      </c>
      <c r="F1404">
        <v>6</v>
      </c>
      <c r="G1404">
        <v>6</v>
      </c>
      <c r="H1404" t="s">
        <v>1208</v>
      </c>
      <c r="I1404" s="1">
        <v>37128</v>
      </c>
      <c r="J1404" s="1">
        <v>37322</v>
      </c>
      <c r="K1404" t="s">
        <v>1124</v>
      </c>
      <c r="L1404" t="s">
        <v>1124</v>
      </c>
      <c r="M1404" s="1">
        <v>37337</v>
      </c>
      <c r="N1404" s="1">
        <v>37337</v>
      </c>
      <c r="O1404" t="s">
        <v>1117</v>
      </c>
      <c r="P1404">
        <v>1</v>
      </c>
      <c r="Q1404" t="s">
        <v>1215</v>
      </c>
      <c r="R1404">
        <f t="shared" si="43"/>
        <v>12</v>
      </c>
      <c r="S1404">
        <f t="shared" si="44"/>
        <v>1</v>
      </c>
    </row>
    <row r="1405" spans="1:19" x14ac:dyDescent="0.25">
      <c r="A1405" t="s">
        <v>2525</v>
      </c>
      <c r="B1405" t="s">
        <v>1199</v>
      </c>
      <c r="C1405">
        <v>3</v>
      </c>
      <c r="D1405">
        <v>1250</v>
      </c>
      <c r="E1405">
        <v>2500</v>
      </c>
      <c r="F1405">
        <v>3</v>
      </c>
      <c r="G1405">
        <v>3</v>
      </c>
      <c r="H1405" t="s">
        <v>1208</v>
      </c>
      <c r="I1405" s="1">
        <v>37120</v>
      </c>
      <c r="J1405" s="1">
        <v>37322</v>
      </c>
      <c r="K1405" s="1">
        <v>37362</v>
      </c>
      <c r="L1405" s="1">
        <v>37362</v>
      </c>
      <c r="M1405" s="1">
        <v>37362</v>
      </c>
      <c r="N1405" s="1">
        <v>37362</v>
      </c>
      <c r="O1405" t="s">
        <v>1117</v>
      </c>
      <c r="P1405">
        <v>1</v>
      </c>
      <c r="Q1405" t="s">
        <v>1215</v>
      </c>
      <c r="R1405">
        <f t="shared" si="43"/>
        <v>16</v>
      </c>
      <c r="S1405">
        <f t="shared" si="44"/>
        <v>1</v>
      </c>
    </row>
    <row r="1406" spans="1:19" x14ac:dyDescent="0.25">
      <c r="A1406" t="s">
        <v>2526</v>
      </c>
      <c r="B1406" t="s">
        <v>4026</v>
      </c>
      <c r="C1406">
        <v>0.6</v>
      </c>
      <c r="D1406">
        <v>1250</v>
      </c>
      <c r="E1406">
        <v>2500</v>
      </c>
      <c r="F1406">
        <v>3</v>
      </c>
      <c r="G1406">
        <v>3</v>
      </c>
      <c r="H1406" t="s">
        <v>1208</v>
      </c>
      <c r="I1406" s="1">
        <v>37122</v>
      </c>
      <c r="J1406" s="1">
        <v>37312</v>
      </c>
      <c r="K1406" s="1">
        <v>37375</v>
      </c>
      <c r="L1406" s="1">
        <v>37375</v>
      </c>
      <c r="M1406" s="1">
        <v>37368</v>
      </c>
      <c r="N1406" s="1">
        <v>37368</v>
      </c>
      <c r="O1406" t="s">
        <v>1117</v>
      </c>
      <c r="P1406">
        <v>1</v>
      </c>
      <c r="Q1406" t="s">
        <v>1215</v>
      </c>
      <c r="R1406">
        <f t="shared" si="43"/>
        <v>17</v>
      </c>
      <c r="S1406">
        <f t="shared" si="44"/>
        <v>1</v>
      </c>
    </row>
    <row r="1407" spans="1:19" x14ac:dyDescent="0.25">
      <c r="A1407" t="s">
        <v>2527</v>
      </c>
      <c r="B1407" t="s">
        <v>4026</v>
      </c>
      <c r="C1407">
        <v>2</v>
      </c>
      <c r="D1407">
        <v>1220</v>
      </c>
      <c r="E1407">
        <v>2220</v>
      </c>
      <c r="F1407">
        <v>2</v>
      </c>
      <c r="G1407">
        <v>2</v>
      </c>
      <c r="H1407" t="s">
        <v>1208</v>
      </c>
      <c r="I1407" s="1">
        <v>37119</v>
      </c>
      <c r="J1407" s="1">
        <v>37313</v>
      </c>
      <c r="K1407" s="1">
        <v>37344</v>
      </c>
      <c r="L1407" s="1">
        <v>37344</v>
      </c>
      <c r="M1407" s="1">
        <v>37344</v>
      </c>
      <c r="N1407" s="1">
        <v>37344</v>
      </c>
      <c r="O1407" t="s">
        <v>1117</v>
      </c>
      <c r="P1407">
        <v>4</v>
      </c>
      <c r="Q1407" t="s">
        <v>1215</v>
      </c>
      <c r="R1407">
        <f t="shared" si="43"/>
        <v>13</v>
      </c>
      <c r="S1407">
        <f t="shared" si="44"/>
        <v>1</v>
      </c>
    </row>
    <row r="1408" spans="1:19" x14ac:dyDescent="0.25">
      <c r="A1408" t="s">
        <v>2528</v>
      </c>
      <c r="B1408" t="s">
        <v>1199</v>
      </c>
      <c r="C1408">
        <v>1.2</v>
      </c>
      <c r="D1408">
        <v>1250</v>
      </c>
      <c r="E1408">
        <v>2350</v>
      </c>
      <c r="F1408">
        <v>6</v>
      </c>
      <c r="G1408">
        <v>6</v>
      </c>
      <c r="H1408" t="s">
        <v>1208</v>
      </c>
      <c r="I1408" s="1">
        <v>37159</v>
      </c>
      <c r="J1408" s="1">
        <v>37312</v>
      </c>
      <c r="K1408" s="1">
        <v>37369</v>
      </c>
      <c r="L1408" s="1">
        <v>37369</v>
      </c>
      <c r="M1408" s="1">
        <v>37336</v>
      </c>
      <c r="N1408" s="1">
        <v>37346</v>
      </c>
      <c r="O1408" t="s">
        <v>1117</v>
      </c>
      <c r="P1408">
        <v>16</v>
      </c>
      <c r="Q1408" t="s">
        <v>1215</v>
      </c>
      <c r="R1408">
        <f t="shared" si="43"/>
        <v>14</v>
      </c>
      <c r="S1408">
        <f t="shared" si="44"/>
        <v>1</v>
      </c>
    </row>
    <row r="1409" spans="1:19" x14ac:dyDescent="0.25">
      <c r="A1409" t="s">
        <v>2529</v>
      </c>
      <c r="B1409" t="s">
        <v>1199</v>
      </c>
      <c r="C1409">
        <v>0.6</v>
      </c>
      <c r="D1409">
        <v>1250</v>
      </c>
      <c r="E1409">
        <v>2500</v>
      </c>
      <c r="F1409">
        <v>6</v>
      </c>
      <c r="G1409">
        <v>6</v>
      </c>
      <c r="H1409" t="s">
        <v>1208</v>
      </c>
      <c r="I1409" s="1">
        <v>37122</v>
      </c>
      <c r="J1409" s="1">
        <v>37312</v>
      </c>
      <c r="K1409" s="1">
        <v>37375</v>
      </c>
      <c r="L1409" s="1">
        <v>37375</v>
      </c>
      <c r="M1409" s="1">
        <v>37368</v>
      </c>
      <c r="N1409" s="1">
        <v>37368</v>
      </c>
      <c r="O1409" t="s">
        <v>1117</v>
      </c>
      <c r="P1409">
        <v>3</v>
      </c>
      <c r="Q1409" t="s">
        <v>1215</v>
      </c>
      <c r="R1409">
        <f t="shared" si="43"/>
        <v>17</v>
      </c>
      <c r="S1409">
        <f t="shared" si="44"/>
        <v>1</v>
      </c>
    </row>
    <row r="1410" spans="1:19" x14ac:dyDescent="0.25">
      <c r="A1410" t="s">
        <v>2530</v>
      </c>
      <c r="B1410" t="s">
        <v>4028</v>
      </c>
      <c r="C1410">
        <v>1</v>
      </c>
      <c r="D1410">
        <v>1250</v>
      </c>
      <c r="E1410">
        <v>2500</v>
      </c>
      <c r="F1410">
        <v>18</v>
      </c>
      <c r="G1410">
        <v>18</v>
      </c>
      <c r="H1410" t="s">
        <v>1208</v>
      </c>
      <c r="I1410" s="1">
        <v>37106</v>
      </c>
      <c r="J1410" s="1">
        <v>37324</v>
      </c>
      <c r="K1410" s="1">
        <v>37330</v>
      </c>
      <c r="L1410" s="1">
        <v>37330</v>
      </c>
      <c r="M1410" s="1">
        <v>37337</v>
      </c>
      <c r="N1410" s="1">
        <v>37356</v>
      </c>
      <c r="O1410" t="s">
        <v>1117</v>
      </c>
      <c r="P1410">
        <v>2</v>
      </c>
      <c r="Q1410" t="s">
        <v>1215</v>
      </c>
      <c r="R1410">
        <f t="shared" si="43"/>
        <v>15</v>
      </c>
      <c r="S1410">
        <f t="shared" si="44"/>
        <v>1</v>
      </c>
    </row>
    <row r="1411" spans="1:19" x14ac:dyDescent="0.25">
      <c r="A1411" t="s">
        <v>2531</v>
      </c>
      <c r="B1411" t="s">
        <v>1199</v>
      </c>
      <c r="C1411">
        <v>0.5</v>
      </c>
      <c r="D1411">
        <v>1250</v>
      </c>
      <c r="E1411">
        <v>2500</v>
      </c>
      <c r="F1411">
        <v>3</v>
      </c>
      <c r="G1411">
        <v>3</v>
      </c>
      <c r="H1411" t="s">
        <v>1208</v>
      </c>
      <c r="I1411" s="1">
        <v>37159</v>
      </c>
      <c r="J1411" s="1">
        <v>37325</v>
      </c>
      <c r="K1411" s="1">
        <v>37359</v>
      </c>
      <c r="L1411" s="1">
        <v>37359</v>
      </c>
      <c r="M1411" s="1">
        <v>37359</v>
      </c>
      <c r="N1411" s="1">
        <v>37359</v>
      </c>
      <c r="O1411" t="s">
        <v>1117</v>
      </c>
      <c r="P1411">
        <v>2</v>
      </c>
      <c r="Q1411" t="s">
        <v>1215</v>
      </c>
      <c r="R1411">
        <f t="shared" ref="R1411:R1474" si="45">WEEKNUM(N1411,1)</f>
        <v>15</v>
      </c>
      <c r="S1411">
        <f t="shared" ref="S1411:S1474" si="46">IF(AND(F1411=G1411, M1411&lt;=N1411), 1,0)</f>
        <v>1</v>
      </c>
    </row>
    <row r="1412" spans="1:19" x14ac:dyDescent="0.25">
      <c r="A1412" t="s">
        <v>2532</v>
      </c>
      <c r="B1412" t="s">
        <v>4028</v>
      </c>
      <c r="C1412">
        <v>1.2</v>
      </c>
      <c r="D1412">
        <v>1250</v>
      </c>
      <c r="E1412">
        <v>2500</v>
      </c>
      <c r="F1412">
        <v>10</v>
      </c>
      <c r="G1412">
        <v>10</v>
      </c>
      <c r="H1412" t="s">
        <v>1208</v>
      </c>
      <c r="I1412" s="1">
        <v>37106</v>
      </c>
      <c r="J1412" s="1">
        <v>37324</v>
      </c>
      <c r="K1412" s="1">
        <v>37369</v>
      </c>
      <c r="L1412" s="1">
        <v>37369</v>
      </c>
      <c r="M1412" s="1">
        <v>37339</v>
      </c>
      <c r="N1412" s="1">
        <v>37385</v>
      </c>
      <c r="O1412" t="s">
        <v>1117</v>
      </c>
      <c r="P1412">
        <v>3</v>
      </c>
      <c r="Q1412" t="s">
        <v>1215</v>
      </c>
      <c r="R1412">
        <f t="shared" si="45"/>
        <v>19</v>
      </c>
      <c r="S1412">
        <f t="shared" si="46"/>
        <v>1</v>
      </c>
    </row>
    <row r="1413" spans="1:19" x14ac:dyDescent="0.25">
      <c r="A1413" t="s">
        <v>2533</v>
      </c>
      <c r="B1413" t="s">
        <v>1199</v>
      </c>
      <c r="C1413">
        <v>1.2</v>
      </c>
      <c r="D1413">
        <v>1250</v>
      </c>
      <c r="E1413">
        <v>2500</v>
      </c>
      <c r="F1413">
        <v>5</v>
      </c>
      <c r="G1413">
        <v>5</v>
      </c>
      <c r="H1413" t="s">
        <v>1208</v>
      </c>
      <c r="I1413" s="1">
        <v>37106</v>
      </c>
      <c r="J1413" s="1">
        <v>37324</v>
      </c>
      <c r="K1413" t="s">
        <v>1124</v>
      </c>
      <c r="L1413" t="s">
        <v>1124</v>
      </c>
      <c r="M1413" s="1">
        <v>37372</v>
      </c>
      <c r="N1413" s="1">
        <v>37385</v>
      </c>
      <c r="O1413" t="s">
        <v>1117</v>
      </c>
      <c r="P1413">
        <v>1</v>
      </c>
      <c r="Q1413" t="s">
        <v>1215</v>
      </c>
      <c r="R1413">
        <f t="shared" si="45"/>
        <v>19</v>
      </c>
      <c r="S1413">
        <f t="shared" si="46"/>
        <v>1</v>
      </c>
    </row>
    <row r="1414" spans="1:19" x14ac:dyDescent="0.25">
      <c r="A1414" t="s">
        <v>2534</v>
      </c>
      <c r="B1414" t="s">
        <v>1199</v>
      </c>
      <c r="C1414">
        <v>0.8</v>
      </c>
      <c r="D1414">
        <v>1250</v>
      </c>
      <c r="E1414">
        <v>2500</v>
      </c>
      <c r="F1414">
        <v>29</v>
      </c>
      <c r="G1414">
        <v>29</v>
      </c>
      <c r="H1414" t="s">
        <v>1208</v>
      </c>
      <c r="I1414" s="1">
        <v>37106</v>
      </c>
      <c r="J1414" s="1">
        <v>37324</v>
      </c>
      <c r="K1414" s="1">
        <v>37330</v>
      </c>
      <c r="L1414" s="1">
        <v>37330</v>
      </c>
      <c r="M1414" s="1">
        <v>37337</v>
      </c>
      <c r="N1414" s="1">
        <v>37355</v>
      </c>
      <c r="O1414" t="s">
        <v>1117</v>
      </c>
      <c r="P1414">
        <v>3</v>
      </c>
      <c r="Q1414" t="s">
        <v>1215</v>
      </c>
      <c r="R1414">
        <f t="shared" si="45"/>
        <v>15</v>
      </c>
      <c r="S1414">
        <f t="shared" si="46"/>
        <v>1</v>
      </c>
    </row>
    <row r="1415" spans="1:19" x14ac:dyDescent="0.25">
      <c r="A1415" t="s">
        <v>2535</v>
      </c>
      <c r="B1415" t="s">
        <v>1199</v>
      </c>
      <c r="C1415">
        <v>0.8</v>
      </c>
      <c r="D1415">
        <v>1250</v>
      </c>
      <c r="E1415">
        <v>2500</v>
      </c>
      <c r="F1415">
        <v>3</v>
      </c>
      <c r="G1415">
        <v>3</v>
      </c>
      <c r="H1415" t="s">
        <v>1208</v>
      </c>
      <c r="I1415" s="1">
        <v>37104</v>
      </c>
      <c r="J1415" s="1">
        <v>37324</v>
      </c>
      <c r="K1415" s="1">
        <v>37356</v>
      </c>
      <c r="L1415" s="1">
        <v>37356</v>
      </c>
      <c r="M1415" s="1">
        <v>37354</v>
      </c>
      <c r="N1415" s="1">
        <v>37354</v>
      </c>
      <c r="O1415" t="s">
        <v>1117</v>
      </c>
      <c r="P1415">
        <v>4</v>
      </c>
      <c r="Q1415" t="s">
        <v>1215</v>
      </c>
      <c r="R1415">
        <f t="shared" si="45"/>
        <v>15</v>
      </c>
      <c r="S1415">
        <f t="shared" si="46"/>
        <v>1</v>
      </c>
    </row>
    <row r="1416" spans="1:19" x14ac:dyDescent="0.25">
      <c r="A1416" t="s">
        <v>2536</v>
      </c>
      <c r="B1416" t="s">
        <v>4027</v>
      </c>
      <c r="C1416">
        <v>0.6</v>
      </c>
      <c r="D1416">
        <v>1250</v>
      </c>
      <c r="E1416">
        <v>2500</v>
      </c>
      <c r="F1416">
        <v>3</v>
      </c>
      <c r="G1416">
        <v>3</v>
      </c>
      <c r="H1416" t="s">
        <v>1208</v>
      </c>
      <c r="I1416" s="1">
        <v>37114</v>
      </c>
      <c r="J1416" s="1">
        <v>37321</v>
      </c>
      <c r="K1416" t="s">
        <v>1124</v>
      </c>
      <c r="L1416" t="s">
        <v>1124</v>
      </c>
      <c r="M1416" s="1">
        <v>37337</v>
      </c>
      <c r="N1416" s="1">
        <v>37337</v>
      </c>
      <c r="O1416" t="s">
        <v>1117</v>
      </c>
      <c r="P1416">
        <v>16</v>
      </c>
      <c r="Q1416" t="s">
        <v>1215</v>
      </c>
      <c r="R1416">
        <f t="shared" si="45"/>
        <v>12</v>
      </c>
      <c r="S1416">
        <f t="shared" si="46"/>
        <v>1</v>
      </c>
    </row>
    <row r="1417" spans="1:19" x14ac:dyDescent="0.25">
      <c r="A1417" t="s">
        <v>2537</v>
      </c>
      <c r="B1417" t="s">
        <v>4026</v>
      </c>
      <c r="C1417">
        <v>1</v>
      </c>
      <c r="D1417">
        <v>1250</v>
      </c>
      <c r="E1417">
        <v>2300</v>
      </c>
      <c r="F1417">
        <v>6</v>
      </c>
      <c r="G1417">
        <v>6</v>
      </c>
      <c r="H1417" t="s">
        <v>1208</v>
      </c>
      <c r="I1417" s="1">
        <v>37159</v>
      </c>
      <c r="J1417" s="1">
        <v>37319</v>
      </c>
      <c r="K1417" s="1">
        <v>37365</v>
      </c>
      <c r="L1417" s="1">
        <v>37365</v>
      </c>
      <c r="M1417" s="1">
        <v>37361</v>
      </c>
      <c r="N1417" s="1">
        <v>37361</v>
      </c>
      <c r="O1417" t="s">
        <v>1117</v>
      </c>
      <c r="P1417">
        <v>2</v>
      </c>
      <c r="Q1417" t="s">
        <v>1215</v>
      </c>
      <c r="R1417">
        <f t="shared" si="45"/>
        <v>16</v>
      </c>
      <c r="S1417">
        <f t="shared" si="46"/>
        <v>1</v>
      </c>
    </row>
    <row r="1418" spans="1:19" x14ac:dyDescent="0.25">
      <c r="A1418" t="s">
        <v>2538</v>
      </c>
      <c r="B1418" t="s">
        <v>1199</v>
      </c>
      <c r="C1418">
        <v>1</v>
      </c>
      <c r="D1418">
        <v>1250</v>
      </c>
      <c r="E1418">
        <v>2350</v>
      </c>
      <c r="F1418">
        <v>3</v>
      </c>
      <c r="G1418">
        <v>3</v>
      </c>
      <c r="H1418" t="s">
        <v>1208</v>
      </c>
      <c r="I1418" s="1">
        <v>37132</v>
      </c>
      <c r="J1418" s="1">
        <v>37323</v>
      </c>
      <c r="K1418" s="1">
        <v>37365</v>
      </c>
      <c r="L1418" s="1">
        <v>37365</v>
      </c>
      <c r="M1418" s="1">
        <v>37361</v>
      </c>
      <c r="N1418" s="1">
        <v>37362</v>
      </c>
      <c r="O1418" t="s">
        <v>1117</v>
      </c>
      <c r="P1418">
        <v>1</v>
      </c>
      <c r="Q1418" t="s">
        <v>1215</v>
      </c>
      <c r="R1418">
        <f t="shared" si="45"/>
        <v>16</v>
      </c>
      <c r="S1418">
        <f t="shared" si="46"/>
        <v>1</v>
      </c>
    </row>
    <row r="1419" spans="1:19" x14ac:dyDescent="0.25">
      <c r="A1419" t="s">
        <v>2539</v>
      </c>
      <c r="B1419" t="s">
        <v>1199</v>
      </c>
      <c r="C1419">
        <v>0.6</v>
      </c>
      <c r="D1419">
        <v>1250</v>
      </c>
      <c r="E1419">
        <v>2500</v>
      </c>
      <c r="F1419">
        <v>6</v>
      </c>
      <c r="G1419">
        <v>6</v>
      </c>
      <c r="H1419" t="s">
        <v>1208</v>
      </c>
      <c r="I1419" s="1">
        <v>37119</v>
      </c>
      <c r="J1419" s="1">
        <v>37321</v>
      </c>
      <c r="K1419" t="s">
        <v>1124</v>
      </c>
      <c r="L1419" t="s">
        <v>1124</v>
      </c>
      <c r="M1419" s="1">
        <v>37337</v>
      </c>
      <c r="N1419" s="1">
        <v>37337</v>
      </c>
      <c r="O1419" t="s">
        <v>1117</v>
      </c>
      <c r="P1419">
        <v>1</v>
      </c>
      <c r="Q1419" t="s">
        <v>1215</v>
      </c>
      <c r="R1419">
        <f t="shared" si="45"/>
        <v>12</v>
      </c>
      <c r="S1419">
        <f t="shared" si="46"/>
        <v>1</v>
      </c>
    </row>
    <row r="1420" spans="1:19" x14ac:dyDescent="0.25">
      <c r="A1420" t="s">
        <v>2540</v>
      </c>
      <c r="B1420" t="s">
        <v>4028</v>
      </c>
      <c r="C1420">
        <v>0.6</v>
      </c>
      <c r="D1420">
        <v>1250</v>
      </c>
      <c r="E1420">
        <v>2500</v>
      </c>
      <c r="F1420">
        <v>3</v>
      </c>
      <c r="G1420">
        <v>3</v>
      </c>
      <c r="H1420" t="s">
        <v>1208</v>
      </c>
      <c r="I1420" s="1">
        <v>37126</v>
      </c>
      <c r="J1420" s="1">
        <v>37322</v>
      </c>
      <c r="K1420" t="s">
        <v>1124</v>
      </c>
      <c r="L1420" t="s">
        <v>1124</v>
      </c>
      <c r="M1420" s="1">
        <v>37368</v>
      </c>
      <c r="N1420" s="1">
        <v>37368</v>
      </c>
      <c r="O1420" t="s">
        <v>1117</v>
      </c>
      <c r="P1420">
        <v>2</v>
      </c>
      <c r="Q1420" t="s">
        <v>1215</v>
      </c>
      <c r="R1420">
        <f t="shared" si="45"/>
        <v>17</v>
      </c>
      <c r="S1420">
        <f t="shared" si="46"/>
        <v>1</v>
      </c>
    </row>
    <row r="1421" spans="1:19" x14ac:dyDescent="0.25">
      <c r="A1421" t="s">
        <v>2541</v>
      </c>
      <c r="B1421" t="s">
        <v>4026</v>
      </c>
      <c r="C1421">
        <v>1</v>
      </c>
      <c r="D1421">
        <v>1250</v>
      </c>
      <c r="E1421">
        <v>2050</v>
      </c>
      <c r="F1421">
        <v>3</v>
      </c>
      <c r="G1421">
        <v>3</v>
      </c>
      <c r="H1421" t="s">
        <v>1208</v>
      </c>
      <c r="I1421" s="1">
        <v>37132</v>
      </c>
      <c r="J1421" s="1">
        <v>37315</v>
      </c>
      <c r="K1421" s="1">
        <v>37365</v>
      </c>
      <c r="L1421" s="1">
        <v>37365</v>
      </c>
      <c r="M1421" s="1">
        <v>37361</v>
      </c>
      <c r="N1421" s="1">
        <v>37361</v>
      </c>
      <c r="O1421" t="s">
        <v>1117</v>
      </c>
      <c r="P1421">
        <v>2</v>
      </c>
      <c r="Q1421" t="s">
        <v>1215</v>
      </c>
      <c r="R1421">
        <f t="shared" si="45"/>
        <v>16</v>
      </c>
      <c r="S1421">
        <f t="shared" si="46"/>
        <v>1</v>
      </c>
    </row>
    <row r="1422" spans="1:19" x14ac:dyDescent="0.25">
      <c r="A1422" t="s">
        <v>2542</v>
      </c>
      <c r="B1422" t="s">
        <v>1199</v>
      </c>
      <c r="C1422">
        <v>0.5</v>
      </c>
      <c r="D1422">
        <v>1250</v>
      </c>
      <c r="E1422">
        <v>2500</v>
      </c>
      <c r="F1422">
        <v>3</v>
      </c>
      <c r="G1422">
        <v>3</v>
      </c>
      <c r="H1422" t="s">
        <v>1208</v>
      </c>
      <c r="I1422" s="1">
        <v>37189</v>
      </c>
      <c r="J1422" s="1">
        <v>37323</v>
      </c>
      <c r="K1422" s="1">
        <v>37359</v>
      </c>
      <c r="L1422" s="1">
        <v>37359</v>
      </c>
      <c r="M1422" s="1">
        <v>37359</v>
      </c>
      <c r="N1422" s="1">
        <v>37359</v>
      </c>
      <c r="O1422" t="s">
        <v>1117</v>
      </c>
      <c r="P1422">
        <v>4</v>
      </c>
      <c r="Q1422" t="s">
        <v>1215</v>
      </c>
      <c r="R1422">
        <f t="shared" si="45"/>
        <v>15</v>
      </c>
      <c r="S1422">
        <f t="shared" si="46"/>
        <v>1</v>
      </c>
    </row>
    <row r="1423" spans="1:19" x14ac:dyDescent="0.25">
      <c r="A1423" t="s">
        <v>2543</v>
      </c>
      <c r="B1423" t="s">
        <v>1199</v>
      </c>
      <c r="C1423">
        <v>0.8</v>
      </c>
      <c r="D1423">
        <v>1250</v>
      </c>
      <c r="E1423">
        <v>2500</v>
      </c>
      <c r="F1423">
        <v>5</v>
      </c>
      <c r="G1423">
        <v>5</v>
      </c>
      <c r="H1423" t="s">
        <v>1208</v>
      </c>
      <c r="I1423" s="1">
        <v>37114</v>
      </c>
      <c r="J1423" s="1">
        <v>37321</v>
      </c>
      <c r="K1423" s="1">
        <v>37354</v>
      </c>
      <c r="L1423" s="1">
        <v>37354</v>
      </c>
      <c r="M1423" s="1">
        <v>37354</v>
      </c>
      <c r="N1423" s="1">
        <v>37354</v>
      </c>
      <c r="O1423" t="s">
        <v>1117</v>
      </c>
      <c r="P1423">
        <v>4</v>
      </c>
      <c r="Q1423" t="s">
        <v>1215</v>
      </c>
      <c r="R1423">
        <f t="shared" si="45"/>
        <v>15</v>
      </c>
      <c r="S1423">
        <f t="shared" si="46"/>
        <v>1</v>
      </c>
    </row>
    <row r="1424" spans="1:19" x14ac:dyDescent="0.25">
      <c r="A1424" t="s">
        <v>2544</v>
      </c>
      <c r="B1424" t="s">
        <v>4028</v>
      </c>
      <c r="C1424">
        <v>1.2</v>
      </c>
      <c r="D1424">
        <v>1250</v>
      </c>
      <c r="E1424">
        <v>2350</v>
      </c>
      <c r="F1424">
        <v>9</v>
      </c>
      <c r="G1424">
        <v>9</v>
      </c>
      <c r="H1424" t="s">
        <v>1208</v>
      </c>
      <c r="I1424" s="1">
        <v>37124</v>
      </c>
      <c r="J1424" s="1">
        <v>37322</v>
      </c>
      <c r="K1424" s="1">
        <v>37369</v>
      </c>
      <c r="L1424" s="1">
        <v>37369</v>
      </c>
      <c r="M1424" s="1">
        <v>37337</v>
      </c>
      <c r="N1424" s="1">
        <v>37346</v>
      </c>
      <c r="O1424" t="s">
        <v>1117</v>
      </c>
      <c r="P1424">
        <v>3</v>
      </c>
      <c r="Q1424" t="s">
        <v>1215</v>
      </c>
      <c r="R1424">
        <f t="shared" si="45"/>
        <v>14</v>
      </c>
      <c r="S1424">
        <f t="shared" si="46"/>
        <v>1</v>
      </c>
    </row>
    <row r="1425" spans="1:19" x14ac:dyDescent="0.25">
      <c r="A1425" t="s">
        <v>2545</v>
      </c>
      <c r="B1425" t="s">
        <v>1199</v>
      </c>
      <c r="C1425">
        <v>0.5</v>
      </c>
      <c r="D1425">
        <v>1250</v>
      </c>
      <c r="E1425">
        <v>2500</v>
      </c>
      <c r="F1425">
        <v>3</v>
      </c>
      <c r="G1425">
        <v>3</v>
      </c>
      <c r="H1425" t="s">
        <v>1208</v>
      </c>
      <c r="I1425" s="1">
        <v>37189</v>
      </c>
      <c r="J1425" s="1">
        <v>37323</v>
      </c>
      <c r="K1425" s="1">
        <v>37359</v>
      </c>
      <c r="L1425" s="1">
        <v>37359</v>
      </c>
      <c r="M1425" s="1">
        <v>37359</v>
      </c>
      <c r="N1425" s="1">
        <v>37359</v>
      </c>
      <c r="O1425" t="s">
        <v>1117</v>
      </c>
      <c r="P1425">
        <v>4</v>
      </c>
      <c r="Q1425" t="s">
        <v>1215</v>
      </c>
      <c r="R1425">
        <f t="shared" si="45"/>
        <v>15</v>
      </c>
      <c r="S1425">
        <f t="shared" si="46"/>
        <v>1</v>
      </c>
    </row>
    <row r="1426" spans="1:19" x14ac:dyDescent="0.25">
      <c r="A1426" t="s">
        <v>2546</v>
      </c>
      <c r="B1426" t="s">
        <v>1199</v>
      </c>
      <c r="C1426">
        <v>0.9</v>
      </c>
      <c r="D1426">
        <v>1250</v>
      </c>
      <c r="E1426">
        <v>2500</v>
      </c>
      <c r="F1426">
        <v>3</v>
      </c>
      <c r="G1426">
        <v>3</v>
      </c>
      <c r="H1426" t="s">
        <v>1208</v>
      </c>
      <c r="I1426" s="1">
        <v>37159</v>
      </c>
      <c r="J1426" s="1">
        <v>37325</v>
      </c>
      <c r="K1426" s="1">
        <v>37372</v>
      </c>
      <c r="L1426" s="1">
        <v>37372</v>
      </c>
      <c r="M1426" s="1">
        <v>37358</v>
      </c>
      <c r="N1426" s="1">
        <v>37358</v>
      </c>
      <c r="O1426" t="s">
        <v>1117</v>
      </c>
      <c r="P1426">
        <v>1</v>
      </c>
      <c r="Q1426" t="s">
        <v>1215</v>
      </c>
      <c r="R1426">
        <f t="shared" si="45"/>
        <v>15</v>
      </c>
      <c r="S1426">
        <f t="shared" si="46"/>
        <v>1</v>
      </c>
    </row>
    <row r="1427" spans="1:19" x14ac:dyDescent="0.25">
      <c r="A1427" t="s">
        <v>2547</v>
      </c>
      <c r="B1427" t="s">
        <v>1199</v>
      </c>
      <c r="C1427">
        <v>0.5</v>
      </c>
      <c r="D1427">
        <v>1250</v>
      </c>
      <c r="E1427">
        <v>2500</v>
      </c>
      <c r="F1427">
        <v>3</v>
      </c>
      <c r="G1427">
        <v>3</v>
      </c>
      <c r="H1427" t="s">
        <v>1208</v>
      </c>
      <c r="I1427" s="1">
        <v>37133</v>
      </c>
      <c r="J1427" s="1">
        <v>37323</v>
      </c>
      <c r="K1427" s="1">
        <v>37359</v>
      </c>
      <c r="L1427" s="1">
        <v>37359</v>
      </c>
      <c r="M1427" s="1">
        <v>37359</v>
      </c>
      <c r="N1427" s="1">
        <v>37359</v>
      </c>
      <c r="O1427" t="s">
        <v>1117</v>
      </c>
      <c r="P1427">
        <v>1</v>
      </c>
      <c r="Q1427" t="s">
        <v>1215</v>
      </c>
      <c r="R1427">
        <f t="shared" si="45"/>
        <v>15</v>
      </c>
      <c r="S1427">
        <f t="shared" si="46"/>
        <v>1</v>
      </c>
    </row>
    <row r="1428" spans="1:19" x14ac:dyDescent="0.25">
      <c r="A1428" t="s">
        <v>2548</v>
      </c>
      <c r="B1428" t="s">
        <v>4026</v>
      </c>
      <c r="C1428">
        <v>1.2</v>
      </c>
      <c r="D1428">
        <v>1250</v>
      </c>
      <c r="E1428">
        <v>2300</v>
      </c>
      <c r="F1428">
        <v>6</v>
      </c>
      <c r="G1428">
        <v>6</v>
      </c>
      <c r="H1428" t="s">
        <v>1208</v>
      </c>
      <c r="I1428" s="1">
        <v>37108</v>
      </c>
      <c r="J1428" s="1">
        <v>37321</v>
      </c>
      <c r="K1428" t="s">
        <v>1124</v>
      </c>
      <c r="L1428" t="s">
        <v>1124</v>
      </c>
      <c r="M1428" s="1">
        <v>37337</v>
      </c>
      <c r="N1428" s="1">
        <v>37337</v>
      </c>
      <c r="O1428" t="s">
        <v>1117</v>
      </c>
      <c r="P1428">
        <v>1</v>
      </c>
      <c r="Q1428" t="s">
        <v>1215</v>
      </c>
      <c r="R1428">
        <f t="shared" si="45"/>
        <v>12</v>
      </c>
      <c r="S1428">
        <f t="shared" si="46"/>
        <v>1</v>
      </c>
    </row>
    <row r="1429" spans="1:19" x14ac:dyDescent="0.25">
      <c r="A1429" t="s">
        <v>2549</v>
      </c>
      <c r="B1429" t="s">
        <v>1199</v>
      </c>
      <c r="C1429">
        <v>0.6</v>
      </c>
      <c r="D1429">
        <v>1250</v>
      </c>
      <c r="E1429">
        <v>2500</v>
      </c>
      <c r="F1429">
        <v>3</v>
      </c>
      <c r="G1429">
        <v>3</v>
      </c>
      <c r="H1429" t="s">
        <v>1208</v>
      </c>
      <c r="I1429" s="1">
        <v>37133</v>
      </c>
      <c r="J1429" s="1">
        <v>37323</v>
      </c>
      <c r="K1429" s="1">
        <v>37375</v>
      </c>
      <c r="L1429" s="1">
        <v>37375</v>
      </c>
      <c r="M1429" s="1">
        <v>37368</v>
      </c>
      <c r="N1429" s="1">
        <v>37368</v>
      </c>
      <c r="O1429" t="s">
        <v>1117</v>
      </c>
      <c r="P1429">
        <v>2</v>
      </c>
      <c r="Q1429" t="s">
        <v>1215</v>
      </c>
      <c r="R1429">
        <f t="shared" si="45"/>
        <v>17</v>
      </c>
      <c r="S1429">
        <f t="shared" si="46"/>
        <v>1</v>
      </c>
    </row>
    <row r="1430" spans="1:19" x14ac:dyDescent="0.25">
      <c r="A1430" t="s">
        <v>2550</v>
      </c>
      <c r="B1430" t="s">
        <v>4026</v>
      </c>
      <c r="C1430">
        <v>0.8</v>
      </c>
      <c r="D1430">
        <v>1250</v>
      </c>
      <c r="E1430">
        <v>2500</v>
      </c>
      <c r="F1430">
        <v>13</v>
      </c>
      <c r="G1430">
        <v>13</v>
      </c>
      <c r="H1430" t="s">
        <v>1208</v>
      </c>
      <c r="I1430" s="1">
        <v>37104</v>
      </c>
      <c r="J1430" s="1">
        <v>37325</v>
      </c>
      <c r="K1430" s="1">
        <v>37348</v>
      </c>
      <c r="L1430" s="1">
        <v>37348</v>
      </c>
      <c r="M1430" s="1">
        <v>37355</v>
      </c>
      <c r="N1430" s="1">
        <v>37355</v>
      </c>
      <c r="O1430" t="s">
        <v>1117</v>
      </c>
      <c r="P1430">
        <v>3</v>
      </c>
      <c r="Q1430" t="s">
        <v>1215</v>
      </c>
      <c r="R1430">
        <f t="shared" si="45"/>
        <v>15</v>
      </c>
      <c r="S1430">
        <f t="shared" si="46"/>
        <v>1</v>
      </c>
    </row>
    <row r="1431" spans="1:19" x14ac:dyDescent="0.25">
      <c r="A1431" t="s">
        <v>2551</v>
      </c>
      <c r="B1431" t="s">
        <v>1199</v>
      </c>
      <c r="C1431">
        <v>1</v>
      </c>
      <c r="D1431">
        <v>1250</v>
      </c>
      <c r="E1431">
        <v>2500</v>
      </c>
      <c r="F1431">
        <v>38</v>
      </c>
      <c r="G1431">
        <v>38</v>
      </c>
      <c r="H1431" t="s">
        <v>1208</v>
      </c>
      <c r="I1431" s="1">
        <v>37159</v>
      </c>
      <c r="J1431" s="1">
        <v>37325</v>
      </c>
      <c r="K1431" s="1">
        <v>37341</v>
      </c>
      <c r="L1431" s="1">
        <v>37341</v>
      </c>
      <c r="M1431" s="1">
        <v>37341</v>
      </c>
      <c r="N1431" s="1">
        <v>37341</v>
      </c>
      <c r="O1431" t="s">
        <v>1117</v>
      </c>
      <c r="P1431">
        <v>1</v>
      </c>
      <c r="Q1431" t="s">
        <v>1215</v>
      </c>
      <c r="R1431">
        <f t="shared" si="45"/>
        <v>13</v>
      </c>
      <c r="S1431">
        <f t="shared" si="46"/>
        <v>1</v>
      </c>
    </row>
    <row r="1432" spans="1:19" x14ac:dyDescent="0.25">
      <c r="A1432" t="s">
        <v>2552</v>
      </c>
      <c r="B1432" t="s">
        <v>4028</v>
      </c>
      <c r="C1432">
        <v>1.2</v>
      </c>
      <c r="D1432">
        <v>1250</v>
      </c>
      <c r="E1432">
        <v>2500</v>
      </c>
      <c r="F1432">
        <v>27</v>
      </c>
      <c r="G1432">
        <v>4.5970000000000004</v>
      </c>
      <c r="H1432" t="s">
        <v>1208</v>
      </c>
      <c r="I1432" s="1">
        <v>37159</v>
      </c>
      <c r="J1432" s="1">
        <v>37325</v>
      </c>
      <c r="K1432" s="1">
        <v>37369</v>
      </c>
      <c r="L1432" s="1">
        <v>37369</v>
      </c>
      <c r="M1432" s="1">
        <v>37337</v>
      </c>
      <c r="N1432" s="1">
        <v>37337</v>
      </c>
      <c r="O1432" t="s">
        <v>1117</v>
      </c>
      <c r="P1432">
        <v>2</v>
      </c>
      <c r="Q1432" t="s">
        <v>1215</v>
      </c>
      <c r="R1432">
        <f t="shared" si="45"/>
        <v>12</v>
      </c>
      <c r="S1432">
        <f t="shared" si="46"/>
        <v>0</v>
      </c>
    </row>
    <row r="1433" spans="1:19" x14ac:dyDescent="0.25">
      <c r="A1433" t="s">
        <v>2553</v>
      </c>
      <c r="B1433" t="s">
        <v>4027</v>
      </c>
      <c r="C1433">
        <v>1.2</v>
      </c>
      <c r="D1433">
        <v>1250</v>
      </c>
      <c r="E1433">
        <v>2350</v>
      </c>
      <c r="F1433">
        <v>73</v>
      </c>
      <c r="G1433">
        <v>73</v>
      </c>
      <c r="H1433" t="s">
        <v>1208</v>
      </c>
      <c r="I1433" s="1">
        <v>37159</v>
      </c>
      <c r="J1433" s="1">
        <v>37325</v>
      </c>
      <c r="K1433" s="1">
        <v>37346</v>
      </c>
      <c r="L1433" s="1">
        <v>37346</v>
      </c>
      <c r="M1433" s="1">
        <v>37346</v>
      </c>
      <c r="N1433" s="1">
        <v>37346</v>
      </c>
      <c r="O1433" t="s">
        <v>1117</v>
      </c>
      <c r="P1433">
        <v>9</v>
      </c>
      <c r="Q1433" t="s">
        <v>1215</v>
      </c>
      <c r="R1433">
        <f t="shared" si="45"/>
        <v>14</v>
      </c>
      <c r="S1433">
        <f t="shared" si="46"/>
        <v>1</v>
      </c>
    </row>
    <row r="1434" spans="1:19" x14ac:dyDescent="0.25">
      <c r="A1434" t="s">
        <v>2554</v>
      </c>
      <c r="B1434" t="s">
        <v>4026</v>
      </c>
      <c r="C1434">
        <v>0.5</v>
      </c>
      <c r="D1434">
        <v>1250</v>
      </c>
      <c r="E1434">
        <v>2500</v>
      </c>
      <c r="F1434">
        <v>3</v>
      </c>
      <c r="G1434">
        <v>3</v>
      </c>
      <c r="H1434" t="s">
        <v>1208</v>
      </c>
      <c r="I1434" s="1">
        <v>37114</v>
      </c>
      <c r="J1434" s="1">
        <v>37321</v>
      </c>
      <c r="K1434" s="1">
        <v>37359</v>
      </c>
      <c r="L1434" s="1">
        <v>37359</v>
      </c>
      <c r="M1434" s="1">
        <v>37359</v>
      </c>
      <c r="N1434" s="1">
        <v>37359</v>
      </c>
      <c r="O1434" t="s">
        <v>1117</v>
      </c>
      <c r="P1434">
        <v>1</v>
      </c>
      <c r="Q1434" t="s">
        <v>1215</v>
      </c>
      <c r="R1434">
        <f t="shared" si="45"/>
        <v>15</v>
      </c>
      <c r="S1434">
        <f t="shared" si="46"/>
        <v>1</v>
      </c>
    </row>
    <row r="1435" spans="1:19" x14ac:dyDescent="0.25">
      <c r="A1435" t="s">
        <v>2555</v>
      </c>
      <c r="B1435" t="s">
        <v>1199</v>
      </c>
      <c r="C1435">
        <v>2</v>
      </c>
      <c r="D1435">
        <v>1250</v>
      </c>
      <c r="E1435">
        <v>2500</v>
      </c>
      <c r="F1435">
        <v>70</v>
      </c>
      <c r="G1435">
        <v>12.548</v>
      </c>
      <c r="H1435" t="s">
        <v>1208</v>
      </c>
      <c r="I1435" s="1">
        <v>37159</v>
      </c>
      <c r="J1435" s="1">
        <v>37325</v>
      </c>
      <c r="K1435" s="1">
        <v>37365</v>
      </c>
      <c r="L1435" s="1">
        <v>37365</v>
      </c>
      <c r="M1435" s="1">
        <v>37361</v>
      </c>
      <c r="N1435" s="1">
        <v>37361</v>
      </c>
      <c r="O1435" t="s">
        <v>1117</v>
      </c>
      <c r="P1435">
        <v>3</v>
      </c>
      <c r="Q1435" t="s">
        <v>1215</v>
      </c>
      <c r="R1435">
        <f t="shared" si="45"/>
        <v>16</v>
      </c>
      <c r="S1435">
        <f t="shared" si="46"/>
        <v>0</v>
      </c>
    </row>
    <row r="1436" spans="1:19" x14ac:dyDescent="0.25">
      <c r="A1436" t="s">
        <v>2556</v>
      </c>
      <c r="B1436" t="s">
        <v>1199</v>
      </c>
      <c r="C1436">
        <v>1</v>
      </c>
      <c r="D1436">
        <v>1250</v>
      </c>
      <c r="E1436">
        <v>2500</v>
      </c>
      <c r="F1436">
        <v>282</v>
      </c>
      <c r="G1436">
        <v>282</v>
      </c>
      <c r="H1436" t="s">
        <v>1208</v>
      </c>
      <c r="I1436" s="1">
        <v>37159</v>
      </c>
      <c r="J1436" s="1">
        <v>37325</v>
      </c>
      <c r="K1436" s="1">
        <v>37356</v>
      </c>
      <c r="L1436" s="1">
        <v>37356</v>
      </c>
      <c r="M1436" s="1">
        <v>37356</v>
      </c>
      <c r="N1436" s="1">
        <v>37356</v>
      </c>
      <c r="O1436" t="s">
        <v>1117</v>
      </c>
      <c r="P1436">
        <v>4</v>
      </c>
      <c r="Q1436" t="s">
        <v>1215</v>
      </c>
      <c r="R1436">
        <f t="shared" si="45"/>
        <v>15</v>
      </c>
      <c r="S1436">
        <f t="shared" si="46"/>
        <v>1</v>
      </c>
    </row>
    <row r="1437" spans="1:19" x14ac:dyDescent="0.25">
      <c r="A1437" t="s">
        <v>2557</v>
      </c>
      <c r="B1437" t="s">
        <v>1199</v>
      </c>
      <c r="C1437">
        <v>1.2</v>
      </c>
      <c r="D1437">
        <v>1250</v>
      </c>
      <c r="E1437">
        <v>2500</v>
      </c>
      <c r="F1437">
        <v>313</v>
      </c>
      <c r="G1437">
        <v>313</v>
      </c>
      <c r="H1437" t="s">
        <v>1208</v>
      </c>
      <c r="I1437" s="1">
        <v>37159</v>
      </c>
      <c r="J1437" s="1">
        <v>37325</v>
      </c>
      <c r="K1437" t="s">
        <v>1124</v>
      </c>
      <c r="L1437" t="s">
        <v>1124</v>
      </c>
      <c r="M1437" s="1">
        <v>37385</v>
      </c>
      <c r="N1437" s="1">
        <v>37385</v>
      </c>
      <c r="O1437" t="s">
        <v>1117</v>
      </c>
      <c r="P1437">
        <v>1</v>
      </c>
      <c r="Q1437" t="s">
        <v>1215</v>
      </c>
      <c r="R1437">
        <f t="shared" si="45"/>
        <v>19</v>
      </c>
      <c r="S1437">
        <f t="shared" si="46"/>
        <v>1</v>
      </c>
    </row>
    <row r="1438" spans="1:19" x14ac:dyDescent="0.25">
      <c r="A1438" t="s">
        <v>2558</v>
      </c>
      <c r="B1438" t="s">
        <v>1199</v>
      </c>
      <c r="C1438">
        <v>0.5</v>
      </c>
      <c r="D1438">
        <v>1250</v>
      </c>
      <c r="E1438">
        <v>2500</v>
      </c>
      <c r="F1438">
        <v>3</v>
      </c>
      <c r="G1438">
        <v>3</v>
      </c>
      <c r="H1438" t="s">
        <v>1208</v>
      </c>
      <c r="I1438" s="1">
        <v>37189</v>
      </c>
      <c r="J1438" s="1">
        <v>37323</v>
      </c>
      <c r="K1438" s="1">
        <v>37359</v>
      </c>
      <c r="L1438" s="1">
        <v>37359</v>
      </c>
      <c r="M1438" s="1">
        <v>37359</v>
      </c>
      <c r="N1438" s="1">
        <v>37359</v>
      </c>
      <c r="O1438" t="s">
        <v>1117</v>
      </c>
      <c r="P1438">
        <v>4</v>
      </c>
      <c r="Q1438" t="s">
        <v>1215</v>
      </c>
      <c r="R1438">
        <f t="shared" si="45"/>
        <v>15</v>
      </c>
      <c r="S1438">
        <f t="shared" si="46"/>
        <v>1</v>
      </c>
    </row>
    <row r="1439" spans="1:19" x14ac:dyDescent="0.25">
      <c r="A1439" t="s">
        <v>2559</v>
      </c>
      <c r="B1439" t="s">
        <v>4026</v>
      </c>
      <c r="C1439">
        <v>0.5</v>
      </c>
      <c r="D1439">
        <v>1250</v>
      </c>
      <c r="E1439">
        <v>2500</v>
      </c>
      <c r="F1439">
        <v>3</v>
      </c>
      <c r="G1439">
        <v>3</v>
      </c>
      <c r="H1439" t="s">
        <v>1208</v>
      </c>
      <c r="I1439" s="1">
        <v>37189</v>
      </c>
      <c r="J1439" s="1">
        <v>37323</v>
      </c>
      <c r="K1439" s="1">
        <v>37359</v>
      </c>
      <c r="L1439" s="1">
        <v>37359</v>
      </c>
      <c r="M1439" s="1">
        <v>37359</v>
      </c>
      <c r="N1439" s="1">
        <v>37359</v>
      </c>
      <c r="O1439" t="s">
        <v>1117</v>
      </c>
      <c r="P1439">
        <v>4</v>
      </c>
      <c r="Q1439" t="s">
        <v>1215</v>
      </c>
      <c r="R1439">
        <f t="shared" si="45"/>
        <v>15</v>
      </c>
      <c r="S1439">
        <f t="shared" si="46"/>
        <v>1</v>
      </c>
    </row>
    <row r="1440" spans="1:19" x14ac:dyDescent="0.25">
      <c r="A1440" t="s">
        <v>2560</v>
      </c>
      <c r="B1440" t="s">
        <v>1199</v>
      </c>
      <c r="C1440">
        <v>0.6</v>
      </c>
      <c r="D1440">
        <v>1250</v>
      </c>
      <c r="E1440">
        <v>2500</v>
      </c>
      <c r="F1440">
        <v>3</v>
      </c>
      <c r="G1440">
        <v>3</v>
      </c>
      <c r="H1440" t="s">
        <v>1208</v>
      </c>
      <c r="I1440" s="1">
        <v>37119</v>
      </c>
      <c r="J1440" s="1">
        <v>37322</v>
      </c>
      <c r="K1440" t="s">
        <v>1124</v>
      </c>
      <c r="L1440" t="s">
        <v>1124</v>
      </c>
      <c r="M1440" s="1">
        <v>37368</v>
      </c>
      <c r="N1440" s="1">
        <v>37368</v>
      </c>
      <c r="O1440" t="s">
        <v>1117</v>
      </c>
      <c r="P1440">
        <v>1</v>
      </c>
      <c r="Q1440" t="s">
        <v>1215</v>
      </c>
      <c r="R1440">
        <f t="shared" si="45"/>
        <v>17</v>
      </c>
      <c r="S1440">
        <f t="shared" si="46"/>
        <v>1</v>
      </c>
    </row>
    <row r="1441" spans="1:19" x14ac:dyDescent="0.25">
      <c r="A1441" t="s">
        <v>2561</v>
      </c>
      <c r="B1441" t="s">
        <v>1199</v>
      </c>
      <c r="C1441">
        <v>0.6</v>
      </c>
      <c r="D1441">
        <v>1250</v>
      </c>
      <c r="E1441">
        <v>2500</v>
      </c>
      <c r="F1441">
        <v>3</v>
      </c>
      <c r="G1441">
        <v>3</v>
      </c>
      <c r="H1441" t="s">
        <v>1208</v>
      </c>
      <c r="I1441" s="1">
        <v>37114</v>
      </c>
      <c r="J1441" s="1">
        <v>37321</v>
      </c>
      <c r="K1441" s="1">
        <v>37375</v>
      </c>
      <c r="L1441" s="1">
        <v>37375</v>
      </c>
      <c r="M1441" s="1">
        <v>37368</v>
      </c>
      <c r="N1441" s="1">
        <v>37368</v>
      </c>
      <c r="O1441" t="s">
        <v>1117</v>
      </c>
      <c r="P1441">
        <v>2</v>
      </c>
      <c r="Q1441" t="s">
        <v>1215</v>
      </c>
      <c r="R1441">
        <f t="shared" si="45"/>
        <v>17</v>
      </c>
      <c r="S1441">
        <f t="shared" si="46"/>
        <v>1</v>
      </c>
    </row>
    <row r="1442" spans="1:19" x14ac:dyDescent="0.25">
      <c r="A1442" t="s">
        <v>2562</v>
      </c>
      <c r="B1442" t="s">
        <v>3631</v>
      </c>
      <c r="C1442">
        <v>3</v>
      </c>
      <c r="D1442">
        <v>1250</v>
      </c>
      <c r="E1442">
        <v>2500</v>
      </c>
      <c r="F1442">
        <v>3</v>
      </c>
      <c r="G1442">
        <v>3</v>
      </c>
      <c r="H1442" t="s">
        <v>1208</v>
      </c>
      <c r="I1442" s="1">
        <v>37134</v>
      </c>
      <c r="J1442" s="1">
        <v>37323</v>
      </c>
      <c r="K1442" t="s">
        <v>1124</v>
      </c>
      <c r="L1442" t="s">
        <v>1124</v>
      </c>
      <c r="M1442" s="1">
        <v>37362</v>
      </c>
      <c r="N1442" s="1">
        <v>37362</v>
      </c>
      <c r="O1442" t="s">
        <v>1117</v>
      </c>
      <c r="P1442">
        <v>1</v>
      </c>
      <c r="Q1442" t="s">
        <v>1215</v>
      </c>
      <c r="R1442">
        <f t="shared" si="45"/>
        <v>16</v>
      </c>
      <c r="S1442">
        <f t="shared" si="46"/>
        <v>1</v>
      </c>
    </row>
    <row r="1443" spans="1:19" x14ac:dyDescent="0.25">
      <c r="A1443" t="s">
        <v>2563</v>
      </c>
      <c r="B1443" t="s">
        <v>1199</v>
      </c>
      <c r="C1443">
        <v>1</v>
      </c>
      <c r="D1443">
        <v>1250</v>
      </c>
      <c r="E1443">
        <v>2500</v>
      </c>
      <c r="F1443">
        <v>9</v>
      </c>
      <c r="G1443">
        <v>5.5339999999999998</v>
      </c>
      <c r="H1443" t="s">
        <v>1208</v>
      </c>
      <c r="I1443" s="1">
        <v>37122</v>
      </c>
      <c r="J1443" s="1">
        <v>37312</v>
      </c>
      <c r="K1443" s="1">
        <v>37351</v>
      </c>
      <c r="L1443" s="1">
        <v>37351</v>
      </c>
      <c r="M1443" s="1">
        <v>37351</v>
      </c>
      <c r="N1443" s="1">
        <v>37351</v>
      </c>
      <c r="O1443" t="s">
        <v>1117</v>
      </c>
      <c r="P1443">
        <v>1</v>
      </c>
      <c r="Q1443" t="s">
        <v>1215</v>
      </c>
      <c r="R1443">
        <f t="shared" si="45"/>
        <v>14</v>
      </c>
      <c r="S1443">
        <f t="shared" si="46"/>
        <v>0</v>
      </c>
    </row>
    <row r="1444" spans="1:19" x14ac:dyDescent="0.25">
      <c r="A1444" t="s">
        <v>2564</v>
      </c>
      <c r="B1444" t="s">
        <v>1199</v>
      </c>
      <c r="C1444">
        <v>2</v>
      </c>
      <c r="D1444">
        <v>1250</v>
      </c>
      <c r="E1444">
        <v>2500</v>
      </c>
      <c r="F1444">
        <v>9</v>
      </c>
      <c r="G1444">
        <v>9</v>
      </c>
      <c r="H1444" t="s">
        <v>1208</v>
      </c>
      <c r="I1444" s="1">
        <v>37110</v>
      </c>
      <c r="J1444" s="1">
        <v>37321</v>
      </c>
      <c r="K1444" s="1">
        <v>37349</v>
      </c>
      <c r="L1444" s="1">
        <v>37349</v>
      </c>
      <c r="M1444" s="1">
        <v>37348</v>
      </c>
      <c r="N1444" s="1">
        <v>37348</v>
      </c>
      <c r="O1444" t="s">
        <v>1117</v>
      </c>
      <c r="P1444">
        <v>1</v>
      </c>
      <c r="Q1444" t="s">
        <v>1215</v>
      </c>
      <c r="R1444">
        <f t="shared" si="45"/>
        <v>14</v>
      </c>
      <c r="S1444">
        <f t="shared" si="46"/>
        <v>1</v>
      </c>
    </row>
    <row r="1445" spans="1:19" x14ac:dyDescent="0.25">
      <c r="A1445" t="s">
        <v>2565</v>
      </c>
      <c r="B1445" t="s">
        <v>1199</v>
      </c>
      <c r="C1445">
        <v>1.5</v>
      </c>
      <c r="D1445">
        <v>1250</v>
      </c>
      <c r="E1445">
        <v>2500</v>
      </c>
      <c r="F1445">
        <v>9</v>
      </c>
      <c r="G1445">
        <v>9</v>
      </c>
      <c r="H1445" t="s">
        <v>1208</v>
      </c>
      <c r="I1445" s="1">
        <v>37159</v>
      </c>
      <c r="J1445" s="1">
        <v>37319</v>
      </c>
      <c r="K1445" s="1">
        <v>37333</v>
      </c>
      <c r="L1445" s="1">
        <v>37333</v>
      </c>
      <c r="M1445" s="1">
        <v>37333</v>
      </c>
      <c r="N1445" s="1">
        <v>37333</v>
      </c>
      <c r="O1445" t="s">
        <v>1117</v>
      </c>
      <c r="P1445">
        <v>1</v>
      </c>
      <c r="Q1445" t="s">
        <v>1215</v>
      </c>
      <c r="R1445">
        <f t="shared" si="45"/>
        <v>12</v>
      </c>
      <c r="S1445">
        <f t="shared" si="46"/>
        <v>1</v>
      </c>
    </row>
    <row r="1446" spans="1:19" x14ac:dyDescent="0.25">
      <c r="A1446" t="s">
        <v>2566</v>
      </c>
      <c r="B1446" t="s">
        <v>1199</v>
      </c>
      <c r="C1446">
        <v>1.2</v>
      </c>
      <c r="D1446">
        <v>1250</v>
      </c>
      <c r="E1446">
        <v>2500</v>
      </c>
      <c r="F1446">
        <v>3</v>
      </c>
      <c r="G1446">
        <v>3</v>
      </c>
      <c r="H1446" t="s">
        <v>1208</v>
      </c>
      <c r="I1446" s="1">
        <v>37159</v>
      </c>
      <c r="J1446" s="1">
        <v>37323</v>
      </c>
      <c r="K1446" s="1">
        <v>37346</v>
      </c>
      <c r="L1446" s="1">
        <v>37346</v>
      </c>
      <c r="M1446" s="1">
        <v>37344</v>
      </c>
      <c r="N1446" s="1">
        <v>37344</v>
      </c>
      <c r="O1446" t="s">
        <v>1117</v>
      </c>
      <c r="P1446">
        <v>4</v>
      </c>
      <c r="Q1446" t="s">
        <v>1215</v>
      </c>
      <c r="R1446">
        <f t="shared" si="45"/>
        <v>13</v>
      </c>
      <c r="S1446">
        <f t="shared" si="46"/>
        <v>1</v>
      </c>
    </row>
    <row r="1447" spans="1:19" x14ac:dyDescent="0.25">
      <c r="A1447" t="s">
        <v>2567</v>
      </c>
      <c r="B1447" t="s">
        <v>4028</v>
      </c>
      <c r="C1447">
        <v>1.2</v>
      </c>
      <c r="D1447">
        <v>1250</v>
      </c>
      <c r="E1447">
        <v>3048</v>
      </c>
      <c r="F1447">
        <v>36</v>
      </c>
      <c r="G1447">
        <v>36</v>
      </c>
      <c r="H1447" t="s">
        <v>1208</v>
      </c>
      <c r="I1447" s="1">
        <v>37134</v>
      </c>
      <c r="J1447" s="1">
        <v>37314</v>
      </c>
      <c r="K1447" s="1">
        <v>37325</v>
      </c>
      <c r="L1447" s="1">
        <v>37325</v>
      </c>
      <c r="M1447" s="1">
        <v>37326</v>
      </c>
      <c r="N1447" s="1">
        <v>37326</v>
      </c>
      <c r="O1447" t="s">
        <v>1117</v>
      </c>
      <c r="P1447">
        <v>2</v>
      </c>
      <c r="Q1447" t="s">
        <v>1215</v>
      </c>
      <c r="R1447">
        <f t="shared" si="45"/>
        <v>11</v>
      </c>
      <c r="S1447">
        <f t="shared" si="46"/>
        <v>1</v>
      </c>
    </row>
    <row r="1448" spans="1:19" x14ac:dyDescent="0.25">
      <c r="A1448" t="s">
        <v>2568</v>
      </c>
      <c r="B1448" t="s">
        <v>1199</v>
      </c>
      <c r="C1448">
        <v>1.5</v>
      </c>
      <c r="D1448">
        <v>1250</v>
      </c>
      <c r="E1448">
        <v>3048</v>
      </c>
      <c r="F1448">
        <v>18</v>
      </c>
      <c r="G1448">
        <v>18</v>
      </c>
      <c r="H1448" t="s">
        <v>1208</v>
      </c>
      <c r="I1448" s="1">
        <v>37134</v>
      </c>
      <c r="J1448" s="1">
        <v>37314</v>
      </c>
      <c r="K1448" s="1">
        <v>37325</v>
      </c>
      <c r="L1448" s="1">
        <v>37325</v>
      </c>
      <c r="M1448" s="1">
        <v>37326</v>
      </c>
      <c r="N1448" s="1">
        <v>37326</v>
      </c>
      <c r="O1448" t="s">
        <v>1117</v>
      </c>
      <c r="P1448">
        <v>3</v>
      </c>
      <c r="Q1448" t="s">
        <v>1215</v>
      </c>
      <c r="R1448">
        <f t="shared" si="45"/>
        <v>11</v>
      </c>
      <c r="S1448">
        <f t="shared" si="46"/>
        <v>1</v>
      </c>
    </row>
    <row r="1449" spans="1:19" x14ac:dyDescent="0.25">
      <c r="A1449" t="s">
        <v>2569</v>
      </c>
      <c r="B1449" t="s">
        <v>4028</v>
      </c>
      <c r="C1449">
        <v>1</v>
      </c>
      <c r="D1449">
        <v>1250</v>
      </c>
      <c r="E1449">
        <v>2150</v>
      </c>
      <c r="F1449">
        <v>15</v>
      </c>
      <c r="G1449">
        <v>6.2240000000000002</v>
      </c>
      <c r="H1449" t="s">
        <v>1208</v>
      </c>
      <c r="I1449" s="1">
        <v>37159</v>
      </c>
      <c r="J1449" s="1">
        <v>37319</v>
      </c>
      <c r="K1449" s="1">
        <v>37364</v>
      </c>
      <c r="L1449" s="1">
        <v>37364</v>
      </c>
      <c r="M1449" s="1">
        <v>37261</v>
      </c>
      <c r="N1449" s="1">
        <v>37261</v>
      </c>
      <c r="O1449" t="s">
        <v>1117</v>
      </c>
      <c r="P1449">
        <v>1</v>
      </c>
      <c r="Q1449" t="s">
        <v>1215</v>
      </c>
      <c r="R1449">
        <f t="shared" si="45"/>
        <v>1</v>
      </c>
      <c r="S1449">
        <f t="shared" si="46"/>
        <v>0</v>
      </c>
    </row>
    <row r="1450" spans="1:19" x14ac:dyDescent="0.25">
      <c r="A1450" t="s">
        <v>2570</v>
      </c>
      <c r="B1450" t="s">
        <v>1199</v>
      </c>
      <c r="C1450">
        <v>0.8</v>
      </c>
      <c r="D1450">
        <v>562</v>
      </c>
      <c r="E1450">
        <v>2114</v>
      </c>
      <c r="F1450">
        <v>2</v>
      </c>
      <c r="G1450">
        <v>2</v>
      </c>
      <c r="H1450" t="s">
        <v>1208</v>
      </c>
      <c r="I1450" s="1">
        <v>37110</v>
      </c>
      <c r="J1450" s="1">
        <v>37313</v>
      </c>
      <c r="K1450" s="1">
        <v>37330</v>
      </c>
      <c r="L1450" s="1">
        <v>37330</v>
      </c>
      <c r="M1450" s="1">
        <v>37330</v>
      </c>
      <c r="N1450" s="1">
        <v>37330</v>
      </c>
      <c r="O1450" t="s">
        <v>1117</v>
      </c>
      <c r="P1450">
        <v>4</v>
      </c>
      <c r="Q1450" t="s">
        <v>1215</v>
      </c>
      <c r="R1450">
        <f t="shared" si="45"/>
        <v>11</v>
      </c>
      <c r="S1450">
        <f t="shared" si="46"/>
        <v>1</v>
      </c>
    </row>
    <row r="1451" spans="1:19" x14ac:dyDescent="0.25">
      <c r="A1451" t="s">
        <v>2571</v>
      </c>
      <c r="B1451" t="s">
        <v>1199</v>
      </c>
      <c r="C1451">
        <v>1</v>
      </c>
      <c r="D1451">
        <v>1250</v>
      </c>
      <c r="E1451">
        <v>1810</v>
      </c>
      <c r="F1451">
        <v>4</v>
      </c>
      <c r="G1451">
        <v>4</v>
      </c>
      <c r="H1451" t="s">
        <v>1208</v>
      </c>
      <c r="I1451" s="1">
        <v>37119</v>
      </c>
      <c r="J1451" s="1">
        <v>37313</v>
      </c>
      <c r="K1451" s="1">
        <v>37345</v>
      </c>
      <c r="L1451" s="1">
        <v>37345</v>
      </c>
      <c r="M1451" s="1">
        <v>37345</v>
      </c>
      <c r="N1451" s="1">
        <v>37345</v>
      </c>
      <c r="O1451" t="s">
        <v>1117</v>
      </c>
      <c r="P1451">
        <v>1</v>
      </c>
      <c r="Q1451" t="s">
        <v>1215</v>
      </c>
      <c r="R1451">
        <f t="shared" si="45"/>
        <v>13</v>
      </c>
      <c r="S1451">
        <f t="shared" si="46"/>
        <v>1</v>
      </c>
    </row>
    <row r="1452" spans="1:19" x14ac:dyDescent="0.25">
      <c r="A1452" t="s">
        <v>2572</v>
      </c>
      <c r="B1452" t="s">
        <v>4026</v>
      </c>
      <c r="C1452">
        <v>0.8</v>
      </c>
      <c r="D1452">
        <v>1134</v>
      </c>
      <c r="E1452">
        <v>2289</v>
      </c>
      <c r="F1452">
        <v>10</v>
      </c>
      <c r="G1452">
        <v>10</v>
      </c>
      <c r="H1452" t="s">
        <v>1208</v>
      </c>
      <c r="I1452" s="1">
        <v>37159</v>
      </c>
      <c r="J1452" s="1">
        <v>37325</v>
      </c>
      <c r="K1452" s="1">
        <v>37347</v>
      </c>
      <c r="L1452" s="1">
        <v>37347</v>
      </c>
      <c r="M1452" s="1">
        <v>37334</v>
      </c>
      <c r="N1452" s="1">
        <v>37334</v>
      </c>
      <c r="O1452" t="s">
        <v>1117</v>
      </c>
      <c r="P1452">
        <v>2</v>
      </c>
      <c r="Q1452" t="s">
        <v>1215</v>
      </c>
      <c r="R1452">
        <f t="shared" si="45"/>
        <v>12</v>
      </c>
      <c r="S1452">
        <f t="shared" si="46"/>
        <v>1</v>
      </c>
    </row>
    <row r="1453" spans="1:19" x14ac:dyDescent="0.25">
      <c r="A1453" t="s">
        <v>2573</v>
      </c>
      <c r="B1453" t="s">
        <v>1199</v>
      </c>
      <c r="C1453">
        <v>0.8</v>
      </c>
      <c r="D1453">
        <v>562</v>
      </c>
      <c r="E1453">
        <v>2014</v>
      </c>
      <c r="F1453">
        <v>6</v>
      </c>
      <c r="G1453">
        <v>6</v>
      </c>
      <c r="H1453" t="s">
        <v>1208</v>
      </c>
      <c r="I1453" s="1">
        <v>37110</v>
      </c>
      <c r="J1453" s="1">
        <v>37313</v>
      </c>
      <c r="K1453" s="1">
        <v>37330</v>
      </c>
      <c r="L1453" s="1">
        <v>37330</v>
      </c>
      <c r="M1453" s="1">
        <v>37330</v>
      </c>
      <c r="N1453" s="1">
        <v>37330</v>
      </c>
      <c r="O1453" t="s">
        <v>1117</v>
      </c>
      <c r="P1453">
        <v>1</v>
      </c>
      <c r="Q1453" t="s">
        <v>1215</v>
      </c>
      <c r="R1453">
        <f t="shared" si="45"/>
        <v>11</v>
      </c>
      <c r="S1453">
        <f t="shared" si="46"/>
        <v>1</v>
      </c>
    </row>
    <row r="1454" spans="1:19" x14ac:dyDescent="0.25">
      <c r="A1454" t="s">
        <v>2574</v>
      </c>
      <c r="B1454" t="s">
        <v>4026</v>
      </c>
      <c r="C1454">
        <v>1.5</v>
      </c>
      <c r="D1454">
        <v>1250</v>
      </c>
      <c r="E1454">
        <v>2350</v>
      </c>
      <c r="F1454">
        <v>8</v>
      </c>
      <c r="G1454">
        <v>8</v>
      </c>
      <c r="H1454" t="s">
        <v>1208</v>
      </c>
      <c r="I1454" s="1">
        <v>37189</v>
      </c>
      <c r="J1454" s="1">
        <v>37313</v>
      </c>
      <c r="K1454" s="1">
        <v>37352</v>
      </c>
      <c r="L1454" s="1">
        <v>37352</v>
      </c>
      <c r="M1454" s="1">
        <v>37352</v>
      </c>
      <c r="N1454" s="1">
        <v>37355</v>
      </c>
      <c r="O1454" t="s">
        <v>1117</v>
      </c>
      <c r="P1454">
        <v>2</v>
      </c>
      <c r="Q1454" t="s">
        <v>1215</v>
      </c>
      <c r="R1454">
        <f t="shared" si="45"/>
        <v>15</v>
      </c>
      <c r="S1454">
        <f t="shared" si="46"/>
        <v>1</v>
      </c>
    </row>
    <row r="1455" spans="1:19" x14ac:dyDescent="0.25">
      <c r="A1455" t="s">
        <v>2575</v>
      </c>
      <c r="B1455" t="s">
        <v>1199</v>
      </c>
      <c r="C1455">
        <v>1.5</v>
      </c>
      <c r="D1455">
        <v>1250</v>
      </c>
      <c r="E1455">
        <v>2500</v>
      </c>
      <c r="F1455">
        <v>30</v>
      </c>
      <c r="G1455">
        <v>30</v>
      </c>
      <c r="H1455" t="s">
        <v>1208</v>
      </c>
      <c r="I1455" s="1">
        <v>37189</v>
      </c>
      <c r="J1455" s="1">
        <v>37313</v>
      </c>
      <c r="K1455" s="1">
        <v>37350</v>
      </c>
      <c r="L1455" s="1">
        <v>37350</v>
      </c>
      <c r="M1455" s="1">
        <v>37357</v>
      </c>
      <c r="N1455" s="1">
        <v>37364</v>
      </c>
      <c r="O1455" t="s">
        <v>1117</v>
      </c>
      <c r="P1455">
        <v>4</v>
      </c>
      <c r="Q1455" t="s">
        <v>1215</v>
      </c>
      <c r="R1455">
        <f t="shared" si="45"/>
        <v>16</v>
      </c>
      <c r="S1455">
        <f t="shared" si="46"/>
        <v>1</v>
      </c>
    </row>
    <row r="1456" spans="1:19" x14ac:dyDescent="0.25">
      <c r="A1456" t="s">
        <v>2576</v>
      </c>
      <c r="B1456" t="s">
        <v>1199</v>
      </c>
      <c r="C1456">
        <v>1.5</v>
      </c>
      <c r="D1456">
        <v>1250</v>
      </c>
      <c r="E1456">
        <v>2500</v>
      </c>
      <c r="F1456">
        <v>10</v>
      </c>
      <c r="G1456">
        <v>10</v>
      </c>
      <c r="H1456" t="s">
        <v>1208</v>
      </c>
      <c r="I1456" s="1">
        <v>37119</v>
      </c>
      <c r="J1456" s="1">
        <v>37313</v>
      </c>
      <c r="K1456" s="1">
        <v>37352</v>
      </c>
      <c r="L1456" s="1">
        <v>37352</v>
      </c>
      <c r="M1456" s="1">
        <v>37352</v>
      </c>
      <c r="N1456" s="1">
        <v>37355</v>
      </c>
      <c r="O1456" t="s">
        <v>1117</v>
      </c>
      <c r="P1456">
        <v>5</v>
      </c>
      <c r="Q1456" t="s">
        <v>1215</v>
      </c>
      <c r="R1456">
        <f t="shared" si="45"/>
        <v>15</v>
      </c>
      <c r="S1456">
        <f t="shared" si="46"/>
        <v>1</v>
      </c>
    </row>
    <row r="1457" spans="1:19" x14ac:dyDescent="0.25">
      <c r="A1457" t="s">
        <v>2577</v>
      </c>
      <c r="B1457" t="s">
        <v>1199</v>
      </c>
      <c r="C1457">
        <v>1</v>
      </c>
      <c r="D1457">
        <v>1250</v>
      </c>
      <c r="E1457">
        <v>3000</v>
      </c>
      <c r="F1457">
        <v>2</v>
      </c>
      <c r="G1457">
        <v>2</v>
      </c>
      <c r="H1457" t="s">
        <v>1208</v>
      </c>
      <c r="I1457" s="1">
        <v>37120</v>
      </c>
      <c r="J1457" s="1">
        <v>37313</v>
      </c>
      <c r="K1457" s="1">
        <v>37352</v>
      </c>
      <c r="L1457" s="1">
        <v>37352</v>
      </c>
      <c r="M1457" s="1">
        <v>37352</v>
      </c>
      <c r="N1457" s="1">
        <v>37352</v>
      </c>
      <c r="O1457" t="s">
        <v>1117</v>
      </c>
      <c r="P1457">
        <v>6</v>
      </c>
      <c r="Q1457" t="s">
        <v>1215</v>
      </c>
      <c r="R1457">
        <f t="shared" si="45"/>
        <v>14</v>
      </c>
      <c r="S1457">
        <f t="shared" si="46"/>
        <v>1</v>
      </c>
    </row>
    <row r="1458" spans="1:19" x14ac:dyDescent="0.25">
      <c r="A1458" t="s">
        <v>2578</v>
      </c>
      <c r="B1458" t="s">
        <v>4028</v>
      </c>
      <c r="C1458">
        <v>1.5</v>
      </c>
      <c r="D1458">
        <v>1250</v>
      </c>
      <c r="E1458">
        <v>2350</v>
      </c>
      <c r="F1458">
        <v>8</v>
      </c>
      <c r="G1458">
        <v>8</v>
      </c>
      <c r="H1458" t="s">
        <v>1208</v>
      </c>
      <c r="I1458" s="1">
        <v>37189</v>
      </c>
      <c r="J1458" s="1">
        <v>37313</v>
      </c>
      <c r="K1458" s="1">
        <v>37352</v>
      </c>
      <c r="L1458" s="1">
        <v>37352</v>
      </c>
      <c r="M1458" s="1">
        <v>37352</v>
      </c>
      <c r="N1458" s="1">
        <v>37352</v>
      </c>
      <c r="O1458" t="s">
        <v>1117</v>
      </c>
      <c r="P1458">
        <v>3</v>
      </c>
      <c r="Q1458" t="s">
        <v>1215</v>
      </c>
      <c r="R1458">
        <f t="shared" si="45"/>
        <v>14</v>
      </c>
      <c r="S1458">
        <f t="shared" si="46"/>
        <v>1</v>
      </c>
    </row>
    <row r="1459" spans="1:19" x14ac:dyDescent="0.25">
      <c r="A1459" t="s">
        <v>2579</v>
      </c>
      <c r="B1459" t="s">
        <v>4027</v>
      </c>
      <c r="C1459">
        <v>1</v>
      </c>
      <c r="D1459">
        <v>1250</v>
      </c>
      <c r="E1459">
        <v>3000</v>
      </c>
      <c r="F1459">
        <v>2</v>
      </c>
      <c r="G1459">
        <v>2</v>
      </c>
      <c r="H1459" t="s">
        <v>1208</v>
      </c>
      <c r="I1459" s="1">
        <v>37120</v>
      </c>
      <c r="J1459" s="1">
        <v>37313</v>
      </c>
      <c r="K1459" s="1">
        <v>37352</v>
      </c>
      <c r="L1459" s="1">
        <v>37352</v>
      </c>
      <c r="M1459" s="1">
        <v>37352</v>
      </c>
      <c r="N1459" s="1">
        <v>37352</v>
      </c>
      <c r="O1459" t="s">
        <v>1117</v>
      </c>
      <c r="P1459">
        <v>3</v>
      </c>
      <c r="Q1459" t="s">
        <v>1215</v>
      </c>
      <c r="R1459">
        <f t="shared" si="45"/>
        <v>14</v>
      </c>
      <c r="S1459">
        <f t="shared" si="46"/>
        <v>1</v>
      </c>
    </row>
    <row r="1460" spans="1:19" x14ac:dyDescent="0.25">
      <c r="A1460" t="s">
        <v>2580</v>
      </c>
      <c r="B1460" t="s">
        <v>4028</v>
      </c>
      <c r="C1460">
        <v>1.5</v>
      </c>
      <c r="D1460">
        <v>1250</v>
      </c>
      <c r="E1460">
        <v>2350</v>
      </c>
      <c r="F1460">
        <v>8</v>
      </c>
      <c r="G1460">
        <v>8</v>
      </c>
      <c r="H1460" t="s">
        <v>1208</v>
      </c>
      <c r="I1460" s="1">
        <v>37189</v>
      </c>
      <c r="J1460" s="1">
        <v>37313</v>
      </c>
      <c r="K1460" s="1">
        <v>37352</v>
      </c>
      <c r="L1460" s="1">
        <v>37352</v>
      </c>
      <c r="M1460" s="1">
        <v>37352</v>
      </c>
      <c r="N1460" s="1">
        <v>37352</v>
      </c>
      <c r="O1460" t="s">
        <v>1117</v>
      </c>
      <c r="P1460">
        <v>3</v>
      </c>
      <c r="Q1460" t="s">
        <v>1215</v>
      </c>
      <c r="R1460">
        <f t="shared" si="45"/>
        <v>14</v>
      </c>
      <c r="S1460">
        <f t="shared" si="46"/>
        <v>1</v>
      </c>
    </row>
    <row r="1461" spans="1:19" x14ac:dyDescent="0.25">
      <c r="A1461" t="s">
        <v>2581</v>
      </c>
      <c r="B1461" t="s">
        <v>4027</v>
      </c>
      <c r="C1461">
        <v>1.5</v>
      </c>
      <c r="D1461">
        <v>1250</v>
      </c>
      <c r="E1461">
        <v>2350</v>
      </c>
      <c r="F1461">
        <v>8</v>
      </c>
      <c r="G1461">
        <v>8</v>
      </c>
      <c r="H1461" t="s">
        <v>1208</v>
      </c>
      <c r="I1461" s="1">
        <v>37189</v>
      </c>
      <c r="J1461" s="1">
        <v>37313</v>
      </c>
      <c r="K1461" s="1">
        <v>37352</v>
      </c>
      <c r="L1461" s="1">
        <v>37352</v>
      </c>
      <c r="M1461" s="1">
        <v>37352</v>
      </c>
      <c r="N1461" s="1">
        <v>37355</v>
      </c>
      <c r="O1461" t="s">
        <v>1117</v>
      </c>
      <c r="P1461">
        <v>2</v>
      </c>
      <c r="Q1461" t="s">
        <v>1215</v>
      </c>
      <c r="R1461">
        <f t="shared" si="45"/>
        <v>15</v>
      </c>
      <c r="S1461">
        <f t="shared" si="46"/>
        <v>1</v>
      </c>
    </row>
    <row r="1462" spans="1:19" x14ac:dyDescent="0.25">
      <c r="A1462" t="s">
        <v>2582</v>
      </c>
      <c r="B1462" t="s">
        <v>4028</v>
      </c>
      <c r="C1462">
        <v>1.5</v>
      </c>
      <c r="D1462">
        <v>1250</v>
      </c>
      <c r="E1462">
        <v>2350</v>
      </c>
      <c r="F1462">
        <v>8</v>
      </c>
      <c r="G1462">
        <v>8</v>
      </c>
      <c r="H1462" t="s">
        <v>1208</v>
      </c>
      <c r="I1462" s="1">
        <v>37189</v>
      </c>
      <c r="J1462" s="1">
        <v>37313</v>
      </c>
      <c r="K1462" s="1">
        <v>37352</v>
      </c>
      <c r="L1462" s="1">
        <v>37352</v>
      </c>
      <c r="M1462" s="1">
        <v>37352</v>
      </c>
      <c r="N1462" s="1">
        <v>37355</v>
      </c>
      <c r="O1462" t="s">
        <v>1117</v>
      </c>
      <c r="P1462">
        <v>2</v>
      </c>
      <c r="Q1462" t="s">
        <v>1215</v>
      </c>
      <c r="R1462">
        <f t="shared" si="45"/>
        <v>15</v>
      </c>
      <c r="S1462">
        <f t="shared" si="46"/>
        <v>1</v>
      </c>
    </row>
    <row r="1463" spans="1:19" x14ac:dyDescent="0.25">
      <c r="A1463" t="s">
        <v>2583</v>
      </c>
      <c r="B1463" t="s">
        <v>4028</v>
      </c>
      <c r="C1463">
        <v>1.5</v>
      </c>
      <c r="D1463">
        <v>1250</v>
      </c>
      <c r="E1463">
        <v>2500</v>
      </c>
      <c r="F1463">
        <v>30</v>
      </c>
      <c r="G1463">
        <v>30</v>
      </c>
      <c r="H1463" t="s">
        <v>1208</v>
      </c>
      <c r="I1463" s="1">
        <v>37189</v>
      </c>
      <c r="J1463" s="1">
        <v>37313</v>
      </c>
      <c r="K1463" s="1">
        <v>37350</v>
      </c>
      <c r="L1463" s="1">
        <v>37350</v>
      </c>
      <c r="M1463" s="1">
        <v>37350</v>
      </c>
      <c r="N1463" s="1">
        <v>37364</v>
      </c>
      <c r="O1463" t="s">
        <v>1117</v>
      </c>
      <c r="P1463">
        <v>4</v>
      </c>
      <c r="Q1463" t="s">
        <v>1215</v>
      </c>
      <c r="R1463">
        <f t="shared" si="45"/>
        <v>16</v>
      </c>
      <c r="S1463">
        <f t="shared" si="46"/>
        <v>1</v>
      </c>
    </row>
    <row r="1464" spans="1:19" x14ac:dyDescent="0.25">
      <c r="A1464" t="s">
        <v>2584</v>
      </c>
      <c r="B1464" t="s">
        <v>4028</v>
      </c>
      <c r="C1464">
        <v>1.6</v>
      </c>
      <c r="D1464">
        <v>1250</v>
      </c>
      <c r="E1464">
        <v>2500</v>
      </c>
      <c r="F1464">
        <v>4</v>
      </c>
      <c r="G1464">
        <v>4</v>
      </c>
      <c r="H1464" t="s">
        <v>1208</v>
      </c>
      <c r="I1464" s="1">
        <v>37159</v>
      </c>
      <c r="J1464" s="1">
        <v>37313</v>
      </c>
      <c r="K1464" s="1">
        <v>37359</v>
      </c>
      <c r="L1464" s="1">
        <v>37359</v>
      </c>
      <c r="M1464" s="1">
        <v>37345</v>
      </c>
      <c r="N1464" s="1">
        <v>37345</v>
      </c>
      <c r="O1464" t="s">
        <v>1117</v>
      </c>
      <c r="P1464">
        <v>1</v>
      </c>
      <c r="Q1464" t="s">
        <v>1215</v>
      </c>
      <c r="R1464">
        <f t="shared" si="45"/>
        <v>13</v>
      </c>
      <c r="S1464">
        <f t="shared" si="46"/>
        <v>1</v>
      </c>
    </row>
    <row r="1465" spans="1:19" x14ac:dyDescent="0.25">
      <c r="A1465" t="s">
        <v>2585</v>
      </c>
      <c r="B1465" t="s">
        <v>1199</v>
      </c>
      <c r="C1465">
        <v>1.5</v>
      </c>
      <c r="D1465">
        <v>1250</v>
      </c>
      <c r="E1465">
        <v>2350</v>
      </c>
      <c r="F1465">
        <v>8</v>
      </c>
      <c r="G1465">
        <v>8</v>
      </c>
      <c r="H1465" t="s">
        <v>1208</v>
      </c>
      <c r="I1465" s="1">
        <v>37189</v>
      </c>
      <c r="J1465" s="1">
        <v>37313</v>
      </c>
      <c r="K1465" s="1">
        <v>37352</v>
      </c>
      <c r="L1465" s="1">
        <v>37352</v>
      </c>
      <c r="M1465" s="1">
        <v>37352</v>
      </c>
      <c r="N1465" s="1">
        <v>37352</v>
      </c>
      <c r="O1465" t="s">
        <v>1117</v>
      </c>
      <c r="P1465">
        <v>3</v>
      </c>
      <c r="Q1465" t="s">
        <v>1215</v>
      </c>
      <c r="R1465">
        <f t="shared" si="45"/>
        <v>14</v>
      </c>
      <c r="S1465">
        <f t="shared" si="46"/>
        <v>1</v>
      </c>
    </row>
    <row r="1466" spans="1:19" x14ac:dyDescent="0.25">
      <c r="A1466" t="s">
        <v>2586</v>
      </c>
      <c r="B1466" t="s">
        <v>1199</v>
      </c>
      <c r="C1466">
        <v>1.5</v>
      </c>
      <c r="D1466">
        <v>1250</v>
      </c>
      <c r="E1466">
        <v>2350</v>
      </c>
      <c r="F1466">
        <v>8</v>
      </c>
      <c r="G1466">
        <v>8</v>
      </c>
      <c r="H1466" t="s">
        <v>1208</v>
      </c>
      <c r="I1466" s="1">
        <v>37189</v>
      </c>
      <c r="J1466" s="1">
        <v>37313</v>
      </c>
      <c r="K1466" s="1">
        <v>37352</v>
      </c>
      <c r="L1466" s="1">
        <v>37352</v>
      </c>
      <c r="M1466" s="1">
        <v>37352</v>
      </c>
      <c r="N1466" s="1">
        <v>37352</v>
      </c>
      <c r="O1466" t="s">
        <v>1117</v>
      </c>
      <c r="P1466">
        <v>3</v>
      </c>
      <c r="Q1466" t="s">
        <v>1215</v>
      </c>
      <c r="R1466">
        <f t="shared" si="45"/>
        <v>14</v>
      </c>
      <c r="S1466">
        <f t="shared" si="46"/>
        <v>1</v>
      </c>
    </row>
    <row r="1467" spans="1:19" x14ac:dyDescent="0.25">
      <c r="A1467" t="s">
        <v>2587</v>
      </c>
      <c r="B1467" t="s">
        <v>1199</v>
      </c>
      <c r="C1467">
        <v>1.2</v>
      </c>
      <c r="D1467">
        <v>1250</v>
      </c>
      <c r="E1467">
        <v>2220</v>
      </c>
      <c r="F1467">
        <v>6</v>
      </c>
      <c r="G1467">
        <v>6</v>
      </c>
      <c r="H1467" t="s">
        <v>1208</v>
      </c>
      <c r="I1467" s="1">
        <v>37119</v>
      </c>
      <c r="J1467" s="1">
        <v>37313</v>
      </c>
      <c r="K1467" s="1">
        <v>37355</v>
      </c>
      <c r="L1467" s="1">
        <v>37355</v>
      </c>
      <c r="M1467" s="1">
        <v>37353</v>
      </c>
      <c r="N1467" s="1">
        <v>37353</v>
      </c>
      <c r="O1467" t="s">
        <v>1117</v>
      </c>
      <c r="P1467">
        <v>1</v>
      </c>
      <c r="Q1467" t="s">
        <v>1215</v>
      </c>
      <c r="R1467">
        <f t="shared" si="45"/>
        <v>15</v>
      </c>
      <c r="S1467">
        <f t="shared" si="46"/>
        <v>1</v>
      </c>
    </row>
    <row r="1468" spans="1:19" x14ac:dyDescent="0.25">
      <c r="A1468" t="s">
        <v>2588</v>
      </c>
      <c r="B1468" t="s">
        <v>3601</v>
      </c>
      <c r="C1468">
        <v>1</v>
      </c>
      <c r="D1468">
        <v>1250</v>
      </c>
      <c r="E1468">
        <v>2486</v>
      </c>
      <c r="F1468">
        <v>8</v>
      </c>
      <c r="G1468">
        <v>8</v>
      </c>
      <c r="H1468" t="s">
        <v>1208</v>
      </c>
      <c r="I1468" s="1">
        <v>37159</v>
      </c>
      <c r="J1468" s="1">
        <v>37325</v>
      </c>
      <c r="K1468" s="1">
        <v>37352</v>
      </c>
      <c r="L1468" s="1">
        <v>37352</v>
      </c>
      <c r="M1468" s="1">
        <v>37352</v>
      </c>
      <c r="N1468" s="1">
        <v>37352</v>
      </c>
      <c r="O1468" t="s">
        <v>1117</v>
      </c>
      <c r="P1468">
        <v>3</v>
      </c>
      <c r="Q1468" t="s">
        <v>1215</v>
      </c>
      <c r="R1468">
        <f t="shared" si="45"/>
        <v>14</v>
      </c>
      <c r="S1468">
        <f t="shared" si="46"/>
        <v>1</v>
      </c>
    </row>
    <row r="1469" spans="1:19" x14ac:dyDescent="0.25">
      <c r="A1469" t="s">
        <v>2589</v>
      </c>
      <c r="B1469" t="s">
        <v>4028</v>
      </c>
      <c r="C1469">
        <v>1.6</v>
      </c>
      <c r="D1469">
        <v>1250</v>
      </c>
      <c r="E1469">
        <v>2500</v>
      </c>
      <c r="F1469">
        <v>10</v>
      </c>
      <c r="G1469">
        <v>10</v>
      </c>
      <c r="H1469" t="s">
        <v>1208</v>
      </c>
      <c r="I1469" s="1">
        <v>37119</v>
      </c>
      <c r="J1469" s="1">
        <v>37313</v>
      </c>
      <c r="K1469" s="1">
        <v>37359</v>
      </c>
      <c r="L1469" s="1">
        <v>37359</v>
      </c>
      <c r="M1469" s="1">
        <v>37345</v>
      </c>
      <c r="N1469" s="1">
        <v>37345</v>
      </c>
      <c r="O1469" t="s">
        <v>1117</v>
      </c>
      <c r="P1469">
        <v>1</v>
      </c>
      <c r="Q1469" t="s">
        <v>1215</v>
      </c>
      <c r="R1469">
        <f t="shared" si="45"/>
        <v>13</v>
      </c>
      <c r="S1469">
        <f t="shared" si="46"/>
        <v>1</v>
      </c>
    </row>
    <row r="1470" spans="1:19" x14ac:dyDescent="0.25">
      <c r="A1470" t="s">
        <v>2590</v>
      </c>
      <c r="B1470" t="s">
        <v>4027</v>
      </c>
      <c r="C1470">
        <v>1</v>
      </c>
      <c r="D1470">
        <v>1250</v>
      </c>
      <c r="E1470">
        <v>2239</v>
      </c>
      <c r="F1470">
        <v>8</v>
      </c>
      <c r="G1470">
        <v>8</v>
      </c>
      <c r="H1470" t="s">
        <v>1208</v>
      </c>
      <c r="I1470" s="1">
        <v>37120</v>
      </c>
      <c r="J1470" s="1">
        <v>37313</v>
      </c>
      <c r="K1470" s="1">
        <v>37352</v>
      </c>
      <c r="L1470" s="1">
        <v>37352</v>
      </c>
      <c r="M1470" s="1">
        <v>37352</v>
      </c>
      <c r="N1470" s="1">
        <v>37352</v>
      </c>
      <c r="O1470" t="s">
        <v>1117</v>
      </c>
      <c r="P1470">
        <v>1</v>
      </c>
      <c r="Q1470" t="s">
        <v>1215</v>
      </c>
      <c r="R1470">
        <f t="shared" si="45"/>
        <v>14</v>
      </c>
      <c r="S1470">
        <f t="shared" si="46"/>
        <v>1</v>
      </c>
    </row>
    <row r="1471" spans="1:19" x14ac:dyDescent="0.25">
      <c r="A1471" t="s">
        <v>2591</v>
      </c>
      <c r="B1471" t="s">
        <v>4027</v>
      </c>
      <c r="C1471">
        <v>1.6</v>
      </c>
      <c r="D1471">
        <v>1250</v>
      </c>
      <c r="E1471">
        <v>3000</v>
      </c>
      <c r="F1471">
        <v>4</v>
      </c>
      <c r="G1471">
        <v>4</v>
      </c>
      <c r="H1471" t="s">
        <v>1208</v>
      </c>
      <c r="I1471" s="1">
        <v>37159</v>
      </c>
      <c r="J1471" s="1">
        <v>37313</v>
      </c>
      <c r="K1471" s="1">
        <v>37359</v>
      </c>
      <c r="L1471" s="1">
        <v>37359</v>
      </c>
      <c r="M1471" s="1">
        <v>37345</v>
      </c>
      <c r="N1471" s="1">
        <v>37345</v>
      </c>
      <c r="O1471" t="s">
        <v>1117</v>
      </c>
      <c r="P1471">
        <v>2</v>
      </c>
      <c r="Q1471" t="s">
        <v>1215</v>
      </c>
      <c r="R1471">
        <f t="shared" si="45"/>
        <v>13</v>
      </c>
      <c r="S1471">
        <f t="shared" si="46"/>
        <v>1</v>
      </c>
    </row>
    <row r="1472" spans="1:19" x14ac:dyDescent="0.25">
      <c r="A1472" t="s">
        <v>2592</v>
      </c>
      <c r="B1472" t="s">
        <v>1199</v>
      </c>
      <c r="C1472">
        <v>1.2</v>
      </c>
      <c r="D1472">
        <v>1250</v>
      </c>
      <c r="E1472">
        <v>3000</v>
      </c>
      <c r="F1472">
        <v>2</v>
      </c>
      <c r="G1472">
        <v>2</v>
      </c>
      <c r="H1472" t="s">
        <v>1208</v>
      </c>
      <c r="I1472" s="1">
        <v>37119</v>
      </c>
      <c r="J1472" s="1">
        <v>37313</v>
      </c>
      <c r="K1472" s="1">
        <v>37355</v>
      </c>
      <c r="L1472" s="1">
        <v>37355</v>
      </c>
      <c r="M1472" s="1">
        <v>37353</v>
      </c>
      <c r="N1472" s="1">
        <v>37353</v>
      </c>
      <c r="O1472" t="s">
        <v>1117</v>
      </c>
      <c r="P1472">
        <v>3</v>
      </c>
      <c r="Q1472" t="s">
        <v>1215</v>
      </c>
      <c r="R1472">
        <f t="shared" si="45"/>
        <v>15</v>
      </c>
      <c r="S1472">
        <f t="shared" si="46"/>
        <v>1</v>
      </c>
    </row>
    <row r="1473" spans="1:19" x14ac:dyDescent="0.25">
      <c r="A1473" t="s">
        <v>2593</v>
      </c>
      <c r="B1473" t="s">
        <v>4026</v>
      </c>
      <c r="C1473">
        <v>1.2</v>
      </c>
      <c r="D1473">
        <v>1250</v>
      </c>
      <c r="E1473">
        <v>2400</v>
      </c>
      <c r="F1473">
        <v>7</v>
      </c>
      <c r="G1473">
        <v>7</v>
      </c>
      <c r="H1473" t="s">
        <v>1208</v>
      </c>
      <c r="I1473" s="1">
        <v>37119</v>
      </c>
      <c r="J1473" s="1">
        <v>37313</v>
      </c>
      <c r="K1473" s="1">
        <v>37355</v>
      </c>
      <c r="L1473" s="1">
        <v>37355</v>
      </c>
      <c r="M1473" s="1">
        <v>37353</v>
      </c>
      <c r="N1473" s="1">
        <v>37353</v>
      </c>
      <c r="O1473" t="s">
        <v>1117</v>
      </c>
      <c r="P1473">
        <v>2</v>
      </c>
      <c r="Q1473" t="s">
        <v>1215</v>
      </c>
      <c r="R1473">
        <f t="shared" si="45"/>
        <v>15</v>
      </c>
      <c r="S1473">
        <f t="shared" si="46"/>
        <v>1</v>
      </c>
    </row>
    <row r="1474" spans="1:19" x14ac:dyDescent="0.25">
      <c r="A1474" t="s">
        <v>2594</v>
      </c>
      <c r="B1474" t="s">
        <v>1199</v>
      </c>
      <c r="C1474">
        <v>1.5</v>
      </c>
      <c r="D1474">
        <v>1250</v>
      </c>
      <c r="E1474">
        <v>2500</v>
      </c>
      <c r="F1474">
        <v>30</v>
      </c>
      <c r="G1474">
        <v>24.393999999999998</v>
      </c>
      <c r="H1474" t="s">
        <v>1208</v>
      </c>
      <c r="I1474" s="1">
        <v>37189</v>
      </c>
      <c r="J1474" s="1">
        <v>37313</v>
      </c>
      <c r="K1474" s="1">
        <v>37350</v>
      </c>
      <c r="L1474" s="1">
        <v>37350</v>
      </c>
      <c r="M1474" s="1">
        <v>37350</v>
      </c>
      <c r="N1474" s="1">
        <v>37364</v>
      </c>
      <c r="O1474" t="s">
        <v>1117</v>
      </c>
      <c r="P1474">
        <v>4</v>
      </c>
      <c r="Q1474" t="s">
        <v>1215</v>
      </c>
      <c r="R1474">
        <f t="shared" si="45"/>
        <v>16</v>
      </c>
      <c r="S1474">
        <f t="shared" si="46"/>
        <v>0</v>
      </c>
    </row>
    <row r="1475" spans="1:19" x14ac:dyDescent="0.25">
      <c r="A1475" t="s">
        <v>2595</v>
      </c>
      <c r="B1475" t="s">
        <v>1199</v>
      </c>
      <c r="C1475">
        <v>1.2</v>
      </c>
      <c r="D1475">
        <v>1250</v>
      </c>
      <c r="E1475">
        <v>2500</v>
      </c>
      <c r="F1475">
        <v>4</v>
      </c>
      <c r="G1475">
        <v>4</v>
      </c>
      <c r="H1475" t="s">
        <v>1208</v>
      </c>
      <c r="I1475" s="1">
        <v>37119</v>
      </c>
      <c r="J1475" s="1">
        <v>37313</v>
      </c>
      <c r="K1475" s="1">
        <v>37355</v>
      </c>
      <c r="L1475" s="1">
        <v>37355</v>
      </c>
      <c r="M1475" s="1">
        <v>37353</v>
      </c>
      <c r="N1475" s="1">
        <v>37353</v>
      </c>
      <c r="O1475" t="s">
        <v>1117</v>
      </c>
      <c r="P1475">
        <v>4</v>
      </c>
      <c r="Q1475" t="s">
        <v>1215</v>
      </c>
      <c r="R1475">
        <f t="shared" ref="R1475:R1538" si="47">WEEKNUM(N1475,1)</f>
        <v>15</v>
      </c>
      <c r="S1475">
        <f t="shared" ref="S1475:S1538" si="48">IF(AND(F1475=G1475, M1475&lt;=N1475), 1,0)</f>
        <v>1</v>
      </c>
    </row>
    <row r="1476" spans="1:19" x14ac:dyDescent="0.25">
      <c r="A1476" t="s">
        <v>2596</v>
      </c>
      <c r="B1476" t="s">
        <v>4028</v>
      </c>
      <c r="C1476">
        <v>1</v>
      </c>
      <c r="D1476">
        <v>1250</v>
      </c>
      <c r="E1476">
        <v>2800</v>
      </c>
      <c r="F1476">
        <v>4</v>
      </c>
      <c r="G1476">
        <v>4</v>
      </c>
      <c r="H1476" t="s">
        <v>1208</v>
      </c>
      <c r="I1476" s="1">
        <v>37159</v>
      </c>
      <c r="J1476" s="1">
        <v>37313</v>
      </c>
      <c r="K1476" t="s">
        <v>1124</v>
      </c>
      <c r="L1476" t="s">
        <v>1124</v>
      </c>
      <c r="M1476" s="1">
        <v>37352</v>
      </c>
      <c r="N1476" s="1">
        <v>37352</v>
      </c>
      <c r="O1476" t="s">
        <v>1117</v>
      </c>
      <c r="P1476">
        <v>2</v>
      </c>
      <c r="Q1476" t="s">
        <v>1215</v>
      </c>
      <c r="R1476">
        <f t="shared" si="47"/>
        <v>14</v>
      </c>
      <c r="S1476">
        <f t="shared" si="48"/>
        <v>1</v>
      </c>
    </row>
    <row r="1477" spans="1:19" x14ac:dyDescent="0.25">
      <c r="A1477" t="s">
        <v>2597</v>
      </c>
      <c r="B1477" t="s">
        <v>1199</v>
      </c>
      <c r="C1477">
        <v>1.5</v>
      </c>
      <c r="D1477">
        <v>1250</v>
      </c>
      <c r="E1477">
        <v>2350</v>
      </c>
      <c r="F1477">
        <v>6</v>
      </c>
      <c r="G1477">
        <v>6</v>
      </c>
      <c r="H1477" t="s">
        <v>1208</v>
      </c>
      <c r="I1477" s="1">
        <v>37159</v>
      </c>
      <c r="J1477" s="1">
        <v>37313</v>
      </c>
      <c r="K1477" s="1">
        <v>37355</v>
      </c>
      <c r="L1477" s="1">
        <v>37355</v>
      </c>
      <c r="M1477" s="1">
        <v>37355</v>
      </c>
      <c r="N1477" s="1">
        <v>37355</v>
      </c>
      <c r="O1477" t="s">
        <v>1117</v>
      </c>
      <c r="P1477">
        <v>3</v>
      </c>
      <c r="Q1477" t="s">
        <v>1215</v>
      </c>
      <c r="R1477">
        <f t="shared" si="47"/>
        <v>15</v>
      </c>
      <c r="S1477">
        <f t="shared" si="48"/>
        <v>1</v>
      </c>
    </row>
    <row r="1478" spans="1:19" x14ac:dyDescent="0.25">
      <c r="A1478" t="s">
        <v>2598</v>
      </c>
      <c r="B1478" t="s">
        <v>4026</v>
      </c>
      <c r="C1478">
        <v>1</v>
      </c>
      <c r="D1478">
        <v>1250</v>
      </c>
      <c r="E1478">
        <v>2700</v>
      </c>
      <c r="F1478">
        <v>2</v>
      </c>
      <c r="G1478">
        <v>2</v>
      </c>
      <c r="H1478" t="s">
        <v>1208</v>
      </c>
      <c r="I1478" s="1">
        <v>37120</v>
      </c>
      <c r="J1478" s="1">
        <v>37313</v>
      </c>
      <c r="K1478" s="1">
        <v>37352</v>
      </c>
      <c r="L1478" s="1">
        <v>37352</v>
      </c>
      <c r="M1478" s="1">
        <v>37352</v>
      </c>
      <c r="N1478" s="1">
        <v>37352</v>
      </c>
      <c r="O1478" t="s">
        <v>1117</v>
      </c>
      <c r="P1478">
        <v>5</v>
      </c>
      <c r="Q1478" t="s">
        <v>1215</v>
      </c>
      <c r="R1478">
        <f t="shared" si="47"/>
        <v>14</v>
      </c>
      <c r="S1478">
        <f t="shared" si="48"/>
        <v>1</v>
      </c>
    </row>
    <row r="1479" spans="1:19" x14ac:dyDescent="0.25">
      <c r="A1479" t="s">
        <v>2599</v>
      </c>
      <c r="B1479" t="s">
        <v>4028</v>
      </c>
      <c r="C1479">
        <v>1</v>
      </c>
      <c r="D1479">
        <v>1250</v>
      </c>
      <c r="E1479">
        <v>2486</v>
      </c>
      <c r="F1479">
        <v>12</v>
      </c>
      <c r="G1479">
        <v>12</v>
      </c>
      <c r="H1479" t="s">
        <v>1208</v>
      </c>
      <c r="I1479" s="1">
        <v>37120</v>
      </c>
      <c r="J1479" s="1">
        <v>37313</v>
      </c>
      <c r="K1479" s="1">
        <v>37352</v>
      </c>
      <c r="L1479" s="1">
        <v>37352</v>
      </c>
      <c r="M1479" s="1">
        <v>37352</v>
      </c>
      <c r="N1479" s="1">
        <v>37352</v>
      </c>
      <c r="O1479" t="s">
        <v>1117</v>
      </c>
      <c r="P1479">
        <v>4</v>
      </c>
      <c r="Q1479" t="s">
        <v>1215</v>
      </c>
      <c r="R1479">
        <f t="shared" si="47"/>
        <v>14</v>
      </c>
      <c r="S1479">
        <f t="shared" si="48"/>
        <v>1</v>
      </c>
    </row>
    <row r="1480" spans="1:19" x14ac:dyDescent="0.25">
      <c r="A1480" t="s">
        <v>2600</v>
      </c>
      <c r="B1480" t="s">
        <v>4028</v>
      </c>
      <c r="C1480">
        <v>1</v>
      </c>
      <c r="D1480">
        <v>1250</v>
      </c>
      <c r="E1480">
        <v>2500</v>
      </c>
      <c r="F1480">
        <v>10</v>
      </c>
      <c r="G1480">
        <v>10</v>
      </c>
      <c r="H1480" t="s">
        <v>1208</v>
      </c>
      <c r="I1480" s="1">
        <v>37159</v>
      </c>
      <c r="J1480" s="1">
        <v>37313</v>
      </c>
      <c r="K1480" t="s">
        <v>1124</v>
      </c>
      <c r="L1480" t="s">
        <v>1124</v>
      </c>
      <c r="M1480" s="1">
        <v>37352</v>
      </c>
      <c r="N1480" s="1">
        <v>37352</v>
      </c>
      <c r="O1480" t="s">
        <v>1117</v>
      </c>
      <c r="P1480">
        <v>1</v>
      </c>
      <c r="Q1480" t="s">
        <v>1215</v>
      </c>
      <c r="R1480">
        <f t="shared" si="47"/>
        <v>14</v>
      </c>
      <c r="S1480">
        <f t="shared" si="48"/>
        <v>1</v>
      </c>
    </row>
    <row r="1481" spans="1:19" x14ac:dyDescent="0.25">
      <c r="A1481" t="s">
        <v>2601</v>
      </c>
      <c r="B1481" t="s">
        <v>1199</v>
      </c>
      <c r="C1481">
        <v>1</v>
      </c>
      <c r="D1481">
        <v>1250</v>
      </c>
      <c r="E1481">
        <v>2500</v>
      </c>
      <c r="F1481">
        <v>8</v>
      </c>
      <c r="G1481">
        <v>8</v>
      </c>
      <c r="H1481" t="s">
        <v>1208</v>
      </c>
      <c r="I1481" s="1">
        <v>37132</v>
      </c>
      <c r="J1481" s="1">
        <v>37313</v>
      </c>
      <c r="K1481" s="1">
        <v>37348</v>
      </c>
      <c r="L1481" s="1">
        <v>37348</v>
      </c>
      <c r="M1481" s="1">
        <v>37346</v>
      </c>
      <c r="N1481" s="1">
        <v>37346</v>
      </c>
      <c r="O1481" t="s">
        <v>1117</v>
      </c>
      <c r="P1481">
        <v>1</v>
      </c>
      <c r="Q1481" t="s">
        <v>1215</v>
      </c>
      <c r="R1481">
        <f t="shared" si="47"/>
        <v>14</v>
      </c>
      <c r="S1481">
        <f t="shared" si="48"/>
        <v>1</v>
      </c>
    </row>
    <row r="1482" spans="1:19" x14ac:dyDescent="0.25">
      <c r="A1482" t="s">
        <v>2602</v>
      </c>
      <c r="B1482" t="s">
        <v>4028</v>
      </c>
      <c r="C1482">
        <v>1</v>
      </c>
      <c r="D1482">
        <v>1250</v>
      </c>
      <c r="E1482">
        <v>2239</v>
      </c>
      <c r="F1482">
        <v>8</v>
      </c>
      <c r="G1482">
        <v>6.5049999999999999</v>
      </c>
      <c r="H1482" t="s">
        <v>1208</v>
      </c>
      <c r="I1482" s="1">
        <v>37159</v>
      </c>
      <c r="J1482" s="1">
        <v>37325</v>
      </c>
      <c r="K1482" s="1">
        <v>37352</v>
      </c>
      <c r="L1482" s="1">
        <v>37352</v>
      </c>
      <c r="M1482" s="1">
        <v>37352</v>
      </c>
      <c r="N1482" s="1">
        <v>37352</v>
      </c>
      <c r="O1482" t="s">
        <v>1117</v>
      </c>
      <c r="P1482">
        <v>1</v>
      </c>
      <c r="Q1482" t="s">
        <v>1215</v>
      </c>
      <c r="R1482">
        <f t="shared" si="47"/>
        <v>14</v>
      </c>
      <c r="S1482">
        <f t="shared" si="48"/>
        <v>0</v>
      </c>
    </row>
    <row r="1483" spans="1:19" x14ac:dyDescent="0.25">
      <c r="A1483" t="s">
        <v>2603</v>
      </c>
      <c r="B1483" t="s">
        <v>1199</v>
      </c>
      <c r="C1483">
        <v>1.54</v>
      </c>
      <c r="D1483">
        <v>1250</v>
      </c>
      <c r="E1483">
        <v>2500</v>
      </c>
      <c r="F1483">
        <v>20</v>
      </c>
      <c r="G1483">
        <v>20</v>
      </c>
      <c r="H1483" t="s">
        <v>1208</v>
      </c>
      <c r="I1483" s="1">
        <v>37159</v>
      </c>
      <c r="J1483" s="1">
        <v>37313</v>
      </c>
      <c r="K1483" s="1">
        <v>37350</v>
      </c>
      <c r="L1483" s="1">
        <v>37350</v>
      </c>
      <c r="M1483" s="1">
        <v>37350</v>
      </c>
      <c r="N1483" s="1">
        <v>37350</v>
      </c>
      <c r="O1483" t="s">
        <v>1117</v>
      </c>
      <c r="P1483">
        <v>1</v>
      </c>
      <c r="Q1483" t="s">
        <v>1215</v>
      </c>
      <c r="R1483">
        <f t="shared" si="47"/>
        <v>14</v>
      </c>
      <c r="S1483">
        <f t="shared" si="48"/>
        <v>1</v>
      </c>
    </row>
    <row r="1484" spans="1:19" x14ac:dyDescent="0.25">
      <c r="A1484" t="s">
        <v>2604</v>
      </c>
      <c r="B1484" t="s">
        <v>4027</v>
      </c>
      <c r="C1484">
        <v>1</v>
      </c>
      <c r="D1484">
        <v>1250</v>
      </c>
      <c r="E1484">
        <v>2500</v>
      </c>
      <c r="F1484">
        <v>9</v>
      </c>
      <c r="G1484">
        <v>7.12</v>
      </c>
      <c r="H1484" t="s">
        <v>1208</v>
      </c>
      <c r="I1484" s="1">
        <v>37108</v>
      </c>
      <c r="J1484" s="1">
        <v>37313</v>
      </c>
      <c r="K1484" t="s">
        <v>1124</v>
      </c>
      <c r="L1484" t="s">
        <v>1124</v>
      </c>
      <c r="M1484" s="1">
        <v>37352</v>
      </c>
      <c r="N1484" s="1">
        <v>37352</v>
      </c>
      <c r="O1484" t="s">
        <v>1117</v>
      </c>
      <c r="P1484">
        <v>2</v>
      </c>
      <c r="Q1484" t="s">
        <v>1215</v>
      </c>
      <c r="R1484">
        <f t="shared" si="47"/>
        <v>14</v>
      </c>
      <c r="S1484">
        <f t="shared" si="48"/>
        <v>0</v>
      </c>
    </row>
    <row r="1485" spans="1:19" x14ac:dyDescent="0.25">
      <c r="A1485" t="s">
        <v>2605</v>
      </c>
      <c r="B1485" t="s">
        <v>1199</v>
      </c>
      <c r="C1485">
        <v>1</v>
      </c>
      <c r="D1485">
        <v>1250</v>
      </c>
      <c r="E1485">
        <v>2350</v>
      </c>
      <c r="F1485">
        <v>10</v>
      </c>
      <c r="G1485">
        <v>10</v>
      </c>
      <c r="H1485" t="s">
        <v>1208</v>
      </c>
      <c r="I1485" s="1">
        <v>37108</v>
      </c>
      <c r="J1485" s="1">
        <v>37313</v>
      </c>
      <c r="K1485" t="s">
        <v>1124</v>
      </c>
      <c r="L1485" t="s">
        <v>1124</v>
      </c>
      <c r="M1485" s="1">
        <v>37352</v>
      </c>
      <c r="N1485" s="1">
        <v>37352</v>
      </c>
      <c r="O1485" t="s">
        <v>1117</v>
      </c>
      <c r="P1485">
        <v>3</v>
      </c>
      <c r="Q1485" t="s">
        <v>1215</v>
      </c>
      <c r="R1485">
        <f t="shared" si="47"/>
        <v>14</v>
      </c>
      <c r="S1485">
        <f t="shared" si="48"/>
        <v>1</v>
      </c>
    </row>
    <row r="1486" spans="1:19" x14ac:dyDescent="0.25">
      <c r="A1486" t="s">
        <v>2606</v>
      </c>
      <c r="B1486" t="s">
        <v>1199</v>
      </c>
      <c r="C1486">
        <v>1</v>
      </c>
      <c r="D1486">
        <v>1250</v>
      </c>
      <c r="E1486">
        <v>2350</v>
      </c>
      <c r="F1486">
        <v>10</v>
      </c>
      <c r="G1486">
        <v>10</v>
      </c>
      <c r="H1486" t="s">
        <v>1208</v>
      </c>
      <c r="I1486" s="1">
        <v>37108</v>
      </c>
      <c r="J1486" s="1">
        <v>37313</v>
      </c>
      <c r="K1486" t="s">
        <v>1124</v>
      </c>
      <c r="L1486" t="s">
        <v>1124</v>
      </c>
      <c r="M1486" s="1">
        <v>37352</v>
      </c>
      <c r="N1486" s="1">
        <v>37352</v>
      </c>
      <c r="O1486" t="s">
        <v>1117</v>
      </c>
      <c r="P1486">
        <v>1</v>
      </c>
      <c r="Q1486" t="s">
        <v>1215</v>
      </c>
      <c r="R1486">
        <f t="shared" si="47"/>
        <v>14</v>
      </c>
      <c r="S1486">
        <f t="shared" si="48"/>
        <v>1</v>
      </c>
    </row>
    <row r="1487" spans="1:19" x14ac:dyDescent="0.25">
      <c r="A1487" t="s">
        <v>2607</v>
      </c>
      <c r="B1487" t="s">
        <v>1199</v>
      </c>
      <c r="C1487">
        <v>1.5</v>
      </c>
      <c r="D1487">
        <v>1250</v>
      </c>
      <c r="E1487">
        <v>2500</v>
      </c>
      <c r="F1487">
        <v>15</v>
      </c>
      <c r="G1487">
        <v>9.43</v>
      </c>
      <c r="H1487" t="s">
        <v>1208</v>
      </c>
      <c r="I1487" s="1">
        <v>37159</v>
      </c>
      <c r="J1487" s="1">
        <v>37325</v>
      </c>
      <c r="K1487" s="1">
        <v>37355</v>
      </c>
      <c r="L1487" s="1">
        <v>37355</v>
      </c>
      <c r="M1487" s="1">
        <v>37355</v>
      </c>
      <c r="N1487" s="1">
        <v>37355</v>
      </c>
      <c r="O1487" t="s">
        <v>1117</v>
      </c>
      <c r="P1487">
        <v>4</v>
      </c>
      <c r="Q1487" t="s">
        <v>1215</v>
      </c>
      <c r="R1487">
        <f t="shared" si="47"/>
        <v>15</v>
      </c>
      <c r="S1487">
        <f t="shared" si="48"/>
        <v>0</v>
      </c>
    </row>
    <row r="1488" spans="1:19" x14ac:dyDescent="0.25">
      <c r="A1488" t="s">
        <v>2608</v>
      </c>
      <c r="B1488" t="s">
        <v>4027</v>
      </c>
      <c r="C1488">
        <v>1.5</v>
      </c>
      <c r="D1488">
        <v>1250</v>
      </c>
      <c r="E1488">
        <v>2350</v>
      </c>
      <c r="F1488">
        <v>8</v>
      </c>
      <c r="G1488">
        <v>8</v>
      </c>
      <c r="H1488" t="s">
        <v>1208</v>
      </c>
      <c r="I1488" s="1">
        <v>37189</v>
      </c>
      <c r="J1488" s="1">
        <v>37313</v>
      </c>
      <c r="K1488" s="1">
        <v>37352</v>
      </c>
      <c r="L1488" s="1">
        <v>37352</v>
      </c>
      <c r="M1488" s="1">
        <v>37352</v>
      </c>
      <c r="N1488" s="1">
        <v>37355</v>
      </c>
      <c r="O1488" t="s">
        <v>1117</v>
      </c>
      <c r="P1488">
        <v>2</v>
      </c>
      <c r="Q1488" t="s">
        <v>1215</v>
      </c>
      <c r="R1488">
        <f t="shared" si="47"/>
        <v>15</v>
      </c>
      <c r="S1488">
        <f t="shared" si="48"/>
        <v>1</v>
      </c>
    </row>
    <row r="1489" spans="1:19" x14ac:dyDescent="0.25">
      <c r="A1489" t="s">
        <v>2609</v>
      </c>
      <c r="B1489" t="s">
        <v>1199</v>
      </c>
      <c r="C1489">
        <v>1</v>
      </c>
      <c r="D1489">
        <v>1250</v>
      </c>
      <c r="E1489">
        <v>2350</v>
      </c>
      <c r="F1489">
        <v>15</v>
      </c>
      <c r="G1489">
        <v>8.3390000000000004</v>
      </c>
      <c r="H1489" t="s">
        <v>1208</v>
      </c>
      <c r="I1489" s="1">
        <v>37159</v>
      </c>
      <c r="J1489" s="1">
        <v>37313</v>
      </c>
      <c r="K1489" t="s">
        <v>1124</v>
      </c>
      <c r="L1489" t="s">
        <v>1124</v>
      </c>
      <c r="M1489" s="1">
        <v>37352</v>
      </c>
      <c r="N1489" s="1">
        <v>37352</v>
      </c>
      <c r="O1489" t="s">
        <v>1117</v>
      </c>
      <c r="P1489">
        <v>1</v>
      </c>
      <c r="Q1489" t="s">
        <v>1215</v>
      </c>
      <c r="R1489">
        <f t="shared" si="47"/>
        <v>14</v>
      </c>
      <c r="S1489">
        <f t="shared" si="48"/>
        <v>0</v>
      </c>
    </row>
    <row r="1490" spans="1:19" x14ac:dyDescent="0.25">
      <c r="A1490" t="s">
        <v>2610</v>
      </c>
      <c r="B1490" t="s">
        <v>1199</v>
      </c>
      <c r="C1490">
        <v>1</v>
      </c>
      <c r="D1490">
        <v>1250</v>
      </c>
      <c r="E1490">
        <v>3000</v>
      </c>
      <c r="F1490">
        <v>2</v>
      </c>
      <c r="G1490">
        <v>2</v>
      </c>
      <c r="H1490" t="s">
        <v>1208</v>
      </c>
      <c r="I1490" s="1">
        <v>37159</v>
      </c>
      <c r="J1490" s="1">
        <v>37325</v>
      </c>
      <c r="K1490" s="1">
        <v>37352</v>
      </c>
      <c r="L1490" s="1">
        <v>37352</v>
      </c>
      <c r="M1490" s="1">
        <v>37352</v>
      </c>
      <c r="N1490" s="1">
        <v>37352</v>
      </c>
      <c r="O1490" t="s">
        <v>1117</v>
      </c>
      <c r="P1490">
        <v>5</v>
      </c>
      <c r="Q1490" t="s">
        <v>1215</v>
      </c>
      <c r="R1490">
        <f t="shared" si="47"/>
        <v>14</v>
      </c>
      <c r="S1490">
        <f t="shared" si="48"/>
        <v>1</v>
      </c>
    </row>
    <row r="1491" spans="1:19" x14ac:dyDescent="0.25">
      <c r="A1491" t="s">
        <v>2611</v>
      </c>
      <c r="B1491" t="s">
        <v>4026</v>
      </c>
      <c r="C1491">
        <v>1</v>
      </c>
      <c r="D1491">
        <v>1250</v>
      </c>
      <c r="E1491">
        <v>2486</v>
      </c>
      <c r="F1491">
        <v>2</v>
      </c>
      <c r="G1491">
        <v>2</v>
      </c>
      <c r="H1491" t="s">
        <v>1208</v>
      </c>
      <c r="I1491" s="1">
        <v>37159</v>
      </c>
      <c r="J1491" s="1">
        <v>37313</v>
      </c>
      <c r="K1491" t="s">
        <v>1124</v>
      </c>
      <c r="L1491" t="s">
        <v>1124</v>
      </c>
      <c r="M1491" s="1">
        <v>37352</v>
      </c>
      <c r="N1491" s="1">
        <v>37352</v>
      </c>
      <c r="O1491" t="s">
        <v>1117</v>
      </c>
      <c r="P1491">
        <v>1</v>
      </c>
      <c r="Q1491" t="s">
        <v>1215</v>
      </c>
      <c r="R1491">
        <f t="shared" si="47"/>
        <v>14</v>
      </c>
      <c r="S1491">
        <f t="shared" si="48"/>
        <v>1</v>
      </c>
    </row>
    <row r="1492" spans="1:19" x14ac:dyDescent="0.25">
      <c r="A1492" t="s">
        <v>2612</v>
      </c>
      <c r="B1492" t="s">
        <v>4026</v>
      </c>
      <c r="C1492">
        <v>1</v>
      </c>
      <c r="D1492">
        <v>1250</v>
      </c>
      <c r="E1492">
        <v>3000</v>
      </c>
      <c r="F1492">
        <v>6</v>
      </c>
      <c r="G1492">
        <v>6</v>
      </c>
      <c r="H1492" t="s">
        <v>1208</v>
      </c>
      <c r="I1492" s="1">
        <v>37159</v>
      </c>
      <c r="J1492" s="1">
        <v>37313</v>
      </c>
      <c r="K1492" s="1">
        <v>37352</v>
      </c>
      <c r="L1492" s="1">
        <v>37352</v>
      </c>
      <c r="M1492" s="1">
        <v>37352</v>
      </c>
      <c r="N1492" s="1">
        <v>37352</v>
      </c>
      <c r="O1492" t="s">
        <v>1117</v>
      </c>
      <c r="P1492">
        <v>2</v>
      </c>
      <c r="Q1492" t="s">
        <v>1215</v>
      </c>
      <c r="R1492">
        <f t="shared" si="47"/>
        <v>14</v>
      </c>
      <c r="S1492">
        <f t="shared" si="48"/>
        <v>1</v>
      </c>
    </row>
    <row r="1493" spans="1:19" x14ac:dyDescent="0.25">
      <c r="A1493" t="s">
        <v>2613</v>
      </c>
      <c r="B1493" t="s">
        <v>4029</v>
      </c>
      <c r="C1493">
        <v>1</v>
      </c>
      <c r="D1493">
        <v>1250</v>
      </c>
      <c r="E1493">
        <v>2486</v>
      </c>
      <c r="F1493">
        <v>18</v>
      </c>
      <c r="G1493">
        <v>18</v>
      </c>
      <c r="H1493" t="s">
        <v>1208</v>
      </c>
      <c r="I1493" s="1">
        <v>37120</v>
      </c>
      <c r="J1493" s="1">
        <v>37313</v>
      </c>
      <c r="K1493" t="s">
        <v>1124</v>
      </c>
      <c r="L1493" t="s">
        <v>1124</v>
      </c>
      <c r="M1493" s="1">
        <v>37350</v>
      </c>
      <c r="N1493" s="1">
        <v>37352</v>
      </c>
      <c r="O1493" t="s">
        <v>1117</v>
      </c>
      <c r="P1493">
        <v>2</v>
      </c>
      <c r="Q1493" t="s">
        <v>1215</v>
      </c>
      <c r="R1493">
        <f t="shared" si="47"/>
        <v>14</v>
      </c>
      <c r="S1493">
        <f t="shared" si="48"/>
        <v>1</v>
      </c>
    </row>
    <row r="1494" spans="1:19" x14ac:dyDescent="0.25">
      <c r="A1494" t="s">
        <v>2614</v>
      </c>
      <c r="B1494" t="s">
        <v>1199</v>
      </c>
      <c r="C1494">
        <v>1.2</v>
      </c>
      <c r="D1494">
        <v>1250</v>
      </c>
      <c r="E1494">
        <v>2500</v>
      </c>
      <c r="F1494">
        <v>3.04</v>
      </c>
      <c r="G1494">
        <v>3.04</v>
      </c>
      <c r="H1494" t="s">
        <v>1208</v>
      </c>
      <c r="I1494" s="1">
        <v>37159</v>
      </c>
      <c r="J1494" s="1">
        <v>37313</v>
      </c>
      <c r="K1494" s="1">
        <v>37353</v>
      </c>
      <c r="L1494" s="1">
        <v>37353</v>
      </c>
      <c r="M1494" s="1">
        <v>37353</v>
      </c>
      <c r="N1494" s="1">
        <v>37353</v>
      </c>
      <c r="O1494" t="s">
        <v>1117</v>
      </c>
      <c r="P1494">
        <v>5</v>
      </c>
      <c r="Q1494" t="s">
        <v>1215</v>
      </c>
      <c r="R1494">
        <f t="shared" si="47"/>
        <v>15</v>
      </c>
      <c r="S1494">
        <f t="shared" si="48"/>
        <v>1</v>
      </c>
    </row>
    <row r="1495" spans="1:19" x14ac:dyDescent="0.25">
      <c r="A1495" t="s">
        <v>2615</v>
      </c>
      <c r="B1495" t="s">
        <v>4027</v>
      </c>
      <c r="C1495">
        <v>1.5</v>
      </c>
      <c r="D1495">
        <v>1250</v>
      </c>
      <c r="E1495">
        <v>2500</v>
      </c>
      <c r="F1495">
        <v>30</v>
      </c>
      <c r="G1495">
        <v>30</v>
      </c>
      <c r="H1495" t="s">
        <v>1208</v>
      </c>
      <c r="I1495" s="1">
        <v>37189</v>
      </c>
      <c r="J1495" s="1">
        <v>37313</v>
      </c>
      <c r="K1495" s="1">
        <v>37357</v>
      </c>
      <c r="L1495" s="1">
        <v>37357</v>
      </c>
      <c r="M1495" s="1">
        <v>37364</v>
      </c>
      <c r="N1495" s="1">
        <v>37364</v>
      </c>
      <c r="O1495" t="s">
        <v>1117</v>
      </c>
      <c r="P1495">
        <v>4</v>
      </c>
      <c r="Q1495" t="s">
        <v>1215</v>
      </c>
      <c r="R1495">
        <f t="shared" si="47"/>
        <v>16</v>
      </c>
      <c r="S1495">
        <f t="shared" si="48"/>
        <v>1</v>
      </c>
    </row>
    <row r="1496" spans="1:19" x14ac:dyDescent="0.25">
      <c r="A1496" t="s">
        <v>2616</v>
      </c>
      <c r="B1496" t="s">
        <v>4028</v>
      </c>
      <c r="C1496">
        <v>1.2</v>
      </c>
      <c r="D1496">
        <v>1250</v>
      </c>
      <c r="E1496">
        <v>2500</v>
      </c>
      <c r="F1496">
        <v>5</v>
      </c>
      <c r="G1496">
        <v>5</v>
      </c>
      <c r="H1496" t="s">
        <v>1208</v>
      </c>
      <c r="I1496" s="1">
        <v>37042</v>
      </c>
      <c r="J1496" s="1">
        <v>37313</v>
      </c>
      <c r="K1496" s="1">
        <v>37353</v>
      </c>
      <c r="L1496" s="1">
        <v>37353</v>
      </c>
      <c r="M1496" s="1">
        <v>37353</v>
      </c>
      <c r="N1496" s="1">
        <v>37353</v>
      </c>
      <c r="O1496" t="s">
        <v>1117</v>
      </c>
      <c r="P1496">
        <v>4</v>
      </c>
      <c r="Q1496" t="s">
        <v>1215</v>
      </c>
      <c r="R1496">
        <f t="shared" si="47"/>
        <v>15</v>
      </c>
      <c r="S1496">
        <f t="shared" si="48"/>
        <v>1</v>
      </c>
    </row>
    <row r="1497" spans="1:19" x14ac:dyDescent="0.25">
      <c r="A1497" t="s">
        <v>2617</v>
      </c>
      <c r="B1497" t="s">
        <v>4026</v>
      </c>
      <c r="C1497">
        <v>1</v>
      </c>
      <c r="D1497">
        <v>1250</v>
      </c>
      <c r="E1497">
        <v>2700</v>
      </c>
      <c r="F1497">
        <v>2</v>
      </c>
      <c r="G1497">
        <v>2</v>
      </c>
      <c r="H1497" t="s">
        <v>1208</v>
      </c>
      <c r="I1497" s="1">
        <v>37159</v>
      </c>
      <c r="J1497" s="1">
        <v>37313</v>
      </c>
      <c r="K1497" s="1">
        <v>37352</v>
      </c>
      <c r="L1497" s="1">
        <v>37352</v>
      </c>
      <c r="M1497" s="1">
        <v>37352</v>
      </c>
      <c r="N1497" s="1">
        <v>37352</v>
      </c>
      <c r="O1497" t="s">
        <v>1117</v>
      </c>
      <c r="P1497">
        <v>4</v>
      </c>
      <c r="Q1497" t="s">
        <v>1215</v>
      </c>
      <c r="R1497">
        <f t="shared" si="47"/>
        <v>14</v>
      </c>
      <c r="S1497">
        <f t="shared" si="48"/>
        <v>1</v>
      </c>
    </row>
    <row r="1498" spans="1:19" x14ac:dyDescent="0.25">
      <c r="A1498" t="s">
        <v>2618</v>
      </c>
      <c r="B1498" t="s">
        <v>4028</v>
      </c>
      <c r="C1498">
        <v>1</v>
      </c>
      <c r="D1498">
        <v>1250</v>
      </c>
      <c r="E1498">
        <v>2486</v>
      </c>
      <c r="F1498">
        <v>12</v>
      </c>
      <c r="G1498">
        <v>7.99</v>
      </c>
      <c r="H1498" t="s">
        <v>1208</v>
      </c>
      <c r="I1498" s="1">
        <v>37159</v>
      </c>
      <c r="J1498" s="1">
        <v>37325</v>
      </c>
      <c r="K1498" t="s">
        <v>1124</v>
      </c>
      <c r="L1498" t="s">
        <v>1124</v>
      </c>
      <c r="M1498" s="1">
        <v>37352</v>
      </c>
      <c r="N1498" s="1">
        <v>37352</v>
      </c>
      <c r="O1498" t="s">
        <v>1117</v>
      </c>
      <c r="P1498">
        <v>2</v>
      </c>
      <c r="Q1498" t="s">
        <v>1215</v>
      </c>
      <c r="R1498">
        <f t="shared" si="47"/>
        <v>14</v>
      </c>
      <c r="S1498">
        <f t="shared" si="48"/>
        <v>0</v>
      </c>
    </row>
    <row r="1499" spans="1:19" x14ac:dyDescent="0.25">
      <c r="A1499" t="s">
        <v>2619</v>
      </c>
      <c r="B1499" t="s">
        <v>1199</v>
      </c>
      <c r="C1499">
        <v>13.75</v>
      </c>
      <c r="D1499">
        <v>240</v>
      </c>
      <c r="E1499">
        <v>0</v>
      </c>
      <c r="F1499">
        <v>100</v>
      </c>
      <c r="G1499">
        <v>100</v>
      </c>
      <c r="H1499" t="s">
        <v>1143</v>
      </c>
      <c r="I1499" s="1">
        <v>37225</v>
      </c>
      <c r="J1499" s="1">
        <v>37323</v>
      </c>
      <c r="K1499" s="1">
        <v>37323</v>
      </c>
      <c r="L1499" s="1">
        <v>37323</v>
      </c>
      <c r="M1499" s="1">
        <v>37323</v>
      </c>
      <c r="N1499" s="1">
        <v>37325</v>
      </c>
      <c r="O1499" t="s">
        <v>1114</v>
      </c>
      <c r="P1499">
        <v>2</v>
      </c>
      <c r="Q1499" t="s">
        <v>2620</v>
      </c>
      <c r="R1499">
        <f t="shared" si="47"/>
        <v>11</v>
      </c>
      <c r="S1499">
        <f t="shared" si="48"/>
        <v>1</v>
      </c>
    </row>
    <row r="1500" spans="1:19" x14ac:dyDescent="0.25">
      <c r="A1500" t="s">
        <v>2621</v>
      </c>
      <c r="B1500" t="s">
        <v>1199</v>
      </c>
      <c r="C1500">
        <v>13.75</v>
      </c>
      <c r="D1500">
        <v>240</v>
      </c>
      <c r="E1500">
        <v>0</v>
      </c>
      <c r="F1500">
        <v>100</v>
      </c>
      <c r="G1500">
        <v>96.984999999999999</v>
      </c>
      <c r="H1500" t="s">
        <v>1143</v>
      </c>
      <c r="I1500" s="1">
        <v>37225</v>
      </c>
      <c r="J1500" s="1">
        <v>37325</v>
      </c>
      <c r="K1500" s="1">
        <v>37325</v>
      </c>
      <c r="L1500" s="1">
        <v>37325</v>
      </c>
      <c r="M1500" s="1">
        <v>37325</v>
      </c>
      <c r="N1500" s="1">
        <v>37325</v>
      </c>
      <c r="O1500" t="s">
        <v>1114</v>
      </c>
      <c r="P1500">
        <v>6</v>
      </c>
      <c r="Q1500" t="s">
        <v>2620</v>
      </c>
      <c r="R1500">
        <f t="shared" si="47"/>
        <v>11</v>
      </c>
      <c r="S1500">
        <f t="shared" si="48"/>
        <v>0</v>
      </c>
    </row>
    <row r="1501" spans="1:19" x14ac:dyDescent="0.25">
      <c r="A1501" t="s">
        <v>2622</v>
      </c>
      <c r="B1501" t="s">
        <v>1199</v>
      </c>
      <c r="C1501">
        <v>5</v>
      </c>
      <c r="D1501">
        <v>240</v>
      </c>
      <c r="E1501">
        <v>0</v>
      </c>
      <c r="F1501">
        <v>20</v>
      </c>
      <c r="G1501">
        <v>20</v>
      </c>
      <c r="H1501" t="s">
        <v>1143</v>
      </c>
      <c r="I1501" s="1">
        <v>37260</v>
      </c>
      <c r="J1501" s="1">
        <v>37314</v>
      </c>
      <c r="K1501" s="1">
        <v>37314</v>
      </c>
      <c r="L1501" s="1">
        <v>37314</v>
      </c>
      <c r="M1501" s="1">
        <v>37314</v>
      </c>
      <c r="N1501" s="1">
        <v>37314</v>
      </c>
      <c r="O1501" t="s">
        <v>1114</v>
      </c>
      <c r="P1501">
        <v>1</v>
      </c>
      <c r="Q1501" t="s">
        <v>2620</v>
      </c>
      <c r="R1501">
        <f t="shared" si="47"/>
        <v>9</v>
      </c>
      <c r="S1501">
        <f t="shared" si="48"/>
        <v>1</v>
      </c>
    </row>
    <row r="1502" spans="1:19" x14ac:dyDescent="0.25">
      <c r="A1502" t="s">
        <v>2623</v>
      </c>
      <c r="B1502" t="s">
        <v>4028</v>
      </c>
      <c r="C1502">
        <v>7.9169999999999998</v>
      </c>
      <c r="D1502">
        <v>240</v>
      </c>
      <c r="E1502">
        <v>0</v>
      </c>
      <c r="F1502">
        <v>100</v>
      </c>
      <c r="G1502">
        <v>75</v>
      </c>
      <c r="H1502" t="s">
        <v>1143</v>
      </c>
      <c r="I1502" s="1">
        <v>37253</v>
      </c>
      <c r="J1502" s="1">
        <v>37325</v>
      </c>
      <c r="K1502" s="1">
        <v>37325</v>
      </c>
      <c r="L1502" s="1">
        <v>37325</v>
      </c>
      <c r="M1502" s="1">
        <v>37326</v>
      </c>
      <c r="N1502" s="1">
        <v>37326</v>
      </c>
      <c r="O1502" t="s">
        <v>1114</v>
      </c>
      <c r="P1502">
        <v>1</v>
      </c>
      <c r="Q1502" t="s">
        <v>2620</v>
      </c>
      <c r="R1502">
        <f t="shared" si="47"/>
        <v>11</v>
      </c>
      <c r="S1502">
        <f t="shared" si="48"/>
        <v>0</v>
      </c>
    </row>
    <row r="1503" spans="1:19" x14ac:dyDescent="0.25">
      <c r="A1503" t="s">
        <v>2624</v>
      </c>
      <c r="B1503" t="s">
        <v>1199</v>
      </c>
      <c r="C1503">
        <v>9.1669999999999998</v>
      </c>
      <c r="D1503">
        <v>240</v>
      </c>
      <c r="E1503">
        <v>0</v>
      </c>
      <c r="F1503">
        <v>100</v>
      </c>
      <c r="G1503">
        <v>65.266000000000005</v>
      </c>
      <c r="H1503" t="s">
        <v>1143</v>
      </c>
      <c r="I1503" s="1">
        <v>37225</v>
      </c>
      <c r="J1503" s="1">
        <v>37328</v>
      </c>
      <c r="K1503" s="1">
        <v>37329</v>
      </c>
      <c r="L1503" s="1">
        <v>37329</v>
      </c>
      <c r="M1503" s="1">
        <v>37329</v>
      </c>
      <c r="N1503" s="1">
        <v>37329</v>
      </c>
      <c r="O1503" t="s">
        <v>1117</v>
      </c>
      <c r="P1503">
        <v>5</v>
      </c>
      <c r="Q1503" t="s">
        <v>2620</v>
      </c>
      <c r="R1503">
        <f t="shared" si="47"/>
        <v>11</v>
      </c>
      <c r="S1503">
        <f t="shared" si="48"/>
        <v>0</v>
      </c>
    </row>
    <row r="1504" spans="1:19" x14ac:dyDescent="0.25">
      <c r="A1504" t="s">
        <v>2625</v>
      </c>
      <c r="B1504" t="s">
        <v>1199</v>
      </c>
      <c r="C1504">
        <v>6.25</v>
      </c>
      <c r="D1504">
        <v>240</v>
      </c>
      <c r="E1504">
        <v>2200</v>
      </c>
      <c r="F1504">
        <v>500</v>
      </c>
      <c r="G1504">
        <v>489.97</v>
      </c>
      <c r="H1504" t="s">
        <v>1143</v>
      </c>
      <c r="I1504" s="1">
        <v>37225</v>
      </c>
      <c r="J1504" s="1">
        <v>37325</v>
      </c>
      <c r="K1504" s="1">
        <v>37326</v>
      </c>
      <c r="L1504" s="1">
        <v>37326</v>
      </c>
      <c r="M1504" s="1">
        <v>37327</v>
      </c>
      <c r="N1504" s="1">
        <v>37327</v>
      </c>
      <c r="O1504" t="s">
        <v>1117</v>
      </c>
      <c r="P1504">
        <v>7</v>
      </c>
      <c r="Q1504" t="s">
        <v>2620</v>
      </c>
      <c r="R1504">
        <f t="shared" si="47"/>
        <v>11</v>
      </c>
      <c r="S1504">
        <f t="shared" si="48"/>
        <v>0</v>
      </c>
    </row>
    <row r="1505" spans="1:19" x14ac:dyDescent="0.25">
      <c r="A1505" t="s">
        <v>2626</v>
      </c>
      <c r="B1505" t="s">
        <v>1199</v>
      </c>
      <c r="C1505">
        <v>7.9169999999999998</v>
      </c>
      <c r="D1505">
        <v>240</v>
      </c>
      <c r="E1505">
        <v>0</v>
      </c>
      <c r="F1505">
        <v>100</v>
      </c>
      <c r="G1505">
        <v>100</v>
      </c>
      <c r="H1505" t="s">
        <v>1143</v>
      </c>
      <c r="I1505" s="1">
        <v>37225</v>
      </c>
      <c r="J1505" s="1">
        <v>37324</v>
      </c>
      <c r="K1505" s="1">
        <v>37324</v>
      </c>
      <c r="L1505" s="1">
        <v>37324</v>
      </c>
      <c r="M1505" s="1">
        <v>37324</v>
      </c>
      <c r="N1505" s="1">
        <v>37326</v>
      </c>
      <c r="O1505" t="s">
        <v>1114</v>
      </c>
      <c r="P1505">
        <v>4</v>
      </c>
      <c r="Q1505" t="s">
        <v>2620</v>
      </c>
      <c r="R1505">
        <f t="shared" si="47"/>
        <v>11</v>
      </c>
      <c r="S1505">
        <f t="shared" si="48"/>
        <v>1</v>
      </c>
    </row>
    <row r="1506" spans="1:19" x14ac:dyDescent="0.25">
      <c r="A1506" t="s">
        <v>2627</v>
      </c>
      <c r="B1506" t="s">
        <v>4029</v>
      </c>
      <c r="C1506">
        <v>6.25</v>
      </c>
      <c r="D1506">
        <v>240</v>
      </c>
      <c r="E1506">
        <v>0</v>
      </c>
      <c r="F1506">
        <v>6</v>
      </c>
      <c r="G1506">
        <v>6</v>
      </c>
      <c r="H1506" t="s">
        <v>1143</v>
      </c>
      <c r="I1506" s="1">
        <v>37159</v>
      </c>
      <c r="J1506" s="1">
        <v>37314</v>
      </c>
      <c r="K1506" s="1">
        <v>37314</v>
      </c>
      <c r="L1506" s="1">
        <v>37314</v>
      </c>
      <c r="M1506" s="1">
        <v>37314</v>
      </c>
      <c r="N1506" s="1">
        <v>37314</v>
      </c>
      <c r="O1506" t="s">
        <v>1114</v>
      </c>
      <c r="P1506">
        <v>37</v>
      </c>
      <c r="Q1506" t="s">
        <v>2620</v>
      </c>
      <c r="R1506">
        <f t="shared" si="47"/>
        <v>9</v>
      </c>
      <c r="S1506">
        <f t="shared" si="48"/>
        <v>1</v>
      </c>
    </row>
    <row r="1507" spans="1:19" x14ac:dyDescent="0.25">
      <c r="A1507" t="s">
        <v>2628</v>
      </c>
      <c r="B1507" t="s">
        <v>1199</v>
      </c>
      <c r="C1507">
        <v>10</v>
      </c>
      <c r="D1507">
        <v>240</v>
      </c>
      <c r="E1507">
        <v>0</v>
      </c>
      <c r="F1507">
        <v>100</v>
      </c>
      <c r="G1507">
        <v>100</v>
      </c>
      <c r="H1507" t="s">
        <v>1143</v>
      </c>
      <c r="I1507" s="1">
        <v>37225</v>
      </c>
      <c r="J1507" s="1">
        <v>37319</v>
      </c>
      <c r="K1507" s="1">
        <v>37319</v>
      </c>
      <c r="L1507" s="1">
        <v>37319</v>
      </c>
      <c r="M1507" s="1">
        <v>37319</v>
      </c>
      <c r="N1507" s="1">
        <v>37319</v>
      </c>
      <c r="O1507" t="s">
        <v>1114</v>
      </c>
      <c r="P1507">
        <v>1</v>
      </c>
      <c r="Q1507" t="s">
        <v>2620</v>
      </c>
      <c r="R1507">
        <f t="shared" si="47"/>
        <v>10</v>
      </c>
      <c r="S1507">
        <f t="shared" si="48"/>
        <v>1</v>
      </c>
    </row>
    <row r="1508" spans="1:19" x14ac:dyDescent="0.25">
      <c r="A1508" t="s">
        <v>2629</v>
      </c>
      <c r="B1508" t="s">
        <v>1199</v>
      </c>
      <c r="C1508">
        <v>7.9169999999999998</v>
      </c>
      <c r="D1508">
        <v>240</v>
      </c>
      <c r="E1508">
        <v>0</v>
      </c>
      <c r="F1508">
        <v>25</v>
      </c>
      <c r="G1508">
        <v>10</v>
      </c>
      <c r="H1508" t="s">
        <v>1143</v>
      </c>
      <c r="I1508" s="1">
        <v>37253</v>
      </c>
      <c r="J1508" s="1">
        <v>37325</v>
      </c>
      <c r="K1508" s="1">
        <v>37325</v>
      </c>
      <c r="L1508" s="1">
        <v>37325</v>
      </c>
      <c r="M1508" s="1">
        <v>37325</v>
      </c>
      <c r="N1508" s="1">
        <v>37326</v>
      </c>
      <c r="O1508" t="s">
        <v>1114</v>
      </c>
      <c r="P1508">
        <v>2</v>
      </c>
      <c r="Q1508" t="s">
        <v>2620</v>
      </c>
      <c r="R1508">
        <f t="shared" si="47"/>
        <v>11</v>
      </c>
      <c r="S1508">
        <f t="shared" si="48"/>
        <v>0</v>
      </c>
    </row>
    <row r="1509" spans="1:19" x14ac:dyDescent="0.25">
      <c r="A1509" t="s">
        <v>2630</v>
      </c>
      <c r="B1509" t="s">
        <v>4026</v>
      </c>
      <c r="C1509">
        <v>7.0830000000000002</v>
      </c>
      <c r="D1509">
        <v>240</v>
      </c>
      <c r="E1509">
        <v>0</v>
      </c>
      <c r="F1509">
        <v>100</v>
      </c>
      <c r="G1509">
        <v>100</v>
      </c>
      <c r="H1509" t="s">
        <v>1143</v>
      </c>
      <c r="I1509" s="1">
        <v>37225</v>
      </c>
      <c r="J1509" s="1">
        <v>37315</v>
      </c>
      <c r="K1509" s="1">
        <v>37315</v>
      </c>
      <c r="L1509" s="1">
        <v>37315</v>
      </c>
      <c r="M1509" s="1">
        <v>37315</v>
      </c>
      <c r="N1509" s="1">
        <v>37315</v>
      </c>
      <c r="O1509" t="s">
        <v>1114</v>
      </c>
      <c r="P1509">
        <v>3</v>
      </c>
      <c r="Q1509" t="s">
        <v>2620</v>
      </c>
      <c r="R1509">
        <f t="shared" si="47"/>
        <v>9</v>
      </c>
      <c r="S1509">
        <f t="shared" si="48"/>
        <v>1</v>
      </c>
    </row>
    <row r="1510" spans="1:19" x14ac:dyDescent="0.25">
      <c r="A1510" t="s">
        <v>2631</v>
      </c>
      <c r="B1510" t="s">
        <v>4026</v>
      </c>
      <c r="C1510">
        <v>7.9169999999999998</v>
      </c>
      <c r="D1510">
        <v>240</v>
      </c>
      <c r="E1510">
        <v>0</v>
      </c>
      <c r="F1510">
        <v>100</v>
      </c>
      <c r="G1510">
        <v>100</v>
      </c>
      <c r="H1510" t="s">
        <v>1143</v>
      </c>
      <c r="I1510" s="1">
        <v>37225</v>
      </c>
      <c r="J1510" s="1">
        <v>37315</v>
      </c>
      <c r="K1510" s="1">
        <v>37315</v>
      </c>
      <c r="L1510" s="1">
        <v>37315</v>
      </c>
      <c r="M1510" s="1">
        <v>37315</v>
      </c>
      <c r="N1510" s="1">
        <v>37315</v>
      </c>
      <c r="O1510" t="s">
        <v>1114</v>
      </c>
      <c r="P1510">
        <v>5</v>
      </c>
      <c r="Q1510" t="s">
        <v>2620</v>
      </c>
      <c r="R1510">
        <f t="shared" si="47"/>
        <v>9</v>
      </c>
      <c r="S1510">
        <f t="shared" si="48"/>
        <v>1</v>
      </c>
    </row>
    <row r="1511" spans="1:19" x14ac:dyDescent="0.25">
      <c r="A1511" t="s">
        <v>2632</v>
      </c>
      <c r="B1511" t="s">
        <v>1199</v>
      </c>
      <c r="C1511">
        <v>12.5</v>
      </c>
      <c r="D1511">
        <v>240</v>
      </c>
      <c r="E1511">
        <v>0</v>
      </c>
      <c r="F1511">
        <v>8</v>
      </c>
      <c r="G1511">
        <v>8</v>
      </c>
      <c r="H1511" t="s">
        <v>1143</v>
      </c>
      <c r="I1511" s="1">
        <v>37129</v>
      </c>
      <c r="J1511" s="1">
        <v>37314</v>
      </c>
      <c r="K1511" s="1">
        <v>37314</v>
      </c>
      <c r="L1511" s="1">
        <v>37314</v>
      </c>
      <c r="M1511" s="1">
        <v>37314</v>
      </c>
      <c r="N1511" s="1">
        <v>37314</v>
      </c>
      <c r="O1511" t="s">
        <v>1114</v>
      </c>
      <c r="P1511">
        <v>6</v>
      </c>
      <c r="Q1511" t="s">
        <v>2620</v>
      </c>
      <c r="R1511">
        <f t="shared" si="47"/>
        <v>9</v>
      </c>
      <c r="S1511">
        <f t="shared" si="48"/>
        <v>1</v>
      </c>
    </row>
    <row r="1512" spans="1:19" x14ac:dyDescent="0.25">
      <c r="A1512" t="s">
        <v>2633</v>
      </c>
      <c r="B1512" t="s">
        <v>4028</v>
      </c>
      <c r="C1512">
        <v>10</v>
      </c>
      <c r="D1512">
        <v>240</v>
      </c>
      <c r="E1512">
        <v>0</v>
      </c>
      <c r="F1512">
        <v>100</v>
      </c>
      <c r="G1512">
        <v>100</v>
      </c>
      <c r="H1512" t="s">
        <v>1143</v>
      </c>
      <c r="I1512" s="1">
        <v>37225</v>
      </c>
      <c r="J1512" s="1">
        <v>37332</v>
      </c>
      <c r="K1512" s="1">
        <v>37332</v>
      </c>
      <c r="L1512" s="1">
        <v>37332</v>
      </c>
      <c r="M1512" s="1">
        <v>37332</v>
      </c>
      <c r="N1512" s="1">
        <v>37392</v>
      </c>
      <c r="O1512" t="s">
        <v>1114</v>
      </c>
      <c r="P1512">
        <v>3</v>
      </c>
      <c r="Q1512" t="s">
        <v>2620</v>
      </c>
      <c r="R1512">
        <f t="shared" si="47"/>
        <v>20</v>
      </c>
      <c r="S1512">
        <f t="shared" si="48"/>
        <v>1</v>
      </c>
    </row>
    <row r="1513" spans="1:19" x14ac:dyDescent="0.25">
      <c r="A1513" t="s">
        <v>2634</v>
      </c>
      <c r="B1513" t="s">
        <v>1199</v>
      </c>
      <c r="C1513">
        <v>10</v>
      </c>
      <c r="D1513">
        <v>240</v>
      </c>
      <c r="E1513">
        <v>0</v>
      </c>
      <c r="F1513">
        <v>250</v>
      </c>
      <c r="G1513">
        <v>250</v>
      </c>
      <c r="H1513" t="s">
        <v>1143</v>
      </c>
      <c r="I1513" s="1">
        <v>37302</v>
      </c>
      <c r="J1513" s="1">
        <v>37314</v>
      </c>
      <c r="K1513" s="1">
        <v>37314</v>
      </c>
      <c r="L1513" s="1">
        <v>37314</v>
      </c>
      <c r="M1513" s="1">
        <v>37314</v>
      </c>
      <c r="N1513" s="1">
        <v>37392</v>
      </c>
      <c r="O1513" t="s">
        <v>1114</v>
      </c>
      <c r="P1513">
        <v>1</v>
      </c>
      <c r="Q1513" t="s">
        <v>2620</v>
      </c>
      <c r="R1513">
        <f t="shared" si="47"/>
        <v>20</v>
      </c>
      <c r="S1513">
        <f t="shared" si="48"/>
        <v>1</v>
      </c>
    </row>
    <row r="1514" spans="1:19" x14ac:dyDescent="0.25">
      <c r="A1514" t="s">
        <v>2635</v>
      </c>
      <c r="B1514" t="s">
        <v>1199</v>
      </c>
      <c r="C1514">
        <v>10</v>
      </c>
      <c r="D1514">
        <v>240</v>
      </c>
      <c r="E1514">
        <v>0</v>
      </c>
      <c r="F1514">
        <v>100</v>
      </c>
      <c r="G1514">
        <v>100</v>
      </c>
      <c r="H1514" t="s">
        <v>1143</v>
      </c>
      <c r="I1514" s="1">
        <v>37225</v>
      </c>
      <c r="J1514" s="1">
        <v>37315</v>
      </c>
      <c r="K1514" s="1">
        <v>37315</v>
      </c>
      <c r="L1514" s="1">
        <v>37315</v>
      </c>
      <c r="M1514" s="1">
        <v>37315</v>
      </c>
      <c r="N1514" s="1">
        <v>37392</v>
      </c>
      <c r="O1514" t="s">
        <v>1114</v>
      </c>
      <c r="P1514">
        <v>4</v>
      </c>
      <c r="Q1514" t="s">
        <v>2620</v>
      </c>
      <c r="R1514">
        <f t="shared" si="47"/>
        <v>20</v>
      </c>
      <c r="S1514">
        <f t="shared" si="48"/>
        <v>1</v>
      </c>
    </row>
    <row r="1515" spans="1:19" x14ac:dyDescent="0.25">
      <c r="A1515" t="s">
        <v>2636</v>
      </c>
      <c r="B1515" t="s">
        <v>1199</v>
      </c>
      <c r="C1515">
        <v>10</v>
      </c>
      <c r="D1515">
        <v>240</v>
      </c>
      <c r="E1515">
        <v>0</v>
      </c>
      <c r="F1515">
        <v>250</v>
      </c>
      <c r="G1515">
        <v>188.78399999999999</v>
      </c>
      <c r="H1515" t="s">
        <v>1143</v>
      </c>
      <c r="I1515" s="1">
        <v>37352</v>
      </c>
      <c r="J1515" s="1">
        <v>37392</v>
      </c>
      <c r="K1515" t="s">
        <v>1124</v>
      </c>
      <c r="L1515" t="s">
        <v>1124</v>
      </c>
      <c r="M1515" s="1">
        <v>37392</v>
      </c>
      <c r="N1515" s="1">
        <v>37392</v>
      </c>
      <c r="O1515" t="s">
        <v>1117</v>
      </c>
      <c r="P1515">
        <v>1</v>
      </c>
      <c r="Q1515" t="s">
        <v>2620</v>
      </c>
      <c r="R1515">
        <f t="shared" si="47"/>
        <v>20</v>
      </c>
      <c r="S1515">
        <f t="shared" si="48"/>
        <v>0</v>
      </c>
    </row>
    <row r="1516" spans="1:19" x14ac:dyDescent="0.25">
      <c r="A1516" t="s">
        <v>2637</v>
      </c>
      <c r="B1516" t="s">
        <v>1199</v>
      </c>
      <c r="C1516">
        <v>10</v>
      </c>
      <c r="D1516">
        <v>240</v>
      </c>
      <c r="E1516">
        <v>0</v>
      </c>
      <c r="F1516">
        <v>250</v>
      </c>
      <c r="G1516">
        <v>238.85400000000001</v>
      </c>
      <c r="H1516" t="s">
        <v>1143</v>
      </c>
      <c r="I1516" s="1">
        <v>37293</v>
      </c>
      <c r="J1516" s="1">
        <v>37308</v>
      </c>
      <c r="K1516" s="1">
        <v>37311</v>
      </c>
      <c r="L1516" s="1">
        <v>37311</v>
      </c>
      <c r="M1516" s="1">
        <v>37312</v>
      </c>
      <c r="N1516" s="1">
        <v>37392</v>
      </c>
      <c r="O1516" t="s">
        <v>1117</v>
      </c>
      <c r="P1516">
        <v>1</v>
      </c>
      <c r="Q1516" t="s">
        <v>2620</v>
      </c>
      <c r="R1516">
        <f t="shared" si="47"/>
        <v>20</v>
      </c>
      <c r="S1516">
        <f t="shared" si="48"/>
        <v>0</v>
      </c>
    </row>
    <row r="1517" spans="1:19" x14ac:dyDescent="0.25">
      <c r="A1517" t="s">
        <v>2638</v>
      </c>
      <c r="B1517" t="s">
        <v>4026</v>
      </c>
      <c r="C1517">
        <v>5</v>
      </c>
      <c r="D1517">
        <v>240</v>
      </c>
      <c r="E1517">
        <v>0</v>
      </c>
      <c r="F1517">
        <v>11</v>
      </c>
      <c r="G1517">
        <v>11</v>
      </c>
      <c r="H1517" t="s">
        <v>1143</v>
      </c>
      <c r="I1517" s="1">
        <v>37159</v>
      </c>
      <c r="J1517" s="1">
        <v>37325</v>
      </c>
      <c r="K1517" s="1">
        <v>37325</v>
      </c>
      <c r="L1517" s="1">
        <v>37325</v>
      </c>
      <c r="M1517" s="1">
        <v>37325</v>
      </c>
      <c r="N1517" s="1">
        <v>37325</v>
      </c>
      <c r="O1517" t="s">
        <v>1114</v>
      </c>
      <c r="P1517">
        <v>32</v>
      </c>
      <c r="Q1517" t="s">
        <v>2620</v>
      </c>
      <c r="R1517">
        <f t="shared" si="47"/>
        <v>11</v>
      </c>
      <c r="S1517">
        <f t="shared" si="48"/>
        <v>1</v>
      </c>
    </row>
    <row r="1518" spans="1:19" x14ac:dyDescent="0.25">
      <c r="A1518" t="s">
        <v>2639</v>
      </c>
      <c r="B1518" t="s">
        <v>4028</v>
      </c>
      <c r="C1518">
        <v>9.1669999999999998</v>
      </c>
      <c r="D1518">
        <v>240</v>
      </c>
      <c r="E1518">
        <v>0</v>
      </c>
      <c r="F1518">
        <v>100</v>
      </c>
      <c r="G1518">
        <v>100</v>
      </c>
      <c r="H1518" t="s">
        <v>1143</v>
      </c>
      <c r="I1518" s="1">
        <v>37225</v>
      </c>
      <c r="J1518" s="1">
        <v>37315</v>
      </c>
      <c r="K1518" s="1">
        <v>37315</v>
      </c>
      <c r="L1518" s="1">
        <v>37315</v>
      </c>
      <c r="M1518" s="1">
        <v>37315</v>
      </c>
      <c r="N1518" s="1">
        <v>37315</v>
      </c>
      <c r="O1518" t="s">
        <v>1114</v>
      </c>
      <c r="P1518">
        <v>2</v>
      </c>
      <c r="Q1518" t="s">
        <v>2620</v>
      </c>
      <c r="R1518">
        <f t="shared" si="47"/>
        <v>9</v>
      </c>
      <c r="S1518">
        <f t="shared" si="48"/>
        <v>1</v>
      </c>
    </row>
    <row r="1519" spans="1:19" x14ac:dyDescent="0.25">
      <c r="A1519" t="s">
        <v>2640</v>
      </c>
      <c r="B1519" t="s">
        <v>1199</v>
      </c>
      <c r="C1519">
        <v>7.5</v>
      </c>
      <c r="D1519">
        <v>240</v>
      </c>
      <c r="E1519">
        <v>0</v>
      </c>
      <c r="F1519">
        <v>40</v>
      </c>
      <c r="G1519">
        <v>5.9290000000000003</v>
      </c>
      <c r="H1519" t="s">
        <v>1143</v>
      </c>
      <c r="I1519" s="1">
        <v>37260</v>
      </c>
      <c r="J1519" s="1">
        <v>37314</v>
      </c>
      <c r="K1519" s="1">
        <v>37314</v>
      </c>
      <c r="L1519" s="1">
        <v>37314</v>
      </c>
      <c r="M1519" s="1">
        <v>37314</v>
      </c>
      <c r="N1519" s="1">
        <v>37314</v>
      </c>
      <c r="O1519" t="s">
        <v>1114</v>
      </c>
      <c r="P1519">
        <v>4</v>
      </c>
      <c r="Q1519" t="s">
        <v>2620</v>
      </c>
      <c r="R1519">
        <f t="shared" si="47"/>
        <v>9</v>
      </c>
      <c r="S1519">
        <f t="shared" si="48"/>
        <v>0</v>
      </c>
    </row>
    <row r="1520" spans="1:19" x14ac:dyDescent="0.25">
      <c r="A1520" t="s">
        <v>2641</v>
      </c>
      <c r="B1520" t="s">
        <v>4028</v>
      </c>
      <c r="C1520">
        <v>8.3330000000000002</v>
      </c>
      <c r="D1520">
        <v>240</v>
      </c>
      <c r="E1520">
        <v>0</v>
      </c>
      <c r="F1520">
        <v>10</v>
      </c>
      <c r="G1520">
        <v>10</v>
      </c>
      <c r="H1520" t="s">
        <v>1143</v>
      </c>
      <c r="I1520" s="1">
        <v>37260</v>
      </c>
      <c r="J1520" s="1">
        <v>37314</v>
      </c>
      <c r="K1520" s="1">
        <v>37314</v>
      </c>
      <c r="L1520" s="1">
        <v>37314</v>
      </c>
      <c r="M1520" s="1">
        <v>37314</v>
      </c>
      <c r="N1520" s="1">
        <v>37314</v>
      </c>
      <c r="O1520" t="s">
        <v>1114</v>
      </c>
      <c r="P1520">
        <v>2</v>
      </c>
      <c r="Q1520" t="s">
        <v>2620</v>
      </c>
      <c r="R1520">
        <f t="shared" si="47"/>
        <v>9</v>
      </c>
      <c r="S1520">
        <f t="shared" si="48"/>
        <v>1</v>
      </c>
    </row>
    <row r="1521" spans="1:19" x14ac:dyDescent="0.25">
      <c r="A1521" t="s">
        <v>2642</v>
      </c>
      <c r="B1521" t="s">
        <v>4026</v>
      </c>
      <c r="C1521">
        <v>10</v>
      </c>
      <c r="D1521">
        <v>240</v>
      </c>
      <c r="E1521">
        <v>0</v>
      </c>
      <c r="F1521">
        <v>100</v>
      </c>
      <c r="G1521">
        <v>100</v>
      </c>
      <c r="H1521" t="s">
        <v>1143</v>
      </c>
      <c r="I1521" s="1">
        <v>37225</v>
      </c>
      <c r="J1521" s="1">
        <v>37315</v>
      </c>
      <c r="K1521" s="1">
        <v>37315</v>
      </c>
      <c r="L1521" s="1">
        <v>37315</v>
      </c>
      <c r="M1521" s="1">
        <v>37315</v>
      </c>
      <c r="N1521" s="1">
        <v>37315</v>
      </c>
      <c r="O1521" t="s">
        <v>1114</v>
      </c>
      <c r="P1521">
        <v>1</v>
      </c>
      <c r="Q1521" t="s">
        <v>2620</v>
      </c>
      <c r="R1521">
        <f t="shared" si="47"/>
        <v>9</v>
      </c>
      <c r="S1521">
        <f t="shared" si="48"/>
        <v>1</v>
      </c>
    </row>
    <row r="1522" spans="1:19" x14ac:dyDescent="0.25">
      <c r="A1522" t="s">
        <v>2643</v>
      </c>
      <c r="B1522" t="s">
        <v>1199</v>
      </c>
      <c r="C1522">
        <v>7.0830000000000002</v>
      </c>
      <c r="D1522">
        <v>240</v>
      </c>
      <c r="E1522">
        <v>0</v>
      </c>
      <c r="F1522">
        <v>100</v>
      </c>
      <c r="G1522">
        <v>15.977</v>
      </c>
      <c r="H1522" t="s">
        <v>1143</v>
      </c>
      <c r="I1522" s="1">
        <v>37225</v>
      </c>
      <c r="J1522" s="1">
        <v>37332</v>
      </c>
      <c r="K1522" s="1">
        <v>37332</v>
      </c>
      <c r="L1522" s="1">
        <v>37332</v>
      </c>
      <c r="M1522" s="1">
        <v>37332</v>
      </c>
      <c r="N1522" s="1">
        <v>37332</v>
      </c>
      <c r="O1522" t="s">
        <v>1114</v>
      </c>
      <c r="P1522">
        <v>4</v>
      </c>
      <c r="Q1522" t="s">
        <v>2620</v>
      </c>
      <c r="R1522">
        <f t="shared" si="47"/>
        <v>12</v>
      </c>
      <c r="S1522">
        <f t="shared" si="48"/>
        <v>0</v>
      </c>
    </row>
    <row r="1523" spans="1:19" x14ac:dyDescent="0.25">
      <c r="A1523" t="s">
        <v>2644</v>
      </c>
      <c r="B1523" t="s">
        <v>3601</v>
      </c>
      <c r="C1523">
        <v>10</v>
      </c>
      <c r="D1523">
        <v>240</v>
      </c>
      <c r="E1523">
        <v>0</v>
      </c>
      <c r="F1523">
        <v>100</v>
      </c>
      <c r="G1523">
        <v>100</v>
      </c>
      <c r="H1523" t="s">
        <v>1143</v>
      </c>
      <c r="I1523" s="1">
        <v>37225</v>
      </c>
      <c r="J1523" s="1">
        <v>37315</v>
      </c>
      <c r="K1523" s="1">
        <v>37315</v>
      </c>
      <c r="L1523" s="1">
        <v>37315</v>
      </c>
      <c r="M1523" s="1">
        <v>37315</v>
      </c>
      <c r="N1523" s="1">
        <v>37333</v>
      </c>
      <c r="O1523" t="s">
        <v>1114</v>
      </c>
      <c r="P1523">
        <v>4</v>
      </c>
      <c r="Q1523" t="s">
        <v>2620</v>
      </c>
      <c r="R1523">
        <f t="shared" si="47"/>
        <v>12</v>
      </c>
      <c r="S1523">
        <f t="shared" si="48"/>
        <v>1</v>
      </c>
    </row>
    <row r="1524" spans="1:19" x14ac:dyDescent="0.25">
      <c r="A1524" t="s">
        <v>2645</v>
      </c>
      <c r="B1524" t="s">
        <v>1199</v>
      </c>
      <c r="C1524">
        <v>10</v>
      </c>
      <c r="D1524">
        <v>240</v>
      </c>
      <c r="E1524">
        <v>0</v>
      </c>
      <c r="F1524">
        <v>100</v>
      </c>
      <c r="G1524">
        <v>100</v>
      </c>
      <c r="H1524" t="s">
        <v>1143</v>
      </c>
      <c r="I1524" s="1">
        <v>37225</v>
      </c>
      <c r="J1524" s="1">
        <v>37331</v>
      </c>
      <c r="K1524" s="1">
        <v>37331</v>
      </c>
      <c r="L1524" s="1">
        <v>37331</v>
      </c>
      <c r="M1524" s="1">
        <v>37331</v>
      </c>
      <c r="N1524" s="1">
        <v>37333</v>
      </c>
      <c r="O1524" t="s">
        <v>1114</v>
      </c>
      <c r="P1524">
        <v>2</v>
      </c>
      <c r="Q1524" t="s">
        <v>2620</v>
      </c>
      <c r="R1524">
        <f t="shared" si="47"/>
        <v>12</v>
      </c>
      <c r="S1524">
        <f t="shared" si="48"/>
        <v>1</v>
      </c>
    </row>
    <row r="1525" spans="1:19" x14ac:dyDescent="0.25">
      <c r="A1525" t="s">
        <v>2646</v>
      </c>
      <c r="B1525" t="s">
        <v>1199</v>
      </c>
      <c r="C1525">
        <v>5.625</v>
      </c>
      <c r="D1525">
        <v>240</v>
      </c>
      <c r="E1525">
        <v>0</v>
      </c>
      <c r="F1525">
        <v>15</v>
      </c>
      <c r="G1525">
        <v>15</v>
      </c>
      <c r="H1525" t="s">
        <v>1143</v>
      </c>
      <c r="I1525" s="1">
        <v>37260</v>
      </c>
      <c r="J1525" s="1">
        <v>37314</v>
      </c>
      <c r="K1525" s="1">
        <v>37314</v>
      </c>
      <c r="L1525" s="1">
        <v>37314</v>
      </c>
      <c r="M1525" s="1">
        <v>37314</v>
      </c>
      <c r="N1525" s="1">
        <v>37314</v>
      </c>
      <c r="O1525" t="s">
        <v>1114</v>
      </c>
      <c r="P1525">
        <v>3</v>
      </c>
      <c r="Q1525" t="s">
        <v>2620</v>
      </c>
      <c r="R1525">
        <f t="shared" si="47"/>
        <v>9</v>
      </c>
      <c r="S1525">
        <f t="shared" si="48"/>
        <v>1</v>
      </c>
    </row>
    <row r="1526" spans="1:19" x14ac:dyDescent="0.25">
      <c r="A1526" t="s">
        <v>2647</v>
      </c>
      <c r="B1526" t="s">
        <v>4027</v>
      </c>
      <c r="C1526">
        <v>7.5</v>
      </c>
      <c r="D1526">
        <v>240</v>
      </c>
      <c r="E1526">
        <v>0</v>
      </c>
      <c r="F1526">
        <v>5</v>
      </c>
      <c r="G1526">
        <v>0.56599999999999995</v>
      </c>
      <c r="H1526" t="s">
        <v>1143</v>
      </c>
      <c r="I1526" s="1">
        <v>37129</v>
      </c>
      <c r="J1526" s="1">
        <v>37314</v>
      </c>
      <c r="K1526" s="1">
        <v>37314</v>
      </c>
      <c r="L1526" s="1">
        <v>37314</v>
      </c>
      <c r="M1526" s="1">
        <v>37314</v>
      </c>
      <c r="N1526" s="1">
        <v>37314</v>
      </c>
      <c r="O1526" t="s">
        <v>1114</v>
      </c>
      <c r="P1526">
        <v>5</v>
      </c>
      <c r="Q1526" t="s">
        <v>2620</v>
      </c>
      <c r="R1526">
        <f t="shared" si="47"/>
        <v>9</v>
      </c>
      <c r="S1526">
        <f t="shared" si="48"/>
        <v>0</v>
      </c>
    </row>
    <row r="1527" spans="1:19" x14ac:dyDescent="0.25">
      <c r="A1527" t="s">
        <v>2648</v>
      </c>
      <c r="B1527" t="s">
        <v>4027</v>
      </c>
      <c r="C1527">
        <v>10</v>
      </c>
      <c r="D1527">
        <v>240</v>
      </c>
      <c r="E1527">
        <v>0</v>
      </c>
      <c r="F1527">
        <v>100</v>
      </c>
      <c r="G1527">
        <v>79.289000000000001</v>
      </c>
      <c r="H1527" t="s">
        <v>1143</v>
      </c>
      <c r="I1527" s="1">
        <v>37225</v>
      </c>
      <c r="J1527" s="1">
        <v>37315</v>
      </c>
      <c r="K1527" s="1">
        <v>37315</v>
      </c>
      <c r="L1527" s="1">
        <v>37315</v>
      </c>
      <c r="M1527" s="1">
        <v>37315</v>
      </c>
      <c r="N1527" s="1">
        <v>37333</v>
      </c>
      <c r="O1527" t="s">
        <v>1114</v>
      </c>
      <c r="P1527">
        <v>1</v>
      </c>
      <c r="Q1527" t="s">
        <v>2620</v>
      </c>
      <c r="R1527">
        <f t="shared" si="47"/>
        <v>12</v>
      </c>
      <c r="S1527">
        <f t="shared" si="48"/>
        <v>0</v>
      </c>
    </row>
    <row r="1528" spans="1:19" x14ac:dyDescent="0.25">
      <c r="A1528" t="s">
        <v>2649</v>
      </c>
      <c r="B1528" t="s">
        <v>4026</v>
      </c>
      <c r="C1528">
        <v>5.625</v>
      </c>
      <c r="D1528">
        <v>240</v>
      </c>
      <c r="E1528">
        <v>0</v>
      </c>
      <c r="F1528">
        <v>100</v>
      </c>
      <c r="G1528">
        <v>100</v>
      </c>
      <c r="H1528" t="s">
        <v>1143</v>
      </c>
      <c r="I1528" s="1">
        <v>37225</v>
      </c>
      <c r="J1528" s="1">
        <v>37315</v>
      </c>
      <c r="K1528" s="1">
        <v>37315</v>
      </c>
      <c r="L1528" s="1">
        <v>37315</v>
      </c>
      <c r="M1528" s="1">
        <v>37315</v>
      </c>
      <c r="N1528" s="1">
        <v>37315</v>
      </c>
      <c r="O1528" t="s">
        <v>1114</v>
      </c>
      <c r="P1528">
        <v>3</v>
      </c>
      <c r="Q1528" t="s">
        <v>2620</v>
      </c>
      <c r="R1528">
        <f t="shared" si="47"/>
        <v>9</v>
      </c>
      <c r="S1528">
        <f t="shared" si="48"/>
        <v>1</v>
      </c>
    </row>
    <row r="1529" spans="1:19" x14ac:dyDescent="0.25">
      <c r="A1529" t="s">
        <v>2650</v>
      </c>
      <c r="B1529" t="s">
        <v>4026</v>
      </c>
      <c r="C1529">
        <v>9.1669999999999998</v>
      </c>
      <c r="D1529">
        <v>240</v>
      </c>
      <c r="E1529">
        <v>0</v>
      </c>
      <c r="F1529">
        <v>40</v>
      </c>
      <c r="G1529">
        <v>21.440999999999999</v>
      </c>
      <c r="H1529" t="s">
        <v>1143</v>
      </c>
      <c r="I1529" s="1">
        <v>37193</v>
      </c>
      <c r="J1529" s="1">
        <v>37314</v>
      </c>
      <c r="K1529" s="1">
        <v>37314</v>
      </c>
      <c r="L1529" s="1">
        <v>37314</v>
      </c>
      <c r="M1529" s="1">
        <v>37314</v>
      </c>
      <c r="N1529" s="1">
        <v>37315</v>
      </c>
      <c r="O1529" t="s">
        <v>1114</v>
      </c>
      <c r="P1529">
        <v>1</v>
      </c>
      <c r="Q1529" t="s">
        <v>2620</v>
      </c>
      <c r="R1529">
        <f t="shared" si="47"/>
        <v>9</v>
      </c>
      <c r="S1529">
        <f t="shared" si="48"/>
        <v>0</v>
      </c>
    </row>
    <row r="1530" spans="1:19" x14ac:dyDescent="0.25">
      <c r="A1530" t="s">
        <v>2651</v>
      </c>
      <c r="B1530" t="s">
        <v>1199</v>
      </c>
      <c r="C1530">
        <v>10</v>
      </c>
      <c r="D1530">
        <v>240</v>
      </c>
      <c r="E1530">
        <v>0</v>
      </c>
      <c r="F1530">
        <v>100</v>
      </c>
      <c r="G1530">
        <v>98</v>
      </c>
      <c r="H1530" t="s">
        <v>1143</v>
      </c>
      <c r="I1530" s="1">
        <v>37225</v>
      </c>
      <c r="J1530" s="1">
        <v>37315</v>
      </c>
      <c r="K1530" s="1">
        <v>37315</v>
      </c>
      <c r="L1530" s="1">
        <v>37315</v>
      </c>
      <c r="M1530" s="1">
        <v>37315</v>
      </c>
      <c r="N1530" s="1">
        <v>37333</v>
      </c>
      <c r="O1530" t="s">
        <v>1114</v>
      </c>
      <c r="P1530">
        <v>3</v>
      </c>
      <c r="Q1530" t="s">
        <v>2620</v>
      </c>
      <c r="R1530">
        <f t="shared" si="47"/>
        <v>12</v>
      </c>
      <c r="S1530">
        <f t="shared" si="48"/>
        <v>0</v>
      </c>
    </row>
    <row r="1531" spans="1:19" x14ac:dyDescent="0.25">
      <c r="A1531" t="s">
        <v>2652</v>
      </c>
      <c r="B1531" t="s">
        <v>1199</v>
      </c>
      <c r="C1531">
        <v>7.5</v>
      </c>
      <c r="D1531">
        <v>240</v>
      </c>
      <c r="E1531">
        <v>0</v>
      </c>
      <c r="F1531">
        <v>40</v>
      </c>
      <c r="G1531">
        <v>40</v>
      </c>
      <c r="H1531" t="s">
        <v>1143</v>
      </c>
      <c r="I1531" s="1">
        <v>37193</v>
      </c>
      <c r="J1531" s="1">
        <v>37314</v>
      </c>
      <c r="K1531" s="1">
        <v>37314</v>
      </c>
      <c r="L1531" s="1">
        <v>37314</v>
      </c>
      <c r="M1531" s="1">
        <v>37314</v>
      </c>
      <c r="N1531" s="1">
        <v>37314</v>
      </c>
      <c r="O1531" t="s">
        <v>1114</v>
      </c>
      <c r="P1531">
        <v>2</v>
      </c>
      <c r="Q1531" t="s">
        <v>2620</v>
      </c>
      <c r="R1531">
        <f t="shared" si="47"/>
        <v>9</v>
      </c>
      <c r="S1531">
        <f t="shared" si="48"/>
        <v>1</v>
      </c>
    </row>
    <row r="1532" spans="1:19" x14ac:dyDescent="0.25">
      <c r="A1532" t="s">
        <v>2653</v>
      </c>
      <c r="B1532" t="s">
        <v>4027</v>
      </c>
      <c r="C1532">
        <v>6.25</v>
      </c>
      <c r="D1532">
        <v>240</v>
      </c>
      <c r="E1532">
        <v>0</v>
      </c>
      <c r="F1532">
        <v>6</v>
      </c>
      <c r="G1532">
        <v>6</v>
      </c>
      <c r="H1532" t="s">
        <v>1143</v>
      </c>
      <c r="I1532" s="1">
        <v>37131</v>
      </c>
      <c r="J1532" s="1">
        <v>37314</v>
      </c>
      <c r="K1532" s="1">
        <v>37314</v>
      </c>
      <c r="L1532" s="1">
        <v>37314</v>
      </c>
      <c r="M1532" s="1">
        <v>37314</v>
      </c>
      <c r="N1532" s="1">
        <v>37314</v>
      </c>
      <c r="O1532" t="s">
        <v>1114</v>
      </c>
      <c r="P1532">
        <v>3</v>
      </c>
      <c r="Q1532" t="s">
        <v>2620</v>
      </c>
      <c r="R1532">
        <f t="shared" si="47"/>
        <v>9</v>
      </c>
      <c r="S1532">
        <f t="shared" si="48"/>
        <v>1</v>
      </c>
    </row>
    <row r="1533" spans="1:19" x14ac:dyDescent="0.25">
      <c r="A1533" t="s">
        <v>2654</v>
      </c>
      <c r="B1533" t="s">
        <v>1199</v>
      </c>
      <c r="C1533">
        <v>10</v>
      </c>
      <c r="D1533">
        <v>240</v>
      </c>
      <c r="E1533">
        <v>0</v>
      </c>
      <c r="F1533">
        <v>100</v>
      </c>
      <c r="G1533">
        <v>100</v>
      </c>
      <c r="H1533" t="s">
        <v>1143</v>
      </c>
      <c r="I1533" s="1">
        <v>37225</v>
      </c>
      <c r="J1533" s="1">
        <v>37333</v>
      </c>
      <c r="K1533" s="1">
        <v>37333</v>
      </c>
      <c r="L1533" s="1">
        <v>37333</v>
      </c>
      <c r="M1533" s="1">
        <v>37333</v>
      </c>
      <c r="N1533" s="1">
        <v>37333</v>
      </c>
      <c r="O1533" t="s">
        <v>1117</v>
      </c>
      <c r="P1533">
        <v>5</v>
      </c>
      <c r="Q1533" t="s">
        <v>2620</v>
      </c>
      <c r="R1533">
        <f t="shared" si="47"/>
        <v>12</v>
      </c>
      <c r="S1533">
        <f t="shared" si="48"/>
        <v>1</v>
      </c>
    </row>
    <row r="1534" spans="1:19" x14ac:dyDescent="0.25">
      <c r="A1534" t="s">
        <v>2655</v>
      </c>
      <c r="B1534" t="s">
        <v>1199</v>
      </c>
      <c r="C1534">
        <v>7.0830000000000002</v>
      </c>
      <c r="D1534">
        <v>240</v>
      </c>
      <c r="E1534">
        <v>0</v>
      </c>
      <c r="F1534">
        <v>5000</v>
      </c>
      <c r="G1534">
        <v>4990.1040000000003</v>
      </c>
      <c r="H1534" t="s">
        <v>1143</v>
      </c>
      <c r="I1534" s="1">
        <v>37225</v>
      </c>
      <c r="J1534" s="1">
        <v>37325</v>
      </c>
      <c r="K1534" s="1">
        <v>37328</v>
      </c>
      <c r="L1534" s="1">
        <v>37328</v>
      </c>
      <c r="M1534" s="1">
        <v>37328</v>
      </c>
      <c r="N1534" s="1">
        <v>37328</v>
      </c>
      <c r="O1534" t="s">
        <v>1117</v>
      </c>
      <c r="P1534">
        <v>8</v>
      </c>
      <c r="Q1534" t="s">
        <v>2620</v>
      </c>
      <c r="R1534">
        <f t="shared" si="47"/>
        <v>11</v>
      </c>
      <c r="S1534">
        <f t="shared" si="48"/>
        <v>0</v>
      </c>
    </row>
    <row r="1535" spans="1:19" x14ac:dyDescent="0.25">
      <c r="A1535" t="s">
        <v>2656</v>
      </c>
      <c r="B1535" t="s">
        <v>1199</v>
      </c>
      <c r="C1535">
        <v>10</v>
      </c>
      <c r="D1535">
        <v>240</v>
      </c>
      <c r="E1535">
        <v>0</v>
      </c>
      <c r="F1535">
        <v>100</v>
      </c>
      <c r="G1535">
        <v>100</v>
      </c>
      <c r="H1535" t="s">
        <v>1143</v>
      </c>
      <c r="I1535" s="1">
        <v>37225</v>
      </c>
      <c r="J1535" s="1">
        <v>37315</v>
      </c>
      <c r="K1535" s="1">
        <v>37315</v>
      </c>
      <c r="L1535" s="1">
        <v>37315</v>
      </c>
      <c r="M1535" s="1">
        <v>37315</v>
      </c>
      <c r="N1535" s="1">
        <v>37392</v>
      </c>
      <c r="O1535" t="s">
        <v>1114</v>
      </c>
      <c r="P1535">
        <v>1</v>
      </c>
      <c r="Q1535" t="s">
        <v>2620</v>
      </c>
      <c r="R1535">
        <f t="shared" si="47"/>
        <v>20</v>
      </c>
      <c r="S1535">
        <f t="shared" si="48"/>
        <v>1</v>
      </c>
    </row>
    <row r="1536" spans="1:19" x14ac:dyDescent="0.25">
      <c r="A1536" t="s">
        <v>2657</v>
      </c>
      <c r="B1536" t="s">
        <v>1199</v>
      </c>
      <c r="C1536">
        <v>10</v>
      </c>
      <c r="D1536">
        <v>240</v>
      </c>
      <c r="E1536">
        <v>0</v>
      </c>
      <c r="F1536">
        <v>100</v>
      </c>
      <c r="G1536">
        <v>100</v>
      </c>
      <c r="H1536" t="s">
        <v>1143</v>
      </c>
      <c r="I1536" s="1">
        <v>37225</v>
      </c>
      <c r="J1536" s="1">
        <v>37325</v>
      </c>
      <c r="K1536" s="1">
        <v>37325</v>
      </c>
      <c r="L1536" s="1">
        <v>37325</v>
      </c>
      <c r="M1536" s="1">
        <v>37325</v>
      </c>
      <c r="N1536" s="1">
        <v>37392</v>
      </c>
      <c r="O1536" t="s">
        <v>1114</v>
      </c>
      <c r="P1536">
        <v>2</v>
      </c>
      <c r="Q1536" t="s">
        <v>2620</v>
      </c>
      <c r="R1536">
        <f t="shared" si="47"/>
        <v>20</v>
      </c>
      <c r="S1536">
        <f t="shared" si="48"/>
        <v>1</v>
      </c>
    </row>
    <row r="1537" spans="1:19" x14ac:dyDescent="0.25">
      <c r="A1537" t="s">
        <v>2658</v>
      </c>
      <c r="B1537" t="s">
        <v>1199</v>
      </c>
      <c r="C1537">
        <v>7.5</v>
      </c>
      <c r="D1537">
        <v>240</v>
      </c>
      <c r="E1537">
        <v>0</v>
      </c>
      <c r="F1537">
        <v>10</v>
      </c>
      <c r="G1537">
        <v>10</v>
      </c>
      <c r="H1537" t="s">
        <v>1143</v>
      </c>
      <c r="I1537" s="1">
        <v>37188</v>
      </c>
      <c r="J1537" s="1">
        <v>37314</v>
      </c>
      <c r="K1537" s="1">
        <v>37314</v>
      </c>
      <c r="L1537" s="1">
        <v>37314</v>
      </c>
      <c r="M1537" s="1">
        <v>37314</v>
      </c>
      <c r="N1537" s="1">
        <v>37314</v>
      </c>
      <c r="O1537" t="s">
        <v>1114</v>
      </c>
      <c r="P1537">
        <v>1</v>
      </c>
      <c r="Q1537" t="s">
        <v>2620</v>
      </c>
      <c r="R1537">
        <f t="shared" si="47"/>
        <v>9</v>
      </c>
      <c r="S1537">
        <f t="shared" si="48"/>
        <v>1</v>
      </c>
    </row>
    <row r="1538" spans="1:19" x14ac:dyDescent="0.25">
      <c r="A1538" t="s">
        <v>2659</v>
      </c>
      <c r="B1538" t="s">
        <v>3631</v>
      </c>
      <c r="C1538">
        <v>10</v>
      </c>
      <c r="D1538">
        <v>240</v>
      </c>
      <c r="E1538">
        <v>0</v>
      </c>
      <c r="F1538">
        <v>100</v>
      </c>
      <c r="G1538">
        <v>100</v>
      </c>
      <c r="H1538" t="s">
        <v>1143</v>
      </c>
      <c r="I1538" s="1">
        <v>37225</v>
      </c>
      <c r="J1538" s="1">
        <v>37320</v>
      </c>
      <c r="K1538" s="1">
        <v>37320</v>
      </c>
      <c r="L1538" s="1">
        <v>37320</v>
      </c>
      <c r="M1538" s="1">
        <v>37320</v>
      </c>
      <c r="N1538" s="1">
        <v>37392</v>
      </c>
      <c r="O1538" t="s">
        <v>1114</v>
      </c>
      <c r="P1538">
        <v>5</v>
      </c>
      <c r="Q1538" t="s">
        <v>2620</v>
      </c>
      <c r="R1538">
        <f t="shared" si="47"/>
        <v>20</v>
      </c>
      <c r="S1538">
        <f t="shared" si="48"/>
        <v>1</v>
      </c>
    </row>
    <row r="1539" spans="1:19" x14ac:dyDescent="0.25">
      <c r="A1539" t="s">
        <v>2660</v>
      </c>
      <c r="B1539" t="s">
        <v>1199</v>
      </c>
      <c r="C1539">
        <v>2</v>
      </c>
      <c r="D1539">
        <v>565</v>
      </c>
      <c r="E1539">
        <v>0</v>
      </c>
      <c r="F1539">
        <v>9</v>
      </c>
      <c r="G1539">
        <v>9</v>
      </c>
      <c r="H1539" t="s">
        <v>2661</v>
      </c>
      <c r="I1539" s="1">
        <v>37201</v>
      </c>
      <c r="J1539" s="1">
        <v>37333</v>
      </c>
      <c r="K1539" s="1">
        <v>37359</v>
      </c>
      <c r="L1539" s="1">
        <v>37359</v>
      </c>
      <c r="M1539" s="1">
        <v>37353</v>
      </c>
      <c r="N1539" s="1">
        <v>37353</v>
      </c>
      <c r="O1539" t="s">
        <v>1117</v>
      </c>
      <c r="P1539">
        <v>6</v>
      </c>
      <c r="Q1539" t="s">
        <v>2662</v>
      </c>
      <c r="R1539">
        <f t="shared" ref="R1539:R1602" si="49">WEEKNUM(N1539,1)</f>
        <v>15</v>
      </c>
      <c r="S1539">
        <f t="shared" ref="S1539:S1602" si="50">IF(AND(F1539=G1539, M1539&lt;=N1539), 1,0)</f>
        <v>1</v>
      </c>
    </row>
    <row r="1540" spans="1:19" x14ac:dyDescent="0.25">
      <c r="A1540" t="s">
        <v>2663</v>
      </c>
      <c r="B1540" t="s">
        <v>4028</v>
      </c>
      <c r="C1540">
        <v>2.2999999999999998</v>
      </c>
      <c r="D1540">
        <v>565</v>
      </c>
      <c r="E1540">
        <v>0</v>
      </c>
      <c r="F1540">
        <v>28</v>
      </c>
      <c r="G1540">
        <v>28</v>
      </c>
      <c r="H1540" t="s">
        <v>2661</v>
      </c>
      <c r="I1540" s="1">
        <v>37201</v>
      </c>
      <c r="J1540" s="1">
        <v>37333</v>
      </c>
      <c r="K1540" s="1">
        <v>37339</v>
      </c>
      <c r="L1540" s="1">
        <v>37339</v>
      </c>
      <c r="M1540" s="1">
        <v>37339</v>
      </c>
      <c r="N1540" s="1">
        <v>37346</v>
      </c>
      <c r="O1540" t="s">
        <v>1117</v>
      </c>
      <c r="P1540">
        <v>5</v>
      </c>
      <c r="Q1540" t="s">
        <v>2662</v>
      </c>
      <c r="R1540">
        <f t="shared" si="49"/>
        <v>14</v>
      </c>
      <c r="S1540">
        <f t="shared" si="50"/>
        <v>1</v>
      </c>
    </row>
    <row r="1541" spans="1:19" x14ac:dyDescent="0.25">
      <c r="A1541" t="s">
        <v>2664</v>
      </c>
      <c r="B1541" t="s">
        <v>4028</v>
      </c>
      <c r="C1541">
        <v>2.2999999999999998</v>
      </c>
      <c r="D1541">
        <v>535</v>
      </c>
      <c r="E1541">
        <v>0</v>
      </c>
      <c r="F1541">
        <v>26</v>
      </c>
      <c r="G1541">
        <v>26</v>
      </c>
      <c r="H1541" t="s">
        <v>2661</v>
      </c>
      <c r="I1541" s="1">
        <v>37201</v>
      </c>
      <c r="J1541" s="1">
        <v>37333</v>
      </c>
      <c r="K1541" s="1">
        <v>37338</v>
      </c>
      <c r="L1541" s="1">
        <v>37338</v>
      </c>
      <c r="M1541" s="1">
        <v>37338</v>
      </c>
      <c r="N1541" s="1">
        <v>37339</v>
      </c>
      <c r="O1541" t="s">
        <v>1117</v>
      </c>
      <c r="P1541">
        <v>4</v>
      </c>
      <c r="Q1541" t="s">
        <v>2662</v>
      </c>
      <c r="R1541">
        <f t="shared" si="49"/>
        <v>13</v>
      </c>
      <c r="S1541">
        <f t="shared" si="50"/>
        <v>1</v>
      </c>
    </row>
    <row r="1542" spans="1:19" x14ac:dyDescent="0.25">
      <c r="A1542" t="s">
        <v>2665</v>
      </c>
      <c r="B1542" t="s">
        <v>1199</v>
      </c>
      <c r="C1542">
        <v>2.5</v>
      </c>
      <c r="D1542">
        <v>357</v>
      </c>
      <c r="E1542">
        <v>0</v>
      </c>
      <c r="F1542">
        <v>6</v>
      </c>
      <c r="G1542">
        <v>6</v>
      </c>
      <c r="H1542" t="s">
        <v>2661</v>
      </c>
      <c r="I1542" s="1">
        <v>37189</v>
      </c>
      <c r="J1542" s="1">
        <v>37328</v>
      </c>
      <c r="K1542" s="1">
        <v>37339</v>
      </c>
      <c r="L1542" s="1">
        <v>37339</v>
      </c>
      <c r="M1542" s="1">
        <v>37332</v>
      </c>
      <c r="N1542" s="1">
        <v>37332</v>
      </c>
      <c r="O1542" t="s">
        <v>1117</v>
      </c>
      <c r="P1542">
        <v>3</v>
      </c>
      <c r="Q1542" t="s">
        <v>2662</v>
      </c>
      <c r="R1542">
        <f t="shared" si="49"/>
        <v>12</v>
      </c>
      <c r="S1542">
        <f t="shared" si="50"/>
        <v>1</v>
      </c>
    </row>
    <row r="1543" spans="1:19" x14ac:dyDescent="0.25">
      <c r="A1543" t="s">
        <v>2666</v>
      </c>
      <c r="B1543" t="s">
        <v>1199</v>
      </c>
      <c r="C1543">
        <v>4</v>
      </c>
      <c r="D1543">
        <v>392</v>
      </c>
      <c r="E1543">
        <v>0</v>
      </c>
      <c r="F1543">
        <v>12</v>
      </c>
      <c r="G1543">
        <v>12</v>
      </c>
      <c r="H1543" t="s">
        <v>2661</v>
      </c>
      <c r="I1543" s="1">
        <v>37134</v>
      </c>
      <c r="J1543" s="1">
        <v>37320</v>
      </c>
      <c r="K1543" s="1">
        <v>37327</v>
      </c>
      <c r="L1543" s="1">
        <v>37327</v>
      </c>
      <c r="M1543" s="1">
        <v>37325</v>
      </c>
      <c r="N1543" s="1">
        <v>37325</v>
      </c>
      <c r="O1543" t="s">
        <v>1117</v>
      </c>
      <c r="P1543">
        <v>1</v>
      </c>
      <c r="Q1543" t="s">
        <v>2662</v>
      </c>
      <c r="R1543">
        <f t="shared" si="49"/>
        <v>11</v>
      </c>
      <c r="S1543">
        <f t="shared" si="50"/>
        <v>1</v>
      </c>
    </row>
    <row r="1544" spans="1:19" x14ac:dyDescent="0.25">
      <c r="A1544" t="s">
        <v>2667</v>
      </c>
      <c r="B1544" t="s">
        <v>1199</v>
      </c>
      <c r="C1544">
        <v>2.5</v>
      </c>
      <c r="D1544">
        <v>568</v>
      </c>
      <c r="E1544">
        <v>0</v>
      </c>
      <c r="F1544">
        <v>9</v>
      </c>
      <c r="G1544">
        <v>9</v>
      </c>
      <c r="H1544" t="s">
        <v>2661</v>
      </c>
      <c r="I1544" s="1">
        <v>37189</v>
      </c>
      <c r="J1544" s="1">
        <v>37328</v>
      </c>
      <c r="K1544" s="1">
        <v>37339</v>
      </c>
      <c r="L1544" s="1">
        <v>37339</v>
      </c>
      <c r="M1544" s="1">
        <v>37332</v>
      </c>
      <c r="N1544" s="1">
        <v>37332</v>
      </c>
      <c r="O1544" t="s">
        <v>1117</v>
      </c>
      <c r="P1544">
        <v>1</v>
      </c>
      <c r="Q1544" t="s">
        <v>2662</v>
      </c>
      <c r="R1544">
        <f t="shared" si="49"/>
        <v>12</v>
      </c>
      <c r="S1544">
        <f t="shared" si="50"/>
        <v>1</v>
      </c>
    </row>
    <row r="1545" spans="1:19" x14ac:dyDescent="0.25">
      <c r="A1545" t="s">
        <v>2668</v>
      </c>
      <c r="B1545" t="s">
        <v>3521</v>
      </c>
      <c r="C1545">
        <v>2.5</v>
      </c>
      <c r="D1545">
        <v>1250</v>
      </c>
      <c r="E1545">
        <v>0</v>
      </c>
      <c r="F1545">
        <v>42</v>
      </c>
      <c r="G1545">
        <v>42</v>
      </c>
      <c r="H1545" t="s">
        <v>2661</v>
      </c>
      <c r="I1545" s="1">
        <v>37189</v>
      </c>
      <c r="J1545" s="1">
        <v>37329</v>
      </c>
      <c r="K1545" s="1">
        <v>37329</v>
      </c>
      <c r="L1545" s="1">
        <v>37329</v>
      </c>
      <c r="M1545" s="1">
        <v>37329</v>
      </c>
      <c r="N1545" s="1">
        <v>37330</v>
      </c>
      <c r="O1545" t="s">
        <v>1114</v>
      </c>
      <c r="P1545">
        <v>1</v>
      </c>
      <c r="Q1545" t="s">
        <v>2662</v>
      </c>
      <c r="R1545">
        <f t="shared" si="49"/>
        <v>11</v>
      </c>
      <c r="S1545">
        <f t="shared" si="50"/>
        <v>1</v>
      </c>
    </row>
    <row r="1546" spans="1:19" x14ac:dyDescent="0.25">
      <c r="A1546" t="s">
        <v>2669</v>
      </c>
      <c r="B1546" t="s">
        <v>1199</v>
      </c>
      <c r="C1546">
        <v>4</v>
      </c>
      <c r="D1546">
        <v>466</v>
      </c>
      <c r="E1546">
        <v>0</v>
      </c>
      <c r="F1546">
        <v>8</v>
      </c>
      <c r="G1546">
        <v>8</v>
      </c>
      <c r="H1546" t="s">
        <v>2661</v>
      </c>
      <c r="I1546" s="1">
        <v>37134</v>
      </c>
      <c r="J1546" s="1">
        <v>37325</v>
      </c>
      <c r="K1546" s="1">
        <v>37328</v>
      </c>
      <c r="L1546" s="1">
        <v>37328</v>
      </c>
      <c r="M1546" s="1">
        <v>37327</v>
      </c>
      <c r="N1546" s="1">
        <v>37327</v>
      </c>
      <c r="O1546" t="s">
        <v>1117</v>
      </c>
      <c r="P1546">
        <v>2</v>
      </c>
      <c r="Q1546" t="s">
        <v>2662</v>
      </c>
      <c r="R1546">
        <f t="shared" si="49"/>
        <v>11</v>
      </c>
      <c r="S1546">
        <f t="shared" si="50"/>
        <v>1</v>
      </c>
    </row>
    <row r="1547" spans="1:19" x14ac:dyDescent="0.25">
      <c r="A1547" t="s">
        <v>2670</v>
      </c>
      <c r="B1547" t="s">
        <v>4027</v>
      </c>
      <c r="C1547">
        <v>2.5</v>
      </c>
      <c r="D1547">
        <v>330</v>
      </c>
      <c r="E1547">
        <v>0</v>
      </c>
      <c r="F1547">
        <v>6</v>
      </c>
      <c r="G1547">
        <v>6</v>
      </c>
      <c r="H1547" t="s">
        <v>2661</v>
      </c>
      <c r="I1547" s="1">
        <v>37189</v>
      </c>
      <c r="J1547" s="1">
        <v>37328</v>
      </c>
      <c r="K1547" s="1">
        <v>37339</v>
      </c>
      <c r="L1547" s="1">
        <v>37339</v>
      </c>
      <c r="M1547" s="1">
        <v>37332</v>
      </c>
      <c r="N1547" s="1">
        <v>37332</v>
      </c>
      <c r="O1547" t="s">
        <v>1117</v>
      </c>
      <c r="P1547">
        <v>2</v>
      </c>
      <c r="Q1547" t="s">
        <v>2662</v>
      </c>
      <c r="R1547">
        <f t="shared" si="49"/>
        <v>12</v>
      </c>
      <c r="S1547">
        <f t="shared" si="50"/>
        <v>1</v>
      </c>
    </row>
    <row r="1548" spans="1:19" x14ac:dyDescent="0.25">
      <c r="A1548" t="s">
        <v>2671</v>
      </c>
      <c r="B1548" t="s">
        <v>1199</v>
      </c>
      <c r="C1548">
        <v>2.5</v>
      </c>
      <c r="D1548">
        <v>1250</v>
      </c>
      <c r="E1548">
        <v>0</v>
      </c>
      <c r="F1548">
        <v>42</v>
      </c>
      <c r="G1548">
        <v>42</v>
      </c>
      <c r="H1548" t="s">
        <v>2661</v>
      </c>
      <c r="I1548" s="1">
        <v>37189</v>
      </c>
      <c r="J1548" s="1">
        <v>37329</v>
      </c>
      <c r="K1548" s="1">
        <v>37329</v>
      </c>
      <c r="L1548" s="1">
        <v>37329</v>
      </c>
      <c r="M1548" s="1">
        <v>37329</v>
      </c>
      <c r="N1548" s="1">
        <v>37330</v>
      </c>
      <c r="O1548" t="s">
        <v>1114</v>
      </c>
      <c r="P1548">
        <v>1</v>
      </c>
      <c r="Q1548" t="s">
        <v>2662</v>
      </c>
      <c r="R1548">
        <f t="shared" si="49"/>
        <v>11</v>
      </c>
      <c r="S1548">
        <f t="shared" si="50"/>
        <v>1</v>
      </c>
    </row>
    <row r="1549" spans="1:19" x14ac:dyDescent="0.25">
      <c r="A1549" t="s">
        <v>2672</v>
      </c>
      <c r="B1549" t="s">
        <v>4026</v>
      </c>
      <c r="C1549">
        <v>2</v>
      </c>
      <c r="D1549">
        <v>600</v>
      </c>
      <c r="E1549">
        <v>0</v>
      </c>
      <c r="F1549">
        <v>30</v>
      </c>
      <c r="G1549">
        <v>30</v>
      </c>
      <c r="H1549" t="s">
        <v>2661</v>
      </c>
      <c r="I1549" s="1">
        <v>37201</v>
      </c>
      <c r="J1549" s="1">
        <v>37309</v>
      </c>
      <c r="K1549" s="1">
        <v>37360</v>
      </c>
      <c r="L1549" s="1">
        <v>37360</v>
      </c>
      <c r="M1549" s="1">
        <v>37358</v>
      </c>
      <c r="N1549" s="1">
        <v>37360</v>
      </c>
      <c r="O1549" t="s">
        <v>1117</v>
      </c>
      <c r="P1549">
        <v>14</v>
      </c>
      <c r="Q1549" t="s">
        <v>2662</v>
      </c>
      <c r="R1549">
        <f t="shared" si="49"/>
        <v>16</v>
      </c>
      <c r="S1549">
        <f t="shared" si="50"/>
        <v>1</v>
      </c>
    </row>
    <row r="1550" spans="1:19" x14ac:dyDescent="0.25">
      <c r="A1550" t="s">
        <v>2673</v>
      </c>
      <c r="B1550" t="s">
        <v>1199</v>
      </c>
      <c r="C1550">
        <v>2.5</v>
      </c>
      <c r="D1550">
        <v>330</v>
      </c>
      <c r="E1550">
        <v>0</v>
      </c>
      <c r="F1550">
        <v>6</v>
      </c>
      <c r="G1550">
        <v>6</v>
      </c>
      <c r="H1550" t="s">
        <v>2661</v>
      </c>
      <c r="I1550" s="1">
        <v>37189</v>
      </c>
      <c r="J1550" s="1">
        <v>37328</v>
      </c>
      <c r="K1550" s="1">
        <v>37339</v>
      </c>
      <c r="L1550" s="1">
        <v>37339</v>
      </c>
      <c r="M1550" s="1">
        <v>37332</v>
      </c>
      <c r="N1550" s="1">
        <v>37332</v>
      </c>
      <c r="O1550" t="s">
        <v>1117</v>
      </c>
      <c r="P1550">
        <v>2</v>
      </c>
      <c r="Q1550" t="s">
        <v>2662</v>
      </c>
      <c r="R1550">
        <f t="shared" si="49"/>
        <v>12</v>
      </c>
      <c r="S1550">
        <f t="shared" si="50"/>
        <v>1</v>
      </c>
    </row>
    <row r="1551" spans="1:19" x14ac:dyDescent="0.25">
      <c r="A1551" t="s">
        <v>2674</v>
      </c>
      <c r="B1551" t="s">
        <v>1199</v>
      </c>
      <c r="C1551">
        <v>2.5</v>
      </c>
      <c r="D1551">
        <v>330</v>
      </c>
      <c r="E1551">
        <v>0</v>
      </c>
      <c r="F1551">
        <v>6</v>
      </c>
      <c r="G1551">
        <v>6</v>
      </c>
      <c r="H1551" t="s">
        <v>2661</v>
      </c>
      <c r="I1551" s="1">
        <v>37192</v>
      </c>
      <c r="J1551" s="1">
        <v>37328</v>
      </c>
      <c r="K1551" s="1">
        <v>37339</v>
      </c>
      <c r="L1551" s="1">
        <v>37339</v>
      </c>
      <c r="M1551" s="1">
        <v>37332</v>
      </c>
      <c r="N1551" s="1">
        <v>37332</v>
      </c>
      <c r="O1551" t="s">
        <v>1117</v>
      </c>
      <c r="P1551">
        <v>2</v>
      </c>
      <c r="Q1551" t="s">
        <v>2662</v>
      </c>
      <c r="R1551">
        <f t="shared" si="49"/>
        <v>12</v>
      </c>
      <c r="S1551">
        <f t="shared" si="50"/>
        <v>1</v>
      </c>
    </row>
    <row r="1552" spans="1:19" x14ac:dyDescent="0.25">
      <c r="A1552" t="s">
        <v>2675</v>
      </c>
      <c r="B1552" t="s">
        <v>4028</v>
      </c>
      <c r="C1552">
        <v>2</v>
      </c>
      <c r="D1552">
        <v>510</v>
      </c>
      <c r="E1552">
        <v>0</v>
      </c>
      <c r="F1552">
        <v>18</v>
      </c>
      <c r="G1552">
        <v>18</v>
      </c>
      <c r="H1552" t="s">
        <v>2661</v>
      </c>
      <c r="I1552" s="1">
        <v>37201</v>
      </c>
      <c r="J1552" s="1">
        <v>37334</v>
      </c>
      <c r="K1552" s="1">
        <v>37345</v>
      </c>
      <c r="L1552" s="1">
        <v>37345</v>
      </c>
      <c r="M1552" s="1">
        <v>37345</v>
      </c>
      <c r="N1552" s="1">
        <v>37360</v>
      </c>
      <c r="O1552" t="s">
        <v>1117</v>
      </c>
      <c r="P1552">
        <v>17</v>
      </c>
      <c r="Q1552" t="s">
        <v>2662</v>
      </c>
      <c r="R1552">
        <f t="shared" si="49"/>
        <v>16</v>
      </c>
      <c r="S1552">
        <f t="shared" si="50"/>
        <v>1</v>
      </c>
    </row>
    <row r="1553" spans="1:19" x14ac:dyDescent="0.25">
      <c r="A1553" t="s">
        <v>2676</v>
      </c>
      <c r="B1553" t="s">
        <v>1199</v>
      </c>
      <c r="C1553">
        <v>2</v>
      </c>
      <c r="D1553">
        <v>580</v>
      </c>
      <c r="E1553">
        <v>0</v>
      </c>
      <c r="F1553">
        <v>29</v>
      </c>
      <c r="G1553">
        <v>29</v>
      </c>
      <c r="H1553" t="s">
        <v>2661</v>
      </c>
      <c r="I1553" s="1">
        <v>37201</v>
      </c>
      <c r="J1553" s="1">
        <v>37334</v>
      </c>
      <c r="K1553" s="1">
        <v>37353</v>
      </c>
      <c r="L1553" s="1">
        <v>37353</v>
      </c>
      <c r="M1553" s="1">
        <v>37353</v>
      </c>
      <c r="N1553" s="1">
        <v>37360</v>
      </c>
      <c r="O1553" t="s">
        <v>1117</v>
      </c>
      <c r="P1553">
        <v>18</v>
      </c>
      <c r="Q1553" t="s">
        <v>2662</v>
      </c>
      <c r="R1553">
        <f t="shared" si="49"/>
        <v>16</v>
      </c>
      <c r="S1553">
        <f t="shared" si="50"/>
        <v>1</v>
      </c>
    </row>
    <row r="1554" spans="1:19" x14ac:dyDescent="0.25">
      <c r="A1554" t="s">
        <v>2677</v>
      </c>
      <c r="B1554" t="s">
        <v>1199</v>
      </c>
      <c r="C1554">
        <v>2.5</v>
      </c>
      <c r="D1554">
        <v>357</v>
      </c>
      <c r="E1554">
        <v>0</v>
      </c>
      <c r="F1554">
        <v>6</v>
      </c>
      <c r="G1554">
        <v>6</v>
      </c>
      <c r="H1554" t="s">
        <v>2661</v>
      </c>
      <c r="I1554" s="1">
        <v>37192</v>
      </c>
      <c r="J1554" s="1">
        <v>37328</v>
      </c>
      <c r="K1554" s="1">
        <v>37339</v>
      </c>
      <c r="L1554" s="1">
        <v>37339</v>
      </c>
      <c r="M1554" s="1">
        <v>37332</v>
      </c>
      <c r="N1554" s="1">
        <v>37332</v>
      </c>
      <c r="O1554" t="s">
        <v>1117</v>
      </c>
      <c r="P1554">
        <v>3</v>
      </c>
      <c r="Q1554" t="s">
        <v>2662</v>
      </c>
      <c r="R1554">
        <f t="shared" si="49"/>
        <v>12</v>
      </c>
      <c r="S1554">
        <f t="shared" si="50"/>
        <v>1</v>
      </c>
    </row>
    <row r="1555" spans="1:19" x14ac:dyDescent="0.25">
      <c r="A1555" t="s">
        <v>2678</v>
      </c>
      <c r="B1555" t="s">
        <v>1199</v>
      </c>
      <c r="C1555">
        <v>2.5</v>
      </c>
      <c r="D1555">
        <v>1250</v>
      </c>
      <c r="E1555">
        <v>0</v>
      </c>
      <c r="F1555">
        <v>42</v>
      </c>
      <c r="G1555">
        <v>42</v>
      </c>
      <c r="H1555" t="s">
        <v>2661</v>
      </c>
      <c r="I1555" s="1">
        <v>37189</v>
      </c>
      <c r="J1555" s="1">
        <v>37330</v>
      </c>
      <c r="K1555" s="1">
        <v>37330</v>
      </c>
      <c r="L1555" s="1">
        <v>37330</v>
      </c>
      <c r="M1555" s="1">
        <v>37330</v>
      </c>
      <c r="N1555" s="1">
        <v>37330</v>
      </c>
      <c r="O1555" t="s">
        <v>1114</v>
      </c>
      <c r="P1555">
        <v>1</v>
      </c>
      <c r="Q1555" t="s">
        <v>2662</v>
      </c>
      <c r="R1555">
        <f t="shared" si="49"/>
        <v>11</v>
      </c>
      <c r="S1555">
        <f t="shared" si="50"/>
        <v>1</v>
      </c>
    </row>
    <row r="1556" spans="1:19" x14ac:dyDescent="0.25">
      <c r="A1556" t="s">
        <v>2679</v>
      </c>
      <c r="B1556" t="s">
        <v>1199</v>
      </c>
      <c r="C1556">
        <v>2</v>
      </c>
      <c r="D1556">
        <v>590</v>
      </c>
      <c r="E1556">
        <v>0</v>
      </c>
      <c r="F1556">
        <v>20</v>
      </c>
      <c r="G1556">
        <v>20</v>
      </c>
      <c r="H1556" t="s">
        <v>2661</v>
      </c>
      <c r="I1556" s="1">
        <v>37291</v>
      </c>
      <c r="J1556" s="1">
        <v>37332</v>
      </c>
      <c r="K1556" s="1">
        <v>37360</v>
      </c>
      <c r="L1556" s="1">
        <v>37360</v>
      </c>
      <c r="M1556" s="1">
        <v>37360</v>
      </c>
      <c r="N1556" s="1">
        <v>37360</v>
      </c>
      <c r="O1556" t="s">
        <v>1117</v>
      </c>
      <c r="P1556">
        <v>8</v>
      </c>
      <c r="Q1556" t="s">
        <v>2662</v>
      </c>
      <c r="R1556">
        <f t="shared" si="49"/>
        <v>16</v>
      </c>
      <c r="S1556">
        <f t="shared" si="50"/>
        <v>1</v>
      </c>
    </row>
    <row r="1557" spans="1:19" x14ac:dyDescent="0.25">
      <c r="A1557" t="s">
        <v>2680</v>
      </c>
      <c r="B1557" t="s">
        <v>1199</v>
      </c>
      <c r="C1557">
        <v>2</v>
      </c>
      <c r="D1557">
        <v>550</v>
      </c>
      <c r="E1557">
        <v>0</v>
      </c>
      <c r="F1557">
        <v>27</v>
      </c>
      <c r="G1557">
        <v>27</v>
      </c>
      <c r="H1557" t="s">
        <v>2661</v>
      </c>
      <c r="I1557" s="1">
        <v>37201</v>
      </c>
      <c r="J1557" s="1">
        <v>37314</v>
      </c>
      <c r="K1557" s="1">
        <v>37345</v>
      </c>
      <c r="L1557" s="1">
        <v>37345</v>
      </c>
      <c r="M1557" s="1">
        <v>37345</v>
      </c>
      <c r="N1557" s="1">
        <v>37360</v>
      </c>
      <c r="O1557" t="s">
        <v>1117</v>
      </c>
      <c r="P1557">
        <v>16</v>
      </c>
      <c r="Q1557" t="s">
        <v>2662</v>
      </c>
      <c r="R1557">
        <f t="shared" si="49"/>
        <v>16</v>
      </c>
      <c r="S1557">
        <f t="shared" si="50"/>
        <v>1</v>
      </c>
    </row>
    <row r="1558" spans="1:19" x14ac:dyDescent="0.25">
      <c r="A1558" t="s">
        <v>2681</v>
      </c>
      <c r="B1558" t="s">
        <v>1199</v>
      </c>
      <c r="C1558">
        <v>2</v>
      </c>
      <c r="D1558">
        <v>525</v>
      </c>
      <c r="E1558">
        <v>0</v>
      </c>
      <c r="F1558">
        <v>25</v>
      </c>
      <c r="G1558">
        <v>25</v>
      </c>
      <c r="H1558" t="s">
        <v>2661</v>
      </c>
      <c r="I1558" s="1">
        <v>37192</v>
      </c>
      <c r="J1558" s="1">
        <v>37334</v>
      </c>
      <c r="K1558" s="1">
        <v>37345</v>
      </c>
      <c r="L1558" s="1">
        <v>37345</v>
      </c>
      <c r="M1558" s="1">
        <v>37345</v>
      </c>
      <c r="N1558" s="1">
        <v>37360</v>
      </c>
      <c r="O1558" t="s">
        <v>1117</v>
      </c>
      <c r="P1558">
        <v>19</v>
      </c>
      <c r="Q1558" t="s">
        <v>2662</v>
      </c>
      <c r="R1558">
        <f t="shared" si="49"/>
        <v>16</v>
      </c>
      <c r="S1558">
        <f t="shared" si="50"/>
        <v>1</v>
      </c>
    </row>
    <row r="1559" spans="1:19" x14ac:dyDescent="0.25">
      <c r="A1559" t="s">
        <v>2682</v>
      </c>
      <c r="B1559" t="s">
        <v>4028</v>
      </c>
      <c r="C1559">
        <v>2.95</v>
      </c>
      <c r="D1559">
        <v>1250</v>
      </c>
      <c r="E1559">
        <v>0</v>
      </c>
      <c r="F1559">
        <v>21</v>
      </c>
      <c r="G1559">
        <v>21</v>
      </c>
      <c r="H1559" t="s">
        <v>2661</v>
      </c>
      <c r="I1559" s="1">
        <v>37122</v>
      </c>
      <c r="J1559" s="1">
        <v>37346</v>
      </c>
      <c r="K1559" s="1">
        <v>37346</v>
      </c>
      <c r="L1559" s="1">
        <v>37346</v>
      </c>
      <c r="M1559" s="1">
        <v>37346</v>
      </c>
      <c r="N1559" s="1">
        <v>37360</v>
      </c>
      <c r="O1559" t="s">
        <v>1114</v>
      </c>
      <c r="P1559">
        <v>7</v>
      </c>
      <c r="Q1559" t="s">
        <v>2662</v>
      </c>
      <c r="R1559">
        <f t="shared" si="49"/>
        <v>16</v>
      </c>
      <c r="S1559">
        <f t="shared" si="50"/>
        <v>1</v>
      </c>
    </row>
    <row r="1560" spans="1:19" x14ac:dyDescent="0.25">
      <c r="A1560" t="s">
        <v>2683</v>
      </c>
      <c r="B1560" t="s">
        <v>1199</v>
      </c>
      <c r="C1560">
        <v>3</v>
      </c>
      <c r="D1560">
        <v>1250</v>
      </c>
      <c r="E1560">
        <v>0</v>
      </c>
      <c r="F1560">
        <v>6</v>
      </c>
      <c r="G1560">
        <v>6</v>
      </c>
      <c r="H1560" t="s">
        <v>2661</v>
      </c>
      <c r="I1560" s="1">
        <v>37122</v>
      </c>
      <c r="J1560" s="1">
        <v>37319</v>
      </c>
      <c r="K1560" s="1">
        <v>37318</v>
      </c>
      <c r="L1560" s="1">
        <v>37319</v>
      </c>
      <c r="M1560" s="1">
        <v>37321</v>
      </c>
      <c r="N1560" s="1">
        <v>37353</v>
      </c>
      <c r="O1560" t="s">
        <v>1114</v>
      </c>
      <c r="P1560">
        <v>4</v>
      </c>
      <c r="Q1560" t="s">
        <v>2662</v>
      </c>
      <c r="R1560">
        <f t="shared" si="49"/>
        <v>15</v>
      </c>
      <c r="S1560">
        <f t="shared" si="50"/>
        <v>1</v>
      </c>
    </row>
    <row r="1561" spans="1:19" x14ac:dyDescent="0.25">
      <c r="A1561" t="s">
        <v>2684</v>
      </c>
      <c r="B1561" t="s">
        <v>4027</v>
      </c>
      <c r="C1561">
        <v>2</v>
      </c>
      <c r="D1561">
        <v>600</v>
      </c>
      <c r="E1561">
        <v>0</v>
      </c>
      <c r="F1561">
        <v>30</v>
      </c>
      <c r="G1561">
        <v>30</v>
      </c>
      <c r="H1561" t="s">
        <v>2661</v>
      </c>
      <c r="I1561" s="1">
        <v>37201</v>
      </c>
      <c r="J1561" s="1">
        <v>37334</v>
      </c>
      <c r="K1561" s="1">
        <v>37353</v>
      </c>
      <c r="L1561" s="1">
        <v>37353</v>
      </c>
      <c r="M1561" s="1">
        <v>37353</v>
      </c>
      <c r="N1561" s="1">
        <v>37360</v>
      </c>
      <c r="O1561" t="s">
        <v>1117</v>
      </c>
      <c r="P1561">
        <v>14</v>
      </c>
      <c r="Q1561" t="s">
        <v>2662</v>
      </c>
      <c r="R1561">
        <f t="shared" si="49"/>
        <v>16</v>
      </c>
      <c r="S1561">
        <f t="shared" si="50"/>
        <v>1</v>
      </c>
    </row>
    <row r="1562" spans="1:19" x14ac:dyDescent="0.25">
      <c r="A1562" t="s">
        <v>2685</v>
      </c>
      <c r="B1562" t="s">
        <v>1199</v>
      </c>
      <c r="C1562">
        <v>2</v>
      </c>
      <c r="D1562">
        <v>650</v>
      </c>
      <c r="E1562">
        <v>0</v>
      </c>
      <c r="F1562">
        <v>20</v>
      </c>
      <c r="G1562">
        <v>20</v>
      </c>
      <c r="H1562" t="s">
        <v>2661</v>
      </c>
      <c r="I1562" s="1">
        <v>37201</v>
      </c>
      <c r="J1562" s="1">
        <v>37334</v>
      </c>
      <c r="K1562" s="1">
        <v>37352</v>
      </c>
      <c r="L1562" s="1">
        <v>37352</v>
      </c>
      <c r="M1562" s="1">
        <v>37345</v>
      </c>
      <c r="N1562" s="1">
        <v>37346</v>
      </c>
      <c r="O1562" t="s">
        <v>1117</v>
      </c>
      <c r="P1562">
        <v>13</v>
      </c>
      <c r="Q1562" t="s">
        <v>2662</v>
      </c>
      <c r="R1562">
        <f t="shared" si="49"/>
        <v>14</v>
      </c>
      <c r="S1562">
        <f t="shared" si="50"/>
        <v>1</v>
      </c>
    </row>
    <row r="1563" spans="1:19" x14ac:dyDescent="0.25">
      <c r="A1563" t="s">
        <v>2686</v>
      </c>
      <c r="B1563" t="s">
        <v>4028</v>
      </c>
      <c r="C1563">
        <v>2.2999999999999998</v>
      </c>
      <c r="D1563">
        <v>460</v>
      </c>
      <c r="E1563">
        <v>0</v>
      </c>
      <c r="F1563">
        <v>18</v>
      </c>
      <c r="G1563">
        <v>18</v>
      </c>
      <c r="H1563" t="s">
        <v>2661</v>
      </c>
      <c r="I1563" s="1">
        <v>37201</v>
      </c>
      <c r="J1563" s="1">
        <v>37333</v>
      </c>
      <c r="K1563" s="1">
        <v>37337</v>
      </c>
      <c r="L1563" s="1">
        <v>37337</v>
      </c>
      <c r="M1563" s="1">
        <v>37337</v>
      </c>
      <c r="N1563" s="1">
        <v>37353</v>
      </c>
      <c r="O1563" t="s">
        <v>1117</v>
      </c>
      <c r="P1563">
        <v>2</v>
      </c>
      <c r="Q1563" t="s">
        <v>2662</v>
      </c>
      <c r="R1563">
        <f t="shared" si="49"/>
        <v>15</v>
      </c>
      <c r="S1563">
        <f t="shared" si="50"/>
        <v>1</v>
      </c>
    </row>
    <row r="1564" spans="1:19" x14ac:dyDescent="0.25">
      <c r="A1564" t="s">
        <v>2687</v>
      </c>
      <c r="B1564" t="s">
        <v>1199</v>
      </c>
      <c r="C1564">
        <v>2</v>
      </c>
      <c r="D1564">
        <v>555</v>
      </c>
      <c r="E1564">
        <v>0</v>
      </c>
      <c r="F1564">
        <v>27</v>
      </c>
      <c r="G1564">
        <v>27</v>
      </c>
      <c r="H1564" t="s">
        <v>2661</v>
      </c>
      <c r="I1564" s="1">
        <v>37201</v>
      </c>
      <c r="J1564" s="1">
        <v>37309</v>
      </c>
      <c r="K1564" s="1">
        <v>37336</v>
      </c>
      <c r="L1564" s="1">
        <v>37336</v>
      </c>
      <c r="M1564" s="1">
        <v>37336</v>
      </c>
      <c r="N1564" s="1">
        <v>37360</v>
      </c>
      <c r="O1564" t="s">
        <v>1117</v>
      </c>
      <c r="P1564">
        <v>20</v>
      </c>
      <c r="Q1564" t="s">
        <v>2662</v>
      </c>
      <c r="R1564">
        <f t="shared" si="49"/>
        <v>16</v>
      </c>
      <c r="S1564">
        <f t="shared" si="50"/>
        <v>1</v>
      </c>
    </row>
    <row r="1565" spans="1:19" x14ac:dyDescent="0.25">
      <c r="A1565" t="s">
        <v>2688</v>
      </c>
      <c r="B1565" t="s">
        <v>1199</v>
      </c>
      <c r="C1565">
        <v>2</v>
      </c>
      <c r="D1565">
        <v>565</v>
      </c>
      <c r="E1565">
        <v>0</v>
      </c>
      <c r="F1565">
        <v>9</v>
      </c>
      <c r="G1565">
        <v>9</v>
      </c>
      <c r="H1565" t="s">
        <v>2661</v>
      </c>
      <c r="I1565" s="1">
        <v>37201</v>
      </c>
      <c r="J1565" s="1">
        <v>37333</v>
      </c>
      <c r="K1565" s="1">
        <v>37359</v>
      </c>
      <c r="L1565" s="1">
        <v>37359</v>
      </c>
      <c r="M1565" s="1">
        <v>37353</v>
      </c>
      <c r="N1565" s="1">
        <v>37353</v>
      </c>
      <c r="O1565" t="s">
        <v>1117</v>
      </c>
      <c r="P1565">
        <v>6</v>
      </c>
      <c r="Q1565" t="s">
        <v>2662</v>
      </c>
      <c r="R1565">
        <f t="shared" si="49"/>
        <v>15</v>
      </c>
      <c r="S1565">
        <f t="shared" si="50"/>
        <v>1</v>
      </c>
    </row>
    <row r="1566" spans="1:19" x14ac:dyDescent="0.25">
      <c r="A1566" t="s">
        <v>2689</v>
      </c>
      <c r="B1566" t="s">
        <v>1199</v>
      </c>
      <c r="C1566">
        <v>2</v>
      </c>
      <c r="D1566">
        <v>535</v>
      </c>
      <c r="E1566">
        <v>0</v>
      </c>
      <c r="F1566">
        <v>9</v>
      </c>
      <c r="G1566">
        <v>9</v>
      </c>
      <c r="H1566" t="s">
        <v>2661</v>
      </c>
      <c r="I1566" s="1">
        <v>37201</v>
      </c>
      <c r="J1566" s="1">
        <v>37315</v>
      </c>
      <c r="K1566" s="1">
        <v>37343</v>
      </c>
      <c r="L1566" s="1">
        <v>37343</v>
      </c>
      <c r="M1566" s="1">
        <v>37338</v>
      </c>
      <c r="N1566" s="1">
        <v>37353</v>
      </c>
      <c r="O1566" t="s">
        <v>1117</v>
      </c>
      <c r="P1566">
        <v>7</v>
      </c>
      <c r="Q1566" t="s">
        <v>2662</v>
      </c>
      <c r="R1566">
        <f t="shared" si="49"/>
        <v>15</v>
      </c>
      <c r="S1566">
        <f t="shared" si="50"/>
        <v>1</v>
      </c>
    </row>
    <row r="1567" spans="1:19" x14ac:dyDescent="0.25">
      <c r="A1567" t="s">
        <v>2690</v>
      </c>
      <c r="B1567" t="s">
        <v>1199</v>
      </c>
      <c r="C1567">
        <v>2.2999999999999998</v>
      </c>
      <c r="D1567">
        <v>640</v>
      </c>
      <c r="E1567">
        <v>0</v>
      </c>
      <c r="F1567">
        <v>20</v>
      </c>
      <c r="G1567">
        <v>20</v>
      </c>
      <c r="H1567" t="s">
        <v>2661</v>
      </c>
      <c r="I1567" s="1">
        <v>37201</v>
      </c>
      <c r="J1567" s="1">
        <v>37333</v>
      </c>
      <c r="K1567" t="s">
        <v>1124</v>
      </c>
      <c r="L1567" t="s">
        <v>1124</v>
      </c>
      <c r="M1567" s="1">
        <v>37337</v>
      </c>
      <c r="N1567" s="1">
        <v>37339</v>
      </c>
      <c r="O1567" t="s">
        <v>1117</v>
      </c>
      <c r="P1567">
        <v>3</v>
      </c>
      <c r="Q1567" t="s">
        <v>2662</v>
      </c>
      <c r="R1567">
        <f t="shared" si="49"/>
        <v>13</v>
      </c>
      <c r="S1567">
        <f t="shared" si="50"/>
        <v>1</v>
      </c>
    </row>
    <row r="1568" spans="1:19" x14ac:dyDescent="0.25">
      <c r="A1568" t="s">
        <v>2691</v>
      </c>
      <c r="B1568" t="s">
        <v>1199</v>
      </c>
      <c r="C1568">
        <v>2</v>
      </c>
      <c r="D1568">
        <v>590</v>
      </c>
      <c r="E1568">
        <v>0</v>
      </c>
      <c r="F1568">
        <v>20</v>
      </c>
      <c r="G1568">
        <v>20</v>
      </c>
      <c r="H1568" t="s">
        <v>2661</v>
      </c>
      <c r="I1568" s="1">
        <v>37201</v>
      </c>
      <c r="J1568" s="1">
        <v>37334</v>
      </c>
      <c r="K1568" s="1">
        <v>37353</v>
      </c>
      <c r="L1568" s="1">
        <v>37353</v>
      </c>
      <c r="M1568" s="1">
        <v>37353</v>
      </c>
      <c r="N1568" s="1">
        <v>37360</v>
      </c>
      <c r="O1568" t="s">
        <v>1117</v>
      </c>
      <c r="P1568">
        <v>8</v>
      </c>
      <c r="Q1568" t="s">
        <v>2662</v>
      </c>
      <c r="R1568">
        <f t="shared" si="49"/>
        <v>16</v>
      </c>
      <c r="S1568">
        <f t="shared" si="50"/>
        <v>1</v>
      </c>
    </row>
    <row r="1569" spans="1:19" x14ac:dyDescent="0.25">
      <c r="A1569" t="s">
        <v>2692</v>
      </c>
      <c r="B1569" t="s">
        <v>4028</v>
      </c>
      <c r="C1569">
        <v>2.2999999999999998</v>
      </c>
      <c r="D1569">
        <v>565</v>
      </c>
      <c r="E1569">
        <v>0</v>
      </c>
      <c r="F1569">
        <v>28</v>
      </c>
      <c r="G1569">
        <v>28</v>
      </c>
      <c r="H1569" t="s">
        <v>2661</v>
      </c>
      <c r="I1569" s="1">
        <v>37201</v>
      </c>
      <c r="J1569" s="1">
        <v>37333</v>
      </c>
      <c r="K1569" s="1">
        <v>37338</v>
      </c>
      <c r="L1569" s="1">
        <v>37338</v>
      </c>
      <c r="M1569" s="1">
        <v>37338</v>
      </c>
      <c r="N1569" s="1">
        <v>37346</v>
      </c>
      <c r="O1569" t="s">
        <v>1117</v>
      </c>
      <c r="P1569">
        <v>5</v>
      </c>
      <c r="Q1569" t="s">
        <v>2662</v>
      </c>
      <c r="R1569">
        <f t="shared" si="49"/>
        <v>14</v>
      </c>
      <c r="S1569">
        <f t="shared" si="50"/>
        <v>1</v>
      </c>
    </row>
    <row r="1570" spans="1:19" x14ac:dyDescent="0.25">
      <c r="A1570" t="s">
        <v>2693</v>
      </c>
      <c r="B1570" t="s">
        <v>1199</v>
      </c>
      <c r="C1570">
        <v>2.5</v>
      </c>
      <c r="D1570">
        <v>1250</v>
      </c>
      <c r="E1570">
        <v>0</v>
      </c>
      <c r="F1570">
        <v>29</v>
      </c>
      <c r="G1570">
        <v>29</v>
      </c>
      <c r="H1570" t="s">
        <v>2661</v>
      </c>
      <c r="I1570" s="1">
        <v>37126</v>
      </c>
      <c r="J1570" s="1">
        <v>37319</v>
      </c>
      <c r="K1570" s="1">
        <v>37320</v>
      </c>
      <c r="L1570" s="1">
        <v>37320</v>
      </c>
      <c r="M1570" s="1">
        <v>37324</v>
      </c>
      <c r="N1570" s="1">
        <v>37324</v>
      </c>
      <c r="O1570" t="s">
        <v>1117</v>
      </c>
      <c r="P1570">
        <v>5</v>
      </c>
      <c r="Q1570" t="s">
        <v>2662</v>
      </c>
      <c r="R1570">
        <f t="shared" si="49"/>
        <v>10</v>
      </c>
      <c r="S1570">
        <f t="shared" si="50"/>
        <v>1</v>
      </c>
    </row>
    <row r="1571" spans="1:19" x14ac:dyDescent="0.25">
      <c r="A1571" t="s">
        <v>2694</v>
      </c>
      <c r="B1571" t="s">
        <v>1199</v>
      </c>
      <c r="C1571">
        <v>3</v>
      </c>
      <c r="D1571">
        <v>1250</v>
      </c>
      <c r="E1571">
        <v>0</v>
      </c>
      <c r="F1571">
        <v>6</v>
      </c>
      <c r="G1571">
        <v>6</v>
      </c>
      <c r="H1571" t="s">
        <v>2661</v>
      </c>
      <c r="I1571" s="1">
        <v>37159</v>
      </c>
      <c r="J1571" s="1">
        <v>37325</v>
      </c>
      <c r="K1571" s="1">
        <v>37327</v>
      </c>
      <c r="L1571" s="1">
        <v>37327</v>
      </c>
      <c r="M1571" s="1">
        <v>37332</v>
      </c>
      <c r="N1571" s="1">
        <v>37353</v>
      </c>
      <c r="O1571" t="s">
        <v>1117</v>
      </c>
      <c r="P1571">
        <v>3</v>
      </c>
      <c r="Q1571" t="s">
        <v>2662</v>
      </c>
      <c r="R1571">
        <f t="shared" si="49"/>
        <v>15</v>
      </c>
      <c r="S1571">
        <f t="shared" si="50"/>
        <v>1</v>
      </c>
    </row>
    <row r="1572" spans="1:19" x14ac:dyDescent="0.25">
      <c r="A1572" t="s">
        <v>2695</v>
      </c>
      <c r="B1572" t="s">
        <v>1199</v>
      </c>
      <c r="C1572">
        <v>4.57</v>
      </c>
      <c r="D1572">
        <v>1030</v>
      </c>
      <c r="E1572">
        <v>0</v>
      </c>
      <c r="F1572">
        <v>50</v>
      </c>
      <c r="G1572">
        <v>50</v>
      </c>
      <c r="H1572" t="s">
        <v>2661</v>
      </c>
      <c r="I1572" s="1">
        <v>37125</v>
      </c>
      <c r="J1572" s="1">
        <v>37314</v>
      </c>
      <c r="K1572" s="1">
        <v>37317</v>
      </c>
      <c r="L1572" s="1">
        <v>37317</v>
      </c>
      <c r="M1572" s="1">
        <v>37319</v>
      </c>
      <c r="N1572" s="1">
        <v>37319</v>
      </c>
      <c r="O1572" t="s">
        <v>1117</v>
      </c>
      <c r="P1572">
        <v>12</v>
      </c>
      <c r="Q1572" t="s">
        <v>2662</v>
      </c>
      <c r="R1572">
        <f t="shared" si="49"/>
        <v>10</v>
      </c>
      <c r="S1572">
        <f t="shared" si="50"/>
        <v>1</v>
      </c>
    </row>
    <row r="1573" spans="1:19" x14ac:dyDescent="0.25">
      <c r="A1573" t="s">
        <v>2696</v>
      </c>
      <c r="B1573" t="s">
        <v>3631</v>
      </c>
      <c r="C1573">
        <v>2.5</v>
      </c>
      <c r="D1573">
        <v>400</v>
      </c>
      <c r="E1573">
        <v>0</v>
      </c>
      <c r="F1573">
        <v>6</v>
      </c>
      <c r="G1573">
        <v>6</v>
      </c>
      <c r="H1573" t="s">
        <v>2661</v>
      </c>
      <c r="I1573" s="1">
        <v>37199</v>
      </c>
      <c r="J1573" s="1">
        <v>37327</v>
      </c>
      <c r="K1573" s="1">
        <v>37331</v>
      </c>
      <c r="L1573" s="1">
        <v>37331</v>
      </c>
      <c r="M1573" s="1">
        <v>37331</v>
      </c>
      <c r="N1573" s="1">
        <v>37331</v>
      </c>
      <c r="O1573" t="s">
        <v>1117</v>
      </c>
      <c r="P1573">
        <v>3</v>
      </c>
      <c r="Q1573" t="s">
        <v>2662</v>
      </c>
      <c r="R1573">
        <f t="shared" si="49"/>
        <v>11</v>
      </c>
      <c r="S1573">
        <f t="shared" si="50"/>
        <v>1</v>
      </c>
    </row>
    <row r="1574" spans="1:19" x14ac:dyDescent="0.25">
      <c r="A1574" t="s">
        <v>2697</v>
      </c>
      <c r="B1574" t="s">
        <v>4028</v>
      </c>
      <c r="C1574">
        <v>4.25</v>
      </c>
      <c r="D1574">
        <v>1020</v>
      </c>
      <c r="E1574">
        <v>0</v>
      </c>
      <c r="F1574">
        <v>40</v>
      </c>
      <c r="G1574">
        <v>22.76</v>
      </c>
      <c r="H1574" t="s">
        <v>2661</v>
      </c>
      <c r="I1574" s="1">
        <v>37159</v>
      </c>
      <c r="J1574" s="1">
        <v>37344</v>
      </c>
      <c r="K1574" s="1">
        <v>37344</v>
      </c>
      <c r="L1574" s="1">
        <v>37344</v>
      </c>
      <c r="M1574" s="1">
        <v>37344</v>
      </c>
      <c r="N1574" s="1">
        <v>37344</v>
      </c>
      <c r="O1574" t="s">
        <v>1114</v>
      </c>
      <c r="P1574">
        <v>11</v>
      </c>
      <c r="Q1574" t="s">
        <v>2662</v>
      </c>
      <c r="R1574">
        <f t="shared" si="49"/>
        <v>13</v>
      </c>
      <c r="S1574">
        <f t="shared" si="50"/>
        <v>0</v>
      </c>
    </row>
    <row r="1575" spans="1:19" x14ac:dyDescent="0.25">
      <c r="A1575" t="s">
        <v>2698</v>
      </c>
      <c r="B1575" t="s">
        <v>4028</v>
      </c>
      <c r="C1575">
        <v>3.85</v>
      </c>
      <c r="D1575">
        <v>1000</v>
      </c>
      <c r="E1575">
        <v>0</v>
      </c>
      <c r="F1575">
        <v>40</v>
      </c>
      <c r="G1575">
        <v>40</v>
      </c>
      <c r="H1575" t="s">
        <v>2661</v>
      </c>
      <c r="I1575" s="1">
        <v>37125</v>
      </c>
      <c r="J1575" s="1">
        <v>37307</v>
      </c>
      <c r="K1575" s="1">
        <v>37316</v>
      </c>
      <c r="L1575" s="1">
        <v>37316</v>
      </c>
      <c r="M1575" s="1">
        <v>37318</v>
      </c>
      <c r="N1575" s="1">
        <v>37318</v>
      </c>
      <c r="O1575" t="s">
        <v>1117</v>
      </c>
      <c r="P1575">
        <v>10</v>
      </c>
      <c r="Q1575" t="s">
        <v>2662</v>
      </c>
      <c r="R1575">
        <f t="shared" si="49"/>
        <v>10</v>
      </c>
      <c r="S1575">
        <f t="shared" si="50"/>
        <v>1</v>
      </c>
    </row>
    <row r="1576" spans="1:19" x14ac:dyDescent="0.25">
      <c r="A1576" t="s">
        <v>2699</v>
      </c>
      <c r="B1576" t="s">
        <v>4028</v>
      </c>
      <c r="C1576">
        <v>4.2</v>
      </c>
      <c r="D1576">
        <v>1030</v>
      </c>
      <c r="E1576">
        <v>0</v>
      </c>
      <c r="F1576">
        <v>40</v>
      </c>
      <c r="G1576">
        <v>40</v>
      </c>
      <c r="H1576" t="s">
        <v>2661</v>
      </c>
      <c r="I1576" s="1">
        <v>37125</v>
      </c>
      <c r="J1576" s="1">
        <v>37314</v>
      </c>
      <c r="K1576" s="1">
        <v>37317</v>
      </c>
      <c r="L1576" s="1">
        <v>37317</v>
      </c>
      <c r="M1576" s="1">
        <v>37319</v>
      </c>
      <c r="N1576" s="1">
        <v>37319</v>
      </c>
      <c r="O1576" t="s">
        <v>1117</v>
      </c>
      <c r="P1576">
        <v>11</v>
      </c>
      <c r="Q1576" t="s">
        <v>2662</v>
      </c>
      <c r="R1576">
        <f t="shared" si="49"/>
        <v>10</v>
      </c>
      <c r="S1576">
        <f t="shared" si="50"/>
        <v>1</v>
      </c>
    </row>
    <row r="1577" spans="1:19" x14ac:dyDescent="0.25">
      <c r="A1577" t="s">
        <v>2700</v>
      </c>
      <c r="B1577" t="s">
        <v>3521</v>
      </c>
      <c r="C1577">
        <v>2</v>
      </c>
      <c r="D1577">
        <v>1100</v>
      </c>
      <c r="E1577">
        <v>0</v>
      </c>
      <c r="F1577">
        <v>105</v>
      </c>
      <c r="G1577">
        <v>105</v>
      </c>
      <c r="H1577" t="s">
        <v>2661</v>
      </c>
      <c r="I1577" s="1">
        <v>37189</v>
      </c>
      <c r="J1577" s="1">
        <v>37330</v>
      </c>
      <c r="K1577" s="1">
        <v>37330</v>
      </c>
      <c r="L1577" s="1">
        <v>37330</v>
      </c>
      <c r="M1577" s="1">
        <v>37330</v>
      </c>
      <c r="N1577" s="1">
        <v>37330</v>
      </c>
      <c r="O1577" t="s">
        <v>1114</v>
      </c>
      <c r="P1577">
        <v>4</v>
      </c>
      <c r="Q1577" t="s">
        <v>2662</v>
      </c>
      <c r="R1577">
        <f t="shared" si="49"/>
        <v>11</v>
      </c>
      <c r="S1577">
        <f t="shared" si="50"/>
        <v>1</v>
      </c>
    </row>
    <row r="1578" spans="1:19" x14ac:dyDescent="0.25">
      <c r="A1578" t="s">
        <v>2701</v>
      </c>
      <c r="B1578" t="s">
        <v>1199</v>
      </c>
      <c r="C1578">
        <v>3</v>
      </c>
      <c r="D1578">
        <v>1250</v>
      </c>
      <c r="E1578">
        <v>0</v>
      </c>
      <c r="F1578">
        <v>15</v>
      </c>
      <c r="G1578">
        <v>15</v>
      </c>
      <c r="H1578" t="s">
        <v>2661</v>
      </c>
      <c r="I1578" s="1">
        <v>37159</v>
      </c>
      <c r="J1578" s="1">
        <v>37325</v>
      </c>
      <c r="K1578" s="1">
        <v>37325</v>
      </c>
      <c r="L1578" s="1">
        <v>37325</v>
      </c>
      <c r="M1578" s="1">
        <v>37329</v>
      </c>
      <c r="N1578" s="1">
        <v>37353</v>
      </c>
      <c r="O1578" t="s">
        <v>1114</v>
      </c>
      <c r="P1578">
        <v>4</v>
      </c>
      <c r="Q1578" t="s">
        <v>2662</v>
      </c>
      <c r="R1578">
        <f t="shared" si="49"/>
        <v>15</v>
      </c>
      <c r="S1578">
        <f t="shared" si="50"/>
        <v>1</v>
      </c>
    </row>
    <row r="1579" spans="1:19" x14ac:dyDescent="0.25">
      <c r="A1579" t="s">
        <v>2702</v>
      </c>
      <c r="B1579" t="s">
        <v>4028</v>
      </c>
      <c r="C1579">
        <v>4</v>
      </c>
      <c r="D1579">
        <v>1250</v>
      </c>
      <c r="E1579">
        <v>0</v>
      </c>
      <c r="F1579">
        <v>50</v>
      </c>
      <c r="G1579">
        <v>33.914999999999999</v>
      </c>
      <c r="H1579" t="s">
        <v>2661</v>
      </c>
      <c r="I1579" s="1">
        <v>37159</v>
      </c>
      <c r="J1579" s="1">
        <v>37325</v>
      </c>
      <c r="K1579" s="1">
        <v>37332</v>
      </c>
      <c r="L1579" s="1">
        <v>37332</v>
      </c>
      <c r="M1579" s="1">
        <v>37332</v>
      </c>
      <c r="N1579" s="1">
        <v>37332</v>
      </c>
      <c r="O1579" t="s">
        <v>1117</v>
      </c>
      <c r="P1579">
        <v>5</v>
      </c>
      <c r="Q1579" t="s">
        <v>2662</v>
      </c>
      <c r="R1579">
        <f t="shared" si="49"/>
        <v>12</v>
      </c>
      <c r="S1579">
        <f t="shared" si="50"/>
        <v>0</v>
      </c>
    </row>
    <row r="1580" spans="1:19" x14ac:dyDescent="0.25">
      <c r="A1580" t="s">
        <v>2703</v>
      </c>
      <c r="B1580" t="s">
        <v>4028</v>
      </c>
      <c r="C1580">
        <v>5.25</v>
      </c>
      <c r="D1580">
        <v>1250</v>
      </c>
      <c r="E1580">
        <v>0</v>
      </c>
      <c r="F1580">
        <v>78</v>
      </c>
      <c r="G1580">
        <v>78</v>
      </c>
      <c r="H1580" t="s">
        <v>2661</v>
      </c>
      <c r="I1580" s="1">
        <v>37115</v>
      </c>
      <c r="J1580" s="1">
        <v>37314</v>
      </c>
      <c r="K1580" s="1">
        <v>37314</v>
      </c>
      <c r="L1580" s="1">
        <v>37314</v>
      </c>
      <c r="M1580" s="1">
        <v>37318</v>
      </c>
      <c r="N1580" s="1">
        <v>37318</v>
      </c>
      <c r="O1580" t="s">
        <v>1114</v>
      </c>
      <c r="P1580">
        <v>4</v>
      </c>
      <c r="Q1580" t="s">
        <v>2662</v>
      </c>
      <c r="R1580">
        <f t="shared" si="49"/>
        <v>10</v>
      </c>
      <c r="S1580">
        <f t="shared" si="50"/>
        <v>1</v>
      </c>
    </row>
    <row r="1581" spans="1:19" x14ac:dyDescent="0.25">
      <c r="A1581" t="s">
        <v>2704</v>
      </c>
      <c r="B1581" t="s">
        <v>4028</v>
      </c>
      <c r="C1581">
        <v>2.5</v>
      </c>
      <c r="D1581">
        <v>425</v>
      </c>
      <c r="E1581">
        <v>0</v>
      </c>
      <c r="F1581">
        <v>14</v>
      </c>
      <c r="G1581">
        <v>14</v>
      </c>
      <c r="H1581" t="s">
        <v>2661</v>
      </c>
      <c r="I1581" s="1">
        <v>37199</v>
      </c>
      <c r="J1581" s="1">
        <v>37328</v>
      </c>
      <c r="K1581" s="1">
        <v>37338</v>
      </c>
      <c r="L1581" s="1">
        <v>37338</v>
      </c>
      <c r="M1581" s="1">
        <v>37331</v>
      </c>
      <c r="N1581" s="1">
        <v>37331</v>
      </c>
      <c r="O1581" t="s">
        <v>1117</v>
      </c>
      <c r="P1581">
        <v>4</v>
      </c>
      <c r="Q1581" t="s">
        <v>2662</v>
      </c>
      <c r="R1581">
        <f t="shared" si="49"/>
        <v>11</v>
      </c>
      <c r="S1581">
        <f t="shared" si="50"/>
        <v>1</v>
      </c>
    </row>
    <row r="1582" spans="1:19" x14ac:dyDescent="0.25">
      <c r="A1582" t="s">
        <v>2705</v>
      </c>
      <c r="B1582" t="s">
        <v>4028</v>
      </c>
      <c r="C1582">
        <v>2.2999999999999998</v>
      </c>
      <c r="D1582">
        <v>565</v>
      </c>
      <c r="E1582">
        <v>0</v>
      </c>
      <c r="F1582">
        <v>116.84399999999999</v>
      </c>
      <c r="G1582">
        <v>19.72</v>
      </c>
      <c r="H1582" t="s">
        <v>2661</v>
      </c>
      <c r="I1582" s="1">
        <v>37159</v>
      </c>
      <c r="J1582" s="1">
        <v>37345</v>
      </c>
      <c r="K1582" t="s">
        <v>1124</v>
      </c>
      <c r="L1582" t="s">
        <v>1124</v>
      </c>
      <c r="M1582" s="1">
        <v>37352</v>
      </c>
      <c r="N1582" s="1">
        <v>37352</v>
      </c>
      <c r="O1582" t="s">
        <v>1117</v>
      </c>
      <c r="P1582">
        <v>1</v>
      </c>
      <c r="Q1582" t="s">
        <v>2662</v>
      </c>
      <c r="R1582">
        <f t="shared" si="49"/>
        <v>14</v>
      </c>
      <c r="S1582">
        <f t="shared" si="50"/>
        <v>0</v>
      </c>
    </row>
    <row r="1583" spans="1:19" x14ac:dyDescent="0.25">
      <c r="A1583" t="s">
        <v>2706</v>
      </c>
      <c r="B1583" t="s">
        <v>1199</v>
      </c>
      <c r="C1583">
        <v>2</v>
      </c>
      <c r="D1583">
        <v>1250</v>
      </c>
      <c r="E1583">
        <v>0</v>
      </c>
      <c r="F1583">
        <v>20</v>
      </c>
      <c r="G1583">
        <v>20</v>
      </c>
      <c r="H1583" t="s">
        <v>2661</v>
      </c>
      <c r="I1583" s="1">
        <v>37133</v>
      </c>
      <c r="J1583" s="1">
        <v>37346</v>
      </c>
      <c r="K1583" s="1">
        <v>37346</v>
      </c>
      <c r="L1583" s="1">
        <v>37346</v>
      </c>
      <c r="M1583" s="1">
        <v>37346</v>
      </c>
      <c r="N1583" s="1">
        <v>37346</v>
      </c>
      <c r="O1583" t="s">
        <v>1114</v>
      </c>
      <c r="P1583">
        <v>5</v>
      </c>
      <c r="Q1583" t="s">
        <v>2662</v>
      </c>
      <c r="R1583">
        <f t="shared" si="49"/>
        <v>14</v>
      </c>
      <c r="S1583">
        <f t="shared" si="50"/>
        <v>1</v>
      </c>
    </row>
    <row r="1584" spans="1:19" x14ac:dyDescent="0.25">
      <c r="A1584" t="s">
        <v>2707</v>
      </c>
      <c r="B1584" t="s">
        <v>1199</v>
      </c>
      <c r="C1584">
        <v>2</v>
      </c>
      <c r="D1584">
        <v>625</v>
      </c>
      <c r="E1584">
        <v>0</v>
      </c>
      <c r="F1584">
        <v>77</v>
      </c>
      <c r="G1584">
        <v>77</v>
      </c>
      <c r="H1584" t="s">
        <v>2661</v>
      </c>
      <c r="I1584" s="1">
        <v>37133</v>
      </c>
      <c r="J1584" s="1">
        <v>37346</v>
      </c>
      <c r="K1584" s="1">
        <v>37381</v>
      </c>
      <c r="L1584" s="1">
        <v>37381</v>
      </c>
      <c r="M1584" s="1">
        <v>37353</v>
      </c>
      <c r="N1584" s="1">
        <v>37353</v>
      </c>
      <c r="O1584" t="s">
        <v>1117</v>
      </c>
      <c r="P1584">
        <v>2</v>
      </c>
      <c r="Q1584" t="s">
        <v>2662</v>
      </c>
      <c r="R1584">
        <f t="shared" si="49"/>
        <v>15</v>
      </c>
      <c r="S1584">
        <f t="shared" si="50"/>
        <v>1</v>
      </c>
    </row>
    <row r="1585" spans="1:19" x14ac:dyDescent="0.25">
      <c r="A1585" t="s">
        <v>2708</v>
      </c>
      <c r="B1585" t="s">
        <v>4028</v>
      </c>
      <c r="C1585">
        <v>2.2999999999999998</v>
      </c>
      <c r="D1585">
        <v>625</v>
      </c>
      <c r="E1585">
        <v>0</v>
      </c>
      <c r="F1585">
        <v>62</v>
      </c>
      <c r="G1585">
        <v>62</v>
      </c>
      <c r="H1585" t="s">
        <v>2661</v>
      </c>
      <c r="I1585" s="1">
        <v>37133</v>
      </c>
      <c r="J1585" s="1">
        <v>37346</v>
      </c>
      <c r="K1585" s="1">
        <v>37360</v>
      </c>
      <c r="L1585" s="1">
        <v>37360</v>
      </c>
      <c r="M1585" s="1">
        <v>37360</v>
      </c>
      <c r="N1585" s="1">
        <v>37360</v>
      </c>
      <c r="O1585" t="s">
        <v>1117</v>
      </c>
      <c r="P1585">
        <v>3</v>
      </c>
      <c r="Q1585" t="s">
        <v>2662</v>
      </c>
      <c r="R1585">
        <f t="shared" si="49"/>
        <v>16</v>
      </c>
      <c r="S1585">
        <f t="shared" si="50"/>
        <v>1</v>
      </c>
    </row>
    <row r="1586" spans="1:19" x14ac:dyDescent="0.25">
      <c r="A1586" t="s">
        <v>2709</v>
      </c>
      <c r="B1586" t="s">
        <v>4028</v>
      </c>
      <c r="C1586">
        <v>2</v>
      </c>
      <c r="D1586">
        <v>625</v>
      </c>
      <c r="E1586">
        <v>0</v>
      </c>
      <c r="F1586">
        <v>20</v>
      </c>
      <c r="G1586">
        <v>20</v>
      </c>
      <c r="H1586" t="s">
        <v>2661</v>
      </c>
      <c r="I1586" s="1">
        <v>37201</v>
      </c>
      <c r="J1586" s="1">
        <v>37334</v>
      </c>
      <c r="K1586" s="1">
        <v>37340</v>
      </c>
      <c r="L1586" s="1">
        <v>37340</v>
      </c>
      <c r="M1586" s="1">
        <v>37339</v>
      </c>
      <c r="N1586" s="1">
        <v>37387</v>
      </c>
      <c r="O1586" t="s">
        <v>1117</v>
      </c>
      <c r="P1586">
        <v>9</v>
      </c>
      <c r="Q1586" t="s">
        <v>2662</v>
      </c>
      <c r="R1586">
        <f t="shared" si="49"/>
        <v>19</v>
      </c>
      <c r="S1586">
        <f t="shared" si="50"/>
        <v>1</v>
      </c>
    </row>
    <row r="1587" spans="1:19" x14ac:dyDescent="0.25">
      <c r="A1587" t="s">
        <v>2710</v>
      </c>
      <c r="B1587" t="s">
        <v>1199</v>
      </c>
      <c r="C1587">
        <v>2.2999999999999998</v>
      </c>
      <c r="D1587">
        <v>625</v>
      </c>
      <c r="E1587">
        <v>0</v>
      </c>
      <c r="F1587">
        <v>20</v>
      </c>
      <c r="G1587">
        <v>20</v>
      </c>
      <c r="H1587" t="s">
        <v>2661</v>
      </c>
      <c r="I1587" s="1">
        <v>37201</v>
      </c>
      <c r="J1587" s="1">
        <v>37333</v>
      </c>
      <c r="K1587" s="1">
        <v>37345</v>
      </c>
      <c r="L1587" s="1">
        <v>37345</v>
      </c>
      <c r="M1587" s="1">
        <v>37345</v>
      </c>
      <c r="N1587" s="1">
        <v>37345</v>
      </c>
      <c r="O1587" t="s">
        <v>1117</v>
      </c>
      <c r="P1587">
        <v>1</v>
      </c>
      <c r="Q1587" t="s">
        <v>2662</v>
      </c>
      <c r="R1587">
        <f t="shared" si="49"/>
        <v>13</v>
      </c>
      <c r="S1587">
        <f t="shared" si="50"/>
        <v>1</v>
      </c>
    </row>
    <row r="1588" spans="1:19" x14ac:dyDescent="0.25">
      <c r="A1588" t="s">
        <v>2711</v>
      </c>
      <c r="B1588" t="s">
        <v>4027</v>
      </c>
      <c r="C1588">
        <v>2</v>
      </c>
      <c r="D1588">
        <v>610</v>
      </c>
      <c r="E1588">
        <v>0</v>
      </c>
      <c r="F1588">
        <v>20</v>
      </c>
      <c r="G1588">
        <v>20</v>
      </c>
      <c r="H1588" t="s">
        <v>2661</v>
      </c>
      <c r="I1588" s="1">
        <v>37201</v>
      </c>
      <c r="J1588" s="1">
        <v>37334</v>
      </c>
      <c r="K1588" s="1">
        <v>37352</v>
      </c>
      <c r="L1588" s="1">
        <v>37352</v>
      </c>
      <c r="M1588" s="1">
        <v>37345</v>
      </c>
      <c r="N1588" s="1">
        <v>37345</v>
      </c>
      <c r="O1588" t="s">
        <v>1117</v>
      </c>
      <c r="P1588">
        <v>10</v>
      </c>
      <c r="Q1588" t="s">
        <v>2662</v>
      </c>
      <c r="R1588">
        <f t="shared" si="49"/>
        <v>13</v>
      </c>
      <c r="S1588">
        <f t="shared" si="50"/>
        <v>1</v>
      </c>
    </row>
    <row r="1589" spans="1:19" x14ac:dyDescent="0.25">
      <c r="A1589" t="s">
        <v>2712</v>
      </c>
      <c r="B1589" t="s">
        <v>1199</v>
      </c>
      <c r="C1589">
        <v>2</v>
      </c>
      <c r="D1589">
        <v>640</v>
      </c>
      <c r="E1589">
        <v>0</v>
      </c>
      <c r="F1589">
        <v>20</v>
      </c>
      <c r="G1589">
        <v>20</v>
      </c>
      <c r="H1589" t="s">
        <v>2661</v>
      </c>
      <c r="I1589" s="1">
        <v>37201</v>
      </c>
      <c r="J1589" s="1">
        <v>37334</v>
      </c>
      <c r="K1589" s="1">
        <v>37352</v>
      </c>
      <c r="L1589" s="1">
        <v>37352</v>
      </c>
      <c r="M1589" s="1">
        <v>37345</v>
      </c>
      <c r="N1589" s="1">
        <v>37346</v>
      </c>
      <c r="O1589" t="s">
        <v>1117</v>
      </c>
      <c r="P1589">
        <v>11</v>
      </c>
      <c r="Q1589" t="s">
        <v>2662</v>
      </c>
      <c r="R1589">
        <f t="shared" si="49"/>
        <v>14</v>
      </c>
      <c r="S1589">
        <f t="shared" si="50"/>
        <v>1</v>
      </c>
    </row>
    <row r="1590" spans="1:19" x14ac:dyDescent="0.25">
      <c r="A1590" t="s">
        <v>2713</v>
      </c>
      <c r="B1590" t="s">
        <v>1199</v>
      </c>
      <c r="C1590">
        <v>2</v>
      </c>
      <c r="D1590">
        <v>650</v>
      </c>
      <c r="E1590">
        <v>0</v>
      </c>
      <c r="F1590">
        <v>20</v>
      </c>
      <c r="G1590">
        <v>20</v>
      </c>
      <c r="H1590" t="s">
        <v>2661</v>
      </c>
      <c r="I1590" s="1">
        <v>37201</v>
      </c>
      <c r="J1590" s="1">
        <v>37334</v>
      </c>
      <c r="K1590" s="1">
        <v>37334</v>
      </c>
      <c r="L1590" s="1">
        <v>37334</v>
      </c>
      <c r="M1590" s="1">
        <v>37334</v>
      </c>
      <c r="N1590" s="1">
        <v>37346</v>
      </c>
      <c r="O1590" t="s">
        <v>1114</v>
      </c>
      <c r="P1590">
        <v>13</v>
      </c>
      <c r="Q1590" t="s">
        <v>2662</v>
      </c>
      <c r="R1590">
        <f t="shared" si="49"/>
        <v>14</v>
      </c>
      <c r="S1590">
        <f t="shared" si="50"/>
        <v>1</v>
      </c>
    </row>
    <row r="1591" spans="1:19" x14ac:dyDescent="0.25">
      <c r="A1591" t="s">
        <v>2714</v>
      </c>
      <c r="B1591" t="s">
        <v>4028</v>
      </c>
      <c r="C1591">
        <v>2</v>
      </c>
      <c r="D1591">
        <v>640</v>
      </c>
      <c r="E1591">
        <v>0</v>
      </c>
      <c r="F1591">
        <v>20</v>
      </c>
      <c r="G1591">
        <v>20</v>
      </c>
      <c r="H1591" t="s">
        <v>2661</v>
      </c>
      <c r="I1591" s="1">
        <v>37201</v>
      </c>
      <c r="J1591" s="1">
        <v>37334</v>
      </c>
      <c r="K1591" s="1">
        <v>37352</v>
      </c>
      <c r="L1591" s="1">
        <v>37352</v>
      </c>
      <c r="M1591" s="1">
        <v>37345</v>
      </c>
      <c r="N1591" s="1">
        <v>37346</v>
      </c>
      <c r="O1591" t="s">
        <v>1117</v>
      </c>
      <c r="P1591">
        <v>11</v>
      </c>
      <c r="Q1591" t="s">
        <v>2662</v>
      </c>
      <c r="R1591">
        <f t="shared" si="49"/>
        <v>14</v>
      </c>
      <c r="S1591">
        <f t="shared" si="50"/>
        <v>1</v>
      </c>
    </row>
    <row r="1592" spans="1:19" x14ac:dyDescent="0.25">
      <c r="A1592" t="s">
        <v>2715</v>
      </c>
      <c r="B1592" t="s">
        <v>1199</v>
      </c>
      <c r="C1592">
        <v>4.4000000000000004</v>
      </c>
      <c r="D1592">
        <v>1020</v>
      </c>
      <c r="E1592">
        <v>0</v>
      </c>
      <c r="F1592">
        <v>100</v>
      </c>
      <c r="G1592">
        <v>100</v>
      </c>
      <c r="H1592" t="s">
        <v>2661</v>
      </c>
      <c r="I1592" s="1">
        <v>37125</v>
      </c>
      <c r="J1592" s="1">
        <v>37315</v>
      </c>
      <c r="K1592" s="1">
        <v>37318</v>
      </c>
      <c r="L1592" s="1">
        <v>37318</v>
      </c>
      <c r="M1592" s="1">
        <v>37320</v>
      </c>
      <c r="N1592" s="1">
        <v>37320</v>
      </c>
      <c r="O1592" t="s">
        <v>1117</v>
      </c>
      <c r="P1592">
        <v>23</v>
      </c>
      <c r="Q1592" t="s">
        <v>2662</v>
      </c>
      <c r="R1592">
        <f t="shared" si="49"/>
        <v>10</v>
      </c>
      <c r="S1592">
        <f t="shared" si="50"/>
        <v>1</v>
      </c>
    </row>
    <row r="1593" spans="1:19" x14ac:dyDescent="0.25">
      <c r="A1593" t="s">
        <v>2716</v>
      </c>
      <c r="B1593" t="s">
        <v>1199</v>
      </c>
      <c r="C1593">
        <v>2</v>
      </c>
      <c r="D1593">
        <v>550</v>
      </c>
      <c r="E1593">
        <v>0</v>
      </c>
      <c r="F1593">
        <v>27</v>
      </c>
      <c r="G1593">
        <v>27</v>
      </c>
      <c r="H1593" t="s">
        <v>2661</v>
      </c>
      <c r="I1593" s="1">
        <v>37201</v>
      </c>
      <c r="J1593" s="1">
        <v>37311</v>
      </c>
      <c r="K1593" s="1">
        <v>37336</v>
      </c>
      <c r="L1593" s="1">
        <v>37336</v>
      </c>
      <c r="M1593" s="1">
        <v>37336</v>
      </c>
      <c r="N1593" s="1">
        <v>37360</v>
      </c>
      <c r="O1593" t="s">
        <v>1117</v>
      </c>
      <c r="P1593">
        <v>16</v>
      </c>
      <c r="Q1593" t="s">
        <v>2662</v>
      </c>
      <c r="R1593">
        <f t="shared" si="49"/>
        <v>16</v>
      </c>
      <c r="S1593">
        <f t="shared" si="50"/>
        <v>1</v>
      </c>
    </row>
    <row r="1594" spans="1:19" x14ac:dyDescent="0.25">
      <c r="A1594" t="s">
        <v>2717</v>
      </c>
      <c r="B1594" t="s">
        <v>1199</v>
      </c>
      <c r="C1594">
        <v>2.2999999999999998</v>
      </c>
      <c r="D1594">
        <v>625</v>
      </c>
      <c r="E1594">
        <v>0</v>
      </c>
      <c r="F1594">
        <v>20</v>
      </c>
      <c r="G1594">
        <v>20</v>
      </c>
      <c r="H1594" t="s">
        <v>2661</v>
      </c>
      <c r="I1594" s="1">
        <v>37201</v>
      </c>
      <c r="J1594" s="1">
        <v>37334</v>
      </c>
      <c r="K1594" s="1">
        <v>37345</v>
      </c>
      <c r="L1594" s="1">
        <v>37345</v>
      </c>
      <c r="M1594" s="1">
        <v>37345</v>
      </c>
      <c r="N1594" s="1">
        <v>37345</v>
      </c>
      <c r="O1594" t="s">
        <v>1117</v>
      </c>
      <c r="P1594">
        <v>1</v>
      </c>
      <c r="Q1594" t="s">
        <v>2662</v>
      </c>
      <c r="R1594">
        <f t="shared" si="49"/>
        <v>13</v>
      </c>
      <c r="S1594">
        <f t="shared" si="50"/>
        <v>1</v>
      </c>
    </row>
    <row r="1595" spans="1:19" x14ac:dyDescent="0.25">
      <c r="A1595" t="s">
        <v>2718</v>
      </c>
      <c r="B1595" t="s">
        <v>4028</v>
      </c>
      <c r="C1595">
        <v>2</v>
      </c>
      <c r="D1595">
        <v>610</v>
      </c>
      <c r="E1595">
        <v>0</v>
      </c>
      <c r="F1595">
        <v>20</v>
      </c>
      <c r="G1595">
        <v>20</v>
      </c>
      <c r="H1595" t="s">
        <v>2661</v>
      </c>
      <c r="I1595" s="1">
        <v>37201</v>
      </c>
      <c r="J1595" s="1">
        <v>37334</v>
      </c>
      <c r="K1595" s="1">
        <v>37352</v>
      </c>
      <c r="L1595" s="1">
        <v>37352</v>
      </c>
      <c r="M1595" s="1">
        <v>37345</v>
      </c>
      <c r="N1595" s="1">
        <v>37345</v>
      </c>
      <c r="O1595" t="s">
        <v>1117</v>
      </c>
      <c r="P1595">
        <v>10</v>
      </c>
      <c r="Q1595" t="s">
        <v>2662</v>
      </c>
      <c r="R1595">
        <f t="shared" si="49"/>
        <v>13</v>
      </c>
      <c r="S1595">
        <f t="shared" si="50"/>
        <v>1</v>
      </c>
    </row>
    <row r="1596" spans="1:19" x14ac:dyDescent="0.25">
      <c r="A1596" t="s">
        <v>2719</v>
      </c>
      <c r="B1596" t="s">
        <v>3601</v>
      </c>
      <c r="C1596">
        <v>2</v>
      </c>
      <c r="D1596">
        <v>505</v>
      </c>
      <c r="E1596">
        <v>0</v>
      </c>
      <c r="F1596">
        <v>24</v>
      </c>
      <c r="G1596">
        <v>24</v>
      </c>
      <c r="H1596" t="s">
        <v>2661</v>
      </c>
      <c r="I1596" s="1">
        <v>37201</v>
      </c>
      <c r="J1596" s="1">
        <v>37334</v>
      </c>
      <c r="K1596" s="1">
        <v>37345</v>
      </c>
      <c r="L1596" s="1">
        <v>37345</v>
      </c>
      <c r="M1596" s="1">
        <v>37345</v>
      </c>
      <c r="N1596" s="1">
        <v>37360</v>
      </c>
      <c r="O1596" t="s">
        <v>1117</v>
      </c>
      <c r="P1596">
        <v>15</v>
      </c>
      <c r="Q1596" t="s">
        <v>2662</v>
      </c>
      <c r="R1596">
        <f t="shared" si="49"/>
        <v>16</v>
      </c>
      <c r="S1596">
        <f t="shared" si="50"/>
        <v>1</v>
      </c>
    </row>
    <row r="1597" spans="1:19" x14ac:dyDescent="0.25">
      <c r="A1597" t="s">
        <v>2720</v>
      </c>
      <c r="B1597" t="s">
        <v>3631</v>
      </c>
      <c r="C1597">
        <v>2</v>
      </c>
      <c r="D1597">
        <v>580</v>
      </c>
      <c r="E1597">
        <v>0</v>
      </c>
      <c r="F1597">
        <v>29</v>
      </c>
      <c r="G1597">
        <v>29</v>
      </c>
      <c r="H1597" t="s">
        <v>2661</v>
      </c>
      <c r="I1597" s="1">
        <v>37201</v>
      </c>
      <c r="J1597" s="1">
        <v>37334</v>
      </c>
      <c r="K1597" s="1">
        <v>37345</v>
      </c>
      <c r="L1597" s="1">
        <v>37345</v>
      </c>
      <c r="M1597" s="1">
        <v>37345</v>
      </c>
      <c r="N1597" s="1">
        <v>37360</v>
      </c>
      <c r="O1597" t="s">
        <v>1117</v>
      </c>
      <c r="P1597">
        <v>18</v>
      </c>
      <c r="Q1597" t="s">
        <v>2662</v>
      </c>
      <c r="R1597">
        <f t="shared" si="49"/>
        <v>16</v>
      </c>
      <c r="S1597">
        <f t="shared" si="50"/>
        <v>1</v>
      </c>
    </row>
    <row r="1598" spans="1:19" x14ac:dyDescent="0.25">
      <c r="A1598" t="s">
        <v>2721</v>
      </c>
      <c r="B1598" t="s">
        <v>3631</v>
      </c>
      <c r="C1598">
        <v>2</v>
      </c>
      <c r="D1598">
        <v>600</v>
      </c>
      <c r="E1598">
        <v>0</v>
      </c>
      <c r="F1598">
        <v>20</v>
      </c>
      <c r="G1598">
        <v>20</v>
      </c>
      <c r="H1598" t="s">
        <v>2661</v>
      </c>
      <c r="I1598" s="1">
        <v>37201</v>
      </c>
      <c r="J1598" s="1">
        <v>37313</v>
      </c>
      <c r="K1598" s="1">
        <v>37325</v>
      </c>
      <c r="L1598" s="1">
        <v>37325</v>
      </c>
      <c r="M1598" s="1">
        <v>37318</v>
      </c>
      <c r="N1598" s="1">
        <v>37360</v>
      </c>
      <c r="O1598" t="s">
        <v>1117</v>
      </c>
      <c r="P1598">
        <v>12</v>
      </c>
      <c r="Q1598" t="s">
        <v>2662</v>
      </c>
      <c r="R1598">
        <f t="shared" si="49"/>
        <v>16</v>
      </c>
      <c r="S1598">
        <f t="shared" si="50"/>
        <v>1</v>
      </c>
    </row>
    <row r="1599" spans="1:19" x14ac:dyDescent="0.25">
      <c r="A1599" t="s">
        <v>2722</v>
      </c>
      <c r="B1599" t="s">
        <v>3631</v>
      </c>
      <c r="C1599">
        <v>2.5</v>
      </c>
      <c r="D1599">
        <v>1250</v>
      </c>
      <c r="E1599">
        <v>0</v>
      </c>
      <c r="F1599">
        <v>147</v>
      </c>
      <c r="G1599">
        <v>147</v>
      </c>
      <c r="H1599" t="s">
        <v>2661</v>
      </c>
      <c r="I1599" s="1">
        <v>37126</v>
      </c>
      <c r="J1599" s="1">
        <v>37346</v>
      </c>
      <c r="K1599" s="1">
        <v>37353</v>
      </c>
      <c r="L1599" s="1">
        <v>37353</v>
      </c>
      <c r="M1599" s="1">
        <v>37353</v>
      </c>
      <c r="N1599" s="1">
        <v>37353</v>
      </c>
      <c r="O1599" t="s">
        <v>1117</v>
      </c>
      <c r="P1599">
        <v>2</v>
      </c>
      <c r="Q1599" t="s">
        <v>2662</v>
      </c>
      <c r="R1599">
        <f t="shared" si="49"/>
        <v>15</v>
      </c>
      <c r="S1599">
        <f t="shared" si="50"/>
        <v>1</v>
      </c>
    </row>
    <row r="1600" spans="1:19" x14ac:dyDescent="0.25">
      <c r="A1600" t="s">
        <v>2723</v>
      </c>
      <c r="B1600" t="s">
        <v>4028</v>
      </c>
      <c r="C1600">
        <v>2</v>
      </c>
      <c r="D1600">
        <v>600</v>
      </c>
      <c r="E1600">
        <v>0</v>
      </c>
      <c r="F1600">
        <v>30</v>
      </c>
      <c r="G1600">
        <v>30</v>
      </c>
      <c r="H1600" t="s">
        <v>2661</v>
      </c>
      <c r="I1600" s="1">
        <v>37201</v>
      </c>
      <c r="J1600" s="1">
        <v>37314</v>
      </c>
      <c r="K1600" s="1">
        <v>37350</v>
      </c>
      <c r="L1600" s="1">
        <v>37350</v>
      </c>
      <c r="M1600" s="1">
        <v>37339</v>
      </c>
      <c r="N1600" s="1">
        <v>37360</v>
      </c>
      <c r="O1600" t="s">
        <v>1117</v>
      </c>
      <c r="P1600">
        <v>14</v>
      </c>
      <c r="Q1600" t="s">
        <v>2662</v>
      </c>
      <c r="R1600">
        <f t="shared" si="49"/>
        <v>16</v>
      </c>
      <c r="S1600">
        <f t="shared" si="50"/>
        <v>1</v>
      </c>
    </row>
    <row r="1601" spans="1:19" x14ac:dyDescent="0.25">
      <c r="A1601" t="s">
        <v>2724</v>
      </c>
      <c r="B1601" t="s">
        <v>4026</v>
      </c>
      <c r="C1601">
        <v>2</v>
      </c>
      <c r="D1601">
        <v>525</v>
      </c>
      <c r="E1601">
        <v>0</v>
      </c>
      <c r="F1601">
        <v>25</v>
      </c>
      <c r="G1601">
        <v>25</v>
      </c>
      <c r="H1601" t="s">
        <v>2661</v>
      </c>
      <c r="I1601" s="1">
        <v>37192</v>
      </c>
      <c r="J1601" s="1">
        <v>37334</v>
      </c>
      <c r="K1601" s="1">
        <v>37345</v>
      </c>
      <c r="L1601" s="1">
        <v>37345</v>
      </c>
      <c r="M1601" s="1">
        <v>37345</v>
      </c>
      <c r="N1601" s="1">
        <v>37360</v>
      </c>
      <c r="O1601" t="s">
        <v>1117</v>
      </c>
      <c r="P1601">
        <v>19</v>
      </c>
      <c r="Q1601" t="s">
        <v>2662</v>
      </c>
      <c r="R1601">
        <f t="shared" si="49"/>
        <v>16</v>
      </c>
      <c r="S1601">
        <f t="shared" si="50"/>
        <v>1</v>
      </c>
    </row>
    <row r="1602" spans="1:19" x14ac:dyDescent="0.25">
      <c r="A1602" t="s">
        <v>2725</v>
      </c>
      <c r="B1602" t="s">
        <v>4027</v>
      </c>
      <c r="C1602">
        <v>2.2999999999999998</v>
      </c>
      <c r="D1602">
        <v>565</v>
      </c>
      <c r="E1602">
        <v>0</v>
      </c>
      <c r="F1602">
        <v>28</v>
      </c>
      <c r="G1602">
        <v>28</v>
      </c>
      <c r="H1602" t="s">
        <v>2661</v>
      </c>
      <c r="I1602" s="1">
        <v>37201</v>
      </c>
      <c r="J1602" s="1">
        <v>37334</v>
      </c>
      <c r="K1602" s="1">
        <v>37339</v>
      </c>
      <c r="L1602" s="1">
        <v>37339</v>
      </c>
      <c r="M1602" s="1">
        <v>37339</v>
      </c>
      <c r="N1602" s="1">
        <v>37346</v>
      </c>
      <c r="O1602" t="s">
        <v>1117</v>
      </c>
      <c r="P1602">
        <v>5</v>
      </c>
      <c r="Q1602" t="s">
        <v>2662</v>
      </c>
      <c r="R1602">
        <f t="shared" si="49"/>
        <v>14</v>
      </c>
      <c r="S1602">
        <f t="shared" si="50"/>
        <v>1</v>
      </c>
    </row>
    <row r="1603" spans="1:19" x14ac:dyDescent="0.25">
      <c r="A1603" t="s">
        <v>2726</v>
      </c>
      <c r="B1603" t="s">
        <v>4028</v>
      </c>
      <c r="C1603">
        <v>2</v>
      </c>
      <c r="D1603">
        <v>565</v>
      </c>
      <c r="E1603">
        <v>0</v>
      </c>
      <c r="F1603">
        <v>9</v>
      </c>
      <c r="G1603">
        <v>9</v>
      </c>
      <c r="H1603" t="s">
        <v>2661</v>
      </c>
      <c r="I1603" s="1">
        <v>37201</v>
      </c>
      <c r="J1603" s="1">
        <v>37334</v>
      </c>
      <c r="K1603" s="1">
        <v>37359</v>
      </c>
      <c r="L1603" s="1">
        <v>37359</v>
      </c>
      <c r="M1603" s="1">
        <v>37353</v>
      </c>
      <c r="N1603" s="1">
        <v>37353</v>
      </c>
      <c r="O1603" t="s">
        <v>1117</v>
      </c>
      <c r="P1603">
        <v>6</v>
      </c>
      <c r="Q1603" t="s">
        <v>2662</v>
      </c>
      <c r="R1603">
        <f t="shared" ref="R1603:R1666" si="51">WEEKNUM(N1603,1)</f>
        <v>15</v>
      </c>
      <c r="S1603">
        <f t="shared" ref="S1603:S1666" si="52">IF(AND(F1603=G1603, M1603&lt;=N1603), 1,0)</f>
        <v>1</v>
      </c>
    </row>
    <row r="1604" spans="1:19" x14ac:dyDescent="0.25">
      <c r="A1604" t="s">
        <v>2727</v>
      </c>
      <c r="B1604" t="s">
        <v>4027</v>
      </c>
      <c r="C1604">
        <v>2.2999999999999998</v>
      </c>
      <c r="D1604">
        <v>640</v>
      </c>
      <c r="E1604">
        <v>0</v>
      </c>
      <c r="F1604">
        <v>20</v>
      </c>
      <c r="G1604">
        <v>20</v>
      </c>
      <c r="H1604" t="s">
        <v>2661</v>
      </c>
      <c r="I1604" s="1">
        <v>37201</v>
      </c>
      <c r="J1604" s="1">
        <v>37334</v>
      </c>
      <c r="K1604" s="1">
        <v>37339</v>
      </c>
      <c r="L1604" s="1">
        <v>37339</v>
      </c>
      <c r="M1604" s="1">
        <v>37339</v>
      </c>
      <c r="N1604" s="1">
        <v>37339</v>
      </c>
      <c r="O1604" t="s">
        <v>1117</v>
      </c>
      <c r="P1604">
        <v>3</v>
      </c>
      <c r="Q1604" t="s">
        <v>2662</v>
      </c>
      <c r="R1604">
        <f t="shared" si="51"/>
        <v>13</v>
      </c>
      <c r="S1604">
        <f t="shared" si="52"/>
        <v>1</v>
      </c>
    </row>
    <row r="1605" spans="1:19" x14ac:dyDescent="0.25">
      <c r="A1605" t="s">
        <v>2728</v>
      </c>
      <c r="B1605" t="s">
        <v>4026</v>
      </c>
      <c r="C1605">
        <v>2</v>
      </c>
      <c r="D1605">
        <v>535</v>
      </c>
      <c r="E1605">
        <v>0</v>
      </c>
      <c r="F1605">
        <v>9</v>
      </c>
      <c r="G1605">
        <v>9</v>
      </c>
      <c r="H1605" t="s">
        <v>2661</v>
      </c>
      <c r="I1605" s="1">
        <v>37201</v>
      </c>
      <c r="J1605" s="1">
        <v>37334</v>
      </c>
      <c r="K1605" s="1">
        <v>37345</v>
      </c>
      <c r="L1605" s="1">
        <v>37345</v>
      </c>
      <c r="M1605" s="1">
        <v>37345</v>
      </c>
      <c r="N1605" s="1">
        <v>37353</v>
      </c>
      <c r="O1605" t="s">
        <v>1117</v>
      </c>
      <c r="P1605">
        <v>7</v>
      </c>
      <c r="Q1605" t="s">
        <v>2662</v>
      </c>
      <c r="R1605">
        <f t="shared" si="51"/>
        <v>15</v>
      </c>
      <c r="S1605">
        <f t="shared" si="52"/>
        <v>1</v>
      </c>
    </row>
    <row r="1606" spans="1:19" x14ac:dyDescent="0.25">
      <c r="A1606" t="s">
        <v>2729</v>
      </c>
      <c r="B1606" t="s">
        <v>4026</v>
      </c>
      <c r="C1606">
        <v>2</v>
      </c>
      <c r="D1606">
        <v>625</v>
      </c>
      <c r="E1606">
        <v>0</v>
      </c>
      <c r="F1606">
        <v>20</v>
      </c>
      <c r="G1606">
        <v>20</v>
      </c>
      <c r="H1606" t="s">
        <v>2661</v>
      </c>
      <c r="I1606" s="1">
        <v>37201</v>
      </c>
      <c r="J1606" s="1">
        <v>37334</v>
      </c>
      <c r="K1606" s="1">
        <v>37340</v>
      </c>
      <c r="L1606" s="1">
        <v>37340</v>
      </c>
      <c r="M1606" s="1">
        <v>37339</v>
      </c>
      <c r="N1606" s="1">
        <v>37387</v>
      </c>
      <c r="O1606" t="s">
        <v>1117</v>
      </c>
      <c r="P1606">
        <v>9</v>
      </c>
      <c r="Q1606" t="s">
        <v>2662</v>
      </c>
      <c r="R1606">
        <f t="shared" si="51"/>
        <v>19</v>
      </c>
      <c r="S1606">
        <f t="shared" si="52"/>
        <v>1</v>
      </c>
    </row>
    <row r="1607" spans="1:19" x14ac:dyDescent="0.25">
      <c r="A1607" t="s">
        <v>2730</v>
      </c>
      <c r="B1607" t="s">
        <v>3521</v>
      </c>
      <c r="C1607">
        <v>2</v>
      </c>
      <c r="D1607">
        <v>555</v>
      </c>
      <c r="E1607">
        <v>0</v>
      </c>
      <c r="F1607">
        <v>27</v>
      </c>
      <c r="G1607">
        <v>27</v>
      </c>
      <c r="H1607" t="s">
        <v>2661</v>
      </c>
      <c r="I1607" s="1">
        <v>37201</v>
      </c>
      <c r="J1607" s="1">
        <v>37334</v>
      </c>
      <c r="K1607" s="1">
        <v>37345</v>
      </c>
      <c r="L1607" s="1">
        <v>37345</v>
      </c>
      <c r="M1607" s="1">
        <v>37345</v>
      </c>
      <c r="N1607" s="1">
        <v>37360</v>
      </c>
      <c r="O1607" t="s">
        <v>1117</v>
      </c>
      <c r="P1607">
        <v>20</v>
      </c>
      <c r="Q1607" t="s">
        <v>2662</v>
      </c>
      <c r="R1607">
        <f t="shared" si="51"/>
        <v>16</v>
      </c>
      <c r="S1607">
        <f t="shared" si="52"/>
        <v>1</v>
      </c>
    </row>
    <row r="1608" spans="1:19" x14ac:dyDescent="0.25">
      <c r="A1608" t="s">
        <v>2731</v>
      </c>
      <c r="B1608" t="s">
        <v>1199</v>
      </c>
      <c r="C1608">
        <v>2.2999999999999998</v>
      </c>
      <c r="D1608">
        <v>535</v>
      </c>
      <c r="E1608">
        <v>0</v>
      </c>
      <c r="F1608">
        <v>26</v>
      </c>
      <c r="G1608">
        <v>26</v>
      </c>
      <c r="H1608" t="s">
        <v>2661</v>
      </c>
      <c r="I1608" s="1">
        <v>37201</v>
      </c>
      <c r="J1608" s="1">
        <v>37334</v>
      </c>
      <c r="K1608" s="1">
        <v>37339</v>
      </c>
      <c r="L1608" s="1">
        <v>37339</v>
      </c>
      <c r="M1608" s="1">
        <v>37339</v>
      </c>
      <c r="N1608" s="1">
        <v>37339</v>
      </c>
      <c r="O1608" t="s">
        <v>1117</v>
      </c>
      <c r="P1608">
        <v>4</v>
      </c>
      <c r="Q1608" t="s">
        <v>2662</v>
      </c>
      <c r="R1608">
        <f t="shared" si="51"/>
        <v>13</v>
      </c>
      <c r="S1608">
        <f t="shared" si="52"/>
        <v>1</v>
      </c>
    </row>
    <row r="1609" spans="1:19" x14ac:dyDescent="0.25">
      <c r="A1609" t="s">
        <v>2732</v>
      </c>
      <c r="B1609" t="s">
        <v>1199</v>
      </c>
      <c r="C1609">
        <v>2</v>
      </c>
      <c r="D1609">
        <v>600</v>
      </c>
      <c r="E1609">
        <v>0</v>
      </c>
      <c r="F1609">
        <v>20</v>
      </c>
      <c r="G1609">
        <v>20</v>
      </c>
      <c r="H1609" t="s">
        <v>2661</v>
      </c>
      <c r="I1609" s="1">
        <v>37201</v>
      </c>
      <c r="J1609" s="1">
        <v>37310</v>
      </c>
      <c r="K1609" t="s">
        <v>1124</v>
      </c>
      <c r="L1609" t="s">
        <v>1124</v>
      </c>
      <c r="M1609" s="1">
        <v>37335</v>
      </c>
      <c r="N1609" s="1">
        <v>37360</v>
      </c>
      <c r="O1609" t="s">
        <v>1117</v>
      </c>
      <c r="P1609">
        <v>12</v>
      </c>
      <c r="Q1609" t="s">
        <v>2662</v>
      </c>
      <c r="R1609">
        <f t="shared" si="51"/>
        <v>16</v>
      </c>
      <c r="S1609">
        <f t="shared" si="52"/>
        <v>1</v>
      </c>
    </row>
    <row r="1610" spans="1:19" x14ac:dyDescent="0.25">
      <c r="A1610" t="s">
        <v>2733</v>
      </c>
      <c r="B1610" t="s">
        <v>1199</v>
      </c>
      <c r="C1610">
        <v>2.5</v>
      </c>
      <c r="D1610">
        <v>1250</v>
      </c>
      <c r="E1610">
        <v>0</v>
      </c>
      <c r="F1610">
        <v>260</v>
      </c>
      <c r="G1610">
        <v>260</v>
      </c>
      <c r="H1610" t="s">
        <v>2661</v>
      </c>
      <c r="I1610" s="1">
        <v>37126</v>
      </c>
      <c r="J1610" s="1">
        <v>37346</v>
      </c>
      <c r="K1610" s="1">
        <v>37353</v>
      </c>
      <c r="L1610" s="1">
        <v>37353</v>
      </c>
      <c r="M1610" s="1">
        <v>37353</v>
      </c>
      <c r="N1610" s="1">
        <v>37360</v>
      </c>
      <c r="O1610" t="s">
        <v>1117</v>
      </c>
      <c r="P1610">
        <v>1</v>
      </c>
      <c r="Q1610" t="s">
        <v>2662</v>
      </c>
      <c r="R1610">
        <f t="shared" si="51"/>
        <v>16</v>
      </c>
      <c r="S1610">
        <f t="shared" si="52"/>
        <v>1</v>
      </c>
    </row>
    <row r="1611" spans="1:19" x14ac:dyDescent="0.25">
      <c r="A1611" t="s">
        <v>2734</v>
      </c>
      <c r="B1611" t="s">
        <v>1199</v>
      </c>
      <c r="C1611">
        <v>2</v>
      </c>
      <c r="D1611">
        <v>590</v>
      </c>
      <c r="E1611">
        <v>0</v>
      </c>
      <c r="F1611">
        <v>20</v>
      </c>
      <c r="G1611">
        <v>20</v>
      </c>
      <c r="H1611" t="s">
        <v>2661</v>
      </c>
      <c r="I1611" s="1">
        <v>37201</v>
      </c>
      <c r="J1611" s="1">
        <v>37334</v>
      </c>
      <c r="K1611" s="1">
        <v>37345</v>
      </c>
      <c r="L1611" s="1">
        <v>37345</v>
      </c>
      <c r="M1611" s="1">
        <v>37345</v>
      </c>
      <c r="N1611" s="1">
        <v>37360</v>
      </c>
      <c r="O1611" t="s">
        <v>1117</v>
      </c>
      <c r="P1611">
        <v>8</v>
      </c>
      <c r="Q1611" t="s">
        <v>2662</v>
      </c>
      <c r="R1611">
        <f t="shared" si="51"/>
        <v>16</v>
      </c>
      <c r="S1611">
        <f t="shared" si="52"/>
        <v>1</v>
      </c>
    </row>
    <row r="1612" spans="1:19" x14ac:dyDescent="0.25">
      <c r="A1612" t="s">
        <v>2735</v>
      </c>
      <c r="B1612" t="s">
        <v>1199</v>
      </c>
      <c r="C1612">
        <v>2.2999999999999998</v>
      </c>
      <c r="D1612">
        <v>625</v>
      </c>
      <c r="E1612">
        <v>0</v>
      </c>
      <c r="F1612">
        <v>20</v>
      </c>
      <c r="G1612">
        <v>20</v>
      </c>
      <c r="H1612" t="s">
        <v>2661</v>
      </c>
      <c r="I1612" s="1">
        <v>37201</v>
      </c>
      <c r="J1612" s="1">
        <v>37334</v>
      </c>
      <c r="K1612" s="1">
        <v>37345</v>
      </c>
      <c r="L1612" s="1">
        <v>37345</v>
      </c>
      <c r="M1612" s="1">
        <v>37345</v>
      </c>
      <c r="N1612" s="1">
        <v>37345</v>
      </c>
      <c r="O1612" t="s">
        <v>1117</v>
      </c>
      <c r="P1612">
        <v>1</v>
      </c>
      <c r="Q1612" t="s">
        <v>2662</v>
      </c>
      <c r="R1612">
        <f t="shared" si="51"/>
        <v>13</v>
      </c>
      <c r="S1612">
        <f t="shared" si="52"/>
        <v>1</v>
      </c>
    </row>
    <row r="1613" spans="1:19" x14ac:dyDescent="0.25">
      <c r="A1613" t="s">
        <v>2736</v>
      </c>
      <c r="B1613" t="s">
        <v>3521</v>
      </c>
      <c r="C1613">
        <v>2</v>
      </c>
      <c r="D1613">
        <v>600</v>
      </c>
      <c r="E1613">
        <v>0</v>
      </c>
      <c r="F1613">
        <v>20</v>
      </c>
      <c r="G1613">
        <v>20</v>
      </c>
      <c r="H1613" t="s">
        <v>2661</v>
      </c>
      <c r="I1613" s="1">
        <v>37201</v>
      </c>
      <c r="J1613" s="1">
        <v>37311</v>
      </c>
      <c r="K1613" s="1">
        <v>37340</v>
      </c>
      <c r="L1613" s="1">
        <v>37340</v>
      </c>
      <c r="M1613" s="1">
        <v>37333</v>
      </c>
      <c r="N1613" s="1">
        <v>37360</v>
      </c>
      <c r="O1613" t="s">
        <v>1117</v>
      </c>
      <c r="P1613">
        <v>12</v>
      </c>
      <c r="Q1613" t="s">
        <v>2662</v>
      </c>
      <c r="R1613">
        <f t="shared" si="51"/>
        <v>16</v>
      </c>
      <c r="S1613">
        <f t="shared" si="52"/>
        <v>1</v>
      </c>
    </row>
    <row r="1614" spans="1:19" x14ac:dyDescent="0.25">
      <c r="A1614" t="s">
        <v>2737</v>
      </c>
      <c r="B1614" t="s">
        <v>4026</v>
      </c>
      <c r="C1614">
        <v>2</v>
      </c>
      <c r="D1614">
        <v>650</v>
      </c>
      <c r="E1614">
        <v>0</v>
      </c>
      <c r="F1614">
        <v>20</v>
      </c>
      <c r="G1614">
        <v>20</v>
      </c>
      <c r="H1614" t="s">
        <v>2661</v>
      </c>
      <c r="I1614" s="1">
        <v>37201</v>
      </c>
      <c r="J1614" s="1">
        <v>37335</v>
      </c>
      <c r="K1614" s="1">
        <v>37353</v>
      </c>
      <c r="L1614" s="1">
        <v>37353</v>
      </c>
      <c r="M1614" s="1">
        <v>37346</v>
      </c>
      <c r="N1614" s="1">
        <v>37346</v>
      </c>
      <c r="O1614" t="s">
        <v>1117</v>
      </c>
      <c r="P1614">
        <v>13</v>
      </c>
      <c r="Q1614" t="s">
        <v>2662</v>
      </c>
      <c r="R1614">
        <f t="shared" si="51"/>
        <v>14</v>
      </c>
      <c r="S1614">
        <f t="shared" si="52"/>
        <v>1</v>
      </c>
    </row>
    <row r="1615" spans="1:19" x14ac:dyDescent="0.25">
      <c r="A1615" t="s">
        <v>2738</v>
      </c>
      <c r="B1615" t="s">
        <v>1199</v>
      </c>
      <c r="C1615">
        <v>2.2999999999999998</v>
      </c>
      <c r="D1615">
        <v>565</v>
      </c>
      <c r="E1615">
        <v>0</v>
      </c>
      <c r="F1615">
        <v>28</v>
      </c>
      <c r="G1615">
        <v>28</v>
      </c>
      <c r="H1615" t="s">
        <v>2661</v>
      </c>
      <c r="I1615" s="1">
        <v>37201</v>
      </c>
      <c r="J1615" s="1">
        <v>37335</v>
      </c>
      <c r="K1615" s="1">
        <v>37353</v>
      </c>
      <c r="L1615" s="1">
        <v>37353</v>
      </c>
      <c r="M1615" s="1">
        <v>37346</v>
      </c>
      <c r="N1615" s="1">
        <v>37346</v>
      </c>
      <c r="O1615" t="s">
        <v>1117</v>
      </c>
      <c r="P1615">
        <v>5</v>
      </c>
      <c r="Q1615" t="s">
        <v>2662</v>
      </c>
      <c r="R1615">
        <f t="shared" si="51"/>
        <v>14</v>
      </c>
      <c r="S1615">
        <f t="shared" si="52"/>
        <v>1</v>
      </c>
    </row>
    <row r="1616" spans="1:19" x14ac:dyDescent="0.25">
      <c r="A1616" t="s">
        <v>2739</v>
      </c>
      <c r="B1616" t="s">
        <v>1199</v>
      </c>
      <c r="C1616">
        <v>3.85</v>
      </c>
      <c r="D1616">
        <v>1000</v>
      </c>
      <c r="E1616">
        <v>0</v>
      </c>
      <c r="F1616">
        <v>20</v>
      </c>
      <c r="G1616">
        <v>20</v>
      </c>
      <c r="H1616" t="s">
        <v>2661</v>
      </c>
      <c r="I1616" s="1">
        <v>37125</v>
      </c>
      <c r="J1616" s="1">
        <v>37308</v>
      </c>
      <c r="K1616" s="1">
        <v>37319</v>
      </c>
      <c r="L1616" s="1">
        <v>37319</v>
      </c>
      <c r="M1616" s="1">
        <v>37320</v>
      </c>
      <c r="N1616" s="1">
        <v>37320</v>
      </c>
      <c r="O1616" t="s">
        <v>1117</v>
      </c>
      <c r="P1616">
        <v>27</v>
      </c>
      <c r="Q1616" t="s">
        <v>2662</v>
      </c>
      <c r="R1616">
        <f t="shared" si="51"/>
        <v>10</v>
      </c>
      <c r="S1616">
        <f t="shared" si="52"/>
        <v>1</v>
      </c>
    </row>
    <row r="1617" spans="1:19" x14ac:dyDescent="0.25">
      <c r="A1617" t="s">
        <v>2740</v>
      </c>
      <c r="B1617" t="s">
        <v>4028</v>
      </c>
      <c r="C1617">
        <v>4</v>
      </c>
      <c r="D1617">
        <v>1020</v>
      </c>
      <c r="E1617">
        <v>0</v>
      </c>
      <c r="F1617">
        <v>30</v>
      </c>
      <c r="G1617">
        <v>30</v>
      </c>
      <c r="H1617" t="s">
        <v>2661</v>
      </c>
      <c r="I1617" s="1">
        <v>37125</v>
      </c>
      <c r="J1617" s="1">
        <v>37314</v>
      </c>
      <c r="K1617" s="1">
        <v>37317</v>
      </c>
      <c r="L1617" s="1">
        <v>37317</v>
      </c>
      <c r="M1617" s="1">
        <v>37318</v>
      </c>
      <c r="N1617" s="1">
        <v>37318</v>
      </c>
      <c r="O1617" t="s">
        <v>1117</v>
      </c>
      <c r="P1617">
        <v>22</v>
      </c>
      <c r="Q1617" t="s">
        <v>2662</v>
      </c>
      <c r="R1617">
        <f t="shared" si="51"/>
        <v>10</v>
      </c>
      <c r="S1617">
        <f t="shared" si="52"/>
        <v>1</v>
      </c>
    </row>
    <row r="1618" spans="1:19" x14ac:dyDescent="0.25">
      <c r="A1618" t="s">
        <v>2741</v>
      </c>
      <c r="B1618" t="s">
        <v>1199</v>
      </c>
      <c r="C1618">
        <v>3</v>
      </c>
      <c r="D1618">
        <v>1250</v>
      </c>
      <c r="E1618">
        <v>0</v>
      </c>
      <c r="F1618">
        <v>33</v>
      </c>
      <c r="G1618">
        <v>33</v>
      </c>
      <c r="H1618" t="s">
        <v>2661</v>
      </c>
      <c r="I1618" s="1">
        <v>37126</v>
      </c>
      <c r="J1618" s="1">
        <v>37346</v>
      </c>
      <c r="K1618" s="1">
        <v>37346</v>
      </c>
      <c r="L1618" s="1">
        <v>37346</v>
      </c>
      <c r="M1618" s="1">
        <v>37346</v>
      </c>
      <c r="N1618" s="1">
        <v>37346</v>
      </c>
      <c r="O1618" t="s">
        <v>1114</v>
      </c>
      <c r="P1618">
        <v>2</v>
      </c>
      <c r="Q1618" t="s">
        <v>2662</v>
      </c>
      <c r="R1618">
        <f t="shared" si="51"/>
        <v>14</v>
      </c>
      <c r="S1618">
        <f t="shared" si="52"/>
        <v>1</v>
      </c>
    </row>
    <row r="1619" spans="1:19" x14ac:dyDescent="0.25">
      <c r="A1619" t="s">
        <v>2742</v>
      </c>
      <c r="B1619" t="s">
        <v>3631</v>
      </c>
      <c r="C1619">
        <v>2</v>
      </c>
      <c r="D1619">
        <v>625</v>
      </c>
      <c r="E1619">
        <v>0</v>
      </c>
      <c r="F1619">
        <v>163</v>
      </c>
      <c r="G1619">
        <v>109.086</v>
      </c>
      <c r="H1619" t="s">
        <v>2661</v>
      </c>
      <c r="I1619" s="1">
        <v>37126</v>
      </c>
      <c r="J1619" s="1">
        <v>37346</v>
      </c>
      <c r="K1619" s="1">
        <v>37360</v>
      </c>
      <c r="L1619" s="1">
        <v>37360</v>
      </c>
      <c r="M1619" s="1">
        <v>37353</v>
      </c>
      <c r="N1619" s="1">
        <v>37353</v>
      </c>
      <c r="O1619" t="s">
        <v>1117</v>
      </c>
      <c r="P1619">
        <v>1</v>
      </c>
      <c r="Q1619" t="s">
        <v>2662</v>
      </c>
      <c r="R1619">
        <f t="shared" si="51"/>
        <v>15</v>
      </c>
      <c r="S1619">
        <f t="shared" si="52"/>
        <v>0</v>
      </c>
    </row>
    <row r="1620" spans="1:19" x14ac:dyDescent="0.25">
      <c r="A1620" t="s">
        <v>2743</v>
      </c>
      <c r="B1620" t="s">
        <v>1199</v>
      </c>
      <c r="C1620">
        <v>2</v>
      </c>
      <c r="D1620">
        <v>510</v>
      </c>
      <c r="E1620">
        <v>0</v>
      </c>
      <c r="F1620">
        <v>18</v>
      </c>
      <c r="G1620">
        <v>18</v>
      </c>
      <c r="H1620" t="s">
        <v>2661</v>
      </c>
      <c r="I1620" s="1">
        <v>37192</v>
      </c>
      <c r="J1620" s="1">
        <v>37335</v>
      </c>
      <c r="K1620" s="1">
        <v>37359</v>
      </c>
      <c r="L1620" s="1">
        <v>37359</v>
      </c>
      <c r="M1620" s="1">
        <v>37353</v>
      </c>
      <c r="N1620" s="1">
        <v>37360</v>
      </c>
      <c r="O1620" t="s">
        <v>1117</v>
      </c>
      <c r="P1620">
        <v>17</v>
      </c>
      <c r="Q1620" t="s">
        <v>2662</v>
      </c>
      <c r="R1620">
        <f t="shared" si="51"/>
        <v>16</v>
      </c>
      <c r="S1620">
        <f t="shared" si="52"/>
        <v>1</v>
      </c>
    </row>
    <row r="1621" spans="1:19" x14ac:dyDescent="0.25">
      <c r="A1621" t="s">
        <v>2744</v>
      </c>
      <c r="B1621" t="s">
        <v>4028</v>
      </c>
      <c r="C1621">
        <v>2</v>
      </c>
      <c r="D1621">
        <v>600</v>
      </c>
      <c r="E1621">
        <v>0</v>
      </c>
      <c r="F1621">
        <v>30</v>
      </c>
      <c r="G1621">
        <v>30</v>
      </c>
      <c r="H1621" t="s">
        <v>2661</v>
      </c>
      <c r="I1621" s="1">
        <v>37201</v>
      </c>
      <c r="J1621" s="1">
        <v>37312</v>
      </c>
      <c r="K1621" s="1">
        <v>37336</v>
      </c>
      <c r="L1621" s="1">
        <v>37336</v>
      </c>
      <c r="M1621" s="1">
        <v>37336</v>
      </c>
      <c r="N1621" s="1">
        <v>37360</v>
      </c>
      <c r="O1621" t="s">
        <v>1117</v>
      </c>
      <c r="P1621">
        <v>14</v>
      </c>
      <c r="Q1621" t="s">
        <v>2662</v>
      </c>
      <c r="R1621">
        <f t="shared" si="51"/>
        <v>16</v>
      </c>
      <c r="S1621">
        <f t="shared" si="52"/>
        <v>1</v>
      </c>
    </row>
    <row r="1622" spans="1:19" x14ac:dyDescent="0.25">
      <c r="A1622" t="s">
        <v>2745</v>
      </c>
      <c r="B1622" t="s">
        <v>1199</v>
      </c>
      <c r="C1622">
        <v>2</v>
      </c>
      <c r="D1622">
        <v>525</v>
      </c>
      <c r="E1622">
        <v>0</v>
      </c>
      <c r="F1622">
        <v>25</v>
      </c>
      <c r="G1622">
        <v>25</v>
      </c>
      <c r="H1622" t="s">
        <v>2661</v>
      </c>
      <c r="I1622" s="1">
        <v>37192</v>
      </c>
      <c r="J1622" s="1">
        <v>37335</v>
      </c>
      <c r="K1622" s="1">
        <v>37353</v>
      </c>
      <c r="L1622" s="1">
        <v>37353</v>
      </c>
      <c r="M1622" s="1">
        <v>37353</v>
      </c>
      <c r="N1622" s="1">
        <v>37360</v>
      </c>
      <c r="O1622" t="s">
        <v>1117</v>
      </c>
      <c r="P1622">
        <v>19</v>
      </c>
      <c r="Q1622" t="s">
        <v>2662</v>
      </c>
      <c r="R1622">
        <f t="shared" si="51"/>
        <v>16</v>
      </c>
      <c r="S1622">
        <f t="shared" si="52"/>
        <v>1</v>
      </c>
    </row>
    <row r="1623" spans="1:19" x14ac:dyDescent="0.25">
      <c r="A1623" t="s">
        <v>2746</v>
      </c>
      <c r="B1623" t="s">
        <v>1199</v>
      </c>
      <c r="C1623">
        <v>2</v>
      </c>
      <c r="D1623">
        <v>580</v>
      </c>
      <c r="E1623">
        <v>0</v>
      </c>
      <c r="F1623">
        <v>29</v>
      </c>
      <c r="G1623">
        <v>29</v>
      </c>
      <c r="H1623" t="s">
        <v>2661</v>
      </c>
      <c r="I1623" s="1">
        <v>37201</v>
      </c>
      <c r="J1623" s="1">
        <v>37335</v>
      </c>
      <c r="K1623" s="1">
        <v>37359</v>
      </c>
      <c r="L1623" s="1">
        <v>37359</v>
      </c>
      <c r="M1623" s="1">
        <v>37353</v>
      </c>
      <c r="N1623" s="1">
        <v>37360</v>
      </c>
      <c r="O1623" t="s">
        <v>1117</v>
      </c>
      <c r="P1623">
        <v>18</v>
      </c>
      <c r="Q1623" t="s">
        <v>2662</v>
      </c>
      <c r="R1623">
        <f t="shared" si="51"/>
        <v>16</v>
      </c>
      <c r="S1623">
        <f t="shared" si="52"/>
        <v>1</v>
      </c>
    </row>
    <row r="1624" spans="1:19" x14ac:dyDescent="0.25">
      <c r="A1624" t="s">
        <v>2747</v>
      </c>
      <c r="B1624" t="s">
        <v>1199</v>
      </c>
      <c r="C1624">
        <v>2</v>
      </c>
      <c r="D1624">
        <v>640</v>
      </c>
      <c r="E1624">
        <v>0</v>
      </c>
      <c r="F1624">
        <v>20</v>
      </c>
      <c r="G1624">
        <v>20</v>
      </c>
      <c r="H1624" t="s">
        <v>2661</v>
      </c>
      <c r="I1624" s="1">
        <v>37201</v>
      </c>
      <c r="J1624" s="1">
        <v>37335</v>
      </c>
      <c r="K1624" s="1">
        <v>37353</v>
      </c>
      <c r="L1624" s="1">
        <v>37353</v>
      </c>
      <c r="M1624" s="1">
        <v>37346</v>
      </c>
      <c r="N1624" s="1">
        <v>37346</v>
      </c>
      <c r="O1624" t="s">
        <v>1117</v>
      </c>
      <c r="P1624">
        <v>11</v>
      </c>
      <c r="Q1624" t="s">
        <v>2662</v>
      </c>
      <c r="R1624">
        <f t="shared" si="51"/>
        <v>14</v>
      </c>
      <c r="S1624">
        <f t="shared" si="52"/>
        <v>1</v>
      </c>
    </row>
    <row r="1625" spans="1:19" x14ac:dyDescent="0.25">
      <c r="A1625" t="s">
        <v>2748</v>
      </c>
      <c r="B1625" t="s">
        <v>1199</v>
      </c>
      <c r="C1625">
        <v>2.2999999999999998</v>
      </c>
      <c r="D1625">
        <v>460</v>
      </c>
      <c r="E1625">
        <v>0</v>
      </c>
      <c r="F1625">
        <v>18</v>
      </c>
      <c r="G1625">
        <v>18</v>
      </c>
      <c r="H1625" t="s">
        <v>2661</v>
      </c>
      <c r="I1625" s="1">
        <v>37192</v>
      </c>
      <c r="J1625" s="1">
        <v>37334</v>
      </c>
      <c r="K1625" s="1">
        <v>37353</v>
      </c>
      <c r="L1625" s="1">
        <v>37353</v>
      </c>
      <c r="M1625" s="1">
        <v>37345</v>
      </c>
      <c r="N1625" s="1">
        <v>37353</v>
      </c>
      <c r="O1625" t="s">
        <v>1117</v>
      </c>
      <c r="P1625">
        <v>2</v>
      </c>
      <c r="Q1625" t="s">
        <v>2662</v>
      </c>
      <c r="R1625">
        <f t="shared" si="51"/>
        <v>15</v>
      </c>
      <c r="S1625">
        <f t="shared" si="52"/>
        <v>1</v>
      </c>
    </row>
    <row r="1626" spans="1:19" x14ac:dyDescent="0.25">
      <c r="A1626" t="s">
        <v>2749</v>
      </c>
      <c r="B1626" t="s">
        <v>4026</v>
      </c>
      <c r="C1626">
        <v>4.2</v>
      </c>
      <c r="D1626">
        <v>1030</v>
      </c>
      <c r="E1626">
        <v>0</v>
      </c>
      <c r="F1626">
        <v>20</v>
      </c>
      <c r="G1626">
        <v>20</v>
      </c>
      <c r="H1626" t="s">
        <v>2661</v>
      </c>
      <c r="I1626" s="1">
        <v>37125</v>
      </c>
      <c r="J1626" s="1">
        <v>37314</v>
      </c>
      <c r="K1626" s="1">
        <v>37316</v>
      </c>
      <c r="L1626" s="1">
        <v>37316</v>
      </c>
      <c r="M1626" s="1">
        <v>37319</v>
      </c>
      <c r="N1626" s="1">
        <v>37319</v>
      </c>
      <c r="O1626" t="s">
        <v>1117</v>
      </c>
      <c r="P1626">
        <v>28</v>
      </c>
      <c r="Q1626" t="s">
        <v>2662</v>
      </c>
      <c r="R1626">
        <f t="shared" si="51"/>
        <v>10</v>
      </c>
      <c r="S1626">
        <f t="shared" si="52"/>
        <v>1</v>
      </c>
    </row>
    <row r="1627" spans="1:19" x14ac:dyDescent="0.25">
      <c r="A1627" t="s">
        <v>2750</v>
      </c>
      <c r="B1627" t="s">
        <v>1199</v>
      </c>
      <c r="C1627">
        <v>2</v>
      </c>
      <c r="D1627">
        <v>565</v>
      </c>
      <c r="E1627">
        <v>0</v>
      </c>
      <c r="F1627">
        <v>9</v>
      </c>
      <c r="G1627">
        <v>9</v>
      </c>
      <c r="H1627" t="s">
        <v>2661</v>
      </c>
      <c r="I1627" s="1">
        <v>37201</v>
      </c>
      <c r="J1627" s="1">
        <v>37335</v>
      </c>
      <c r="K1627" s="1">
        <v>37359</v>
      </c>
      <c r="L1627" s="1">
        <v>37359</v>
      </c>
      <c r="M1627" s="1">
        <v>37353</v>
      </c>
      <c r="N1627" s="1">
        <v>37353</v>
      </c>
      <c r="O1627" t="s">
        <v>1117</v>
      </c>
      <c r="P1627">
        <v>6</v>
      </c>
      <c r="Q1627" t="s">
        <v>2662</v>
      </c>
      <c r="R1627">
        <f t="shared" si="51"/>
        <v>15</v>
      </c>
      <c r="S1627">
        <f t="shared" si="52"/>
        <v>1</v>
      </c>
    </row>
    <row r="1628" spans="1:19" x14ac:dyDescent="0.25">
      <c r="A1628" t="s">
        <v>2751</v>
      </c>
      <c r="B1628" t="s">
        <v>3601</v>
      </c>
      <c r="C1628">
        <v>4</v>
      </c>
      <c r="D1628">
        <v>1250</v>
      </c>
      <c r="E1628">
        <v>0</v>
      </c>
      <c r="F1628">
        <v>6</v>
      </c>
      <c r="G1628">
        <v>6</v>
      </c>
      <c r="H1628" t="s">
        <v>2661</v>
      </c>
      <c r="I1628" s="1">
        <v>37122</v>
      </c>
      <c r="J1628" s="1">
        <v>37319</v>
      </c>
      <c r="K1628" s="1">
        <v>37320</v>
      </c>
      <c r="L1628" s="1">
        <v>37320</v>
      </c>
      <c r="M1628" s="1">
        <v>37324</v>
      </c>
      <c r="N1628" s="1">
        <v>37332</v>
      </c>
      <c r="O1628" t="s">
        <v>1117</v>
      </c>
      <c r="P1628">
        <v>1</v>
      </c>
      <c r="Q1628" t="s">
        <v>2662</v>
      </c>
      <c r="R1628">
        <f t="shared" si="51"/>
        <v>12</v>
      </c>
      <c r="S1628">
        <f t="shared" si="52"/>
        <v>1</v>
      </c>
    </row>
    <row r="1629" spans="1:19" x14ac:dyDescent="0.25">
      <c r="A1629" t="s">
        <v>2752</v>
      </c>
      <c r="B1629" t="s">
        <v>1199</v>
      </c>
      <c r="C1629">
        <v>6</v>
      </c>
      <c r="D1629">
        <v>1250</v>
      </c>
      <c r="E1629">
        <v>0</v>
      </c>
      <c r="F1629">
        <v>31</v>
      </c>
      <c r="G1629">
        <v>15.42</v>
      </c>
      <c r="H1629" t="s">
        <v>2661</v>
      </c>
      <c r="I1629" s="1">
        <v>37116</v>
      </c>
      <c r="J1629" s="1">
        <v>37324</v>
      </c>
      <c r="K1629" s="1">
        <v>37324</v>
      </c>
      <c r="L1629" s="1">
        <v>37324</v>
      </c>
      <c r="M1629" s="1">
        <v>37331</v>
      </c>
      <c r="N1629" s="1">
        <v>37331</v>
      </c>
      <c r="O1629" t="s">
        <v>1114</v>
      </c>
      <c r="P1629">
        <v>4</v>
      </c>
      <c r="Q1629" t="s">
        <v>2662</v>
      </c>
      <c r="R1629">
        <f t="shared" si="51"/>
        <v>11</v>
      </c>
      <c r="S1629">
        <f t="shared" si="52"/>
        <v>0</v>
      </c>
    </row>
    <row r="1630" spans="1:19" x14ac:dyDescent="0.25">
      <c r="A1630" t="s">
        <v>2753</v>
      </c>
      <c r="B1630" t="s">
        <v>4026</v>
      </c>
      <c r="C1630">
        <v>3</v>
      </c>
      <c r="D1630">
        <v>1250</v>
      </c>
      <c r="E1630">
        <v>0</v>
      </c>
      <c r="F1630">
        <v>69</v>
      </c>
      <c r="G1630">
        <v>69</v>
      </c>
      <c r="H1630" t="s">
        <v>2661</v>
      </c>
      <c r="I1630" s="1">
        <v>37116</v>
      </c>
      <c r="J1630" s="1">
        <v>37324</v>
      </c>
      <c r="K1630" s="1">
        <v>37327</v>
      </c>
      <c r="L1630" s="1">
        <v>37327</v>
      </c>
      <c r="M1630" s="1">
        <v>37332</v>
      </c>
      <c r="N1630" s="1">
        <v>37353</v>
      </c>
      <c r="O1630" t="s">
        <v>1117</v>
      </c>
      <c r="P1630">
        <v>1</v>
      </c>
      <c r="Q1630" t="s">
        <v>2662</v>
      </c>
      <c r="R1630">
        <f t="shared" si="51"/>
        <v>15</v>
      </c>
      <c r="S1630">
        <f t="shared" si="52"/>
        <v>1</v>
      </c>
    </row>
    <row r="1631" spans="1:19" x14ac:dyDescent="0.25">
      <c r="A1631" t="s">
        <v>2754</v>
      </c>
      <c r="B1631" t="s">
        <v>4026</v>
      </c>
      <c r="C1631">
        <v>2.95</v>
      </c>
      <c r="D1631">
        <v>1250</v>
      </c>
      <c r="E1631">
        <v>0</v>
      </c>
      <c r="F1631">
        <v>31</v>
      </c>
      <c r="G1631">
        <v>31</v>
      </c>
      <c r="H1631" t="s">
        <v>2661</v>
      </c>
      <c r="I1631" s="1">
        <v>37116</v>
      </c>
      <c r="J1631" s="1">
        <v>37346</v>
      </c>
      <c r="K1631" t="s">
        <v>1124</v>
      </c>
      <c r="L1631" t="s">
        <v>1124</v>
      </c>
      <c r="M1631" s="1">
        <v>37346</v>
      </c>
      <c r="N1631" s="1">
        <v>37360</v>
      </c>
      <c r="O1631" t="s">
        <v>1117</v>
      </c>
      <c r="P1631">
        <v>7</v>
      </c>
      <c r="Q1631" t="s">
        <v>2662</v>
      </c>
      <c r="R1631">
        <f t="shared" si="51"/>
        <v>16</v>
      </c>
      <c r="S1631">
        <f t="shared" si="52"/>
        <v>1</v>
      </c>
    </row>
    <row r="1632" spans="1:19" x14ac:dyDescent="0.25">
      <c r="A1632" t="s">
        <v>2755</v>
      </c>
      <c r="B1632" t="s">
        <v>1199</v>
      </c>
      <c r="C1632">
        <v>3</v>
      </c>
      <c r="D1632">
        <v>1250</v>
      </c>
      <c r="E1632">
        <v>0</v>
      </c>
      <c r="F1632">
        <v>6</v>
      </c>
      <c r="G1632">
        <v>6</v>
      </c>
      <c r="H1632" t="s">
        <v>2661</v>
      </c>
      <c r="I1632" s="1">
        <v>37116</v>
      </c>
      <c r="J1632" s="1">
        <v>37324</v>
      </c>
      <c r="K1632" s="1">
        <v>37325</v>
      </c>
      <c r="L1632" s="1">
        <v>37325</v>
      </c>
      <c r="M1632" s="1">
        <v>37331</v>
      </c>
      <c r="N1632" s="1">
        <v>37353</v>
      </c>
      <c r="O1632" t="s">
        <v>1117</v>
      </c>
      <c r="P1632">
        <v>1</v>
      </c>
      <c r="Q1632" t="s">
        <v>2662</v>
      </c>
      <c r="R1632">
        <f t="shared" si="51"/>
        <v>15</v>
      </c>
      <c r="S1632">
        <f t="shared" si="52"/>
        <v>1</v>
      </c>
    </row>
    <row r="1633" spans="1:19" x14ac:dyDescent="0.25">
      <c r="A1633" t="s">
        <v>2756</v>
      </c>
      <c r="B1633" t="s">
        <v>1199</v>
      </c>
      <c r="C1633">
        <v>5</v>
      </c>
      <c r="D1633">
        <v>1250</v>
      </c>
      <c r="E1633">
        <v>0</v>
      </c>
      <c r="F1633">
        <v>61</v>
      </c>
      <c r="G1633">
        <v>61</v>
      </c>
      <c r="H1633" t="s">
        <v>2661</v>
      </c>
      <c r="I1633" s="1">
        <v>37126</v>
      </c>
      <c r="J1633" s="1">
        <v>37319</v>
      </c>
      <c r="K1633" s="1">
        <v>37319</v>
      </c>
      <c r="L1633" s="1">
        <v>37319</v>
      </c>
      <c r="M1633" s="1">
        <v>37321</v>
      </c>
      <c r="N1633" s="1">
        <v>37330</v>
      </c>
      <c r="O1633" t="s">
        <v>1114</v>
      </c>
      <c r="P1633">
        <v>3</v>
      </c>
      <c r="Q1633" t="s">
        <v>2662</v>
      </c>
      <c r="R1633">
        <f t="shared" si="51"/>
        <v>11</v>
      </c>
      <c r="S1633">
        <f t="shared" si="52"/>
        <v>1</v>
      </c>
    </row>
    <row r="1634" spans="1:19" x14ac:dyDescent="0.25">
      <c r="A1634" t="s">
        <v>2757</v>
      </c>
      <c r="B1634" t="s">
        <v>4026</v>
      </c>
      <c r="C1634">
        <v>3</v>
      </c>
      <c r="D1634">
        <v>1250</v>
      </c>
      <c r="E1634">
        <v>0</v>
      </c>
      <c r="F1634">
        <v>6</v>
      </c>
      <c r="G1634">
        <v>6</v>
      </c>
      <c r="H1634" t="s">
        <v>2661</v>
      </c>
      <c r="I1634" s="1">
        <v>37110</v>
      </c>
      <c r="J1634" s="1">
        <v>37324</v>
      </c>
      <c r="K1634" s="1">
        <v>37325</v>
      </c>
      <c r="L1634" s="1">
        <v>37325</v>
      </c>
      <c r="M1634" s="1">
        <v>37331</v>
      </c>
      <c r="N1634" s="1">
        <v>37353</v>
      </c>
      <c r="O1634" t="s">
        <v>1117</v>
      </c>
      <c r="P1634">
        <v>1</v>
      </c>
      <c r="Q1634" t="s">
        <v>2662</v>
      </c>
      <c r="R1634">
        <f t="shared" si="51"/>
        <v>15</v>
      </c>
      <c r="S1634">
        <f t="shared" si="52"/>
        <v>1</v>
      </c>
    </row>
    <row r="1635" spans="1:19" x14ac:dyDescent="0.25">
      <c r="A1635" t="s">
        <v>2758</v>
      </c>
      <c r="B1635" t="s">
        <v>1199</v>
      </c>
      <c r="C1635">
        <v>2.5</v>
      </c>
      <c r="D1635">
        <v>1250</v>
      </c>
      <c r="E1635">
        <v>0</v>
      </c>
      <c r="F1635">
        <v>63</v>
      </c>
      <c r="G1635">
        <v>41.6</v>
      </c>
      <c r="H1635" t="s">
        <v>2661</v>
      </c>
      <c r="I1635" s="1">
        <v>37110</v>
      </c>
      <c r="J1635" s="1">
        <v>37346</v>
      </c>
      <c r="K1635" s="1">
        <v>37348</v>
      </c>
      <c r="L1635" s="1">
        <v>37348</v>
      </c>
      <c r="M1635" s="1">
        <v>37346</v>
      </c>
      <c r="N1635" s="1">
        <v>37353</v>
      </c>
      <c r="O1635" t="s">
        <v>1117</v>
      </c>
      <c r="P1635">
        <v>5</v>
      </c>
      <c r="Q1635" t="s">
        <v>2662</v>
      </c>
      <c r="R1635">
        <f t="shared" si="51"/>
        <v>15</v>
      </c>
      <c r="S1635">
        <f t="shared" si="52"/>
        <v>0</v>
      </c>
    </row>
    <row r="1636" spans="1:19" x14ac:dyDescent="0.25">
      <c r="A1636" t="s">
        <v>2759</v>
      </c>
      <c r="B1636" t="s">
        <v>1199</v>
      </c>
      <c r="C1636">
        <v>3</v>
      </c>
      <c r="D1636">
        <v>1250</v>
      </c>
      <c r="E1636">
        <v>0</v>
      </c>
      <c r="F1636">
        <v>14</v>
      </c>
      <c r="G1636">
        <v>14</v>
      </c>
      <c r="H1636" t="s">
        <v>2661</v>
      </c>
      <c r="I1636" s="1">
        <v>37110</v>
      </c>
      <c r="J1636" s="1">
        <v>37324</v>
      </c>
      <c r="K1636" s="1">
        <v>37325</v>
      </c>
      <c r="L1636" s="1">
        <v>37325</v>
      </c>
      <c r="M1636" s="1">
        <v>37331</v>
      </c>
      <c r="N1636" s="1">
        <v>37353</v>
      </c>
      <c r="O1636" t="s">
        <v>1117</v>
      </c>
      <c r="P1636">
        <v>3</v>
      </c>
      <c r="Q1636" t="s">
        <v>2662</v>
      </c>
      <c r="R1636">
        <f t="shared" si="51"/>
        <v>15</v>
      </c>
      <c r="S1636">
        <f t="shared" si="52"/>
        <v>1</v>
      </c>
    </row>
    <row r="1637" spans="1:19" x14ac:dyDescent="0.25">
      <c r="A1637" t="s">
        <v>2760</v>
      </c>
      <c r="B1637" t="s">
        <v>4028</v>
      </c>
      <c r="C1637">
        <v>2</v>
      </c>
      <c r="D1637">
        <v>1250</v>
      </c>
      <c r="E1637">
        <v>0</v>
      </c>
      <c r="F1637">
        <v>42</v>
      </c>
      <c r="G1637">
        <v>42</v>
      </c>
      <c r="H1637" t="s">
        <v>2661</v>
      </c>
      <c r="I1637" s="1">
        <v>37189</v>
      </c>
      <c r="J1637" s="1">
        <v>37330</v>
      </c>
      <c r="K1637" s="1">
        <v>37330</v>
      </c>
      <c r="L1637" s="1">
        <v>37330</v>
      </c>
      <c r="M1637" s="1">
        <v>37330</v>
      </c>
      <c r="N1637" s="1">
        <v>37334</v>
      </c>
      <c r="O1637" t="s">
        <v>1114</v>
      </c>
      <c r="P1637">
        <v>5</v>
      </c>
      <c r="Q1637" t="s">
        <v>2662</v>
      </c>
      <c r="R1637">
        <f t="shared" si="51"/>
        <v>12</v>
      </c>
      <c r="S1637">
        <f t="shared" si="52"/>
        <v>1</v>
      </c>
    </row>
    <row r="1638" spans="1:19" x14ac:dyDescent="0.25">
      <c r="A1638" t="s">
        <v>2761</v>
      </c>
      <c r="B1638" t="s">
        <v>4028</v>
      </c>
      <c r="C1638">
        <v>2</v>
      </c>
      <c r="D1638">
        <v>1250</v>
      </c>
      <c r="E1638">
        <v>0</v>
      </c>
      <c r="F1638">
        <v>42</v>
      </c>
      <c r="G1638">
        <v>42</v>
      </c>
      <c r="H1638" t="s">
        <v>2661</v>
      </c>
      <c r="I1638" s="1">
        <v>37189</v>
      </c>
      <c r="J1638" s="1">
        <v>37330</v>
      </c>
      <c r="K1638" t="s">
        <v>1124</v>
      </c>
      <c r="L1638" t="s">
        <v>1124</v>
      </c>
      <c r="M1638" s="1">
        <v>37334</v>
      </c>
      <c r="N1638" s="1">
        <v>37334</v>
      </c>
      <c r="O1638" t="s">
        <v>1117</v>
      </c>
      <c r="P1638">
        <v>5</v>
      </c>
      <c r="Q1638" t="s">
        <v>2662</v>
      </c>
      <c r="R1638">
        <f t="shared" si="51"/>
        <v>12</v>
      </c>
      <c r="S1638">
        <f t="shared" si="52"/>
        <v>1</v>
      </c>
    </row>
    <row r="1639" spans="1:19" x14ac:dyDescent="0.25">
      <c r="A1639" t="s">
        <v>2762</v>
      </c>
      <c r="B1639" t="s">
        <v>4028</v>
      </c>
      <c r="C1639">
        <v>2.5</v>
      </c>
      <c r="D1639">
        <v>650</v>
      </c>
      <c r="E1639">
        <v>0</v>
      </c>
      <c r="F1639">
        <v>21</v>
      </c>
      <c r="G1639">
        <v>21</v>
      </c>
      <c r="H1639" t="s">
        <v>2661</v>
      </c>
      <c r="I1639" s="1">
        <v>37189</v>
      </c>
      <c r="J1639" s="1">
        <v>37329</v>
      </c>
      <c r="K1639" t="s">
        <v>1124</v>
      </c>
      <c r="L1639" t="s">
        <v>1124</v>
      </c>
      <c r="M1639" s="1">
        <v>37329</v>
      </c>
      <c r="N1639" s="1">
        <v>37329</v>
      </c>
      <c r="O1639" t="s">
        <v>1117</v>
      </c>
      <c r="P1639">
        <v>2</v>
      </c>
      <c r="Q1639" t="s">
        <v>2662</v>
      </c>
      <c r="R1639">
        <f t="shared" si="51"/>
        <v>11</v>
      </c>
      <c r="S1639">
        <f t="shared" si="52"/>
        <v>1</v>
      </c>
    </row>
    <row r="1640" spans="1:19" x14ac:dyDescent="0.25">
      <c r="A1640" t="s">
        <v>2763</v>
      </c>
      <c r="B1640" t="s">
        <v>4028</v>
      </c>
      <c r="C1640">
        <v>2.5</v>
      </c>
      <c r="D1640">
        <v>675</v>
      </c>
      <c r="E1640">
        <v>0</v>
      </c>
      <c r="F1640">
        <v>24</v>
      </c>
      <c r="G1640">
        <v>24</v>
      </c>
      <c r="H1640" t="s">
        <v>2661</v>
      </c>
      <c r="I1640" s="1">
        <v>37189</v>
      </c>
      <c r="J1640" s="1">
        <v>37329</v>
      </c>
      <c r="K1640" t="s">
        <v>1124</v>
      </c>
      <c r="L1640" t="s">
        <v>1124</v>
      </c>
      <c r="M1640" s="1">
        <v>37329</v>
      </c>
      <c r="N1640" s="1">
        <v>37329</v>
      </c>
      <c r="O1640" t="s">
        <v>1117</v>
      </c>
      <c r="P1640">
        <v>3</v>
      </c>
      <c r="Q1640" t="s">
        <v>2662</v>
      </c>
      <c r="R1640">
        <f t="shared" si="51"/>
        <v>11</v>
      </c>
      <c r="S1640">
        <f t="shared" si="52"/>
        <v>1</v>
      </c>
    </row>
    <row r="1641" spans="1:19" x14ac:dyDescent="0.25">
      <c r="A1641" t="s">
        <v>2764</v>
      </c>
      <c r="B1641" t="s">
        <v>1199</v>
      </c>
      <c r="C1641">
        <v>2.5</v>
      </c>
      <c r="D1641">
        <v>600</v>
      </c>
      <c r="E1641">
        <v>0</v>
      </c>
      <c r="F1641">
        <v>21</v>
      </c>
      <c r="G1641">
        <v>21</v>
      </c>
      <c r="H1641" t="s">
        <v>2661</v>
      </c>
      <c r="I1641" s="1">
        <v>37189</v>
      </c>
      <c r="J1641" s="1">
        <v>37329</v>
      </c>
      <c r="K1641" t="s">
        <v>1124</v>
      </c>
      <c r="L1641" t="s">
        <v>1124</v>
      </c>
      <c r="M1641" s="1">
        <v>37329</v>
      </c>
      <c r="N1641" s="1">
        <v>37329</v>
      </c>
      <c r="O1641" t="s">
        <v>1117</v>
      </c>
      <c r="P1641">
        <v>1</v>
      </c>
      <c r="Q1641" t="s">
        <v>2662</v>
      </c>
      <c r="R1641">
        <f t="shared" si="51"/>
        <v>11</v>
      </c>
      <c r="S1641">
        <f t="shared" si="52"/>
        <v>1</v>
      </c>
    </row>
    <row r="1642" spans="1:19" x14ac:dyDescent="0.25">
      <c r="A1642" t="s">
        <v>2765</v>
      </c>
      <c r="B1642" t="s">
        <v>1199</v>
      </c>
      <c r="C1642">
        <v>2.5</v>
      </c>
      <c r="D1642">
        <v>600</v>
      </c>
      <c r="E1642">
        <v>0</v>
      </c>
      <c r="F1642">
        <v>21</v>
      </c>
      <c r="G1642">
        <v>21</v>
      </c>
      <c r="H1642" t="s">
        <v>2661</v>
      </c>
      <c r="I1642" s="1">
        <v>37189</v>
      </c>
      <c r="J1642" s="1">
        <v>37329</v>
      </c>
      <c r="K1642" t="s">
        <v>1124</v>
      </c>
      <c r="L1642" t="s">
        <v>1124</v>
      </c>
      <c r="M1642" s="1">
        <v>37329</v>
      </c>
      <c r="N1642" s="1">
        <v>37329</v>
      </c>
      <c r="O1642" t="s">
        <v>1117</v>
      </c>
      <c r="P1642">
        <v>1</v>
      </c>
      <c r="Q1642" t="s">
        <v>2662</v>
      </c>
      <c r="R1642">
        <f t="shared" si="51"/>
        <v>11</v>
      </c>
      <c r="S1642">
        <f t="shared" si="52"/>
        <v>1</v>
      </c>
    </row>
    <row r="1643" spans="1:19" x14ac:dyDescent="0.25">
      <c r="A1643" t="s">
        <v>2766</v>
      </c>
      <c r="B1643" t="s">
        <v>4027</v>
      </c>
      <c r="C1643">
        <v>2.5</v>
      </c>
      <c r="D1643">
        <v>650</v>
      </c>
      <c r="E1643">
        <v>0</v>
      </c>
      <c r="F1643">
        <v>21</v>
      </c>
      <c r="G1643">
        <v>21</v>
      </c>
      <c r="H1643" t="s">
        <v>2661</v>
      </c>
      <c r="I1643" s="1">
        <v>37189</v>
      </c>
      <c r="J1643" s="1">
        <v>37329</v>
      </c>
      <c r="K1643" t="s">
        <v>1124</v>
      </c>
      <c r="L1643" t="s">
        <v>1124</v>
      </c>
      <c r="M1643" s="1">
        <v>37329</v>
      </c>
      <c r="N1643" s="1">
        <v>37329</v>
      </c>
      <c r="O1643" t="s">
        <v>1117</v>
      </c>
      <c r="P1643">
        <v>2</v>
      </c>
      <c r="Q1643" t="s">
        <v>2662</v>
      </c>
      <c r="R1643">
        <f t="shared" si="51"/>
        <v>11</v>
      </c>
      <c r="S1643">
        <f t="shared" si="52"/>
        <v>1</v>
      </c>
    </row>
    <row r="1644" spans="1:19" x14ac:dyDescent="0.25">
      <c r="A1644" t="s">
        <v>2767</v>
      </c>
      <c r="B1644" t="s">
        <v>4026</v>
      </c>
      <c r="C1644">
        <v>2.5</v>
      </c>
      <c r="D1644">
        <v>580</v>
      </c>
      <c r="E1644">
        <v>0</v>
      </c>
      <c r="F1644">
        <v>18</v>
      </c>
      <c r="G1644">
        <v>18</v>
      </c>
      <c r="H1644" t="s">
        <v>2661</v>
      </c>
      <c r="I1644" s="1">
        <v>37189</v>
      </c>
      <c r="J1644" s="1">
        <v>37329</v>
      </c>
      <c r="K1644" t="s">
        <v>1124</v>
      </c>
      <c r="L1644" t="s">
        <v>1124</v>
      </c>
      <c r="M1644" s="1">
        <v>37329</v>
      </c>
      <c r="N1644" s="1">
        <v>37329</v>
      </c>
      <c r="O1644" t="s">
        <v>1117</v>
      </c>
      <c r="P1644">
        <v>4</v>
      </c>
      <c r="Q1644" t="s">
        <v>2662</v>
      </c>
      <c r="R1644">
        <f t="shared" si="51"/>
        <v>11</v>
      </c>
      <c r="S1644">
        <f t="shared" si="52"/>
        <v>1</v>
      </c>
    </row>
    <row r="1645" spans="1:19" x14ac:dyDescent="0.25">
      <c r="A1645" t="s">
        <v>2768</v>
      </c>
      <c r="B1645" t="s">
        <v>4026</v>
      </c>
      <c r="C1645">
        <v>2</v>
      </c>
      <c r="D1645">
        <v>1250</v>
      </c>
      <c r="E1645">
        <v>0</v>
      </c>
      <c r="F1645">
        <v>42</v>
      </c>
      <c r="G1645">
        <v>42</v>
      </c>
      <c r="H1645" t="s">
        <v>2661</v>
      </c>
      <c r="I1645" s="1">
        <v>37189</v>
      </c>
      <c r="J1645" s="1">
        <v>37329</v>
      </c>
      <c r="K1645" s="1">
        <v>37329</v>
      </c>
      <c r="L1645" s="1">
        <v>37329</v>
      </c>
      <c r="M1645" s="1">
        <v>37329</v>
      </c>
      <c r="N1645" s="1">
        <v>37334</v>
      </c>
      <c r="O1645" t="s">
        <v>1114</v>
      </c>
      <c r="P1645">
        <v>5</v>
      </c>
      <c r="Q1645" t="s">
        <v>2662</v>
      </c>
      <c r="R1645">
        <f t="shared" si="51"/>
        <v>12</v>
      </c>
      <c r="S1645">
        <f t="shared" si="52"/>
        <v>1</v>
      </c>
    </row>
    <row r="1646" spans="1:19" x14ac:dyDescent="0.25">
      <c r="A1646" t="s">
        <v>2769</v>
      </c>
      <c r="B1646" t="s">
        <v>4028</v>
      </c>
      <c r="C1646">
        <v>2</v>
      </c>
      <c r="D1646">
        <v>550</v>
      </c>
      <c r="E1646">
        <v>0</v>
      </c>
      <c r="F1646">
        <v>8.5</v>
      </c>
      <c r="G1646">
        <v>8.5</v>
      </c>
      <c r="H1646" t="s">
        <v>2661</v>
      </c>
      <c r="I1646" s="1">
        <v>37192</v>
      </c>
      <c r="J1646" s="1">
        <v>37331</v>
      </c>
      <c r="K1646" s="1">
        <v>37339</v>
      </c>
      <c r="L1646" s="1">
        <v>37339</v>
      </c>
      <c r="M1646" s="1">
        <v>37339</v>
      </c>
      <c r="N1646" s="1">
        <v>37339</v>
      </c>
      <c r="O1646" t="s">
        <v>1117</v>
      </c>
      <c r="P1646">
        <v>10</v>
      </c>
      <c r="Q1646" t="s">
        <v>2662</v>
      </c>
      <c r="R1646">
        <f t="shared" si="51"/>
        <v>13</v>
      </c>
      <c r="S1646">
        <f t="shared" si="52"/>
        <v>1</v>
      </c>
    </row>
    <row r="1647" spans="1:19" x14ac:dyDescent="0.25">
      <c r="A1647" t="s">
        <v>2770</v>
      </c>
      <c r="B1647" t="s">
        <v>1199</v>
      </c>
      <c r="C1647">
        <v>5</v>
      </c>
      <c r="D1647">
        <v>1250</v>
      </c>
      <c r="E1647">
        <v>0</v>
      </c>
      <c r="F1647">
        <v>18</v>
      </c>
      <c r="G1647">
        <v>18</v>
      </c>
      <c r="H1647" t="s">
        <v>2661</v>
      </c>
      <c r="I1647" s="1">
        <v>37159</v>
      </c>
      <c r="J1647" s="1">
        <v>37312</v>
      </c>
      <c r="K1647" s="1">
        <v>37315</v>
      </c>
      <c r="L1647" s="1">
        <v>37315</v>
      </c>
      <c r="M1647" s="1">
        <v>37319</v>
      </c>
      <c r="N1647" s="1">
        <v>37319</v>
      </c>
      <c r="O1647" t="s">
        <v>1117</v>
      </c>
      <c r="P1647">
        <v>1</v>
      </c>
      <c r="Q1647" t="s">
        <v>2662</v>
      </c>
      <c r="R1647">
        <f t="shared" si="51"/>
        <v>10</v>
      </c>
      <c r="S1647">
        <f t="shared" si="52"/>
        <v>1</v>
      </c>
    </row>
    <row r="1648" spans="1:19" x14ac:dyDescent="0.25">
      <c r="A1648" t="s">
        <v>2771</v>
      </c>
      <c r="B1648" t="s">
        <v>4028</v>
      </c>
      <c r="C1648">
        <v>2</v>
      </c>
      <c r="D1648">
        <v>555</v>
      </c>
      <c r="E1648">
        <v>0</v>
      </c>
      <c r="F1648">
        <v>8.5</v>
      </c>
      <c r="G1648">
        <v>8.5</v>
      </c>
      <c r="H1648" t="s">
        <v>2661</v>
      </c>
      <c r="I1648" s="1">
        <v>37192</v>
      </c>
      <c r="J1648" s="1">
        <v>37331</v>
      </c>
      <c r="K1648" s="1">
        <v>37339</v>
      </c>
      <c r="L1648" s="1">
        <v>37339</v>
      </c>
      <c r="M1648" s="1">
        <v>37339</v>
      </c>
      <c r="N1648" s="1">
        <v>37339</v>
      </c>
      <c r="O1648" t="s">
        <v>1117</v>
      </c>
      <c r="P1648">
        <v>11</v>
      </c>
      <c r="Q1648" t="s">
        <v>2662</v>
      </c>
      <c r="R1648">
        <f t="shared" si="51"/>
        <v>13</v>
      </c>
      <c r="S1648">
        <f t="shared" si="52"/>
        <v>1</v>
      </c>
    </row>
    <row r="1649" spans="1:19" x14ac:dyDescent="0.25">
      <c r="A1649" t="s">
        <v>2772</v>
      </c>
      <c r="B1649" t="s">
        <v>1199</v>
      </c>
      <c r="C1649">
        <v>2</v>
      </c>
      <c r="D1649">
        <v>605</v>
      </c>
      <c r="E1649">
        <v>0</v>
      </c>
      <c r="F1649">
        <v>20</v>
      </c>
      <c r="G1649">
        <v>20</v>
      </c>
      <c r="H1649" t="s">
        <v>2661</v>
      </c>
      <c r="I1649" s="1">
        <v>37192</v>
      </c>
      <c r="J1649" s="1">
        <v>37331</v>
      </c>
      <c r="K1649" t="s">
        <v>1124</v>
      </c>
      <c r="L1649" t="s">
        <v>1124</v>
      </c>
      <c r="M1649" s="1">
        <v>37335</v>
      </c>
      <c r="N1649" s="1">
        <v>37335</v>
      </c>
      <c r="O1649" t="s">
        <v>1117</v>
      </c>
      <c r="P1649">
        <v>13</v>
      </c>
      <c r="Q1649" t="s">
        <v>2662</v>
      </c>
      <c r="R1649">
        <f t="shared" si="51"/>
        <v>12</v>
      </c>
      <c r="S1649">
        <f t="shared" si="52"/>
        <v>1</v>
      </c>
    </row>
    <row r="1650" spans="1:19" x14ac:dyDescent="0.25">
      <c r="A1650" t="s">
        <v>2773</v>
      </c>
      <c r="B1650" t="s">
        <v>4028</v>
      </c>
      <c r="C1650">
        <v>2</v>
      </c>
      <c r="D1650">
        <v>555</v>
      </c>
      <c r="E1650">
        <v>0</v>
      </c>
      <c r="F1650">
        <v>8.5</v>
      </c>
      <c r="G1650">
        <v>8.5</v>
      </c>
      <c r="H1650" t="s">
        <v>2661</v>
      </c>
      <c r="I1650" s="1">
        <v>37192</v>
      </c>
      <c r="J1650" s="1">
        <v>37331</v>
      </c>
      <c r="K1650" s="1">
        <v>37339</v>
      </c>
      <c r="L1650" s="1">
        <v>37339</v>
      </c>
      <c r="M1650" s="1">
        <v>37339</v>
      </c>
      <c r="N1650" s="1">
        <v>37339</v>
      </c>
      <c r="O1650" t="s">
        <v>1117</v>
      </c>
      <c r="P1650">
        <v>11</v>
      </c>
      <c r="Q1650" t="s">
        <v>2662</v>
      </c>
      <c r="R1650">
        <f t="shared" si="51"/>
        <v>13</v>
      </c>
      <c r="S1650">
        <f t="shared" si="52"/>
        <v>1</v>
      </c>
    </row>
    <row r="1651" spans="1:19" x14ac:dyDescent="0.25">
      <c r="A1651" t="s">
        <v>2774</v>
      </c>
      <c r="B1651" t="s">
        <v>4028</v>
      </c>
      <c r="C1651">
        <v>2</v>
      </c>
      <c r="D1651">
        <v>550</v>
      </c>
      <c r="E1651">
        <v>0</v>
      </c>
      <c r="F1651">
        <v>8.5</v>
      </c>
      <c r="G1651">
        <v>8.5</v>
      </c>
      <c r="H1651" t="s">
        <v>2661</v>
      </c>
      <c r="I1651" s="1">
        <v>37192</v>
      </c>
      <c r="J1651" s="1">
        <v>37331</v>
      </c>
      <c r="K1651" s="1">
        <v>37339</v>
      </c>
      <c r="L1651" s="1">
        <v>37339</v>
      </c>
      <c r="M1651" s="1">
        <v>37339</v>
      </c>
      <c r="N1651" s="1">
        <v>37339</v>
      </c>
      <c r="O1651" t="s">
        <v>1117</v>
      </c>
      <c r="P1651">
        <v>10</v>
      </c>
      <c r="Q1651" t="s">
        <v>2662</v>
      </c>
      <c r="R1651">
        <f t="shared" si="51"/>
        <v>13</v>
      </c>
      <c r="S1651">
        <f t="shared" si="52"/>
        <v>1</v>
      </c>
    </row>
    <row r="1652" spans="1:19" x14ac:dyDescent="0.25">
      <c r="A1652" t="s">
        <v>2775</v>
      </c>
      <c r="B1652" t="s">
        <v>1199</v>
      </c>
      <c r="C1652">
        <v>4</v>
      </c>
      <c r="D1652">
        <v>358</v>
      </c>
      <c r="E1652">
        <v>0</v>
      </c>
      <c r="F1652">
        <v>5</v>
      </c>
      <c r="G1652">
        <v>5</v>
      </c>
      <c r="H1652" t="s">
        <v>2661</v>
      </c>
      <c r="I1652" s="1">
        <v>37105</v>
      </c>
      <c r="J1652" s="1">
        <v>37319</v>
      </c>
      <c r="K1652" s="1">
        <v>37324</v>
      </c>
      <c r="L1652" s="1">
        <v>37324</v>
      </c>
      <c r="M1652" s="1">
        <v>37323</v>
      </c>
      <c r="N1652" s="1">
        <v>37323</v>
      </c>
      <c r="O1652" t="s">
        <v>1117</v>
      </c>
      <c r="P1652">
        <v>4</v>
      </c>
      <c r="Q1652" t="s">
        <v>2662</v>
      </c>
      <c r="R1652">
        <f t="shared" si="51"/>
        <v>10</v>
      </c>
      <c r="S1652">
        <f t="shared" si="52"/>
        <v>1</v>
      </c>
    </row>
    <row r="1653" spans="1:19" x14ac:dyDescent="0.25">
      <c r="A1653" t="s">
        <v>2776</v>
      </c>
      <c r="B1653" t="s">
        <v>3631</v>
      </c>
      <c r="C1653">
        <v>2</v>
      </c>
      <c r="D1653">
        <v>650</v>
      </c>
      <c r="E1653">
        <v>0</v>
      </c>
      <c r="F1653">
        <v>20</v>
      </c>
      <c r="G1653">
        <v>20</v>
      </c>
      <c r="H1653" t="s">
        <v>2661</v>
      </c>
      <c r="I1653" s="1">
        <v>37192</v>
      </c>
      <c r="J1653" s="1">
        <v>37331</v>
      </c>
      <c r="K1653" t="s">
        <v>1124</v>
      </c>
      <c r="L1653" t="s">
        <v>1124</v>
      </c>
      <c r="M1653" s="1">
        <v>37335</v>
      </c>
      <c r="N1653" s="1">
        <v>37335</v>
      </c>
      <c r="O1653" t="s">
        <v>1117</v>
      </c>
      <c r="P1653">
        <v>14</v>
      </c>
      <c r="Q1653" t="s">
        <v>2662</v>
      </c>
      <c r="R1653">
        <f t="shared" si="51"/>
        <v>12</v>
      </c>
      <c r="S1653">
        <f t="shared" si="52"/>
        <v>1</v>
      </c>
    </row>
    <row r="1654" spans="1:19" x14ac:dyDescent="0.25">
      <c r="A1654" t="s">
        <v>2777</v>
      </c>
      <c r="B1654" t="s">
        <v>1199</v>
      </c>
      <c r="C1654">
        <v>2</v>
      </c>
      <c r="D1654">
        <v>550</v>
      </c>
      <c r="E1654">
        <v>0</v>
      </c>
      <c r="F1654">
        <v>8.5</v>
      </c>
      <c r="G1654">
        <v>8.5</v>
      </c>
      <c r="H1654" t="s">
        <v>2661</v>
      </c>
      <c r="I1654" s="1">
        <v>37192</v>
      </c>
      <c r="J1654" s="1">
        <v>37331</v>
      </c>
      <c r="K1654" s="1">
        <v>37339</v>
      </c>
      <c r="L1654" s="1">
        <v>37339</v>
      </c>
      <c r="M1654" s="1">
        <v>37339</v>
      </c>
      <c r="N1654" s="1">
        <v>37339</v>
      </c>
      <c r="O1654" t="s">
        <v>1117</v>
      </c>
      <c r="P1654">
        <v>10</v>
      </c>
      <c r="Q1654" t="s">
        <v>2662</v>
      </c>
      <c r="R1654">
        <f t="shared" si="51"/>
        <v>13</v>
      </c>
      <c r="S1654">
        <f t="shared" si="52"/>
        <v>1</v>
      </c>
    </row>
    <row r="1655" spans="1:19" x14ac:dyDescent="0.25">
      <c r="A1655" t="s">
        <v>2778</v>
      </c>
      <c r="B1655" t="s">
        <v>4028</v>
      </c>
      <c r="C1655">
        <v>2</v>
      </c>
      <c r="D1655">
        <v>555</v>
      </c>
      <c r="E1655">
        <v>0</v>
      </c>
      <c r="F1655">
        <v>8.5</v>
      </c>
      <c r="G1655">
        <v>8.5</v>
      </c>
      <c r="H1655" t="s">
        <v>2661</v>
      </c>
      <c r="I1655" s="1">
        <v>37192</v>
      </c>
      <c r="J1655" s="1">
        <v>37331</v>
      </c>
      <c r="K1655" s="1">
        <v>37339</v>
      </c>
      <c r="L1655" s="1">
        <v>37339</v>
      </c>
      <c r="M1655" s="1">
        <v>37339</v>
      </c>
      <c r="N1655" s="1">
        <v>37339</v>
      </c>
      <c r="O1655" t="s">
        <v>1117</v>
      </c>
      <c r="P1655">
        <v>11</v>
      </c>
      <c r="Q1655" t="s">
        <v>2662</v>
      </c>
      <c r="R1655">
        <f t="shared" si="51"/>
        <v>13</v>
      </c>
      <c r="S1655">
        <f t="shared" si="52"/>
        <v>1</v>
      </c>
    </row>
    <row r="1656" spans="1:19" x14ac:dyDescent="0.25">
      <c r="A1656" t="s">
        <v>2779</v>
      </c>
      <c r="B1656" t="s">
        <v>4028</v>
      </c>
      <c r="C1656">
        <v>2</v>
      </c>
      <c r="D1656">
        <v>605</v>
      </c>
      <c r="E1656">
        <v>0</v>
      </c>
      <c r="F1656">
        <v>20</v>
      </c>
      <c r="G1656">
        <v>20</v>
      </c>
      <c r="H1656" t="s">
        <v>2661</v>
      </c>
      <c r="I1656" s="1">
        <v>37192</v>
      </c>
      <c r="J1656" s="1">
        <v>37331</v>
      </c>
      <c r="K1656" t="s">
        <v>1124</v>
      </c>
      <c r="L1656" t="s">
        <v>1124</v>
      </c>
      <c r="M1656" s="1">
        <v>37335</v>
      </c>
      <c r="N1656" s="1">
        <v>37335</v>
      </c>
      <c r="O1656" t="s">
        <v>1117</v>
      </c>
      <c r="P1656">
        <v>13</v>
      </c>
      <c r="Q1656" t="s">
        <v>2662</v>
      </c>
      <c r="R1656">
        <f t="shared" si="51"/>
        <v>12</v>
      </c>
      <c r="S1656">
        <f t="shared" si="52"/>
        <v>1</v>
      </c>
    </row>
    <row r="1657" spans="1:19" x14ac:dyDescent="0.25">
      <c r="A1657" t="s">
        <v>2780</v>
      </c>
      <c r="B1657" t="s">
        <v>4028</v>
      </c>
      <c r="C1657">
        <v>2</v>
      </c>
      <c r="D1657">
        <v>510</v>
      </c>
      <c r="E1657">
        <v>0</v>
      </c>
      <c r="F1657">
        <v>9</v>
      </c>
      <c r="G1657">
        <v>9</v>
      </c>
      <c r="H1657" t="s">
        <v>2661</v>
      </c>
      <c r="I1657" s="1">
        <v>37192</v>
      </c>
      <c r="J1657" s="1">
        <v>37331</v>
      </c>
      <c r="K1657" t="s">
        <v>1124</v>
      </c>
      <c r="L1657" t="s">
        <v>1124</v>
      </c>
      <c r="M1657" s="1">
        <v>37335</v>
      </c>
      <c r="N1657" s="1">
        <v>37335</v>
      </c>
      <c r="O1657" t="s">
        <v>1117</v>
      </c>
      <c r="P1657">
        <v>4</v>
      </c>
      <c r="Q1657" t="s">
        <v>2662</v>
      </c>
      <c r="R1657">
        <f t="shared" si="51"/>
        <v>12</v>
      </c>
      <c r="S1657">
        <f t="shared" si="52"/>
        <v>1</v>
      </c>
    </row>
    <row r="1658" spans="1:19" x14ac:dyDescent="0.25">
      <c r="A1658" t="s">
        <v>2781</v>
      </c>
      <c r="B1658" t="s">
        <v>1199</v>
      </c>
      <c r="C1658">
        <v>2</v>
      </c>
      <c r="D1658">
        <v>590</v>
      </c>
      <c r="E1658">
        <v>0</v>
      </c>
      <c r="F1658">
        <v>20</v>
      </c>
      <c r="G1658">
        <v>20</v>
      </c>
      <c r="H1658" t="s">
        <v>2661</v>
      </c>
      <c r="I1658" s="1">
        <v>37201</v>
      </c>
      <c r="J1658" s="1">
        <v>37335</v>
      </c>
      <c r="K1658" s="1">
        <v>37353</v>
      </c>
      <c r="L1658" s="1">
        <v>37353</v>
      </c>
      <c r="M1658" s="1">
        <v>37353</v>
      </c>
      <c r="N1658" s="1">
        <v>37360</v>
      </c>
      <c r="O1658" t="s">
        <v>1117</v>
      </c>
      <c r="P1658">
        <v>8</v>
      </c>
      <c r="Q1658" t="s">
        <v>2662</v>
      </c>
      <c r="R1658">
        <f t="shared" si="51"/>
        <v>16</v>
      </c>
      <c r="S1658">
        <f t="shared" si="52"/>
        <v>1</v>
      </c>
    </row>
    <row r="1659" spans="1:19" x14ac:dyDescent="0.25">
      <c r="A1659" t="s">
        <v>2782</v>
      </c>
      <c r="B1659" t="s">
        <v>1199</v>
      </c>
      <c r="C1659">
        <v>2.2999999999999998</v>
      </c>
      <c r="D1659">
        <v>640</v>
      </c>
      <c r="E1659">
        <v>0</v>
      </c>
      <c r="F1659">
        <v>20</v>
      </c>
      <c r="G1659">
        <v>20</v>
      </c>
      <c r="H1659" t="s">
        <v>2661</v>
      </c>
      <c r="I1659" s="1">
        <v>37201</v>
      </c>
      <c r="J1659" s="1">
        <v>37334</v>
      </c>
      <c r="K1659" s="1">
        <v>37339</v>
      </c>
      <c r="L1659" s="1">
        <v>37339</v>
      </c>
      <c r="M1659" s="1">
        <v>37339</v>
      </c>
      <c r="N1659" s="1">
        <v>37339</v>
      </c>
      <c r="O1659" t="s">
        <v>1117</v>
      </c>
      <c r="P1659">
        <v>3</v>
      </c>
      <c r="Q1659" t="s">
        <v>2662</v>
      </c>
      <c r="R1659">
        <f t="shared" si="51"/>
        <v>13</v>
      </c>
      <c r="S1659">
        <f t="shared" si="52"/>
        <v>1</v>
      </c>
    </row>
    <row r="1660" spans="1:19" x14ac:dyDescent="0.25">
      <c r="A1660" t="s">
        <v>2783</v>
      </c>
      <c r="B1660" t="s">
        <v>4028</v>
      </c>
      <c r="C1660">
        <v>2.2999999999999998</v>
      </c>
      <c r="D1660">
        <v>535</v>
      </c>
      <c r="E1660">
        <v>0</v>
      </c>
      <c r="F1660">
        <v>26</v>
      </c>
      <c r="G1660">
        <v>26</v>
      </c>
      <c r="H1660" t="s">
        <v>2661</v>
      </c>
      <c r="I1660" s="1">
        <v>37201</v>
      </c>
      <c r="J1660" s="1">
        <v>37334</v>
      </c>
      <c r="K1660" s="1">
        <v>37339</v>
      </c>
      <c r="L1660" s="1">
        <v>37339</v>
      </c>
      <c r="M1660" s="1">
        <v>37339</v>
      </c>
      <c r="N1660" s="1">
        <v>37339</v>
      </c>
      <c r="O1660" t="s">
        <v>1117</v>
      </c>
      <c r="P1660">
        <v>4</v>
      </c>
      <c r="Q1660" t="s">
        <v>2662</v>
      </c>
      <c r="R1660">
        <f t="shared" si="51"/>
        <v>13</v>
      </c>
      <c r="S1660">
        <f t="shared" si="52"/>
        <v>1</v>
      </c>
    </row>
    <row r="1661" spans="1:19" x14ac:dyDescent="0.25">
      <c r="A1661" t="s">
        <v>2784</v>
      </c>
      <c r="B1661" t="s">
        <v>4026</v>
      </c>
      <c r="C1661">
        <v>2</v>
      </c>
      <c r="D1661">
        <v>535</v>
      </c>
      <c r="E1661">
        <v>0</v>
      </c>
      <c r="F1661">
        <v>9</v>
      </c>
      <c r="G1661">
        <v>9</v>
      </c>
      <c r="H1661" t="s">
        <v>2661</v>
      </c>
      <c r="I1661" s="1">
        <v>37201</v>
      </c>
      <c r="J1661" s="1">
        <v>37335</v>
      </c>
      <c r="K1661" s="1">
        <v>37353</v>
      </c>
      <c r="L1661" s="1">
        <v>37353</v>
      </c>
      <c r="M1661" s="1">
        <v>37353</v>
      </c>
      <c r="N1661" s="1">
        <v>37353</v>
      </c>
      <c r="O1661" t="s">
        <v>1117</v>
      </c>
      <c r="P1661">
        <v>7</v>
      </c>
      <c r="Q1661" t="s">
        <v>2662</v>
      </c>
      <c r="R1661">
        <f t="shared" si="51"/>
        <v>15</v>
      </c>
      <c r="S1661">
        <f t="shared" si="52"/>
        <v>1</v>
      </c>
    </row>
    <row r="1662" spans="1:19" x14ac:dyDescent="0.25">
      <c r="A1662" t="s">
        <v>2785</v>
      </c>
      <c r="B1662" t="s">
        <v>4028</v>
      </c>
      <c r="C1662">
        <v>2</v>
      </c>
      <c r="D1662">
        <v>555</v>
      </c>
      <c r="E1662">
        <v>0</v>
      </c>
      <c r="F1662">
        <v>27</v>
      </c>
      <c r="G1662">
        <v>27</v>
      </c>
      <c r="H1662" t="s">
        <v>2661</v>
      </c>
      <c r="I1662" s="1">
        <v>37201</v>
      </c>
      <c r="J1662" s="1">
        <v>37308</v>
      </c>
      <c r="K1662" s="1">
        <v>37343</v>
      </c>
      <c r="L1662" s="1">
        <v>37343</v>
      </c>
      <c r="M1662" s="1">
        <v>37336</v>
      </c>
      <c r="N1662" s="1">
        <v>37360</v>
      </c>
      <c r="O1662" t="s">
        <v>1117</v>
      </c>
      <c r="P1662">
        <v>20</v>
      </c>
      <c r="Q1662" t="s">
        <v>2662</v>
      </c>
      <c r="R1662">
        <f t="shared" si="51"/>
        <v>16</v>
      </c>
      <c r="S1662">
        <f t="shared" si="52"/>
        <v>1</v>
      </c>
    </row>
    <row r="1663" spans="1:19" x14ac:dyDescent="0.25">
      <c r="A1663" t="s">
        <v>2786</v>
      </c>
      <c r="B1663" t="s">
        <v>1199</v>
      </c>
      <c r="C1663">
        <v>4</v>
      </c>
      <c r="D1663">
        <v>1250</v>
      </c>
      <c r="E1663">
        <v>0</v>
      </c>
      <c r="F1663">
        <v>18</v>
      </c>
      <c r="G1663">
        <v>18</v>
      </c>
      <c r="H1663" t="s">
        <v>2661</v>
      </c>
      <c r="I1663" s="1">
        <v>37125</v>
      </c>
      <c r="J1663" s="1">
        <v>37321</v>
      </c>
      <c r="K1663" s="1">
        <v>37337</v>
      </c>
      <c r="L1663" s="1">
        <v>37337</v>
      </c>
      <c r="M1663" s="1">
        <v>37281</v>
      </c>
      <c r="N1663" s="1">
        <v>37281</v>
      </c>
      <c r="O1663" t="s">
        <v>1117</v>
      </c>
      <c r="P1663">
        <v>1</v>
      </c>
      <c r="Q1663" t="s">
        <v>2662</v>
      </c>
      <c r="R1663">
        <f t="shared" si="51"/>
        <v>4</v>
      </c>
      <c r="S1663">
        <f t="shared" si="52"/>
        <v>1</v>
      </c>
    </row>
    <row r="1664" spans="1:19" x14ac:dyDescent="0.25">
      <c r="A1664" t="s">
        <v>2787</v>
      </c>
      <c r="B1664" t="s">
        <v>4028</v>
      </c>
      <c r="C1664">
        <v>2</v>
      </c>
      <c r="D1664">
        <v>535</v>
      </c>
      <c r="E1664">
        <v>0</v>
      </c>
      <c r="F1664">
        <v>24</v>
      </c>
      <c r="G1664">
        <v>24</v>
      </c>
      <c r="H1664" t="s">
        <v>2661</v>
      </c>
      <c r="I1664" s="1">
        <v>37192</v>
      </c>
      <c r="J1664" s="1">
        <v>37331</v>
      </c>
      <c r="K1664" t="s">
        <v>1124</v>
      </c>
      <c r="L1664" t="s">
        <v>1124</v>
      </c>
      <c r="M1664" s="1">
        <v>37335</v>
      </c>
      <c r="N1664" s="1">
        <v>37335</v>
      </c>
      <c r="O1664" t="s">
        <v>1117</v>
      </c>
      <c r="P1664">
        <v>8</v>
      </c>
      <c r="Q1664" t="s">
        <v>2662</v>
      </c>
      <c r="R1664">
        <f t="shared" si="51"/>
        <v>12</v>
      </c>
      <c r="S1664">
        <f t="shared" si="52"/>
        <v>1</v>
      </c>
    </row>
    <row r="1665" spans="1:19" x14ac:dyDescent="0.25">
      <c r="A1665" t="s">
        <v>2788</v>
      </c>
      <c r="B1665" t="s">
        <v>1199</v>
      </c>
      <c r="C1665">
        <v>2.5</v>
      </c>
      <c r="D1665">
        <v>425</v>
      </c>
      <c r="E1665">
        <v>0</v>
      </c>
      <c r="F1665">
        <v>14</v>
      </c>
      <c r="G1665">
        <v>14</v>
      </c>
      <c r="H1665" t="s">
        <v>2661</v>
      </c>
      <c r="I1665" s="1">
        <v>37199</v>
      </c>
      <c r="J1665" s="1">
        <v>37327</v>
      </c>
      <c r="K1665" s="1">
        <v>37331</v>
      </c>
      <c r="L1665" s="1">
        <v>37331</v>
      </c>
      <c r="M1665" s="1">
        <v>37331</v>
      </c>
      <c r="N1665" s="1">
        <v>37331</v>
      </c>
      <c r="O1665" t="s">
        <v>1117</v>
      </c>
      <c r="P1665">
        <v>4</v>
      </c>
      <c r="Q1665" t="s">
        <v>2662</v>
      </c>
      <c r="R1665">
        <f t="shared" si="51"/>
        <v>11</v>
      </c>
      <c r="S1665">
        <f t="shared" si="52"/>
        <v>1</v>
      </c>
    </row>
    <row r="1666" spans="1:19" x14ac:dyDescent="0.25">
      <c r="A1666" t="s">
        <v>2789</v>
      </c>
      <c r="B1666" t="s">
        <v>3631</v>
      </c>
      <c r="C1666">
        <v>2</v>
      </c>
      <c r="D1666">
        <v>550</v>
      </c>
      <c r="E1666">
        <v>0</v>
      </c>
      <c r="F1666">
        <v>8.5</v>
      </c>
      <c r="G1666">
        <v>8.5</v>
      </c>
      <c r="H1666" t="s">
        <v>2661</v>
      </c>
      <c r="I1666" s="1">
        <v>37192</v>
      </c>
      <c r="J1666" s="1">
        <v>37331</v>
      </c>
      <c r="K1666" s="1">
        <v>37339</v>
      </c>
      <c r="L1666" s="1">
        <v>37339</v>
      </c>
      <c r="M1666" s="1">
        <v>37339</v>
      </c>
      <c r="N1666" s="1">
        <v>37339</v>
      </c>
      <c r="O1666" t="s">
        <v>1117</v>
      </c>
      <c r="P1666">
        <v>10</v>
      </c>
      <c r="Q1666" t="s">
        <v>2662</v>
      </c>
      <c r="R1666">
        <f t="shared" si="51"/>
        <v>13</v>
      </c>
      <c r="S1666">
        <f t="shared" si="52"/>
        <v>1</v>
      </c>
    </row>
    <row r="1667" spans="1:19" x14ac:dyDescent="0.25">
      <c r="A1667" t="s">
        <v>2790</v>
      </c>
      <c r="B1667" t="s">
        <v>1199</v>
      </c>
      <c r="C1667">
        <v>2</v>
      </c>
      <c r="D1667">
        <v>555</v>
      </c>
      <c r="E1667">
        <v>0</v>
      </c>
      <c r="F1667">
        <v>8.5</v>
      </c>
      <c r="G1667">
        <v>8.5</v>
      </c>
      <c r="H1667" t="s">
        <v>2661</v>
      </c>
      <c r="I1667" s="1">
        <v>37192</v>
      </c>
      <c r="J1667" s="1">
        <v>37331</v>
      </c>
      <c r="K1667" s="1">
        <v>37339</v>
      </c>
      <c r="L1667" s="1">
        <v>37339</v>
      </c>
      <c r="M1667" s="1">
        <v>37339</v>
      </c>
      <c r="N1667" s="1">
        <v>37339</v>
      </c>
      <c r="O1667" t="s">
        <v>1117</v>
      </c>
      <c r="P1667">
        <v>11</v>
      </c>
      <c r="Q1667" t="s">
        <v>2662</v>
      </c>
      <c r="R1667">
        <f t="shared" ref="R1667:R1730" si="53">WEEKNUM(N1667,1)</f>
        <v>13</v>
      </c>
      <c r="S1667">
        <f t="shared" ref="S1667:S1730" si="54">IF(AND(F1667=G1667, M1667&lt;=N1667), 1,0)</f>
        <v>1</v>
      </c>
    </row>
    <row r="1668" spans="1:19" x14ac:dyDescent="0.25">
      <c r="A1668" t="s">
        <v>2791</v>
      </c>
      <c r="B1668" t="s">
        <v>1199</v>
      </c>
      <c r="C1668">
        <v>2.5</v>
      </c>
      <c r="D1668">
        <v>1250</v>
      </c>
      <c r="E1668">
        <v>0</v>
      </c>
      <c r="F1668">
        <v>20</v>
      </c>
      <c r="G1668">
        <v>20</v>
      </c>
      <c r="H1668" t="s">
        <v>2661</v>
      </c>
      <c r="I1668" s="1">
        <v>37125</v>
      </c>
      <c r="J1668" s="1">
        <v>37310</v>
      </c>
      <c r="K1668" s="1">
        <v>37311</v>
      </c>
      <c r="L1668" s="1">
        <v>37311</v>
      </c>
      <c r="M1668" s="1">
        <v>37317</v>
      </c>
      <c r="N1668" s="1">
        <v>37317</v>
      </c>
      <c r="O1668" t="s">
        <v>1117</v>
      </c>
      <c r="P1668">
        <v>3</v>
      </c>
      <c r="Q1668" t="s">
        <v>2662</v>
      </c>
      <c r="R1668">
        <f t="shared" si="53"/>
        <v>9</v>
      </c>
      <c r="S1668">
        <f t="shared" si="54"/>
        <v>1</v>
      </c>
    </row>
    <row r="1669" spans="1:19" x14ac:dyDescent="0.25">
      <c r="A1669" t="s">
        <v>2792</v>
      </c>
      <c r="B1669" t="s">
        <v>4027</v>
      </c>
      <c r="C1669">
        <v>3</v>
      </c>
      <c r="D1669">
        <v>625</v>
      </c>
      <c r="E1669">
        <v>0</v>
      </c>
      <c r="F1669">
        <v>31</v>
      </c>
      <c r="G1669">
        <v>20.472000000000001</v>
      </c>
      <c r="H1669" t="s">
        <v>2661</v>
      </c>
      <c r="I1669" s="1">
        <v>37122</v>
      </c>
      <c r="J1669" s="1">
        <v>37346</v>
      </c>
      <c r="K1669" s="1">
        <v>37375</v>
      </c>
      <c r="L1669" s="1">
        <v>37375</v>
      </c>
      <c r="M1669" s="1">
        <v>37346</v>
      </c>
      <c r="N1669" s="1">
        <v>37381</v>
      </c>
      <c r="O1669" t="s">
        <v>1117</v>
      </c>
      <c r="P1669">
        <v>1</v>
      </c>
      <c r="Q1669" t="s">
        <v>2662</v>
      </c>
      <c r="R1669">
        <f t="shared" si="53"/>
        <v>19</v>
      </c>
      <c r="S1669">
        <f t="shared" si="54"/>
        <v>0</v>
      </c>
    </row>
    <row r="1670" spans="1:19" x14ac:dyDescent="0.25">
      <c r="A1670" t="s">
        <v>2793</v>
      </c>
      <c r="B1670" t="s">
        <v>1199</v>
      </c>
      <c r="C1670">
        <v>2</v>
      </c>
      <c r="D1670">
        <v>625</v>
      </c>
      <c r="E1670">
        <v>0</v>
      </c>
      <c r="F1670">
        <v>20</v>
      </c>
      <c r="G1670">
        <v>20</v>
      </c>
      <c r="H1670" t="s">
        <v>2661</v>
      </c>
      <c r="I1670" s="1">
        <v>37201</v>
      </c>
      <c r="J1670" s="1">
        <v>37335</v>
      </c>
      <c r="K1670" t="s">
        <v>1124</v>
      </c>
      <c r="L1670" t="s">
        <v>1124</v>
      </c>
      <c r="M1670" s="1">
        <v>37387</v>
      </c>
      <c r="N1670" s="1">
        <v>37387</v>
      </c>
      <c r="O1670" t="s">
        <v>1117</v>
      </c>
      <c r="P1670">
        <v>9</v>
      </c>
      <c r="Q1670" t="s">
        <v>2662</v>
      </c>
      <c r="R1670">
        <f t="shared" si="53"/>
        <v>19</v>
      </c>
      <c r="S1670">
        <f t="shared" si="54"/>
        <v>1</v>
      </c>
    </row>
    <row r="1671" spans="1:19" x14ac:dyDescent="0.25">
      <c r="A1671" t="s">
        <v>2794</v>
      </c>
      <c r="B1671" t="s">
        <v>4028</v>
      </c>
      <c r="C1671">
        <v>3</v>
      </c>
      <c r="D1671">
        <v>1250</v>
      </c>
      <c r="E1671">
        <v>0</v>
      </c>
      <c r="F1671">
        <v>115</v>
      </c>
      <c r="G1671">
        <v>115</v>
      </c>
      <c r="H1671" t="s">
        <v>2661</v>
      </c>
      <c r="I1671" s="1">
        <v>37122</v>
      </c>
      <c r="J1671" s="1">
        <v>37346</v>
      </c>
      <c r="K1671" s="1">
        <v>37346</v>
      </c>
      <c r="L1671" s="1">
        <v>37346</v>
      </c>
      <c r="M1671" s="1">
        <v>37346</v>
      </c>
      <c r="N1671" s="1">
        <v>37346</v>
      </c>
      <c r="O1671" t="s">
        <v>1114</v>
      </c>
      <c r="P1671">
        <v>4</v>
      </c>
      <c r="Q1671" t="s">
        <v>2662</v>
      </c>
      <c r="R1671">
        <f t="shared" si="53"/>
        <v>14</v>
      </c>
      <c r="S1671">
        <f t="shared" si="54"/>
        <v>1</v>
      </c>
    </row>
    <row r="1672" spans="1:19" x14ac:dyDescent="0.25">
      <c r="A1672" t="s">
        <v>2795</v>
      </c>
      <c r="B1672" t="s">
        <v>4026</v>
      </c>
      <c r="C1672">
        <v>2</v>
      </c>
      <c r="D1672">
        <v>555</v>
      </c>
      <c r="E1672">
        <v>0</v>
      </c>
      <c r="F1672">
        <v>8.5</v>
      </c>
      <c r="G1672">
        <v>8.5</v>
      </c>
      <c r="H1672" t="s">
        <v>2661</v>
      </c>
      <c r="I1672" s="1">
        <v>37192</v>
      </c>
      <c r="J1672" s="1">
        <v>37331</v>
      </c>
      <c r="K1672" s="1">
        <v>37339</v>
      </c>
      <c r="L1672" s="1">
        <v>37339</v>
      </c>
      <c r="M1672" s="1">
        <v>37339</v>
      </c>
      <c r="N1672" s="1">
        <v>37339</v>
      </c>
      <c r="O1672" t="s">
        <v>1117</v>
      </c>
      <c r="P1672">
        <v>11</v>
      </c>
      <c r="Q1672" t="s">
        <v>2662</v>
      </c>
      <c r="R1672">
        <f t="shared" si="53"/>
        <v>13</v>
      </c>
      <c r="S1672">
        <f t="shared" si="54"/>
        <v>1</v>
      </c>
    </row>
    <row r="1673" spans="1:19" x14ac:dyDescent="0.25">
      <c r="A1673" t="s">
        <v>2796</v>
      </c>
      <c r="B1673" t="s">
        <v>1199</v>
      </c>
      <c r="C1673">
        <v>2.2999999999999998</v>
      </c>
      <c r="D1673">
        <v>625</v>
      </c>
      <c r="E1673">
        <v>0</v>
      </c>
      <c r="F1673">
        <v>20</v>
      </c>
      <c r="G1673">
        <v>20</v>
      </c>
      <c r="H1673" t="s">
        <v>2661</v>
      </c>
      <c r="I1673" s="1">
        <v>37199</v>
      </c>
      <c r="J1673" s="1">
        <v>37335</v>
      </c>
      <c r="K1673" s="1">
        <v>37345</v>
      </c>
      <c r="L1673" s="1">
        <v>37345</v>
      </c>
      <c r="M1673" s="1">
        <v>37345</v>
      </c>
      <c r="N1673" s="1">
        <v>37345</v>
      </c>
      <c r="O1673" t="s">
        <v>1117</v>
      </c>
      <c r="P1673">
        <v>1</v>
      </c>
      <c r="Q1673" t="s">
        <v>2662</v>
      </c>
      <c r="R1673">
        <f t="shared" si="53"/>
        <v>13</v>
      </c>
      <c r="S1673">
        <f t="shared" si="54"/>
        <v>1</v>
      </c>
    </row>
    <row r="1674" spans="1:19" x14ac:dyDescent="0.25">
      <c r="A1674" t="s">
        <v>2797</v>
      </c>
      <c r="B1674" t="s">
        <v>1199</v>
      </c>
      <c r="C1674">
        <v>2.5</v>
      </c>
      <c r="D1674">
        <v>423</v>
      </c>
      <c r="E1674">
        <v>0</v>
      </c>
      <c r="F1674">
        <v>56</v>
      </c>
      <c r="G1674">
        <v>56</v>
      </c>
      <c r="H1674" t="s">
        <v>2661</v>
      </c>
      <c r="I1674" s="1">
        <v>37134</v>
      </c>
      <c r="J1674" s="1">
        <v>37326</v>
      </c>
      <c r="K1674" s="1">
        <v>37325</v>
      </c>
      <c r="L1674" s="1">
        <v>37326</v>
      </c>
      <c r="M1674" s="1">
        <v>37326</v>
      </c>
      <c r="N1674" s="1">
        <v>37326</v>
      </c>
      <c r="O1674" t="s">
        <v>1114</v>
      </c>
      <c r="P1674">
        <v>1</v>
      </c>
      <c r="Q1674" t="s">
        <v>2662</v>
      </c>
      <c r="R1674">
        <f t="shared" si="53"/>
        <v>11</v>
      </c>
      <c r="S1674">
        <f t="shared" si="54"/>
        <v>1</v>
      </c>
    </row>
    <row r="1675" spans="1:19" x14ac:dyDescent="0.25">
      <c r="A1675" t="s">
        <v>2798</v>
      </c>
      <c r="B1675" t="s">
        <v>1199</v>
      </c>
      <c r="C1675">
        <v>2.5</v>
      </c>
      <c r="D1675">
        <v>408</v>
      </c>
      <c r="E1675">
        <v>0</v>
      </c>
      <c r="F1675">
        <v>28</v>
      </c>
      <c r="G1675">
        <v>28</v>
      </c>
      <c r="H1675" t="s">
        <v>2661</v>
      </c>
      <c r="I1675" s="1">
        <v>37134</v>
      </c>
      <c r="J1675" s="1">
        <v>37326</v>
      </c>
      <c r="K1675" s="1">
        <v>37326</v>
      </c>
      <c r="L1675" s="1">
        <v>37326</v>
      </c>
      <c r="M1675" s="1">
        <v>37326</v>
      </c>
      <c r="N1675" s="1">
        <v>37326</v>
      </c>
      <c r="O1675" t="s">
        <v>1114</v>
      </c>
      <c r="P1675">
        <v>2</v>
      </c>
      <c r="Q1675" t="s">
        <v>2662</v>
      </c>
      <c r="R1675">
        <f t="shared" si="53"/>
        <v>11</v>
      </c>
      <c r="S1675">
        <f t="shared" si="54"/>
        <v>1</v>
      </c>
    </row>
    <row r="1676" spans="1:19" x14ac:dyDescent="0.25">
      <c r="A1676" t="s">
        <v>2799</v>
      </c>
      <c r="B1676" t="s">
        <v>4028</v>
      </c>
      <c r="C1676">
        <v>2</v>
      </c>
      <c r="D1676">
        <v>650</v>
      </c>
      <c r="E1676">
        <v>0</v>
      </c>
      <c r="F1676">
        <v>20</v>
      </c>
      <c r="G1676">
        <v>20</v>
      </c>
      <c r="H1676" t="s">
        <v>2661</v>
      </c>
      <c r="I1676" s="1">
        <v>37199</v>
      </c>
      <c r="J1676" s="1">
        <v>37335</v>
      </c>
      <c r="K1676" s="1">
        <v>37353</v>
      </c>
      <c r="L1676" s="1">
        <v>37353</v>
      </c>
      <c r="M1676" s="1">
        <v>37346</v>
      </c>
      <c r="N1676" s="1">
        <v>37346</v>
      </c>
      <c r="O1676" t="s">
        <v>1117</v>
      </c>
      <c r="P1676">
        <v>13</v>
      </c>
      <c r="Q1676" t="s">
        <v>2662</v>
      </c>
      <c r="R1676">
        <f t="shared" si="53"/>
        <v>14</v>
      </c>
      <c r="S1676">
        <f t="shared" si="54"/>
        <v>1</v>
      </c>
    </row>
    <row r="1677" spans="1:19" x14ac:dyDescent="0.25">
      <c r="A1677" t="s">
        <v>2800</v>
      </c>
      <c r="B1677" t="s">
        <v>1199</v>
      </c>
      <c r="C1677">
        <v>2</v>
      </c>
      <c r="D1677">
        <v>610</v>
      </c>
      <c r="E1677">
        <v>0</v>
      </c>
      <c r="F1677">
        <v>20</v>
      </c>
      <c r="G1677">
        <v>20</v>
      </c>
      <c r="H1677" t="s">
        <v>2661</v>
      </c>
      <c r="I1677" s="1">
        <v>37199</v>
      </c>
      <c r="J1677" s="1">
        <v>37335</v>
      </c>
      <c r="K1677" s="1">
        <v>37340</v>
      </c>
      <c r="L1677" s="1">
        <v>37340</v>
      </c>
      <c r="M1677" s="1">
        <v>37339</v>
      </c>
      <c r="N1677" s="1">
        <v>37345</v>
      </c>
      <c r="O1677" t="s">
        <v>1117</v>
      </c>
      <c r="P1677">
        <v>10</v>
      </c>
      <c r="Q1677" t="s">
        <v>2662</v>
      </c>
      <c r="R1677">
        <f t="shared" si="53"/>
        <v>13</v>
      </c>
      <c r="S1677">
        <f t="shared" si="54"/>
        <v>1</v>
      </c>
    </row>
    <row r="1678" spans="1:19" x14ac:dyDescent="0.25">
      <c r="A1678" t="s">
        <v>2801</v>
      </c>
      <c r="B1678" t="s">
        <v>1199</v>
      </c>
      <c r="C1678">
        <v>2</v>
      </c>
      <c r="D1678">
        <v>550</v>
      </c>
      <c r="E1678">
        <v>0</v>
      </c>
      <c r="F1678">
        <v>8.5</v>
      </c>
      <c r="G1678">
        <v>8.5</v>
      </c>
      <c r="H1678" t="s">
        <v>2661</v>
      </c>
      <c r="I1678" s="1">
        <v>37192</v>
      </c>
      <c r="J1678" s="1">
        <v>37331</v>
      </c>
      <c r="K1678" s="1">
        <v>37339</v>
      </c>
      <c r="L1678" s="1">
        <v>37339</v>
      </c>
      <c r="M1678" s="1">
        <v>37339</v>
      </c>
      <c r="N1678" s="1">
        <v>37339</v>
      </c>
      <c r="O1678" t="s">
        <v>1117</v>
      </c>
      <c r="P1678">
        <v>10</v>
      </c>
      <c r="Q1678" t="s">
        <v>2662</v>
      </c>
      <c r="R1678">
        <f t="shared" si="53"/>
        <v>13</v>
      </c>
      <c r="S1678">
        <f t="shared" si="54"/>
        <v>1</v>
      </c>
    </row>
    <row r="1679" spans="1:19" x14ac:dyDescent="0.25">
      <c r="A1679" t="s">
        <v>2802</v>
      </c>
      <c r="B1679" t="s">
        <v>4028</v>
      </c>
      <c r="C1679">
        <v>2</v>
      </c>
      <c r="D1679">
        <v>555</v>
      </c>
      <c r="E1679">
        <v>0</v>
      </c>
      <c r="F1679">
        <v>8.5</v>
      </c>
      <c r="G1679">
        <v>8.5</v>
      </c>
      <c r="H1679" t="s">
        <v>2661</v>
      </c>
      <c r="I1679" s="1">
        <v>37192</v>
      </c>
      <c r="J1679" s="1">
        <v>37331</v>
      </c>
      <c r="K1679" s="1">
        <v>37339</v>
      </c>
      <c r="L1679" s="1">
        <v>37339</v>
      </c>
      <c r="M1679" s="1">
        <v>37339</v>
      </c>
      <c r="N1679" s="1">
        <v>37339</v>
      </c>
      <c r="O1679" t="s">
        <v>1117</v>
      </c>
      <c r="P1679">
        <v>11</v>
      </c>
      <c r="Q1679" t="s">
        <v>2662</v>
      </c>
      <c r="R1679">
        <f t="shared" si="53"/>
        <v>13</v>
      </c>
      <c r="S1679">
        <f t="shared" si="54"/>
        <v>1</v>
      </c>
    </row>
    <row r="1680" spans="1:19" x14ac:dyDescent="0.25">
      <c r="A1680" t="s">
        <v>2803</v>
      </c>
      <c r="B1680" t="s">
        <v>4028</v>
      </c>
      <c r="C1680">
        <v>2.5</v>
      </c>
      <c r="D1680">
        <v>1250</v>
      </c>
      <c r="E1680">
        <v>0</v>
      </c>
      <c r="F1680">
        <v>16</v>
      </c>
      <c r="G1680">
        <v>16</v>
      </c>
      <c r="H1680" t="s">
        <v>2661</v>
      </c>
      <c r="I1680" s="1">
        <v>37133</v>
      </c>
      <c r="J1680" s="1">
        <v>37319</v>
      </c>
      <c r="K1680" s="1">
        <v>37319</v>
      </c>
      <c r="L1680" s="1">
        <v>37319</v>
      </c>
      <c r="M1680" s="1">
        <v>37322</v>
      </c>
      <c r="N1680" s="1">
        <v>37324</v>
      </c>
      <c r="O1680" t="s">
        <v>1114</v>
      </c>
      <c r="P1680">
        <v>5</v>
      </c>
      <c r="Q1680" t="s">
        <v>2662</v>
      </c>
      <c r="R1680">
        <f t="shared" si="53"/>
        <v>10</v>
      </c>
      <c r="S1680">
        <f t="shared" si="54"/>
        <v>1</v>
      </c>
    </row>
    <row r="1681" spans="1:19" x14ac:dyDescent="0.25">
      <c r="A1681" t="s">
        <v>2804</v>
      </c>
      <c r="B1681" t="s">
        <v>4026</v>
      </c>
      <c r="C1681">
        <v>2</v>
      </c>
      <c r="D1681">
        <v>550</v>
      </c>
      <c r="E1681">
        <v>0</v>
      </c>
      <c r="F1681">
        <v>8.5</v>
      </c>
      <c r="G1681">
        <v>8.5</v>
      </c>
      <c r="H1681" t="s">
        <v>2661</v>
      </c>
      <c r="I1681" s="1">
        <v>37192</v>
      </c>
      <c r="J1681" s="1">
        <v>37331</v>
      </c>
      <c r="K1681" s="1">
        <v>37339</v>
      </c>
      <c r="L1681" s="1">
        <v>37339</v>
      </c>
      <c r="M1681" s="1">
        <v>37339</v>
      </c>
      <c r="N1681" s="1">
        <v>37339</v>
      </c>
      <c r="O1681" t="s">
        <v>1117</v>
      </c>
      <c r="P1681">
        <v>10</v>
      </c>
      <c r="Q1681" t="s">
        <v>2662</v>
      </c>
      <c r="R1681">
        <f t="shared" si="53"/>
        <v>13</v>
      </c>
      <c r="S1681">
        <f t="shared" si="54"/>
        <v>1</v>
      </c>
    </row>
    <row r="1682" spans="1:19" x14ac:dyDescent="0.25">
      <c r="A1682" t="s">
        <v>2805</v>
      </c>
      <c r="B1682" t="s">
        <v>1199</v>
      </c>
      <c r="C1682">
        <v>2.5</v>
      </c>
      <c r="D1682">
        <v>400</v>
      </c>
      <c r="E1682">
        <v>0</v>
      </c>
      <c r="F1682">
        <v>6</v>
      </c>
      <c r="G1682">
        <v>6</v>
      </c>
      <c r="H1682" t="s">
        <v>2661</v>
      </c>
      <c r="I1682" s="1">
        <v>37199</v>
      </c>
      <c r="J1682" s="1">
        <v>37327</v>
      </c>
      <c r="K1682" s="1">
        <v>37331</v>
      </c>
      <c r="L1682" s="1">
        <v>37331</v>
      </c>
      <c r="M1682" s="1">
        <v>37331</v>
      </c>
      <c r="N1682" s="1">
        <v>37331</v>
      </c>
      <c r="O1682" t="s">
        <v>1117</v>
      </c>
      <c r="P1682">
        <v>3</v>
      </c>
      <c r="Q1682" t="s">
        <v>2662</v>
      </c>
      <c r="R1682">
        <f t="shared" si="53"/>
        <v>11</v>
      </c>
      <c r="S1682">
        <f t="shared" si="54"/>
        <v>1</v>
      </c>
    </row>
    <row r="1683" spans="1:19" x14ac:dyDescent="0.25">
      <c r="A1683" t="s">
        <v>2806</v>
      </c>
      <c r="B1683" t="s">
        <v>4028</v>
      </c>
      <c r="C1683">
        <v>2.8</v>
      </c>
      <c r="D1683">
        <v>1250</v>
      </c>
      <c r="E1683">
        <v>0</v>
      </c>
      <c r="F1683">
        <v>20</v>
      </c>
      <c r="G1683">
        <v>20</v>
      </c>
      <c r="H1683" t="s">
        <v>2661</v>
      </c>
      <c r="I1683" s="1">
        <v>37130</v>
      </c>
      <c r="J1683" s="1">
        <v>37346</v>
      </c>
      <c r="K1683" s="1">
        <v>37353</v>
      </c>
      <c r="L1683" s="1">
        <v>37353</v>
      </c>
      <c r="M1683" s="1">
        <v>37353</v>
      </c>
      <c r="N1683" s="1">
        <v>37353</v>
      </c>
      <c r="O1683" t="s">
        <v>1117</v>
      </c>
      <c r="P1683">
        <v>4</v>
      </c>
      <c r="Q1683" t="s">
        <v>2662</v>
      </c>
      <c r="R1683">
        <f t="shared" si="53"/>
        <v>15</v>
      </c>
      <c r="S1683">
        <f t="shared" si="54"/>
        <v>1</v>
      </c>
    </row>
    <row r="1684" spans="1:19" x14ac:dyDescent="0.25">
      <c r="A1684" t="s">
        <v>2807</v>
      </c>
      <c r="B1684" t="s">
        <v>4028</v>
      </c>
      <c r="C1684">
        <v>3</v>
      </c>
      <c r="D1684">
        <v>1250</v>
      </c>
      <c r="E1684">
        <v>0</v>
      </c>
      <c r="F1684">
        <v>11</v>
      </c>
      <c r="G1684">
        <v>11</v>
      </c>
      <c r="H1684" t="s">
        <v>2661</v>
      </c>
      <c r="I1684" s="1">
        <v>37133</v>
      </c>
      <c r="J1684" s="1">
        <v>37346</v>
      </c>
      <c r="K1684" s="1">
        <v>37346</v>
      </c>
      <c r="L1684" s="1">
        <v>37346</v>
      </c>
      <c r="M1684" s="1">
        <v>37346</v>
      </c>
      <c r="N1684" s="1">
        <v>37346</v>
      </c>
      <c r="O1684" t="s">
        <v>1114</v>
      </c>
      <c r="P1684">
        <v>4</v>
      </c>
      <c r="Q1684" t="s">
        <v>2662</v>
      </c>
      <c r="R1684">
        <f t="shared" si="53"/>
        <v>14</v>
      </c>
      <c r="S1684">
        <f t="shared" si="54"/>
        <v>1</v>
      </c>
    </row>
    <row r="1685" spans="1:19" x14ac:dyDescent="0.25">
      <c r="A1685" t="s">
        <v>2808</v>
      </c>
      <c r="B1685" t="s">
        <v>4026</v>
      </c>
      <c r="C1685">
        <v>4</v>
      </c>
      <c r="D1685">
        <v>1250</v>
      </c>
      <c r="E1685">
        <v>0</v>
      </c>
      <c r="F1685">
        <v>42</v>
      </c>
      <c r="G1685">
        <v>42</v>
      </c>
      <c r="H1685" t="s">
        <v>2661</v>
      </c>
      <c r="I1685" s="1">
        <v>37126</v>
      </c>
      <c r="J1685" s="1">
        <v>37319</v>
      </c>
      <c r="K1685" s="1">
        <v>37321</v>
      </c>
      <c r="L1685" s="1">
        <v>37321</v>
      </c>
      <c r="M1685" s="1">
        <v>37324</v>
      </c>
      <c r="N1685" s="1">
        <v>37332</v>
      </c>
      <c r="O1685" t="s">
        <v>1117</v>
      </c>
      <c r="P1685">
        <v>2</v>
      </c>
      <c r="Q1685" t="s">
        <v>2662</v>
      </c>
      <c r="R1685">
        <f t="shared" si="53"/>
        <v>12</v>
      </c>
      <c r="S1685">
        <f t="shared" si="54"/>
        <v>1</v>
      </c>
    </row>
    <row r="1686" spans="1:19" x14ac:dyDescent="0.25">
      <c r="A1686" t="s">
        <v>2809</v>
      </c>
      <c r="B1686" t="s">
        <v>4026</v>
      </c>
      <c r="C1686">
        <v>2</v>
      </c>
      <c r="D1686">
        <v>505</v>
      </c>
      <c r="E1686">
        <v>0</v>
      </c>
      <c r="F1686">
        <v>24</v>
      </c>
      <c r="G1686">
        <v>24</v>
      </c>
      <c r="H1686" t="s">
        <v>2661</v>
      </c>
      <c r="I1686" s="1">
        <v>37199</v>
      </c>
      <c r="J1686" s="1">
        <v>37336</v>
      </c>
      <c r="K1686" s="1">
        <v>37359</v>
      </c>
      <c r="L1686" s="1">
        <v>37359</v>
      </c>
      <c r="M1686" s="1">
        <v>37353</v>
      </c>
      <c r="N1686" s="1">
        <v>37360</v>
      </c>
      <c r="O1686" t="s">
        <v>1117</v>
      </c>
      <c r="P1686">
        <v>15</v>
      </c>
      <c r="Q1686" t="s">
        <v>2662</v>
      </c>
      <c r="R1686">
        <f t="shared" si="53"/>
        <v>16</v>
      </c>
      <c r="S1686">
        <f t="shared" si="54"/>
        <v>1</v>
      </c>
    </row>
    <row r="1687" spans="1:19" x14ac:dyDescent="0.25">
      <c r="A1687" t="s">
        <v>2810</v>
      </c>
      <c r="B1687" t="s">
        <v>1199</v>
      </c>
      <c r="C1687">
        <v>2</v>
      </c>
      <c r="D1687">
        <v>640</v>
      </c>
      <c r="E1687">
        <v>0</v>
      </c>
      <c r="F1687">
        <v>20</v>
      </c>
      <c r="G1687">
        <v>20</v>
      </c>
      <c r="H1687" t="s">
        <v>2661</v>
      </c>
      <c r="I1687" s="1">
        <v>37199</v>
      </c>
      <c r="J1687" s="1">
        <v>37335</v>
      </c>
      <c r="K1687" s="1">
        <v>37353</v>
      </c>
      <c r="L1687" s="1">
        <v>37353</v>
      </c>
      <c r="M1687" s="1">
        <v>37346</v>
      </c>
      <c r="N1687" s="1">
        <v>37346</v>
      </c>
      <c r="O1687" t="s">
        <v>1117</v>
      </c>
      <c r="P1687">
        <v>11</v>
      </c>
      <c r="Q1687" t="s">
        <v>2662</v>
      </c>
      <c r="R1687">
        <f t="shared" si="53"/>
        <v>14</v>
      </c>
      <c r="S1687">
        <f t="shared" si="54"/>
        <v>1</v>
      </c>
    </row>
    <row r="1688" spans="1:19" x14ac:dyDescent="0.25">
      <c r="A1688" t="s">
        <v>2811</v>
      </c>
      <c r="B1688" t="s">
        <v>1199</v>
      </c>
      <c r="C1688">
        <v>2</v>
      </c>
      <c r="D1688">
        <v>600</v>
      </c>
      <c r="E1688">
        <v>0</v>
      </c>
      <c r="F1688">
        <v>30</v>
      </c>
      <c r="G1688">
        <v>30</v>
      </c>
      <c r="H1688" t="s">
        <v>2661</v>
      </c>
      <c r="I1688" s="1">
        <v>37199</v>
      </c>
      <c r="J1688" s="1">
        <v>37336</v>
      </c>
      <c r="K1688" s="1">
        <v>37359</v>
      </c>
      <c r="L1688" s="1">
        <v>37359</v>
      </c>
      <c r="M1688" s="1">
        <v>37353</v>
      </c>
      <c r="N1688" s="1">
        <v>37360</v>
      </c>
      <c r="O1688" t="s">
        <v>1117</v>
      </c>
      <c r="P1688">
        <v>14</v>
      </c>
      <c r="Q1688" t="s">
        <v>2662</v>
      </c>
      <c r="R1688">
        <f t="shared" si="53"/>
        <v>16</v>
      </c>
      <c r="S1688">
        <f t="shared" si="54"/>
        <v>1</v>
      </c>
    </row>
    <row r="1689" spans="1:19" x14ac:dyDescent="0.25">
      <c r="A1689" t="s">
        <v>2812</v>
      </c>
      <c r="B1689" t="s">
        <v>1199</v>
      </c>
      <c r="C1689">
        <v>2.5</v>
      </c>
      <c r="D1689">
        <v>540</v>
      </c>
      <c r="E1689">
        <v>0</v>
      </c>
      <c r="F1689">
        <v>9</v>
      </c>
      <c r="G1689">
        <v>9</v>
      </c>
      <c r="H1689" t="s">
        <v>2661</v>
      </c>
      <c r="I1689" s="1">
        <v>37126</v>
      </c>
      <c r="J1689" s="1">
        <v>37345</v>
      </c>
      <c r="K1689" s="1">
        <v>37347</v>
      </c>
      <c r="L1689" s="1">
        <v>37347</v>
      </c>
      <c r="M1689" s="1">
        <v>37345</v>
      </c>
      <c r="N1689" s="1">
        <v>37345</v>
      </c>
      <c r="O1689" t="s">
        <v>1117</v>
      </c>
      <c r="P1689">
        <v>1</v>
      </c>
      <c r="Q1689" t="s">
        <v>2662</v>
      </c>
      <c r="R1689">
        <f t="shared" si="53"/>
        <v>13</v>
      </c>
      <c r="S1689">
        <f t="shared" si="54"/>
        <v>1</v>
      </c>
    </row>
    <row r="1690" spans="1:19" x14ac:dyDescent="0.25">
      <c r="A1690" t="s">
        <v>2813</v>
      </c>
      <c r="B1690" t="s">
        <v>4028</v>
      </c>
      <c r="C1690">
        <v>2.5</v>
      </c>
      <c r="D1690">
        <v>710</v>
      </c>
      <c r="E1690">
        <v>0</v>
      </c>
      <c r="F1690">
        <v>11</v>
      </c>
      <c r="G1690">
        <v>11</v>
      </c>
      <c r="H1690" t="s">
        <v>2661</v>
      </c>
      <c r="I1690" s="1">
        <v>37126</v>
      </c>
      <c r="J1690" s="1">
        <v>37345</v>
      </c>
      <c r="K1690" s="1">
        <v>37347</v>
      </c>
      <c r="L1690" s="1">
        <v>37347</v>
      </c>
      <c r="M1690" s="1">
        <v>37345</v>
      </c>
      <c r="N1690" s="1">
        <v>37345</v>
      </c>
      <c r="O1690" t="s">
        <v>1117</v>
      </c>
      <c r="P1690">
        <v>2</v>
      </c>
      <c r="Q1690" t="s">
        <v>2662</v>
      </c>
      <c r="R1690">
        <f t="shared" si="53"/>
        <v>13</v>
      </c>
      <c r="S1690">
        <f t="shared" si="54"/>
        <v>1</v>
      </c>
    </row>
    <row r="1691" spans="1:19" x14ac:dyDescent="0.25">
      <c r="A1691" t="s">
        <v>2814</v>
      </c>
      <c r="B1691" t="s">
        <v>4028</v>
      </c>
      <c r="C1691">
        <v>4</v>
      </c>
      <c r="D1691">
        <v>1250</v>
      </c>
      <c r="E1691">
        <v>0</v>
      </c>
      <c r="F1691">
        <v>19</v>
      </c>
      <c r="G1691">
        <v>19</v>
      </c>
      <c r="H1691" t="s">
        <v>2661</v>
      </c>
      <c r="I1691" s="1">
        <v>37126</v>
      </c>
      <c r="J1691" s="1">
        <v>37319</v>
      </c>
      <c r="K1691" s="1">
        <v>37319</v>
      </c>
      <c r="L1691" s="1">
        <v>37319</v>
      </c>
      <c r="M1691" s="1">
        <v>37320</v>
      </c>
      <c r="N1691" s="1">
        <v>37332</v>
      </c>
      <c r="O1691" t="s">
        <v>1114</v>
      </c>
      <c r="P1691">
        <v>3</v>
      </c>
      <c r="Q1691" t="s">
        <v>2662</v>
      </c>
      <c r="R1691">
        <f t="shared" si="53"/>
        <v>12</v>
      </c>
      <c r="S1691">
        <f t="shared" si="54"/>
        <v>1</v>
      </c>
    </row>
    <row r="1692" spans="1:19" x14ac:dyDescent="0.25">
      <c r="A1692" t="s">
        <v>2815</v>
      </c>
      <c r="B1692" t="s">
        <v>1199</v>
      </c>
      <c r="C1692">
        <v>4</v>
      </c>
      <c r="D1692">
        <v>1250</v>
      </c>
      <c r="E1692">
        <v>0</v>
      </c>
      <c r="F1692">
        <v>18</v>
      </c>
      <c r="G1692">
        <v>18</v>
      </c>
      <c r="H1692" t="s">
        <v>2661</v>
      </c>
      <c r="I1692" s="1">
        <v>37159</v>
      </c>
      <c r="J1692" s="1">
        <v>37325</v>
      </c>
      <c r="K1692" s="1">
        <v>37327</v>
      </c>
      <c r="L1692" s="1">
        <v>37327</v>
      </c>
      <c r="M1692" s="1">
        <v>37331</v>
      </c>
      <c r="N1692" s="1">
        <v>37332</v>
      </c>
      <c r="O1692" t="s">
        <v>1117</v>
      </c>
      <c r="P1692">
        <v>2</v>
      </c>
      <c r="Q1692" t="s">
        <v>2662</v>
      </c>
      <c r="R1692">
        <f t="shared" si="53"/>
        <v>12</v>
      </c>
      <c r="S1692">
        <f t="shared" si="54"/>
        <v>1</v>
      </c>
    </row>
    <row r="1693" spans="1:19" x14ac:dyDescent="0.25">
      <c r="A1693" t="s">
        <v>2816</v>
      </c>
      <c r="B1693" t="s">
        <v>4028</v>
      </c>
      <c r="C1693">
        <v>5</v>
      </c>
      <c r="D1693">
        <v>1250</v>
      </c>
      <c r="E1693">
        <v>0</v>
      </c>
      <c r="F1693">
        <v>24</v>
      </c>
      <c r="G1693">
        <v>24</v>
      </c>
      <c r="H1693" t="s">
        <v>2661</v>
      </c>
      <c r="I1693" s="1">
        <v>37126</v>
      </c>
      <c r="J1693" s="1">
        <v>37319</v>
      </c>
      <c r="K1693" s="1">
        <v>37321</v>
      </c>
      <c r="L1693" s="1">
        <v>37321</v>
      </c>
      <c r="M1693" s="1">
        <v>37326</v>
      </c>
      <c r="N1693" s="1">
        <v>37330</v>
      </c>
      <c r="O1693" t="s">
        <v>1117</v>
      </c>
      <c r="P1693">
        <v>4</v>
      </c>
      <c r="Q1693" t="s">
        <v>2662</v>
      </c>
      <c r="R1693">
        <f t="shared" si="53"/>
        <v>11</v>
      </c>
      <c r="S1693">
        <f t="shared" si="54"/>
        <v>1</v>
      </c>
    </row>
    <row r="1694" spans="1:19" x14ac:dyDescent="0.25">
      <c r="A1694" t="s">
        <v>2817</v>
      </c>
      <c r="B1694" t="s">
        <v>4027</v>
      </c>
      <c r="C1694">
        <v>3</v>
      </c>
      <c r="D1694">
        <v>1250</v>
      </c>
      <c r="E1694">
        <v>0</v>
      </c>
      <c r="F1694">
        <v>28</v>
      </c>
      <c r="G1694">
        <v>28</v>
      </c>
      <c r="H1694" t="s">
        <v>2661</v>
      </c>
      <c r="I1694" s="1">
        <v>37122</v>
      </c>
      <c r="J1694" s="1">
        <v>37319</v>
      </c>
      <c r="K1694" s="1">
        <v>37320</v>
      </c>
      <c r="L1694" s="1">
        <v>37320</v>
      </c>
      <c r="M1694" s="1">
        <v>37323</v>
      </c>
      <c r="N1694" s="1">
        <v>37353</v>
      </c>
      <c r="O1694" t="s">
        <v>1117</v>
      </c>
      <c r="P1694">
        <v>1</v>
      </c>
      <c r="Q1694" t="s">
        <v>2662</v>
      </c>
      <c r="R1694">
        <f t="shared" si="53"/>
        <v>15</v>
      </c>
      <c r="S1694">
        <f t="shared" si="54"/>
        <v>1</v>
      </c>
    </row>
    <row r="1695" spans="1:19" x14ac:dyDescent="0.25">
      <c r="A1695" t="s">
        <v>2818</v>
      </c>
      <c r="B1695" t="s">
        <v>4028</v>
      </c>
      <c r="C1695">
        <v>2</v>
      </c>
      <c r="D1695">
        <v>555</v>
      </c>
      <c r="E1695">
        <v>0</v>
      </c>
      <c r="F1695">
        <v>8.5</v>
      </c>
      <c r="G1695">
        <v>8.5</v>
      </c>
      <c r="H1695" t="s">
        <v>2661</v>
      </c>
      <c r="I1695" s="1">
        <v>37192</v>
      </c>
      <c r="J1695" s="1">
        <v>37332</v>
      </c>
      <c r="K1695" s="1">
        <v>37339</v>
      </c>
      <c r="L1695" s="1">
        <v>37339</v>
      </c>
      <c r="M1695" s="1">
        <v>37339</v>
      </c>
      <c r="N1695" s="1">
        <v>37339</v>
      </c>
      <c r="O1695" t="s">
        <v>1117</v>
      </c>
      <c r="P1695">
        <v>11</v>
      </c>
      <c r="Q1695" t="s">
        <v>2662</v>
      </c>
      <c r="R1695">
        <f t="shared" si="53"/>
        <v>13</v>
      </c>
      <c r="S1695">
        <f t="shared" si="54"/>
        <v>1</v>
      </c>
    </row>
    <row r="1696" spans="1:19" x14ac:dyDescent="0.25">
      <c r="A1696" t="s">
        <v>2819</v>
      </c>
      <c r="B1696" t="s">
        <v>4026</v>
      </c>
      <c r="C1696">
        <v>3</v>
      </c>
      <c r="D1696">
        <v>1250</v>
      </c>
      <c r="E1696">
        <v>0</v>
      </c>
      <c r="F1696">
        <v>73</v>
      </c>
      <c r="G1696">
        <v>73</v>
      </c>
      <c r="H1696" t="s">
        <v>2661</v>
      </c>
      <c r="I1696" s="1">
        <v>37133</v>
      </c>
      <c r="J1696" s="1">
        <v>37319</v>
      </c>
      <c r="K1696" s="1">
        <v>37320</v>
      </c>
      <c r="L1696" s="1">
        <v>37320</v>
      </c>
      <c r="M1696" s="1">
        <v>37322</v>
      </c>
      <c r="N1696" s="1">
        <v>37353</v>
      </c>
      <c r="O1696" t="s">
        <v>1117</v>
      </c>
      <c r="P1696">
        <v>1</v>
      </c>
      <c r="Q1696" t="s">
        <v>2662</v>
      </c>
      <c r="R1696">
        <f t="shared" si="53"/>
        <v>15</v>
      </c>
      <c r="S1696">
        <f t="shared" si="54"/>
        <v>1</v>
      </c>
    </row>
    <row r="1697" spans="1:19" x14ac:dyDescent="0.25">
      <c r="A1697" t="s">
        <v>2820</v>
      </c>
      <c r="B1697" t="s">
        <v>1199</v>
      </c>
      <c r="C1697">
        <v>6</v>
      </c>
      <c r="D1697">
        <v>1250</v>
      </c>
      <c r="E1697">
        <v>0</v>
      </c>
      <c r="F1697">
        <v>71</v>
      </c>
      <c r="G1697">
        <v>71</v>
      </c>
      <c r="H1697" t="s">
        <v>2661</v>
      </c>
      <c r="I1697" s="1">
        <v>37122</v>
      </c>
      <c r="J1697" s="1">
        <v>37319</v>
      </c>
      <c r="K1697" s="1">
        <v>37320</v>
      </c>
      <c r="L1697" s="1">
        <v>37320</v>
      </c>
      <c r="M1697" s="1">
        <v>37322</v>
      </c>
      <c r="N1697" s="1">
        <v>37331</v>
      </c>
      <c r="O1697" t="s">
        <v>1117</v>
      </c>
      <c r="P1697">
        <v>4</v>
      </c>
      <c r="Q1697" t="s">
        <v>2662</v>
      </c>
      <c r="R1697">
        <f t="shared" si="53"/>
        <v>11</v>
      </c>
      <c r="S1697">
        <f t="shared" si="54"/>
        <v>1</v>
      </c>
    </row>
    <row r="1698" spans="1:19" x14ac:dyDescent="0.25">
      <c r="A1698" t="s">
        <v>2821</v>
      </c>
      <c r="B1698" t="s">
        <v>4026</v>
      </c>
      <c r="C1698">
        <v>4</v>
      </c>
      <c r="D1698">
        <v>1250</v>
      </c>
      <c r="E1698">
        <v>0</v>
      </c>
      <c r="F1698">
        <v>12</v>
      </c>
      <c r="G1698">
        <v>12</v>
      </c>
      <c r="H1698" t="s">
        <v>2661</v>
      </c>
      <c r="I1698" s="1">
        <v>37133</v>
      </c>
      <c r="J1698" s="1">
        <v>37319</v>
      </c>
      <c r="K1698" s="1">
        <v>37321</v>
      </c>
      <c r="L1698" s="1">
        <v>37321</v>
      </c>
      <c r="M1698" s="1">
        <v>37324</v>
      </c>
      <c r="N1698" s="1">
        <v>37332</v>
      </c>
      <c r="O1698" t="s">
        <v>1117</v>
      </c>
      <c r="P1698">
        <v>2</v>
      </c>
      <c r="Q1698" t="s">
        <v>2662</v>
      </c>
      <c r="R1698">
        <f t="shared" si="53"/>
        <v>12</v>
      </c>
      <c r="S1698">
        <f t="shared" si="54"/>
        <v>1</v>
      </c>
    </row>
    <row r="1699" spans="1:19" x14ac:dyDescent="0.25">
      <c r="A1699" t="s">
        <v>2822</v>
      </c>
      <c r="B1699" t="s">
        <v>1199</v>
      </c>
      <c r="C1699">
        <v>3</v>
      </c>
      <c r="D1699">
        <v>1000</v>
      </c>
      <c r="E1699">
        <v>0</v>
      </c>
      <c r="F1699">
        <v>8</v>
      </c>
      <c r="G1699">
        <v>8</v>
      </c>
      <c r="H1699" t="s">
        <v>2661</v>
      </c>
      <c r="I1699" s="1">
        <v>37126</v>
      </c>
      <c r="J1699" s="1">
        <v>37313</v>
      </c>
      <c r="K1699" s="1">
        <v>37319</v>
      </c>
      <c r="L1699" s="1">
        <v>37319</v>
      </c>
      <c r="M1699" s="1">
        <v>37320</v>
      </c>
      <c r="N1699" s="1">
        <v>37320</v>
      </c>
      <c r="O1699" t="s">
        <v>1117</v>
      </c>
      <c r="P1699">
        <v>9</v>
      </c>
      <c r="Q1699" t="s">
        <v>2662</v>
      </c>
      <c r="R1699">
        <f t="shared" si="53"/>
        <v>10</v>
      </c>
      <c r="S1699">
        <f t="shared" si="54"/>
        <v>1</v>
      </c>
    </row>
    <row r="1700" spans="1:19" x14ac:dyDescent="0.25">
      <c r="A1700" t="s">
        <v>2823</v>
      </c>
      <c r="B1700" t="s">
        <v>4028</v>
      </c>
      <c r="C1700">
        <v>2</v>
      </c>
      <c r="D1700">
        <v>1100</v>
      </c>
      <c r="E1700">
        <v>0</v>
      </c>
      <c r="F1700">
        <v>105</v>
      </c>
      <c r="G1700">
        <v>105</v>
      </c>
      <c r="H1700" t="s">
        <v>2661</v>
      </c>
      <c r="I1700" s="1">
        <v>37189</v>
      </c>
      <c r="J1700" s="1">
        <v>37330</v>
      </c>
      <c r="K1700" s="1">
        <v>37330</v>
      </c>
      <c r="L1700" s="1">
        <v>37330</v>
      </c>
      <c r="M1700" s="1">
        <v>37330</v>
      </c>
      <c r="N1700" s="1">
        <v>37330</v>
      </c>
      <c r="O1700" t="s">
        <v>1114</v>
      </c>
      <c r="P1700">
        <v>4</v>
      </c>
      <c r="Q1700" t="s">
        <v>2662</v>
      </c>
      <c r="R1700">
        <f t="shared" si="53"/>
        <v>11</v>
      </c>
      <c r="S1700">
        <f t="shared" si="54"/>
        <v>1</v>
      </c>
    </row>
    <row r="1701" spans="1:19" x14ac:dyDescent="0.25">
      <c r="A1701" t="s">
        <v>2824</v>
      </c>
      <c r="B1701" t="s">
        <v>4026</v>
      </c>
      <c r="C1701">
        <v>2</v>
      </c>
      <c r="D1701">
        <v>550</v>
      </c>
      <c r="E1701">
        <v>0</v>
      </c>
      <c r="F1701">
        <v>8.5</v>
      </c>
      <c r="G1701">
        <v>8.5</v>
      </c>
      <c r="H1701" t="s">
        <v>2661</v>
      </c>
      <c r="I1701" s="1">
        <v>37192</v>
      </c>
      <c r="J1701" s="1">
        <v>37331</v>
      </c>
      <c r="K1701" s="1">
        <v>37339</v>
      </c>
      <c r="L1701" s="1">
        <v>37339</v>
      </c>
      <c r="M1701" s="1">
        <v>37339</v>
      </c>
      <c r="N1701" s="1">
        <v>37339</v>
      </c>
      <c r="O1701" t="s">
        <v>1117</v>
      </c>
      <c r="P1701">
        <v>10</v>
      </c>
      <c r="Q1701" t="s">
        <v>2662</v>
      </c>
      <c r="R1701">
        <f t="shared" si="53"/>
        <v>13</v>
      </c>
      <c r="S1701">
        <f t="shared" si="54"/>
        <v>1</v>
      </c>
    </row>
    <row r="1702" spans="1:19" x14ac:dyDescent="0.25">
      <c r="A1702" t="s">
        <v>2825</v>
      </c>
      <c r="B1702" t="s">
        <v>4026</v>
      </c>
      <c r="C1702">
        <v>3</v>
      </c>
      <c r="D1702">
        <v>1250</v>
      </c>
      <c r="E1702">
        <v>0</v>
      </c>
      <c r="F1702">
        <v>40</v>
      </c>
      <c r="G1702">
        <v>40</v>
      </c>
      <c r="H1702" t="s">
        <v>2661</v>
      </c>
      <c r="I1702" s="1">
        <v>37126</v>
      </c>
      <c r="J1702" s="1">
        <v>37319</v>
      </c>
      <c r="K1702" s="1">
        <v>37321</v>
      </c>
      <c r="L1702" s="1">
        <v>37321</v>
      </c>
      <c r="M1702" s="1">
        <v>37325</v>
      </c>
      <c r="N1702" s="1">
        <v>37353</v>
      </c>
      <c r="O1702" t="s">
        <v>1117</v>
      </c>
      <c r="P1702">
        <v>1</v>
      </c>
      <c r="Q1702" t="s">
        <v>2662</v>
      </c>
      <c r="R1702">
        <f t="shared" si="53"/>
        <v>15</v>
      </c>
      <c r="S1702">
        <f t="shared" si="54"/>
        <v>1</v>
      </c>
    </row>
    <row r="1703" spans="1:19" x14ac:dyDescent="0.25">
      <c r="A1703" t="s">
        <v>2826</v>
      </c>
      <c r="B1703" t="s">
        <v>4026</v>
      </c>
      <c r="C1703">
        <v>5</v>
      </c>
      <c r="D1703">
        <v>1250</v>
      </c>
      <c r="E1703">
        <v>0</v>
      </c>
      <c r="F1703">
        <v>48</v>
      </c>
      <c r="G1703">
        <v>37.799999999999997</v>
      </c>
      <c r="H1703" t="s">
        <v>2661</v>
      </c>
      <c r="I1703" s="1">
        <v>37122</v>
      </c>
      <c r="J1703" s="1">
        <v>37319</v>
      </c>
      <c r="K1703" s="1">
        <v>37318</v>
      </c>
      <c r="L1703" s="1">
        <v>37319</v>
      </c>
      <c r="M1703" s="1">
        <v>37321</v>
      </c>
      <c r="N1703" s="1">
        <v>37330</v>
      </c>
      <c r="O1703" t="s">
        <v>1114</v>
      </c>
      <c r="P1703">
        <v>3</v>
      </c>
      <c r="Q1703" t="s">
        <v>2662</v>
      </c>
      <c r="R1703">
        <f t="shared" si="53"/>
        <v>11</v>
      </c>
      <c r="S1703">
        <f t="shared" si="54"/>
        <v>0</v>
      </c>
    </row>
    <row r="1704" spans="1:19" x14ac:dyDescent="0.25">
      <c r="A1704" t="s">
        <v>2827</v>
      </c>
      <c r="B1704" t="s">
        <v>1199</v>
      </c>
      <c r="C1704">
        <v>2</v>
      </c>
      <c r="D1704">
        <v>600</v>
      </c>
      <c r="E1704">
        <v>0</v>
      </c>
      <c r="F1704">
        <v>20</v>
      </c>
      <c r="G1704">
        <v>20</v>
      </c>
      <c r="H1704" t="s">
        <v>2661</v>
      </c>
      <c r="I1704" s="1">
        <v>37199</v>
      </c>
      <c r="J1704" s="1">
        <v>37335</v>
      </c>
      <c r="K1704" s="1">
        <v>37340</v>
      </c>
      <c r="L1704" s="1">
        <v>37340</v>
      </c>
      <c r="M1704" s="1">
        <v>37339</v>
      </c>
      <c r="N1704" s="1">
        <v>37360</v>
      </c>
      <c r="O1704" t="s">
        <v>1117</v>
      </c>
      <c r="P1704">
        <v>12</v>
      </c>
      <c r="Q1704" t="s">
        <v>2662</v>
      </c>
      <c r="R1704">
        <f t="shared" si="53"/>
        <v>16</v>
      </c>
      <c r="S1704">
        <f t="shared" si="54"/>
        <v>1</v>
      </c>
    </row>
    <row r="1705" spans="1:19" x14ac:dyDescent="0.25">
      <c r="A1705" t="s">
        <v>2828</v>
      </c>
      <c r="B1705" t="s">
        <v>4026</v>
      </c>
      <c r="C1705">
        <v>3</v>
      </c>
      <c r="D1705">
        <v>1250</v>
      </c>
      <c r="E1705">
        <v>0</v>
      </c>
      <c r="F1705">
        <v>61</v>
      </c>
      <c r="G1705">
        <v>27.754999999999999</v>
      </c>
      <c r="H1705" t="s">
        <v>2661</v>
      </c>
      <c r="I1705" s="1">
        <v>37159</v>
      </c>
      <c r="J1705" s="1">
        <v>37325</v>
      </c>
      <c r="K1705" s="1">
        <v>37325</v>
      </c>
      <c r="L1705" s="1">
        <v>37325</v>
      </c>
      <c r="M1705" s="1">
        <v>37331</v>
      </c>
      <c r="N1705" s="1">
        <v>37353</v>
      </c>
      <c r="O1705" t="s">
        <v>1114</v>
      </c>
      <c r="P1705">
        <v>3</v>
      </c>
      <c r="Q1705" t="s">
        <v>2662</v>
      </c>
      <c r="R1705">
        <f t="shared" si="53"/>
        <v>15</v>
      </c>
      <c r="S1705">
        <f t="shared" si="54"/>
        <v>0</v>
      </c>
    </row>
    <row r="1706" spans="1:19" x14ac:dyDescent="0.25">
      <c r="A1706" t="s">
        <v>2829</v>
      </c>
      <c r="B1706" t="s">
        <v>4028</v>
      </c>
      <c r="C1706">
        <v>2</v>
      </c>
      <c r="D1706">
        <v>630</v>
      </c>
      <c r="E1706">
        <v>0</v>
      </c>
      <c r="F1706">
        <v>70</v>
      </c>
      <c r="G1706">
        <v>70</v>
      </c>
      <c r="H1706" t="s">
        <v>2661</v>
      </c>
      <c r="I1706" s="1">
        <v>37134</v>
      </c>
      <c r="J1706" s="1">
        <v>37320</v>
      </c>
      <c r="K1706" s="1">
        <v>37325</v>
      </c>
      <c r="L1706" s="1">
        <v>37325</v>
      </c>
      <c r="M1706" s="1">
        <v>37322</v>
      </c>
      <c r="N1706" s="1">
        <v>37322</v>
      </c>
      <c r="O1706" t="s">
        <v>1117</v>
      </c>
      <c r="P1706">
        <v>2</v>
      </c>
      <c r="Q1706" t="s">
        <v>2662</v>
      </c>
      <c r="R1706">
        <f t="shared" si="53"/>
        <v>10</v>
      </c>
      <c r="S1706">
        <f t="shared" si="54"/>
        <v>1</v>
      </c>
    </row>
    <row r="1707" spans="1:19" x14ac:dyDescent="0.25">
      <c r="A1707" t="s">
        <v>2830</v>
      </c>
      <c r="B1707" t="s">
        <v>4026</v>
      </c>
      <c r="C1707">
        <v>2</v>
      </c>
      <c r="D1707">
        <v>525</v>
      </c>
      <c r="E1707">
        <v>0</v>
      </c>
      <c r="F1707">
        <v>25</v>
      </c>
      <c r="G1707">
        <v>25</v>
      </c>
      <c r="H1707" t="s">
        <v>2661</v>
      </c>
      <c r="I1707" s="1">
        <v>37192</v>
      </c>
      <c r="J1707" s="1">
        <v>37336</v>
      </c>
      <c r="K1707" s="1">
        <v>37359</v>
      </c>
      <c r="L1707" s="1">
        <v>37359</v>
      </c>
      <c r="M1707" s="1">
        <v>37353</v>
      </c>
      <c r="N1707" s="1">
        <v>37360</v>
      </c>
      <c r="O1707" t="s">
        <v>1117</v>
      </c>
      <c r="P1707">
        <v>19</v>
      </c>
      <c r="Q1707" t="s">
        <v>2662</v>
      </c>
      <c r="R1707">
        <f t="shared" si="53"/>
        <v>16</v>
      </c>
      <c r="S1707">
        <f t="shared" si="54"/>
        <v>1</v>
      </c>
    </row>
    <row r="1708" spans="1:19" x14ac:dyDescent="0.25">
      <c r="A1708" t="s">
        <v>2831</v>
      </c>
      <c r="B1708" t="s">
        <v>4026</v>
      </c>
      <c r="C1708">
        <v>2</v>
      </c>
      <c r="D1708">
        <v>620</v>
      </c>
      <c r="E1708">
        <v>0</v>
      </c>
      <c r="F1708">
        <v>70</v>
      </c>
      <c r="G1708">
        <v>70</v>
      </c>
      <c r="H1708" t="s">
        <v>2661</v>
      </c>
      <c r="I1708" s="1">
        <v>37134</v>
      </c>
      <c r="J1708" s="1">
        <v>37320</v>
      </c>
      <c r="K1708" s="1">
        <v>37320</v>
      </c>
      <c r="L1708" s="1">
        <v>37320</v>
      </c>
      <c r="M1708" s="1">
        <v>37321</v>
      </c>
      <c r="N1708" s="1">
        <v>37321</v>
      </c>
      <c r="O1708" t="s">
        <v>1114</v>
      </c>
      <c r="P1708">
        <v>1</v>
      </c>
      <c r="Q1708" t="s">
        <v>2662</v>
      </c>
      <c r="R1708">
        <f t="shared" si="53"/>
        <v>10</v>
      </c>
      <c r="S1708">
        <f t="shared" si="54"/>
        <v>1</v>
      </c>
    </row>
    <row r="1709" spans="1:19" x14ac:dyDescent="0.25">
      <c r="A1709" t="s">
        <v>2832</v>
      </c>
      <c r="B1709" t="s">
        <v>1199</v>
      </c>
      <c r="C1709">
        <v>2</v>
      </c>
      <c r="D1709">
        <v>555</v>
      </c>
      <c r="E1709">
        <v>0</v>
      </c>
      <c r="F1709">
        <v>27</v>
      </c>
      <c r="G1709">
        <v>27</v>
      </c>
      <c r="H1709" t="s">
        <v>2661</v>
      </c>
      <c r="I1709" s="1">
        <v>37199</v>
      </c>
      <c r="J1709" s="1">
        <v>37336</v>
      </c>
      <c r="K1709" s="1">
        <v>37353</v>
      </c>
      <c r="L1709" s="1">
        <v>37353</v>
      </c>
      <c r="M1709" s="1">
        <v>37353</v>
      </c>
      <c r="N1709" s="1">
        <v>37360</v>
      </c>
      <c r="O1709" t="s">
        <v>1117</v>
      </c>
      <c r="P1709">
        <v>20</v>
      </c>
      <c r="Q1709" t="s">
        <v>2662</v>
      </c>
      <c r="R1709">
        <f t="shared" si="53"/>
        <v>16</v>
      </c>
      <c r="S1709">
        <f t="shared" si="54"/>
        <v>1</v>
      </c>
    </row>
    <row r="1710" spans="1:19" x14ac:dyDescent="0.25">
      <c r="A1710" t="s">
        <v>2833</v>
      </c>
      <c r="B1710" t="s">
        <v>4027</v>
      </c>
      <c r="C1710">
        <v>6</v>
      </c>
      <c r="D1710">
        <v>1250</v>
      </c>
      <c r="E1710">
        <v>0</v>
      </c>
      <c r="F1710">
        <v>6</v>
      </c>
      <c r="G1710">
        <v>6</v>
      </c>
      <c r="H1710" t="s">
        <v>2661</v>
      </c>
      <c r="I1710" s="1">
        <v>37122</v>
      </c>
      <c r="J1710" s="1">
        <v>37319</v>
      </c>
      <c r="K1710" s="1">
        <v>37323</v>
      </c>
      <c r="L1710" s="1">
        <v>37323</v>
      </c>
      <c r="M1710" s="1">
        <v>37330</v>
      </c>
      <c r="N1710" s="1">
        <v>37331</v>
      </c>
      <c r="O1710" t="s">
        <v>1117</v>
      </c>
      <c r="P1710">
        <v>3</v>
      </c>
      <c r="Q1710" t="s">
        <v>2662</v>
      </c>
      <c r="R1710">
        <f t="shared" si="53"/>
        <v>11</v>
      </c>
      <c r="S1710">
        <f t="shared" si="54"/>
        <v>1</v>
      </c>
    </row>
    <row r="1711" spans="1:19" x14ac:dyDescent="0.25">
      <c r="A1711" t="s">
        <v>2834</v>
      </c>
      <c r="B1711" t="s">
        <v>4028</v>
      </c>
      <c r="C1711">
        <v>2</v>
      </c>
      <c r="D1711">
        <v>1250</v>
      </c>
      <c r="E1711">
        <v>0</v>
      </c>
      <c r="F1711">
        <v>240</v>
      </c>
      <c r="G1711">
        <v>205.4</v>
      </c>
      <c r="H1711" t="s">
        <v>2661</v>
      </c>
      <c r="I1711" s="1">
        <v>37192</v>
      </c>
      <c r="J1711" s="1">
        <v>37330</v>
      </c>
      <c r="K1711" s="1">
        <v>37333</v>
      </c>
      <c r="L1711" s="1">
        <v>37333</v>
      </c>
      <c r="M1711" s="1">
        <v>37333</v>
      </c>
      <c r="N1711" s="1">
        <v>37333</v>
      </c>
      <c r="O1711" t="s">
        <v>1117</v>
      </c>
      <c r="P1711">
        <v>2</v>
      </c>
      <c r="Q1711" t="s">
        <v>2662</v>
      </c>
      <c r="R1711">
        <f t="shared" si="53"/>
        <v>12</v>
      </c>
      <c r="S1711">
        <f t="shared" si="54"/>
        <v>0</v>
      </c>
    </row>
    <row r="1712" spans="1:19" x14ac:dyDescent="0.25">
      <c r="A1712" t="s">
        <v>2835</v>
      </c>
      <c r="B1712" t="s">
        <v>4028</v>
      </c>
      <c r="C1712">
        <v>2.5</v>
      </c>
      <c r="D1712">
        <v>1250</v>
      </c>
      <c r="E1712">
        <v>0</v>
      </c>
      <c r="F1712">
        <v>33</v>
      </c>
      <c r="G1712">
        <v>33</v>
      </c>
      <c r="H1712" t="s">
        <v>2661</v>
      </c>
      <c r="I1712" s="1">
        <v>37133</v>
      </c>
      <c r="J1712" s="1">
        <v>37346</v>
      </c>
      <c r="K1712" s="1">
        <v>37346</v>
      </c>
      <c r="L1712" s="1">
        <v>37346</v>
      </c>
      <c r="M1712" s="1">
        <v>37346</v>
      </c>
      <c r="N1712" s="1">
        <v>37353</v>
      </c>
      <c r="O1712" t="s">
        <v>1114</v>
      </c>
      <c r="P1712">
        <v>6</v>
      </c>
      <c r="Q1712" t="s">
        <v>2662</v>
      </c>
      <c r="R1712">
        <f t="shared" si="53"/>
        <v>15</v>
      </c>
      <c r="S1712">
        <f t="shared" si="54"/>
        <v>1</v>
      </c>
    </row>
    <row r="1713" spans="1:19" x14ac:dyDescent="0.25">
      <c r="A1713" t="s">
        <v>2836</v>
      </c>
      <c r="B1713" t="s">
        <v>1199</v>
      </c>
      <c r="C1713">
        <v>2</v>
      </c>
      <c r="D1713">
        <v>1250</v>
      </c>
      <c r="E1713">
        <v>0</v>
      </c>
      <c r="F1713">
        <v>100</v>
      </c>
      <c r="G1713">
        <v>100</v>
      </c>
      <c r="H1713" t="s">
        <v>2661</v>
      </c>
      <c r="I1713" s="1">
        <v>37125</v>
      </c>
      <c r="J1713" s="1">
        <v>37309</v>
      </c>
      <c r="K1713" s="1">
        <v>37313</v>
      </c>
      <c r="L1713" s="1">
        <v>37313</v>
      </c>
      <c r="M1713" s="1">
        <v>37317</v>
      </c>
      <c r="N1713" s="1">
        <v>37326</v>
      </c>
      <c r="O1713" t="s">
        <v>1117</v>
      </c>
      <c r="P1713">
        <v>1</v>
      </c>
      <c r="Q1713" t="s">
        <v>2662</v>
      </c>
      <c r="R1713">
        <f t="shared" si="53"/>
        <v>11</v>
      </c>
      <c r="S1713">
        <f t="shared" si="54"/>
        <v>1</v>
      </c>
    </row>
    <row r="1714" spans="1:19" x14ac:dyDescent="0.25">
      <c r="A1714" t="s">
        <v>2837</v>
      </c>
      <c r="B1714" t="s">
        <v>1199</v>
      </c>
      <c r="C1714">
        <v>2</v>
      </c>
      <c r="D1714">
        <v>510</v>
      </c>
      <c r="E1714">
        <v>0</v>
      </c>
      <c r="F1714">
        <v>18</v>
      </c>
      <c r="G1714">
        <v>18</v>
      </c>
      <c r="H1714" t="s">
        <v>2661</v>
      </c>
      <c r="I1714" s="1">
        <v>37291</v>
      </c>
      <c r="J1714" s="1">
        <v>37332</v>
      </c>
      <c r="K1714" s="1">
        <v>37360</v>
      </c>
      <c r="L1714" s="1">
        <v>37360</v>
      </c>
      <c r="M1714" s="1">
        <v>37360</v>
      </c>
      <c r="N1714" s="1">
        <v>37360</v>
      </c>
      <c r="O1714" t="s">
        <v>1117</v>
      </c>
      <c r="P1714">
        <v>17</v>
      </c>
      <c r="Q1714" t="s">
        <v>2662</v>
      </c>
      <c r="R1714">
        <f t="shared" si="53"/>
        <v>16</v>
      </c>
      <c r="S1714">
        <f t="shared" si="54"/>
        <v>1</v>
      </c>
    </row>
    <row r="1715" spans="1:19" x14ac:dyDescent="0.25">
      <c r="A1715" t="s">
        <v>2838</v>
      </c>
      <c r="B1715" t="s">
        <v>4026</v>
      </c>
      <c r="C1715">
        <v>3</v>
      </c>
      <c r="D1715">
        <v>1250</v>
      </c>
      <c r="E1715">
        <v>0</v>
      </c>
      <c r="F1715">
        <v>15</v>
      </c>
      <c r="G1715">
        <v>15</v>
      </c>
      <c r="H1715" t="s">
        <v>2661</v>
      </c>
      <c r="I1715" s="1">
        <v>37122</v>
      </c>
      <c r="J1715" s="1">
        <v>37319</v>
      </c>
      <c r="K1715" s="1">
        <v>37319</v>
      </c>
      <c r="L1715" s="1">
        <v>37319</v>
      </c>
      <c r="M1715" s="1">
        <v>37321</v>
      </c>
      <c r="N1715" s="1">
        <v>37353</v>
      </c>
      <c r="O1715" t="s">
        <v>1114</v>
      </c>
      <c r="P1715">
        <v>2</v>
      </c>
      <c r="Q1715" t="s">
        <v>2662</v>
      </c>
      <c r="R1715">
        <f t="shared" si="53"/>
        <v>15</v>
      </c>
      <c r="S1715">
        <f t="shared" si="54"/>
        <v>1</v>
      </c>
    </row>
    <row r="1716" spans="1:19" x14ac:dyDescent="0.25">
      <c r="A1716" t="s">
        <v>2839</v>
      </c>
      <c r="B1716" t="s">
        <v>4027</v>
      </c>
      <c r="C1716">
        <v>2.5</v>
      </c>
      <c r="D1716">
        <v>625</v>
      </c>
      <c r="E1716">
        <v>0</v>
      </c>
      <c r="F1716">
        <v>50</v>
      </c>
      <c r="G1716">
        <v>50</v>
      </c>
      <c r="H1716" t="s">
        <v>2661</v>
      </c>
      <c r="I1716" s="1">
        <v>37124</v>
      </c>
      <c r="J1716" s="1">
        <v>37345</v>
      </c>
      <c r="K1716" s="1">
        <v>37347</v>
      </c>
      <c r="L1716" s="1">
        <v>37347</v>
      </c>
      <c r="M1716" s="1">
        <v>37345</v>
      </c>
      <c r="N1716" s="1">
        <v>37345</v>
      </c>
      <c r="O1716" t="s">
        <v>1117</v>
      </c>
      <c r="P1716">
        <v>1</v>
      </c>
      <c r="Q1716" t="s">
        <v>2662</v>
      </c>
      <c r="R1716">
        <f t="shared" si="53"/>
        <v>13</v>
      </c>
      <c r="S1716">
        <f t="shared" si="54"/>
        <v>1</v>
      </c>
    </row>
    <row r="1717" spans="1:19" x14ac:dyDescent="0.25">
      <c r="A1717" t="s">
        <v>2840</v>
      </c>
      <c r="B1717" t="s">
        <v>1199</v>
      </c>
      <c r="C1717">
        <v>2</v>
      </c>
      <c r="D1717">
        <v>1250</v>
      </c>
      <c r="E1717">
        <v>0</v>
      </c>
      <c r="F1717">
        <v>240</v>
      </c>
      <c r="G1717">
        <v>55.74</v>
      </c>
      <c r="H1717" t="s">
        <v>2661</v>
      </c>
      <c r="I1717" s="1">
        <v>37109</v>
      </c>
      <c r="J1717" s="1">
        <v>37320</v>
      </c>
      <c r="K1717" s="1">
        <v>37320</v>
      </c>
      <c r="L1717" s="1">
        <v>37320</v>
      </c>
      <c r="M1717" s="1">
        <v>37320</v>
      </c>
      <c r="N1717" s="1">
        <v>37333</v>
      </c>
      <c r="O1717" t="s">
        <v>1114</v>
      </c>
      <c r="P1717">
        <v>1</v>
      </c>
      <c r="Q1717" t="s">
        <v>2662</v>
      </c>
      <c r="R1717">
        <f t="shared" si="53"/>
        <v>12</v>
      </c>
      <c r="S1717">
        <f t="shared" si="54"/>
        <v>0</v>
      </c>
    </row>
    <row r="1718" spans="1:19" x14ac:dyDescent="0.25">
      <c r="A1718" t="s">
        <v>2841</v>
      </c>
      <c r="B1718" t="s">
        <v>1199</v>
      </c>
      <c r="C1718">
        <v>3</v>
      </c>
      <c r="D1718">
        <v>625</v>
      </c>
      <c r="E1718">
        <v>0</v>
      </c>
      <c r="F1718">
        <v>40</v>
      </c>
      <c r="G1718">
        <v>40</v>
      </c>
      <c r="H1718" t="s">
        <v>2661</v>
      </c>
      <c r="I1718" s="1">
        <v>37133</v>
      </c>
      <c r="J1718" s="1">
        <v>37346</v>
      </c>
      <c r="K1718" t="s">
        <v>1124</v>
      </c>
      <c r="L1718" t="s">
        <v>1124</v>
      </c>
      <c r="M1718" s="1">
        <v>37381</v>
      </c>
      <c r="N1718" s="1">
        <v>37381</v>
      </c>
      <c r="O1718" t="s">
        <v>1117</v>
      </c>
      <c r="P1718">
        <v>1</v>
      </c>
      <c r="Q1718" t="s">
        <v>2662</v>
      </c>
      <c r="R1718">
        <f t="shared" si="53"/>
        <v>19</v>
      </c>
      <c r="S1718">
        <f t="shared" si="54"/>
        <v>1</v>
      </c>
    </row>
    <row r="1719" spans="1:19" x14ac:dyDescent="0.25">
      <c r="A1719" t="s">
        <v>2842</v>
      </c>
      <c r="B1719" t="s">
        <v>1199</v>
      </c>
      <c r="C1719">
        <v>2.2999999999999998</v>
      </c>
      <c r="D1719">
        <v>625</v>
      </c>
      <c r="E1719">
        <v>0</v>
      </c>
      <c r="F1719">
        <v>58</v>
      </c>
      <c r="G1719">
        <v>7.8579999999999997</v>
      </c>
      <c r="H1719" t="s">
        <v>2661</v>
      </c>
      <c r="I1719" s="1">
        <v>37122</v>
      </c>
      <c r="J1719" s="1">
        <v>37346</v>
      </c>
      <c r="K1719" s="1">
        <v>37360</v>
      </c>
      <c r="L1719" s="1">
        <v>37360</v>
      </c>
      <c r="M1719" s="1">
        <v>37360</v>
      </c>
      <c r="N1719" s="1">
        <v>37360</v>
      </c>
      <c r="O1719" t="s">
        <v>1117</v>
      </c>
      <c r="P1719">
        <v>3</v>
      </c>
      <c r="Q1719" t="s">
        <v>2662</v>
      </c>
      <c r="R1719">
        <f t="shared" si="53"/>
        <v>16</v>
      </c>
      <c r="S1719">
        <f t="shared" si="54"/>
        <v>0</v>
      </c>
    </row>
    <row r="1720" spans="1:19" x14ac:dyDescent="0.25">
      <c r="A1720" t="s">
        <v>2843</v>
      </c>
      <c r="B1720" t="s">
        <v>1199</v>
      </c>
      <c r="C1720">
        <v>2</v>
      </c>
      <c r="D1720">
        <v>1250</v>
      </c>
      <c r="E1720">
        <v>0</v>
      </c>
      <c r="F1720">
        <v>51</v>
      </c>
      <c r="G1720">
        <v>51</v>
      </c>
      <c r="H1720" t="s">
        <v>2661</v>
      </c>
      <c r="I1720" s="1">
        <v>37126</v>
      </c>
      <c r="J1720" s="1">
        <v>37346</v>
      </c>
      <c r="K1720" s="1">
        <v>37346</v>
      </c>
      <c r="L1720" s="1">
        <v>37346</v>
      </c>
      <c r="M1720" s="1">
        <v>37346</v>
      </c>
      <c r="N1720" s="1">
        <v>37346</v>
      </c>
      <c r="O1720" t="s">
        <v>1114</v>
      </c>
      <c r="P1720">
        <v>3</v>
      </c>
      <c r="Q1720" t="s">
        <v>2662</v>
      </c>
      <c r="R1720">
        <f t="shared" si="53"/>
        <v>14</v>
      </c>
      <c r="S1720">
        <f t="shared" si="54"/>
        <v>1</v>
      </c>
    </row>
    <row r="1721" spans="1:19" x14ac:dyDescent="0.25">
      <c r="A1721" t="s">
        <v>2844</v>
      </c>
      <c r="B1721" t="s">
        <v>4027</v>
      </c>
      <c r="C1721">
        <v>2</v>
      </c>
      <c r="D1721">
        <v>610</v>
      </c>
      <c r="E1721">
        <v>0</v>
      </c>
      <c r="F1721">
        <v>20</v>
      </c>
      <c r="G1721">
        <v>20</v>
      </c>
      <c r="H1721" t="s">
        <v>2661</v>
      </c>
      <c r="I1721" s="1">
        <v>37280</v>
      </c>
      <c r="J1721" s="1">
        <v>37332</v>
      </c>
      <c r="K1721" t="s">
        <v>1124</v>
      </c>
      <c r="L1721" t="s">
        <v>1124</v>
      </c>
      <c r="M1721" s="1">
        <v>37335</v>
      </c>
      <c r="N1721" s="1">
        <v>37345</v>
      </c>
      <c r="O1721" t="s">
        <v>1117</v>
      </c>
      <c r="P1721">
        <v>10</v>
      </c>
      <c r="Q1721" t="s">
        <v>2662</v>
      </c>
      <c r="R1721">
        <f t="shared" si="53"/>
        <v>13</v>
      </c>
      <c r="S1721">
        <f t="shared" si="54"/>
        <v>1</v>
      </c>
    </row>
    <row r="1722" spans="1:19" x14ac:dyDescent="0.25">
      <c r="A1722" t="s">
        <v>2845</v>
      </c>
      <c r="B1722" t="s">
        <v>1199</v>
      </c>
      <c r="C1722">
        <v>2.5</v>
      </c>
      <c r="D1722">
        <v>1250</v>
      </c>
      <c r="E1722">
        <v>0</v>
      </c>
      <c r="F1722">
        <v>800</v>
      </c>
      <c r="G1722">
        <v>148.44999999999999</v>
      </c>
      <c r="H1722" t="s">
        <v>2661</v>
      </c>
      <c r="I1722" s="1">
        <v>37159</v>
      </c>
      <c r="J1722" s="1">
        <v>37319</v>
      </c>
      <c r="K1722" s="1">
        <v>37318</v>
      </c>
      <c r="L1722" s="1">
        <v>37319</v>
      </c>
      <c r="M1722" s="1">
        <v>37321</v>
      </c>
      <c r="N1722" s="1">
        <v>37321</v>
      </c>
      <c r="O1722" t="s">
        <v>1114</v>
      </c>
      <c r="P1722">
        <v>2</v>
      </c>
      <c r="Q1722" t="s">
        <v>2662</v>
      </c>
      <c r="R1722">
        <f t="shared" si="53"/>
        <v>10</v>
      </c>
      <c r="S1722">
        <f t="shared" si="54"/>
        <v>0</v>
      </c>
    </row>
    <row r="1723" spans="1:19" x14ac:dyDescent="0.25">
      <c r="A1723" t="s">
        <v>2846</v>
      </c>
      <c r="B1723" t="s">
        <v>1199</v>
      </c>
      <c r="C1723">
        <v>2.5</v>
      </c>
      <c r="D1723">
        <v>1250</v>
      </c>
      <c r="E1723">
        <v>0</v>
      </c>
      <c r="F1723">
        <v>56</v>
      </c>
      <c r="G1723">
        <v>23.14</v>
      </c>
      <c r="H1723" t="s">
        <v>2661</v>
      </c>
      <c r="I1723" s="1">
        <v>37104</v>
      </c>
      <c r="J1723" s="1">
        <v>37325</v>
      </c>
      <c r="K1723" s="1">
        <v>37340</v>
      </c>
      <c r="L1723" s="1">
        <v>37340</v>
      </c>
      <c r="M1723" s="1">
        <v>37340</v>
      </c>
      <c r="N1723" s="1">
        <v>37353</v>
      </c>
      <c r="O1723" t="s">
        <v>1117</v>
      </c>
      <c r="P1723">
        <v>3</v>
      </c>
      <c r="Q1723" t="s">
        <v>2662</v>
      </c>
      <c r="R1723">
        <f t="shared" si="53"/>
        <v>15</v>
      </c>
      <c r="S1723">
        <f t="shared" si="54"/>
        <v>0</v>
      </c>
    </row>
    <row r="1724" spans="1:19" x14ac:dyDescent="0.25">
      <c r="A1724" t="s">
        <v>2847</v>
      </c>
      <c r="B1724" t="s">
        <v>4027</v>
      </c>
      <c r="C1724">
        <v>3</v>
      </c>
      <c r="D1724">
        <v>1250</v>
      </c>
      <c r="E1724">
        <v>0</v>
      </c>
      <c r="F1724">
        <v>201</v>
      </c>
      <c r="G1724">
        <v>201</v>
      </c>
      <c r="H1724" t="s">
        <v>2661</v>
      </c>
      <c r="I1724" s="1">
        <v>37104</v>
      </c>
      <c r="J1724" s="1">
        <v>37325</v>
      </c>
      <c r="K1724" t="s">
        <v>1124</v>
      </c>
      <c r="L1724" t="s">
        <v>1124</v>
      </c>
      <c r="M1724" s="1">
        <v>37353</v>
      </c>
      <c r="N1724" s="1">
        <v>37353</v>
      </c>
      <c r="O1724" t="s">
        <v>1117</v>
      </c>
      <c r="P1724">
        <v>1</v>
      </c>
      <c r="Q1724" t="s">
        <v>2662</v>
      </c>
      <c r="R1724">
        <f t="shared" si="53"/>
        <v>15</v>
      </c>
      <c r="S1724">
        <f t="shared" si="54"/>
        <v>1</v>
      </c>
    </row>
    <row r="1725" spans="1:19" x14ac:dyDescent="0.25">
      <c r="A1725" t="s">
        <v>2848</v>
      </c>
      <c r="B1725" t="s">
        <v>1199</v>
      </c>
      <c r="C1725">
        <v>2.95</v>
      </c>
      <c r="D1725">
        <v>1250</v>
      </c>
      <c r="E1725">
        <v>0</v>
      </c>
      <c r="F1725">
        <v>96</v>
      </c>
      <c r="G1725">
        <v>53.57</v>
      </c>
      <c r="H1725" t="s">
        <v>2661</v>
      </c>
      <c r="I1725" s="1">
        <v>37110</v>
      </c>
      <c r="J1725" s="1">
        <v>37346</v>
      </c>
      <c r="K1725" t="s">
        <v>1124</v>
      </c>
      <c r="L1725" t="s">
        <v>1124</v>
      </c>
      <c r="M1725" s="1">
        <v>37346</v>
      </c>
      <c r="N1725" s="1">
        <v>37360</v>
      </c>
      <c r="O1725" t="s">
        <v>1117</v>
      </c>
      <c r="P1725">
        <v>6</v>
      </c>
      <c r="Q1725" t="s">
        <v>2662</v>
      </c>
      <c r="R1725">
        <f t="shared" si="53"/>
        <v>16</v>
      </c>
      <c r="S1725">
        <f t="shared" si="54"/>
        <v>0</v>
      </c>
    </row>
    <row r="1726" spans="1:19" x14ac:dyDescent="0.25">
      <c r="A1726" t="s">
        <v>2849</v>
      </c>
      <c r="B1726" t="s">
        <v>4027</v>
      </c>
      <c r="C1726">
        <v>2</v>
      </c>
      <c r="D1726">
        <v>1100</v>
      </c>
      <c r="E1726">
        <v>0</v>
      </c>
      <c r="F1726">
        <v>105</v>
      </c>
      <c r="G1726">
        <v>105</v>
      </c>
      <c r="H1726" t="s">
        <v>2661</v>
      </c>
      <c r="I1726" s="1">
        <v>37189</v>
      </c>
      <c r="J1726" s="1">
        <v>37329</v>
      </c>
      <c r="K1726" s="1">
        <v>37332</v>
      </c>
      <c r="L1726" s="1">
        <v>37332</v>
      </c>
      <c r="M1726" s="1">
        <v>37329</v>
      </c>
      <c r="N1726" s="1">
        <v>37330</v>
      </c>
      <c r="O1726" t="s">
        <v>1117</v>
      </c>
      <c r="P1726">
        <v>4</v>
      </c>
      <c r="Q1726" t="s">
        <v>2662</v>
      </c>
      <c r="R1726">
        <f t="shared" si="53"/>
        <v>11</v>
      </c>
      <c r="S1726">
        <f t="shared" si="54"/>
        <v>1</v>
      </c>
    </row>
    <row r="1727" spans="1:19" x14ac:dyDescent="0.25">
      <c r="A1727" t="s">
        <v>2850</v>
      </c>
      <c r="B1727" t="s">
        <v>4027</v>
      </c>
      <c r="C1727">
        <v>2.95</v>
      </c>
      <c r="D1727">
        <v>1250</v>
      </c>
      <c r="E1727">
        <v>0</v>
      </c>
      <c r="F1727">
        <v>4</v>
      </c>
      <c r="G1727">
        <v>4</v>
      </c>
      <c r="H1727" t="s">
        <v>2661</v>
      </c>
      <c r="I1727" s="1">
        <v>37133</v>
      </c>
      <c r="J1727" s="1">
        <v>37346</v>
      </c>
      <c r="K1727" t="s">
        <v>1124</v>
      </c>
      <c r="L1727" t="s">
        <v>1124</v>
      </c>
      <c r="M1727" s="1">
        <v>37360</v>
      </c>
      <c r="N1727" s="1">
        <v>37360</v>
      </c>
      <c r="O1727" t="s">
        <v>1117</v>
      </c>
      <c r="P1727">
        <v>7</v>
      </c>
      <c r="Q1727" t="s">
        <v>2662</v>
      </c>
      <c r="R1727">
        <f t="shared" si="53"/>
        <v>16</v>
      </c>
      <c r="S1727">
        <f t="shared" si="54"/>
        <v>1</v>
      </c>
    </row>
    <row r="1728" spans="1:19" x14ac:dyDescent="0.25">
      <c r="A1728" t="s">
        <v>2851</v>
      </c>
      <c r="B1728" t="s">
        <v>1199</v>
      </c>
      <c r="C1728">
        <v>2</v>
      </c>
      <c r="D1728">
        <v>550</v>
      </c>
      <c r="E1728">
        <v>0</v>
      </c>
      <c r="F1728">
        <v>8.5</v>
      </c>
      <c r="G1728">
        <v>8.5</v>
      </c>
      <c r="H1728" t="s">
        <v>2661</v>
      </c>
      <c r="I1728" s="1">
        <v>37192</v>
      </c>
      <c r="J1728" s="1">
        <v>37331</v>
      </c>
      <c r="K1728" s="1">
        <v>37339</v>
      </c>
      <c r="L1728" s="1">
        <v>37339</v>
      </c>
      <c r="M1728" s="1">
        <v>37339</v>
      </c>
      <c r="N1728" s="1">
        <v>37339</v>
      </c>
      <c r="O1728" t="s">
        <v>1117</v>
      </c>
      <c r="P1728">
        <v>10</v>
      </c>
      <c r="Q1728" t="s">
        <v>2662</v>
      </c>
      <c r="R1728">
        <f t="shared" si="53"/>
        <v>13</v>
      </c>
      <c r="S1728">
        <f t="shared" si="54"/>
        <v>1</v>
      </c>
    </row>
    <row r="1729" spans="1:19" x14ac:dyDescent="0.25">
      <c r="A1729" t="s">
        <v>2852</v>
      </c>
      <c r="B1729" t="s">
        <v>1199</v>
      </c>
      <c r="C1729">
        <v>2</v>
      </c>
      <c r="D1729">
        <v>1250</v>
      </c>
      <c r="E1729">
        <v>0</v>
      </c>
      <c r="F1729">
        <v>40</v>
      </c>
      <c r="G1729">
        <v>40</v>
      </c>
      <c r="H1729" t="s">
        <v>2661</v>
      </c>
      <c r="I1729" s="1">
        <v>37131</v>
      </c>
      <c r="J1729" s="1">
        <v>37326</v>
      </c>
      <c r="K1729" s="1">
        <v>37326</v>
      </c>
      <c r="L1729" s="1">
        <v>37326</v>
      </c>
      <c r="M1729" s="1">
        <v>37326</v>
      </c>
      <c r="N1729" s="1">
        <v>37326</v>
      </c>
      <c r="O1729" t="s">
        <v>1114</v>
      </c>
      <c r="P1729">
        <v>4</v>
      </c>
      <c r="Q1729" t="s">
        <v>2662</v>
      </c>
      <c r="R1729">
        <f t="shared" si="53"/>
        <v>11</v>
      </c>
      <c r="S1729">
        <f t="shared" si="54"/>
        <v>1</v>
      </c>
    </row>
    <row r="1730" spans="1:19" x14ac:dyDescent="0.25">
      <c r="A1730" t="s">
        <v>2853</v>
      </c>
      <c r="B1730" t="s">
        <v>4028</v>
      </c>
      <c r="C1730">
        <v>2.2999999999999998</v>
      </c>
      <c r="D1730">
        <v>625</v>
      </c>
      <c r="E1730">
        <v>0</v>
      </c>
      <c r="F1730">
        <v>20</v>
      </c>
      <c r="G1730">
        <v>20</v>
      </c>
      <c r="H1730" t="s">
        <v>2661</v>
      </c>
      <c r="I1730" s="1">
        <v>37280</v>
      </c>
      <c r="J1730" s="1">
        <v>37332</v>
      </c>
      <c r="K1730" s="1">
        <v>37345</v>
      </c>
      <c r="L1730" s="1">
        <v>37345</v>
      </c>
      <c r="M1730" s="1">
        <v>37345</v>
      </c>
      <c r="N1730" s="1">
        <v>37345</v>
      </c>
      <c r="O1730" t="s">
        <v>1117</v>
      </c>
      <c r="P1730">
        <v>1</v>
      </c>
      <c r="Q1730" t="s">
        <v>2662</v>
      </c>
      <c r="R1730">
        <f t="shared" si="53"/>
        <v>13</v>
      </c>
      <c r="S1730">
        <f t="shared" si="54"/>
        <v>1</v>
      </c>
    </row>
    <row r="1731" spans="1:19" x14ac:dyDescent="0.25">
      <c r="A1731" t="s">
        <v>2854</v>
      </c>
      <c r="B1731" t="s">
        <v>1199</v>
      </c>
      <c r="C1731">
        <v>2.2999999999999998</v>
      </c>
      <c r="D1731">
        <v>570</v>
      </c>
      <c r="E1731">
        <v>0</v>
      </c>
      <c r="F1731">
        <v>39</v>
      </c>
      <c r="G1731">
        <v>39</v>
      </c>
      <c r="H1731" t="s">
        <v>2661</v>
      </c>
      <c r="I1731" s="1">
        <v>37159</v>
      </c>
      <c r="J1731" s="1">
        <v>37319</v>
      </c>
      <c r="K1731" s="1">
        <v>37340</v>
      </c>
      <c r="L1731" s="1">
        <v>37340</v>
      </c>
      <c r="M1731" s="1">
        <v>37333</v>
      </c>
      <c r="N1731" s="1">
        <v>37333</v>
      </c>
      <c r="O1731" t="s">
        <v>1117</v>
      </c>
      <c r="P1731">
        <v>8</v>
      </c>
      <c r="Q1731" t="s">
        <v>2855</v>
      </c>
      <c r="R1731">
        <f t="shared" ref="R1731:R1794" si="55">WEEKNUM(N1731,1)</f>
        <v>12</v>
      </c>
      <c r="S1731">
        <f t="shared" ref="S1731:S1794" si="56">IF(AND(F1731=G1731, M1731&lt;=N1731), 1,0)</f>
        <v>1</v>
      </c>
    </row>
    <row r="1732" spans="1:19" x14ac:dyDescent="0.25">
      <c r="A1732" t="s">
        <v>2856</v>
      </c>
      <c r="B1732" t="s">
        <v>1199</v>
      </c>
      <c r="C1732">
        <v>3.5</v>
      </c>
      <c r="D1732">
        <v>1250</v>
      </c>
      <c r="E1732">
        <v>0</v>
      </c>
      <c r="F1732">
        <v>20</v>
      </c>
      <c r="G1732">
        <v>20</v>
      </c>
      <c r="H1732" t="s">
        <v>2661</v>
      </c>
      <c r="I1732" s="1">
        <v>37117</v>
      </c>
      <c r="J1732" s="1">
        <v>37345</v>
      </c>
      <c r="K1732" s="1">
        <v>37345</v>
      </c>
      <c r="L1732" s="1">
        <v>37345</v>
      </c>
      <c r="M1732" s="1">
        <v>37345</v>
      </c>
      <c r="N1732" s="1">
        <v>37345</v>
      </c>
      <c r="O1732" t="s">
        <v>1114</v>
      </c>
      <c r="P1732">
        <v>6</v>
      </c>
      <c r="Q1732" t="s">
        <v>2662</v>
      </c>
      <c r="R1732">
        <f t="shared" si="55"/>
        <v>13</v>
      </c>
      <c r="S1732">
        <f t="shared" si="56"/>
        <v>1</v>
      </c>
    </row>
    <row r="1733" spans="1:19" x14ac:dyDescent="0.25">
      <c r="A1733" t="s">
        <v>2857</v>
      </c>
      <c r="B1733" t="s">
        <v>4027</v>
      </c>
      <c r="C1733">
        <v>2.5</v>
      </c>
      <c r="D1733">
        <v>1250</v>
      </c>
      <c r="E1733">
        <v>0</v>
      </c>
      <c r="F1733">
        <v>20</v>
      </c>
      <c r="G1733">
        <v>20</v>
      </c>
      <c r="H1733" t="s">
        <v>2661</v>
      </c>
      <c r="I1733" s="1">
        <v>37126</v>
      </c>
      <c r="J1733" s="1">
        <v>37346</v>
      </c>
      <c r="K1733" t="s">
        <v>1124</v>
      </c>
      <c r="L1733" t="s">
        <v>1124</v>
      </c>
      <c r="M1733" s="1">
        <v>37360</v>
      </c>
      <c r="N1733" s="1">
        <v>37360</v>
      </c>
      <c r="O1733" t="s">
        <v>1117</v>
      </c>
      <c r="P1733">
        <v>4</v>
      </c>
      <c r="Q1733" t="s">
        <v>2662</v>
      </c>
      <c r="R1733">
        <f t="shared" si="55"/>
        <v>16</v>
      </c>
      <c r="S1733">
        <f t="shared" si="56"/>
        <v>1</v>
      </c>
    </row>
    <row r="1734" spans="1:19" x14ac:dyDescent="0.25">
      <c r="A1734" t="s">
        <v>2858</v>
      </c>
      <c r="B1734" t="s">
        <v>1199</v>
      </c>
      <c r="C1734">
        <v>2.2999999999999998</v>
      </c>
      <c r="D1734">
        <v>530</v>
      </c>
      <c r="E1734">
        <v>0</v>
      </c>
      <c r="F1734">
        <v>31</v>
      </c>
      <c r="G1734">
        <v>31</v>
      </c>
      <c r="H1734" t="s">
        <v>2661</v>
      </c>
      <c r="I1734" s="1">
        <v>37159</v>
      </c>
      <c r="J1734" s="1">
        <v>37319</v>
      </c>
      <c r="K1734" s="1">
        <v>37334</v>
      </c>
      <c r="L1734" s="1">
        <v>37334</v>
      </c>
      <c r="M1734" s="1">
        <v>37334</v>
      </c>
      <c r="N1734" s="1">
        <v>37334</v>
      </c>
      <c r="O1734" t="s">
        <v>1117</v>
      </c>
      <c r="P1734">
        <v>9</v>
      </c>
      <c r="Q1734" t="s">
        <v>2855</v>
      </c>
      <c r="R1734">
        <f t="shared" si="55"/>
        <v>12</v>
      </c>
      <c r="S1734">
        <f t="shared" si="56"/>
        <v>1</v>
      </c>
    </row>
    <row r="1735" spans="1:19" x14ac:dyDescent="0.25">
      <c r="A1735" t="s">
        <v>2859</v>
      </c>
      <c r="B1735" t="s">
        <v>1199</v>
      </c>
      <c r="C1735">
        <v>2.2999999999999998</v>
      </c>
      <c r="D1735">
        <v>565</v>
      </c>
      <c r="E1735">
        <v>0</v>
      </c>
      <c r="F1735">
        <v>28</v>
      </c>
      <c r="G1735">
        <v>28</v>
      </c>
      <c r="H1735" t="s">
        <v>2661</v>
      </c>
      <c r="I1735" s="1">
        <v>37280</v>
      </c>
      <c r="J1735" s="1">
        <v>37332</v>
      </c>
      <c r="K1735" s="1">
        <v>37339</v>
      </c>
      <c r="L1735" s="1">
        <v>37339</v>
      </c>
      <c r="M1735" s="1">
        <v>37339</v>
      </c>
      <c r="N1735" s="1">
        <v>37346</v>
      </c>
      <c r="O1735" t="s">
        <v>1117</v>
      </c>
      <c r="P1735">
        <v>5</v>
      </c>
      <c r="Q1735" t="s">
        <v>2662</v>
      </c>
      <c r="R1735">
        <f t="shared" si="55"/>
        <v>14</v>
      </c>
      <c r="S1735">
        <f t="shared" si="56"/>
        <v>1</v>
      </c>
    </row>
    <row r="1736" spans="1:19" x14ac:dyDescent="0.25">
      <c r="A1736" t="s">
        <v>2860</v>
      </c>
      <c r="B1736" t="s">
        <v>4026</v>
      </c>
      <c r="C1736">
        <v>2</v>
      </c>
      <c r="D1736">
        <v>600</v>
      </c>
      <c r="E1736">
        <v>0</v>
      </c>
      <c r="F1736">
        <v>30</v>
      </c>
      <c r="G1736">
        <v>30</v>
      </c>
      <c r="H1736" t="s">
        <v>2661</v>
      </c>
      <c r="I1736" s="1">
        <v>37280</v>
      </c>
      <c r="J1736" s="1">
        <v>37332</v>
      </c>
      <c r="K1736" s="1">
        <v>37360</v>
      </c>
      <c r="L1736" s="1">
        <v>37360</v>
      </c>
      <c r="M1736" s="1">
        <v>37360</v>
      </c>
      <c r="N1736" s="1">
        <v>37360</v>
      </c>
      <c r="O1736" t="s">
        <v>1117</v>
      </c>
      <c r="P1736">
        <v>14</v>
      </c>
      <c r="Q1736" t="s">
        <v>2662</v>
      </c>
      <c r="R1736">
        <f t="shared" si="55"/>
        <v>16</v>
      </c>
      <c r="S1736">
        <f t="shared" si="56"/>
        <v>1</v>
      </c>
    </row>
    <row r="1737" spans="1:19" x14ac:dyDescent="0.25">
      <c r="A1737" t="s">
        <v>2861</v>
      </c>
      <c r="B1737" t="s">
        <v>1199</v>
      </c>
      <c r="C1737">
        <v>2</v>
      </c>
      <c r="D1737">
        <v>565</v>
      </c>
      <c r="E1737">
        <v>0</v>
      </c>
      <c r="F1737">
        <v>9</v>
      </c>
      <c r="G1737">
        <v>9</v>
      </c>
      <c r="H1737" t="s">
        <v>2661</v>
      </c>
      <c r="I1737" s="1">
        <v>37280</v>
      </c>
      <c r="J1737" s="1">
        <v>37332</v>
      </c>
      <c r="K1737" s="1">
        <v>37353</v>
      </c>
      <c r="L1737" s="1">
        <v>37353</v>
      </c>
      <c r="M1737" s="1">
        <v>37353</v>
      </c>
      <c r="N1737" s="1">
        <v>37353</v>
      </c>
      <c r="O1737" t="s">
        <v>1117</v>
      </c>
      <c r="P1737">
        <v>6</v>
      </c>
      <c r="Q1737" t="s">
        <v>2662</v>
      </c>
      <c r="R1737">
        <f t="shared" si="55"/>
        <v>15</v>
      </c>
      <c r="S1737">
        <f t="shared" si="56"/>
        <v>1</v>
      </c>
    </row>
    <row r="1738" spans="1:19" x14ac:dyDescent="0.25">
      <c r="A1738" t="s">
        <v>2862</v>
      </c>
      <c r="B1738" t="s">
        <v>4026</v>
      </c>
      <c r="C1738">
        <v>2</v>
      </c>
      <c r="D1738">
        <v>550</v>
      </c>
      <c r="E1738">
        <v>0</v>
      </c>
      <c r="F1738">
        <v>27</v>
      </c>
      <c r="G1738">
        <v>27</v>
      </c>
      <c r="H1738" t="s">
        <v>2661</v>
      </c>
      <c r="I1738" s="1">
        <v>37199</v>
      </c>
      <c r="J1738" s="1">
        <v>37336</v>
      </c>
      <c r="K1738" s="1">
        <v>37353</v>
      </c>
      <c r="L1738" s="1">
        <v>37353</v>
      </c>
      <c r="M1738" s="1">
        <v>37353</v>
      </c>
      <c r="N1738" s="1">
        <v>37360</v>
      </c>
      <c r="O1738" t="s">
        <v>1117</v>
      </c>
      <c r="P1738">
        <v>16</v>
      </c>
      <c r="Q1738" t="s">
        <v>2662</v>
      </c>
      <c r="R1738">
        <f t="shared" si="55"/>
        <v>16</v>
      </c>
      <c r="S1738">
        <f t="shared" si="56"/>
        <v>1</v>
      </c>
    </row>
    <row r="1739" spans="1:19" x14ac:dyDescent="0.25">
      <c r="A1739" t="s">
        <v>2863</v>
      </c>
      <c r="B1739" t="s">
        <v>1199</v>
      </c>
      <c r="C1739">
        <v>2.2999999999999998</v>
      </c>
      <c r="D1739">
        <v>460</v>
      </c>
      <c r="E1739">
        <v>0</v>
      </c>
      <c r="F1739">
        <v>18</v>
      </c>
      <c r="G1739">
        <v>18</v>
      </c>
      <c r="H1739" t="s">
        <v>2661</v>
      </c>
      <c r="I1739" s="1">
        <v>37280</v>
      </c>
      <c r="J1739" s="1">
        <v>37332</v>
      </c>
      <c r="K1739" s="1">
        <v>37360</v>
      </c>
      <c r="L1739" s="1">
        <v>37360</v>
      </c>
      <c r="M1739" s="1">
        <v>37353</v>
      </c>
      <c r="N1739" s="1">
        <v>37353</v>
      </c>
      <c r="O1739" t="s">
        <v>1117</v>
      </c>
      <c r="P1739">
        <v>2</v>
      </c>
      <c r="Q1739" t="s">
        <v>2662</v>
      </c>
      <c r="R1739">
        <f t="shared" si="55"/>
        <v>15</v>
      </c>
      <c r="S1739">
        <f t="shared" si="56"/>
        <v>1</v>
      </c>
    </row>
    <row r="1740" spans="1:19" x14ac:dyDescent="0.25">
      <c r="A1740" t="s">
        <v>2864</v>
      </c>
      <c r="B1740" t="s">
        <v>4028</v>
      </c>
      <c r="C1740">
        <v>2</v>
      </c>
      <c r="D1740">
        <v>505</v>
      </c>
      <c r="E1740">
        <v>0</v>
      </c>
      <c r="F1740">
        <v>24</v>
      </c>
      <c r="G1740">
        <v>24</v>
      </c>
      <c r="H1740" t="s">
        <v>2661</v>
      </c>
      <c r="I1740" s="1">
        <v>37280</v>
      </c>
      <c r="J1740" s="1">
        <v>37332</v>
      </c>
      <c r="K1740" s="1">
        <v>37360</v>
      </c>
      <c r="L1740" s="1">
        <v>37360</v>
      </c>
      <c r="M1740" s="1">
        <v>37360</v>
      </c>
      <c r="N1740" s="1">
        <v>37360</v>
      </c>
      <c r="O1740" t="s">
        <v>1117</v>
      </c>
      <c r="P1740">
        <v>15</v>
      </c>
      <c r="Q1740" t="s">
        <v>2662</v>
      </c>
      <c r="R1740">
        <f t="shared" si="55"/>
        <v>16</v>
      </c>
      <c r="S1740">
        <f t="shared" si="56"/>
        <v>1</v>
      </c>
    </row>
    <row r="1741" spans="1:19" x14ac:dyDescent="0.25">
      <c r="A1741" t="s">
        <v>2865</v>
      </c>
      <c r="B1741" t="s">
        <v>1199</v>
      </c>
      <c r="C1741">
        <v>2</v>
      </c>
      <c r="D1741">
        <v>625</v>
      </c>
      <c r="E1741">
        <v>0</v>
      </c>
      <c r="F1741">
        <v>20</v>
      </c>
      <c r="G1741">
        <v>20</v>
      </c>
      <c r="H1741" t="s">
        <v>2661</v>
      </c>
      <c r="I1741" s="1">
        <v>37280</v>
      </c>
      <c r="J1741" s="1">
        <v>37332</v>
      </c>
      <c r="K1741" s="1">
        <v>37353</v>
      </c>
      <c r="L1741" s="1">
        <v>37353</v>
      </c>
      <c r="M1741" s="1">
        <v>37346</v>
      </c>
      <c r="N1741" s="1">
        <v>37387</v>
      </c>
      <c r="O1741" t="s">
        <v>1117</v>
      </c>
      <c r="P1741">
        <v>9</v>
      </c>
      <c r="Q1741" t="s">
        <v>2662</v>
      </c>
      <c r="R1741">
        <f t="shared" si="55"/>
        <v>19</v>
      </c>
      <c r="S1741">
        <f t="shared" si="56"/>
        <v>1</v>
      </c>
    </row>
    <row r="1742" spans="1:19" x14ac:dyDescent="0.25">
      <c r="A1742" t="s">
        <v>2866</v>
      </c>
      <c r="B1742" t="s">
        <v>1199</v>
      </c>
      <c r="C1742">
        <v>2</v>
      </c>
      <c r="D1742">
        <v>505</v>
      </c>
      <c r="E1742">
        <v>0</v>
      </c>
      <c r="F1742">
        <v>24</v>
      </c>
      <c r="G1742">
        <v>24</v>
      </c>
      <c r="H1742" t="s">
        <v>2661</v>
      </c>
      <c r="I1742" s="1">
        <v>37201</v>
      </c>
      <c r="J1742" s="1">
        <v>37334</v>
      </c>
      <c r="K1742" s="1">
        <v>37345</v>
      </c>
      <c r="L1742" s="1">
        <v>37345</v>
      </c>
      <c r="M1742" s="1">
        <v>37345</v>
      </c>
      <c r="N1742" s="1">
        <v>37360</v>
      </c>
      <c r="O1742" t="s">
        <v>1117</v>
      </c>
      <c r="P1742">
        <v>15</v>
      </c>
      <c r="Q1742" t="s">
        <v>2662</v>
      </c>
      <c r="R1742">
        <f t="shared" si="55"/>
        <v>16</v>
      </c>
      <c r="S1742">
        <f t="shared" si="56"/>
        <v>1</v>
      </c>
    </row>
    <row r="1743" spans="1:19" x14ac:dyDescent="0.25">
      <c r="A1743" t="s">
        <v>2867</v>
      </c>
      <c r="B1743" t="s">
        <v>1199</v>
      </c>
      <c r="C1743">
        <v>4</v>
      </c>
      <c r="D1743">
        <v>1250</v>
      </c>
      <c r="E1743">
        <v>0</v>
      </c>
      <c r="F1743">
        <v>53</v>
      </c>
      <c r="G1743">
        <v>47.73</v>
      </c>
      <c r="H1743" t="s">
        <v>2661</v>
      </c>
      <c r="I1743" s="1">
        <v>37122</v>
      </c>
      <c r="J1743" s="1">
        <v>37319</v>
      </c>
      <c r="K1743" s="1">
        <v>37319</v>
      </c>
      <c r="L1743" s="1">
        <v>37319</v>
      </c>
      <c r="M1743" s="1">
        <v>37321</v>
      </c>
      <c r="N1743" s="1">
        <v>37332</v>
      </c>
      <c r="O1743" t="s">
        <v>1114</v>
      </c>
      <c r="P1743">
        <v>2</v>
      </c>
      <c r="Q1743" t="s">
        <v>2662</v>
      </c>
      <c r="R1743">
        <f t="shared" si="55"/>
        <v>12</v>
      </c>
      <c r="S1743">
        <f t="shared" si="56"/>
        <v>0</v>
      </c>
    </row>
    <row r="1744" spans="1:19" x14ac:dyDescent="0.25">
      <c r="A1744" t="s">
        <v>2868</v>
      </c>
      <c r="B1744" t="s">
        <v>1199</v>
      </c>
      <c r="C1744">
        <v>3</v>
      </c>
      <c r="D1744">
        <v>1250</v>
      </c>
      <c r="E1744">
        <v>0</v>
      </c>
      <c r="F1744">
        <v>3</v>
      </c>
      <c r="G1744">
        <v>3</v>
      </c>
      <c r="H1744" t="s">
        <v>2661</v>
      </c>
      <c r="I1744" s="1">
        <v>37125</v>
      </c>
      <c r="J1744" s="1">
        <v>37321</v>
      </c>
      <c r="K1744" s="1">
        <v>37321</v>
      </c>
      <c r="L1744" s="1">
        <v>37321</v>
      </c>
      <c r="M1744" s="1">
        <v>37323</v>
      </c>
      <c r="N1744" s="1">
        <v>37323</v>
      </c>
      <c r="O1744" t="s">
        <v>1114</v>
      </c>
      <c r="P1744">
        <v>3</v>
      </c>
      <c r="Q1744" t="s">
        <v>2662</v>
      </c>
      <c r="R1744">
        <f t="shared" si="55"/>
        <v>10</v>
      </c>
      <c r="S1744">
        <f t="shared" si="56"/>
        <v>1</v>
      </c>
    </row>
    <row r="1745" spans="1:19" x14ac:dyDescent="0.25">
      <c r="A1745" t="s">
        <v>2869</v>
      </c>
      <c r="B1745" t="s">
        <v>4029</v>
      </c>
      <c r="C1745">
        <v>2</v>
      </c>
      <c r="D1745">
        <v>555</v>
      </c>
      <c r="E1745">
        <v>0</v>
      </c>
      <c r="F1745">
        <v>8.5</v>
      </c>
      <c r="G1745">
        <v>8.5</v>
      </c>
      <c r="H1745" t="s">
        <v>2661</v>
      </c>
      <c r="I1745" s="1">
        <v>37192</v>
      </c>
      <c r="J1745" s="1">
        <v>37331</v>
      </c>
      <c r="K1745" s="1">
        <v>37339</v>
      </c>
      <c r="L1745" s="1">
        <v>37339</v>
      </c>
      <c r="M1745" s="1">
        <v>37339</v>
      </c>
      <c r="N1745" s="1">
        <v>37339</v>
      </c>
      <c r="O1745" t="s">
        <v>1117</v>
      </c>
      <c r="P1745">
        <v>11</v>
      </c>
      <c r="Q1745" t="s">
        <v>2662</v>
      </c>
      <c r="R1745">
        <f t="shared" si="55"/>
        <v>13</v>
      </c>
      <c r="S1745">
        <f t="shared" si="56"/>
        <v>1</v>
      </c>
    </row>
    <row r="1746" spans="1:19" x14ac:dyDescent="0.25">
      <c r="A1746" t="s">
        <v>2870</v>
      </c>
      <c r="B1746" t="s">
        <v>1199</v>
      </c>
      <c r="C1746">
        <v>2.95</v>
      </c>
      <c r="D1746">
        <v>625</v>
      </c>
      <c r="E1746">
        <v>0</v>
      </c>
      <c r="F1746">
        <v>50</v>
      </c>
      <c r="G1746">
        <v>50</v>
      </c>
      <c r="H1746" t="s">
        <v>2661</v>
      </c>
      <c r="I1746" s="1">
        <v>37124</v>
      </c>
      <c r="J1746" s="1">
        <v>37345</v>
      </c>
      <c r="K1746" t="s">
        <v>1124</v>
      </c>
      <c r="L1746" t="s">
        <v>1124</v>
      </c>
      <c r="M1746" s="1">
        <v>37345</v>
      </c>
      <c r="N1746" s="1">
        <v>37345</v>
      </c>
      <c r="O1746" t="s">
        <v>1117</v>
      </c>
      <c r="P1746">
        <v>2</v>
      </c>
      <c r="Q1746" t="s">
        <v>2662</v>
      </c>
      <c r="R1746">
        <f t="shared" si="55"/>
        <v>13</v>
      </c>
      <c r="S1746">
        <f t="shared" si="56"/>
        <v>1</v>
      </c>
    </row>
    <row r="1747" spans="1:19" x14ac:dyDescent="0.25">
      <c r="A1747" t="s">
        <v>2871</v>
      </c>
      <c r="B1747" t="s">
        <v>4028</v>
      </c>
      <c r="C1747">
        <v>2</v>
      </c>
      <c r="D1747">
        <v>525</v>
      </c>
      <c r="E1747">
        <v>0</v>
      </c>
      <c r="F1747">
        <v>25</v>
      </c>
      <c r="G1747">
        <v>25</v>
      </c>
      <c r="H1747" t="s">
        <v>2661</v>
      </c>
      <c r="I1747" s="1">
        <v>37280</v>
      </c>
      <c r="J1747" s="1">
        <v>37332</v>
      </c>
      <c r="K1747" s="1">
        <v>37353</v>
      </c>
      <c r="L1747" s="1">
        <v>37353</v>
      </c>
      <c r="M1747" s="1">
        <v>37353</v>
      </c>
      <c r="N1747" s="1">
        <v>37360</v>
      </c>
      <c r="O1747" t="s">
        <v>1117</v>
      </c>
      <c r="P1747">
        <v>19</v>
      </c>
      <c r="Q1747" t="s">
        <v>2662</v>
      </c>
      <c r="R1747">
        <f t="shared" si="55"/>
        <v>16</v>
      </c>
      <c r="S1747">
        <f t="shared" si="56"/>
        <v>1</v>
      </c>
    </row>
    <row r="1748" spans="1:19" x14ac:dyDescent="0.25">
      <c r="A1748" t="s">
        <v>2872</v>
      </c>
      <c r="B1748" t="s">
        <v>4028</v>
      </c>
      <c r="C1748">
        <v>2</v>
      </c>
      <c r="D1748">
        <v>600</v>
      </c>
      <c r="E1748">
        <v>0</v>
      </c>
      <c r="F1748">
        <v>20</v>
      </c>
      <c r="G1748">
        <v>20</v>
      </c>
      <c r="H1748" t="s">
        <v>2661</v>
      </c>
      <c r="I1748" s="1">
        <v>37192</v>
      </c>
      <c r="J1748" s="1">
        <v>37332</v>
      </c>
      <c r="K1748" t="s">
        <v>1124</v>
      </c>
      <c r="L1748" t="s">
        <v>1124</v>
      </c>
      <c r="M1748" s="1">
        <v>37335</v>
      </c>
      <c r="N1748" s="1">
        <v>37360</v>
      </c>
      <c r="O1748" t="s">
        <v>1117</v>
      </c>
      <c r="P1748">
        <v>12</v>
      </c>
      <c r="Q1748" t="s">
        <v>2662</v>
      </c>
      <c r="R1748">
        <f t="shared" si="55"/>
        <v>16</v>
      </c>
      <c r="S1748">
        <f t="shared" si="56"/>
        <v>1</v>
      </c>
    </row>
    <row r="1749" spans="1:19" x14ac:dyDescent="0.25">
      <c r="A1749" t="s">
        <v>2873</v>
      </c>
      <c r="B1749" t="s">
        <v>3631</v>
      </c>
      <c r="C1749">
        <v>2</v>
      </c>
      <c r="D1749">
        <v>650</v>
      </c>
      <c r="E1749">
        <v>0</v>
      </c>
      <c r="F1749">
        <v>20</v>
      </c>
      <c r="G1749">
        <v>20</v>
      </c>
      <c r="H1749" t="s">
        <v>2661</v>
      </c>
      <c r="I1749" s="1">
        <v>37192</v>
      </c>
      <c r="J1749" s="1">
        <v>37332</v>
      </c>
      <c r="K1749" s="1">
        <v>37357</v>
      </c>
      <c r="L1749" s="1">
        <v>37357</v>
      </c>
      <c r="M1749" s="1">
        <v>37336</v>
      </c>
      <c r="N1749" s="1">
        <v>37346</v>
      </c>
      <c r="O1749" t="s">
        <v>1117</v>
      </c>
      <c r="P1749">
        <v>13</v>
      </c>
      <c r="Q1749" t="s">
        <v>2662</v>
      </c>
      <c r="R1749">
        <f t="shared" si="55"/>
        <v>14</v>
      </c>
      <c r="S1749">
        <f t="shared" si="56"/>
        <v>1</v>
      </c>
    </row>
    <row r="1750" spans="1:19" x14ac:dyDescent="0.25">
      <c r="A1750" t="s">
        <v>2874</v>
      </c>
      <c r="B1750" t="s">
        <v>3631</v>
      </c>
      <c r="C1750">
        <v>2.5</v>
      </c>
      <c r="D1750">
        <v>256</v>
      </c>
      <c r="E1750">
        <v>0</v>
      </c>
      <c r="F1750">
        <v>4</v>
      </c>
      <c r="G1750">
        <v>4</v>
      </c>
      <c r="H1750" t="s">
        <v>2661</v>
      </c>
      <c r="I1750" s="1">
        <v>37199</v>
      </c>
      <c r="J1750" s="1">
        <v>37327</v>
      </c>
      <c r="K1750" s="1">
        <v>37333</v>
      </c>
      <c r="L1750" s="1">
        <v>37333</v>
      </c>
      <c r="M1750" s="1">
        <v>37333</v>
      </c>
      <c r="N1750" s="1">
        <v>37337</v>
      </c>
      <c r="O1750" t="s">
        <v>1117</v>
      </c>
      <c r="P1750">
        <v>1</v>
      </c>
      <c r="Q1750" t="s">
        <v>2662</v>
      </c>
      <c r="R1750">
        <f t="shared" si="55"/>
        <v>12</v>
      </c>
      <c r="S1750">
        <f t="shared" si="56"/>
        <v>1</v>
      </c>
    </row>
    <row r="1751" spans="1:19" x14ac:dyDescent="0.25">
      <c r="A1751" t="s">
        <v>2875</v>
      </c>
      <c r="B1751" t="s">
        <v>1199</v>
      </c>
      <c r="C1751">
        <v>2</v>
      </c>
      <c r="D1751">
        <v>550</v>
      </c>
      <c r="E1751">
        <v>0</v>
      </c>
      <c r="F1751">
        <v>27</v>
      </c>
      <c r="G1751">
        <v>27</v>
      </c>
      <c r="H1751" t="s">
        <v>2661</v>
      </c>
      <c r="I1751" s="1">
        <v>37280</v>
      </c>
      <c r="J1751" s="1">
        <v>37332</v>
      </c>
      <c r="K1751" s="1">
        <v>37360</v>
      </c>
      <c r="L1751" s="1">
        <v>37360</v>
      </c>
      <c r="M1751" s="1">
        <v>37360</v>
      </c>
      <c r="N1751" s="1">
        <v>37360</v>
      </c>
      <c r="O1751" t="s">
        <v>1117</v>
      </c>
      <c r="P1751">
        <v>16</v>
      </c>
      <c r="Q1751" t="s">
        <v>2662</v>
      </c>
      <c r="R1751">
        <f t="shared" si="55"/>
        <v>16</v>
      </c>
      <c r="S1751">
        <f t="shared" si="56"/>
        <v>1</v>
      </c>
    </row>
    <row r="1752" spans="1:19" x14ac:dyDescent="0.25">
      <c r="A1752" t="s">
        <v>2876</v>
      </c>
      <c r="B1752" t="s">
        <v>4026</v>
      </c>
      <c r="C1752">
        <v>2.2999999999999998</v>
      </c>
      <c r="D1752">
        <v>535</v>
      </c>
      <c r="E1752">
        <v>0</v>
      </c>
      <c r="F1752">
        <v>26</v>
      </c>
      <c r="G1752">
        <v>26</v>
      </c>
      <c r="H1752" t="s">
        <v>2661</v>
      </c>
      <c r="I1752" s="1">
        <v>37192</v>
      </c>
      <c r="J1752" s="1">
        <v>37332</v>
      </c>
      <c r="K1752" s="1">
        <v>37339</v>
      </c>
      <c r="L1752" s="1">
        <v>37339</v>
      </c>
      <c r="M1752" s="1">
        <v>37339</v>
      </c>
      <c r="N1752" s="1">
        <v>37339</v>
      </c>
      <c r="O1752" t="s">
        <v>1117</v>
      </c>
      <c r="P1752">
        <v>4</v>
      </c>
      <c r="Q1752" t="s">
        <v>2662</v>
      </c>
      <c r="R1752">
        <f t="shared" si="55"/>
        <v>13</v>
      </c>
      <c r="S1752">
        <f t="shared" si="56"/>
        <v>1</v>
      </c>
    </row>
    <row r="1753" spans="1:19" x14ac:dyDescent="0.25">
      <c r="A1753" t="s">
        <v>2877</v>
      </c>
      <c r="B1753" t="s">
        <v>1199</v>
      </c>
      <c r="C1753">
        <v>2.5</v>
      </c>
      <c r="D1753">
        <v>501</v>
      </c>
      <c r="E1753">
        <v>0</v>
      </c>
      <c r="F1753">
        <v>16</v>
      </c>
      <c r="G1753">
        <v>16</v>
      </c>
      <c r="H1753" t="s">
        <v>2661</v>
      </c>
      <c r="I1753" s="1">
        <v>37199</v>
      </c>
      <c r="J1753" s="1">
        <v>37327</v>
      </c>
      <c r="K1753" s="1">
        <v>37336</v>
      </c>
      <c r="L1753" s="1">
        <v>37336</v>
      </c>
      <c r="M1753" s="1">
        <v>37336</v>
      </c>
      <c r="N1753" s="1">
        <v>37337</v>
      </c>
      <c r="O1753" t="s">
        <v>1117</v>
      </c>
      <c r="P1753">
        <v>2</v>
      </c>
      <c r="Q1753" t="s">
        <v>2662</v>
      </c>
      <c r="R1753">
        <f t="shared" si="55"/>
        <v>12</v>
      </c>
      <c r="S1753">
        <f t="shared" si="56"/>
        <v>1</v>
      </c>
    </row>
    <row r="1754" spans="1:19" x14ac:dyDescent="0.25">
      <c r="A1754" t="s">
        <v>2878</v>
      </c>
      <c r="B1754" t="s">
        <v>1199</v>
      </c>
      <c r="C1754">
        <v>2.2999999999999998</v>
      </c>
      <c r="D1754">
        <v>640</v>
      </c>
      <c r="E1754">
        <v>0</v>
      </c>
      <c r="F1754">
        <v>20</v>
      </c>
      <c r="G1754">
        <v>20</v>
      </c>
      <c r="H1754" t="s">
        <v>2661</v>
      </c>
      <c r="I1754" s="1">
        <v>37280</v>
      </c>
      <c r="J1754" s="1">
        <v>37332</v>
      </c>
      <c r="K1754" s="1">
        <v>37343</v>
      </c>
      <c r="L1754" s="1">
        <v>37343</v>
      </c>
      <c r="M1754" s="1">
        <v>37336</v>
      </c>
      <c r="N1754" s="1">
        <v>37339</v>
      </c>
      <c r="O1754" t="s">
        <v>1117</v>
      </c>
      <c r="P1754">
        <v>3</v>
      </c>
      <c r="Q1754" t="s">
        <v>2662</v>
      </c>
      <c r="R1754">
        <f t="shared" si="55"/>
        <v>13</v>
      </c>
      <c r="S1754">
        <f t="shared" si="56"/>
        <v>1</v>
      </c>
    </row>
    <row r="1755" spans="1:19" x14ac:dyDescent="0.25">
      <c r="A1755" t="s">
        <v>2879</v>
      </c>
      <c r="B1755" t="s">
        <v>1199</v>
      </c>
      <c r="C1755">
        <v>3</v>
      </c>
      <c r="D1755">
        <v>500</v>
      </c>
      <c r="E1755">
        <v>0</v>
      </c>
      <c r="F1755">
        <v>8</v>
      </c>
      <c r="G1755">
        <v>8</v>
      </c>
      <c r="H1755" t="s">
        <v>2661</v>
      </c>
      <c r="I1755" s="1">
        <v>37126</v>
      </c>
      <c r="J1755" s="1">
        <v>37345</v>
      </c>
      <c r="K1755" s="1">
        <v>37375</v>
      </c>
      <c r="L1755" s="1">
        <v>37375</v>
      </c>
      <c r="M1755" s="1">
        <v>37345</v>
      </c>
      <c r="N1755" s="1">
        <v>37345</v>
      </c>
      <c r="O1755" t="s">
        <v>1117</v>
      </c>
      <c r="P1755">
        <v>8</v>
      </c>
      <c r="Q1755" t="s">
        <v>2662</v>
      </c>
      <c r="R1755">
        <f t="shared" si="55"/>
        <v>13</v>
      </c>
      <c r="S1755">
        <f t="shared" si="56"/>
        <v>1</v>
      </c>
    </row>
    <row r="1756" spans="1:19" x14ac:dyDescent="0.25">
      <c r="A1756" t="s">
        <v>2880</v>
      </c>
      <c r="B1756" t="s">
        <v>4028</v>
      </c>
      <c r="C1756">
        <v>2.5</v>
      </c>
      <c r="D1756">
        <v>1250</v>
      </c>
      <c r="E1756">
        <v>0</v>
      </c>
      <c r="F1756">
        <v>135</v>
      </c>
      <c r="G1756">
        <v>135</v>
      </c>
      <c r="H1756" t="s">
        <v>2661</v>
      </c>
      <c r="I1756" s="1">
        <v>37122</v>
      </c>
      <c r="J1756" s="1">
        <v>37346</v>
      </c>
      <c r="K1756" t="s">
        <v>1124</v>
      </c>
      <c r="L1756" t="s">
        <v>1124</v>
      </c>
      <c r="M1756" s="1">
        <v>37360</v>
      </c>
      <c r="N1756" s="1">
        <v>37360</v>
      </c>
      <c r="O1756" t="s">
        <v>1117</v>
      </c>
      <c r="P1756">
        <v>6</v>
      </c>
      <c r="Q1756" t="s">
        <v>2662</v>
      </c>
      <c r="R1756">
        <f t="shared" si="55"/>
        <v>16</v>
      </c>
      <c r="S1756">
        <f t="shared" si="56"/>
        <v>1</v>
      </c>
    </row>
    <row r="1757" spans="1:19" x14ac:dyDescent="0.25">
      <c r="A1757" t="s">
        <v>2881</v>
      </c>
      <c r="B1757" t="s">
        <v>1199</v>
      </c>
      <c r="C1757">
        <v>2</v>
      </c>
      <c r="D1757">
        <v>630</v>
      </c>
      <c r="E1757">
        <v>0</v>
      </c>
      <c r="F1757">
        <v>475</v>
      </c>
      <c r="G1757">
        <v>475</v>
      </c>
      <c r="H1757" t="s">
        <v>2661</v>
      </c>
      <c r="I1757" s="1">
        <v>37201</v>
      </c>
      <c r="J1757" s="1">
        <v>37327</v>
      </c>
      <c r="K1757" s="1">
        <v>37352</v>
      </c>
      <c r="L1757" s="1">
        <v>37352</v>
      </c>
      <c r="M1757" s="1">
        <v>37352</v>
      </c>
      <c r="N1757" s="1">
        <v>37352</v>
      </c>
      <c r="O1757" t="s">
        <v>1117</v>
      </c>
      <c r="P1757">
        <v>2</v>
      </c>
      <c r="Q1757" t="s">
        <v>2662</v>
      </c>
      <c r="R1757">
        <f t="shared" si="55"/>
        <v>14</v>
      </c>
      <c r="S1757">
        <f t="shared" si="56"/>
        <v>1</v>
      </c>
    </row>
    <row r="1758" spans="1:19" x14ac:dyDescent="0.25">
      <c r="A1758" t="s">
        <v>2882</v>
      </c>
      <c r="B1758" t="s">
        <v>1199</v>
      </c>
      <c r="C1758">
        <v>2.5</v>
      </c>
      <c r="D1758">
        <v>256</v>
      </c>
      <c r="E1758">
        <v>0</v>
      </c>
      <c r="F1758">
        <v>4</v>
      </c>
      <c r="G1758">
        <v>4</v>
      </c>
      <c r="H1758" t="s">
        <v>2661</v>
      </c>
      <c r="I1758" s="1">
        <v>37199</v>
      </c>
      <c r="J1758" s="1">
        <v>37327</v>
      </c>
      <c r="K1758" t="s">
        <v>1124</v>
      </c>
      <c r="L1758" t="s">
        <v>1124</v>
      </c>
      <c r="M1758" s="1">
        <v>37337</v>
      </c>
      <c r="N1758" s="1">
        <v>37337</v>
      </c>
      <c r="O1758" t="s">
        <v>1117</v>
      </c>
      <c r="P1758">
        <v>1</v>
      </c>
      <c r="Q1758" t="s">
        <v>2662</v>
      </c>
      <c r="R1758">
        <f t="shared" si="55"/>
        <v>12</v>
      </c>
      <c r="S1758">
        <f t="shared" si="56"/>
        <v>1</v>
      </c>
    </row>
    <row r="1759" spans="1:19" x14ac:dyDescent="0.25">
      <c r="A1759" t="s">
        <v>2883</v>
      </c>
      <c r="B1759" t="s">
        <v>4028</v>
      </c>
      <c r="C1759">
        <v>2</v>
      </c>
      <c r="D1759">
        <v>620</v>
      </c>
      <c r="E1759">
        <v>0</v>
      </c>
      <c r="F1759">
        <v>475</v>
      </c>
      <c r="G1759">
        <v>475</v>
      </c>
      <c r="H1759" t="s">
        <v>2661</v>
      </c>
      <c r="I1759" s="1">
        <v>37201</v>
      </c>
      <c r="J1759" s="1">
        <v>37326</v>
      </c>
      <c r="K1759" s="1">
        <v>37338</v>
      </c>
      <c r="L1759" s="1">
        <v>37338</v>
      </c>
      <c r="M1759" s="1">
        <v>37338</v>
      </c>
      <c r="N1759" s="1">
        <v>37352</v>
      </c>
      <c r="O1759" t="s">
        <v>1117</v>
      </c>
      <c r="P1759">
        <v>1</v>
      </c>
      <c r="Q1759" t="s">
        <v>2662</v>
      </c>
      <c r="R1759">
        <f t="shared" si="55"/>
        <v>14</v>
      </c>
      <c r="S1759">
        <f t="shared" si="56"/>
        <v>1</v>
      </c>
    </row>
    <row r="1760" spans="1:19" x14ac:dyDescent="0.25">
      <c r="A1760" t="s">
        <v>2884</v>
      </c>
      <c r="B1760" t="s">
        <v>4026</v>
      </c>
      <c r="C1760">
        <v>3</v>
      </c>
      <c r="D1760">
        <v>1250</v>
      </c>
      <c r="E1760">
        <v>0</v>
      </c>
      <c r="F1760">
        <v>12</v>
      </c>
      <c r="G1760">
        <v>12</v>
      </c>
      <c r="H1760" t="s">
        <v>2661</v>
      </c>
      <c r="I1760" s="1">
        <v>37159</v>
      </c>
      <c r="J1760" s="1">
        <v>37325</v>
      </c>
      <c r="K1760" s="1">
        <v>37325</v>
      </c>
      <c r="L1760" s="1">
        <v>37325</v>
      </c>
      <c r="M1760" s="1">
        <v>37332</v>
      </c>
      <c r="N1760" s="1">
        <v>37353</v>
      </c>
      <c r="O1760" t="s">
        <v>1114</v>
      </c>
      <c r="P1760">
        <v>3</v>
      </c>
      <c r="Q1760" t="s">
        <v>2662</v>
      </c>
      <c r="R1760">
        <f t="shared" si="55"/>
        <v>15</v>
      </c>
      <c r="S1760">
        <f t="shared" si="56"/>
        <v>1</v>
      </c>
    </row>
    <row r="1761" spans="1:19" x14ac:dyDescent="0.25">
      <c r="A1761" t="s">
        <v>2885</v>
      </c>
      <c r="B1761" t="s">
        <v>1199</v>
      </c>
      <c r="C1761">
        <v>2</v>
      </c>
      <c r="D1761">
        <v>535</v>
      </c>
      <c r="E1761">
        <v>0</v>
      </c>
      <c r="F1761">
        <v>9</v>
      </c>
      <c r="G1761">
        <v>9</v>
      </c>
      <c r="H1761" t="s">
        <v>2661</v>
      </c>
      <c r="I1761" s="1">
        <v>37280</v>
      </c>
      <c r="J1761" s="1">
        <v>37332</v>
      </c>
      <c r="K1761" s="1">
        <v>37353</v>
      </c>
      <c r="L1761" s="1">
        <v>37353</v>
      </c>
      <c r="M1761" s="1">
        <v>37353</v>
      </c>
      <c r="N1761" s="1">
        <v>37353</v>
      </c>
      <c r="O1761" t="s">
        <v>1117</v>
      </c>
      <c r="P1761">
        <v>7</v>
      </c>
      <c r="Q1761" t="s">
        <v>2662</v>
      </c>
      <c r="R1761">
        <f t="shared" si="55"/>
        <v>15</v>
      </c>
      <c r="S1761">
        <f t="shared" si="56"/>
        <v>1</v>
      </c>
    </row>
    <row r="1762" spans="1:19" x14ac:dyDescent="0.25">
      <c r="A1762" t="s">
        <v>2886</v>
      </c>
      <c r="B1762" t="s">
        <v>4028</v>
      </c>
      <c r="C1762">
        <v>2</v>
      </c>
      <c r="D1762">
        <v>590</v>
      </c>
      <c r="E1762">
        <v>0</v>
      </c>
      <c r="F1762">
        <v>20</v>
      </c>
      <c r="G1762">
        <v>20</v>
      </c>
      <c r="H1762" t="s">
        <v>2661</v>
      </c>
      <c r="I1762" s="1">
        <v>37280</v>
      </c>
      <c r="J1762" s="1">
        <v>37332</v>
      </c>
      <c r="K1762" s="1">
        <v>37360</v>
      </c>
      <c r="L1762" s="1">
        <v>37360</v>
      </c>
      <c r="M1762" s="1">
        <v>37360</v>
      </c>
      <c r="N1762" s="1">
        <v>37360</v>
      </c>
      <c r="O1762" t="s">
        <v>1117</v>
      </c>
      <c r="P1762">
        <v>8</v>
      </c>
      <c r="Q1762" t="s">
        <v>2662</v>
      </c>
      <c r="R1762">
        <f t="shared" si="55"/>
        <v>16</v>
      </c>
      <c r="S1762">
        <f t="shared" si="56"/>
        <v>1</v>
      </c>
    </row>
    <row r="1763" spans="1:19" x14ac:dyDescent="0.25">
      <c r="A1763" t="s">
        <v>2887</v>
      </c>
      <c r="B1763" t="s">
        <v>4028</v>
      </c>
      <c r="C1763">
        <v>2</v>
      </c>
      <c r="D1763">
        <v>555</v>
      </c>
      <c r="E1763">
        <v>0</v>
      </c>
      <c r="F1763">
        <v>27</v>
      </c>
      <c r="G1763">
        <v>27</v>
      </c>
      <c r="H1763" t="s">
        <v>2661</v>
      </c>
      <c r="I1763" s="1">
        <v>37280</v>
      </c>
      <c r="J1763" s="1">
        <v>37332</v>
      </c>
      <c r="K1763" s="1">
        <v>37353</v>
      </c>
      <c r="L1763" s="1">
        <v>37353</v>
      </c>
      <c r="M1763" s="1">
        <v>37353</v>
      </c>
      <c r="N1763" s="1">
        <v>37360</v>
      </c>
      <c r="O1763" t="s">
        <v>1117</v>
      </c>
      <c r="P1763">
        <v>20</v>
      </c>
      <c r="Q1763" t="s">
        <v>2662</v>
      </c>
      <c r="R1763">
        <f t="shared" si="55"/>
        <v>16</v>
      </c>
      <c r="S1763">
        <f t="shared" si="56"/>
        <v>1</v>
      </c>
    </row>
    <row r="1764" spans="1:19" x14ac:dyDescent="0.25">
      <c r="A1764" t="s">
        <v>2888</v>
      </c>
      <c r="B1764" t="s">
        <v>1199</v>
      </c>
      <c r="C1764">
        <v>3</v>
      </c>
      <c r="D1764">
        <v>1250</v>
      </c>
      <c r="E1764">
        <v>0</v>
      </c>
      <c r="F1764">
        <v>30</v>
      </c>
      <c r="G1764">
        <v>30</v>
      </c>
      <c r="H1764" t="s">
        <v>2661</v>
      </c>
      <c r="I1764" s="1">
        <v>37126</v>
      </c>
      <c r="J1764" s="1">
        <v>37319</v>
      </c>
      <c r="K1764" s="1">
        <v>37318</v>
      </c>
      <c r="L1764" s="1">
        <v>37319</v>
      </c>
      <c r="M1764" s="1">
        <v>37321</v>
      </c>
      <c r="N1764" s="1">
        <v>37353</v>
      </c>
      <c r="O1764" t="s">
        <v>1114</v>
      </c>
      <c r="P1764">
        <v>2</v>
      </c>
      <c r="Q1764" t="s">
        <v>2662</v>
      </c>
      <c r="R1764">
        <f t="shared" si="55"/>
        <v>15</v>
      </c>
      <c r="S1764">
        <f t="shared" si="56"/>
        <v>1</v>
      </c>
    </row>
    <row r="1765" spans="1:19" x14ac:dyDescent="0.25">
      <c r="A1765" t="s">
        <v>2889</v>
      </c>
      <c r="B1765" t="s">
        <v>1199</v>
      </c>
      <c r="C1765">
        <v>2</v>
      </c>
      <c r="D1765">
        <v>1250</v>
      </c>
      <c r="E1765">
        <v>0</v>
      </c>
      <c r="F1765">
        <v>240</v>
      </c>
      <c r="G1765">
        <v>240</v>
      </c>
      <c r="H1765" t="s">
        <v>2661</v>
      </c>
      <c r="I1765" s="1">
        <v>37192</v>
      </c>
      <c r="J1765" s="1">
        <v>37330</v>
      </c>
      <c r="K1765" s="1">
        <v>37331</v>
      </c>
      <c r="L1765" s="1">
        <v>37331</v>
      </c>
      <c r="M1765" s="1">
        <v>37331</v>
      </c>
      <c r="N1765" s="1">
        <v>37333</v>
      </c>
      <c r="O1765" t="s">
        <v>1117</v>
      </c>
      <c r="P1765">
        <v>2</v>
      </c>
      <c r="Q1765" t="s">
        <v>2662</v>
      </c>
      <c r="R1765">
        <f t="shared" si="55"/>
        <v>12</v>
      </c>
      <c r="S1765">
        <f t="shared" si="56"/>
        <v>1</v>
      </c>
    </row>
    <row r="1766" spans="1:19" x14ac:dyDescent="0.25">
      <c r="A1766" t="s">
        <v>2890</v>
      </c>
      <c r="B1766" t="s">
        <v>1199</v>
      </c>
      <c r="C1766">
        <v>2.5</v>
      </c>
      <c r="D1766">
        <v>501</v>
      </c>
      <c r="E1766">
        <v>0</v>
      </c>
      <c r="F1766">
        <v>16</v>
      </c>
      <c r="G1766">
        <v>16</v>
      </c>
      <c r="H1766" t="s">
        <v>2661</v>
      </c>
      <c r="I1766" s="1">
        <v>37199</v>
      </c>
      <c r="J1766" s="1">
        <v>37327</v>
      </c>
      <c r="K1766" s="1">
        <v>37337</v>
      </c>
      <c r="L1766" s="1">
        <v>37337</v>
      </c>
      <c r="M1766" s="1">
        <v>37337</v>
      </c>
      <c r="N1766" s="1">
        <v>37337</v>
      </c>
      <c r="O1766" t="s">
        <v>1117</v>
      </c>
      <c r="P1766">
        <v>2</v>
      </c>
      <c r="Q1766" t="s">
        <v>2662</v>
      </c>
      <c r="R1766">
        <f t="shared" si="55"/>
        <v>12</v>
      </c>
      <c r="S1766">
        <f t="shared" si="56"/>
        <v>1</v>
      </c>
    </row>
    <row r="1767" spans="1:19" x14ac:dyDescent="0.25">
      <c r="A1767" t="s">
        <v>2891</v>
      </c>
      <c r="B1767" t="s">
        <v>4028</v>
      </c>
      <c r="C1767">
        <v>2</v>
      </c>
      <c r="D1767">
        <v>625</v>
      </c>
      <c r="E1767">
        <v>0</v>
      </c>
      <c r="F1767">
        <v>20</v>
      </c>
      <c r="G1767">
        <v>20</v>
      </c>
      <c r="H1767" t="s">
        <v>2661</v>
      </c>
      <c r="I1767" s="1">
        <v>37192</v>
      </c>
      <c r="J1767" s="1">
        <v>37332</v>
      </c>
      <c r="K1767" s="1">
        <v>37336</v>
      </c>
      <c r="L1767" s="1">
        <v>37336</v>
      </c>
      <c r="M1767" s="1">
        <v>37336</v>
      </c>
      <c r="N1767" s="1">
        <v>37387</v>
      </c>
      <c r="O1767" t="s">
        <v>1117</v>
      </c>
      <c r="P1767">
        <v>9</v>
      </c>
      <c r="Q1767" t="s">
        <v>2662</v>
      </c>
      <c r="R1767">
        <f t="shared" si="55"/>
        <v>19</v>
      </c>
      <c r="S1767">
        <f t="shared" si="56"/>
        <v>1</v>
      </c>
    </row>
    <row r="1768" spans="1:19" x14ac:dyDescent="0.25">
      <c r="A1768" t="s">
        <v>2892</v>
      </c>
      <c r="B1768" t="s">
        <v>4027</v>
      </c>
      <c r="C1768">
        <v>2</v>
      </c>
      <c r="D1768">
        <v>630</v>
      </c>
      <c r="E1768">
        <v>0</v>
      </c>
      <c r="F1768">
        <v>475</v>
      </c>
      <c r="G1768">
        <v>475</v>
      </c>
      <c r="H1768" t="s">
        <v>2661</v>
      </c>
      <c r="I1768" s="1">
        <v>37199</v>
      </c>
      <c r="J1768" s="1">
        <v>37326</v>
      </c>
      <c r="K1768" s="1">
        <v>37352</v>
      </c>
      <c r="L1768" s="1">
        <v>37352</v>
      </c>
      <c r="M1768" s="1">
        <v>37352</v>
      </c>
      <c r="N1768" s="1">
        <v>37352</v>
      </c>
      <c r="O1768" t="s">
        <v>1117</v>
      </c>
      <c r="P1768">
        <v>2</v>
      </c>
      <c r="Q1768" t="s">
        <v>2662</v>
      </c>
      <c r="R1768">
        <f t="shared" si="55"/>
        <v>14</v>
      </c>
      <c r="S1768">
        <f t="shared" si="56"/>
        <v>1</v>
      </c>
    </row>
    <row r="1769" spans="1:19" x14ac:dyDescent="0.25">
      <c r="A1769" t="s">
        <v>2893</v>
      </c>
      <c r="B1769" t="s">
        <v>4028</v>
      </c>
      <c r="C1769">
        <v>5</v>
      </c>
      <c r="D1769">
        <v>1250</v>
      </c>
      <c r="E1769">
        <v>0</v>
      </c>
      <c r="F1769">
        <v>18</v>
      </c>
      <c r="G1769">
        <v>18</v>
      </c>
      <c r="H1769" t="s">
        <v>2661</v>
      </c>
      <c r="I1769" s="1">
        <v>37116</v>
      </c>
      <c r="J1769" s="1">
        <v>37324</v>
      </c>
      <c r="K1769" s="1">
        <v>37324</v>
      </c>
      <c r="L1769" s="1">
        <v>37324</v>
      </c>
      <c r="M1769" s="1">
        <v>37325</v>
      </c>
      <c r="N1769" s="1">
        <v>37330</v>
      </c>
      <c r="O1769" t="s">
        <v>1114</v>
      </c>
      <c r="P1769">
        <v>2</v>
      </c>
      <c r="Q1769" t="s">
        <v>2662</v>
      </c>
      <c r="R1769">
        <f t="shared" si="55"/>
        <v>11</v>
      </c>
      <c r="S1769">
        <f t="shared" si="56"/>
        <v>1</v>
      </c>
    </row>
    <row r="1770" spans="1:19" x14ac:dyDescent="0.25">
      <c r="A1770" t="s">
        <v>2894</v>
      </c>
      <c r="B1770" t="s">
        <v>1199</v>
      </c>
      <c r="C1770">
        <v>2</v>
      </c>
      <c r="D1770">
        <v>620</v>
      </c>
      <c r="E1770">
        <v>0</v>
      </c>
      <c r="F1770">
        <v>475</v>
      </c>
      <c r="G1770">
        <v>475</v>
      </c>
      <c r="H1770" t="s">
        <v>2661</v>
      </c>
      <c r="I1770" s="1">
        <v>37192</v>
      </c>
      <c r="J1770" s="1">
        <v>37326</v>
      </c>
      <c r="K1770" s="1">
        <v>37352</v>
      </c>
      <c r="L1770" s="1">
        <v>37352</v>
      </c>
      <c r="M1770" s="1">
        <v>37352</v>
      </c>
      <c r="N1770" s="1">
        <v>37352</v>
      </c>
      <c r="O1770" t="s">
        <v>1117</v>
      </c>
      <c r="P1770">
        <v>1</v>
      </c>
      <c r="Q1770" t="s">
        <v>2662</v>
      </c>
      <c r="R1770">
        <f t="shared" si="55"/>
        <v>14</v>
      </c>
      <c r="S1770">
        <f t="shared" si="56"/>
        <v>1</v>
      </c>
    </row>
    <row r="1771" spans="1:19" x14ac:dyDescent="0.25">
      <c r="A1771" t="s">
        <v>2895</v>
      </c>
      <c r="B1771" t="s">
        <v>1199</v>
      </c>
      <c r="C1771">
        <v>2</v>
      </c>
      <c r="D1771">
        <v>605</v>
      </c>
      <c r="E1771">
        <v>0</v>
      </c>
      <c r="F1771">
        <v>20</v>
      </c>
      <c r="G1771">
        <v>20</v>
      </c>
      <c r="H1771" t="s">
        <v>2661</v>
      </c>
      <c r="I1771" s="1">
        <v>37192</v>
      </c>
      <c r="J1771" s="1">
        <v>37331</v>
      </c>
      <c r="K1771" t="s">
        <v>1124</v>
      </c>
      <c r="L1771" t="s">
        <v>1124</v>
      </c>
      <c r="M1771" s="1">
        <v>37335</v>
      </c>
      <c r="N1771" s="1">
        <v>37335</v>
      </c>
      <c r="O1771" t="s">
        <v>1117</v>
      </c>
      <c r="P1771">
        <v>13</v>
      </c>
      <c r="Q1771" t="s">
        <v>2662</v>
      </c>
      <c r="R1771">
        <f t="shared" si="55"/>
        <v>12</v>
      </c>
      <c r="S1771">
        <f t="shared" si="56"/>
        <v>1</v>
      </c>
    </row>
    <row r="1772" spans="1:19" x14ac:dyDescent="0.25">
      <c r="A1772" t="s">
        <v>2896</v>
      </c>
      <c r="B1772" t="s">
        <v>1199</v>
      </c>
      <c r="C1772">
        <v>3</v>
      </c>
      <c r="D1772">
        <v>625</v>
      </c>
      <c r="E1772">
        <v>0</v>
      </c>
      <c r="F1772">
        <v>20</v>
      </c>
      <c r="G1772">
        <v>20</v>
      </c>
      <c r="H1772" t="s">
        <v>2661</v>
      </c>
      <c r="I1772" s="1">
        <v>37119</v>
      </c>
      <c r="J1772" s="1">
        <v>37345</v>
      </c>
      <c r="K1772" t="s">
        <v>1124</v>
      </c>
      <c r="L1772" t="s">
        <v>1124</v>
      </c>
      <c r="M1772" s="1">
        <v>37352</v>
      </c>
      <c r="N1772" s="1">
        <v>37352</v>
      </c>
      <c r="O1772" t="s">
        <v>1117</v>
      </c>
      <c r="P1772">
        <v>2</v>
      </c>
      <c r="Q1772" t="s">
        <v>2662</v>
      </c>
      <c r="R1772">
        <f t="shared" si="55"/>
        <v>14</v>
      </c>
      <c r="S1772">
        <f t="shared" si="56"/>
        <v>1</v>
      </c>
    </row>
    <row r="1773" spans="1:19" x14ac:dyDescent="0.25">
      <c r="A1773" t="s">
        <v>2897</v>
      </c>
      <c r="B1773" t="s">
        <v>4026</v>
      </c>
      <c r="C1773">
        <v>6</v>
      </c>
      <c r="D1773">
        <v>1250</v>
      </c>
      <c r="E1773">
        <v>0</v>
      </c>
      <c r="F1773">
        <v>63</v>
      </c>
      <c r="G1773">
        <v>63</v>
      </c>
      <c r="H1773" t="s">
        <v>2661</v>
      </c>
      <c r="I1773" s="1">
        <v>37126</v>
      </c>
      <c r="J1773" s="1">
        <v>37319</v>
      </c>
      <c r="K1773" s="1">
        <v>37319</v>
      </c>
      <c r="L1773" s="1">
        <v>37319</v>
      </c>
      <c r="M1773" s="1">
        <v>37321</v>
      </c>
      <c r="N1773" s="1">
        <v>37331</v>
      </c>
      <c r="O1773" t="s">
        <v>1114</v>
      </c>
      <c r="P1773">
        <v>4</v>
      </c>
      <c r="Q1773" t="s">
        <v>2662</v>
      </c>
      <c r="R1773">
        <f t="shared" si="55"/>
        <v>11</v>
      </c>
      <c r="S1773">
        <f t="shared" si="56"/>
        <v>1</v>
      </c>
    </row>
    <row r="1774" spans="1:19" x14ac:dyDescent="0.25">
      <c r="A1774" t="s">
        <v>2898</v>
      </c>
      <c r="B1774" t="s">
        <v>4026</v>
      </c>
      <c r="C1774">
        <v>5</v>
      </c>
      <c r="D1774">
        <v>1250</v>
      </c>
      <c r="E1774">
        <v>0</v>
      </c>
      <c r="F1774">
        <v>18</v>
      </c>
      <c r="G1774">
        <v>18</v>
      </c>
      <c r="H1774" t="s">
        <v>2661</v>
      </c>
      <c r="I1774" s="1">
        <v>37133</v>
      </c>
      <c r="J1774" s="1">
        <v>37319</v>
      </c>
      <c r="K1774" s="1">
        <v>37319</v>
      </c>
      <c r="L1774" s="1">
        <v>37319</v>
      </c>
      <c r="M1774" s="1">
        <v>37323</v>
      </c>
      <c r="N1774" s="1">
        <v>37330</v>
      </c>
      <c r="O1774" t="s">
        <v>1114</v>
      </c>
      <c r="P1774">
        <v>3</v>
      </c>
      <c r="Q1774" t="s">
        <v>2662</v>
      </c>
      <c r="R1774">
        <f t="shared" si="55"/>
        <v>11</v>
      </c>
      <c r="S1774">
        <f t="shared" si="56"/>
        <v>1</v>
      </c>
    </row>
    <row r="1775" spans="1:19" x14ac:dyDescent="0.25">
      <c r="A1775" t="s">
        <v>2899</v>
      </c>
      <c r="B1775" t="s">
        <v>3601</v>
      </c>
      <c r="C1775">
        <v>2</v>
      </c>
      <c r="D1775">
        <v>650</v>
      </c>
      <c r="E1775">
        <v>0</v>
      </c>
      <c r="F1775">
        <v>20</v>
      </c>
      <c r="G1775">
        <v>20</v>
      </c>
      <c r="H1775" t="s">
        <v>2661</v>
      </c>
      <c r="I1775" s="1">
        <v>37192</v>
      </c>
      <c r="J1775" s="1">
        <v>37331</v>
      </c>
      <c r="K1775" t="s">
        <v>1124</v>
      </c>
      <c r="L1775" t="s">
        <v>1124</v>
      </c>
      <c r="M1775" s="1">
        <v>37335</v>
      </c>
      <c r="N1775" s="1">
        <v>37335</v>
      </c>
      <c r="O1775" t="s">
        <v>1117</v>
      </c>
      <c r="P1775">
        <v>14</v>
      </c>
      <c r="Q1775" t="s">
        <v>2662</v>
      </c>
      <c r="R1775">
        <f t="shared" si="55"/>
        <v>12</v>
      </c>
      <c r="S1775">
        <f t="shared" si="56"/>
        <v>1</v>
      </c>
    </row>
    <row r="1776" spans="1:19" x14ac:dyDescent="0.25">
      <c r="A1776" t="s">
        <v>2900</v>
      </c>
      <c r="B1776" t="s">
        <v>1199</v>
      </c>
      <c r="C1776">
        <v>2.2999999999999998</v>
      </c>
      <c r="D1776">
        <v>570</v>
      </c>
      <c r="E1776">
        <v>0</v>
      </c>
      <c r="F1776">
        <v>45</v>
      </c>
      <c r="G1776">
        <v>45</v>
      </c>
      <c r="H1776" t="s">
        <v>2661</v>
      </c>
      <c r="I1776" s="1">
        <v>37134</v>
      </c>
      <c r="J1776" s="1">
        <v>37325</v>
      </c>
      <c r="K1776" s="1">
        <v>37328</v>
      </c>
      <c r="L1776" s="1">
        <v>37328</v>
      </c>
      <c r="M1776" s="1">
        <v>37325</v>
      </c>
      <c r="N1776" s="1">
        <v>37325</v>
      </c>
      <c r="O1776" t="s">
        <v>1117</v>
      </c>
      <c r="P1776">
        <v>5</v>
      </c>
      <c r="Q1776" t="s">
        <v>2662</v>
      </c>
      <c r="R1776">
        <f t="shared" si="55"/>
        <v>11</v>
      </c>
      <c r="S1776">
        <f t="shared" si="56"/>
        <v>1</v>
      </c>
    </row>
    <row r="1777" spans="1:19" x14ac:dyDescent="0.25">
      <c r="A1777" t="s">
        <v>2901</v>
      </c>
      <c r="B1777" t="s">
        <v>1199</v>
      </c>
      <c r="C1777">
        <v>4</v>
      </c>
      <c r="D1777">
        <v>1250</v>
      </c>
      <c r="E1777">
        <v>0</v>
      </c>
      <c r="F1777">
        <v>6</v>
      </c>
      <c r="G1777">
        <v>6</v>
      </c>
      <c r="H1777" t="s">
        <v>2661</v>
      </c>
      <c r="I1777" s="1">
        <v>37133</v>
      </c>
      <c r="J1777" s="1">
        <v>37319</v>
      </c>
      <c r="K1777" s="1">
        <v>37320</v>
      </c>
      <c r="L1777" s="1">
        <v>37320</v>
      </c>
      <c r="M1777" s="1">
        <v>37322</v>
      </c>
      <c r="N1777" s="1">
        <v>37332</v>
      </c>
      <c r="O1777" t="s">
        <v>1117</v>
      </c>
      <c r="P1777">
        <v>2</v>
      </c>
      <c r="Q1777" t="s">
        <v>2662</v>
      </c>
      <c r="R1777">
        <f t="shared" si="55"/>
        <v>12</v>
      </c>
      <c r="S1777">
        <f t="shared" si="56"/>
        <v>1</v>
      </c>
    </row>
    <row r="1778" spans="1:19" x14ac:dyDescent="0.25">
      <c r="A1778" t="s">
        <v>2902</v>
      </c>
      <c r="B1778" t="s">
        <v>4028</v>
      </c>
      <c r="C1778">
        <v>6</v>
      </c>
      <c r="D1778">
        <v>1250</v>
      </c>
      <c r="E1778">
        <v>0</v>
      </c>
      <c r="F1778">
        <v>6</v>
      </c>
      <c r="G1778">
        <v>6</v>
      </c>
      <c r="H1778" t="s">
        <v>2661</v>
      </c>
      <c r="I1778" s="1">
        <v>37133</v>
      </c>
      <c r="J1778" s="1">
        <v>37319</v>
      </c>
      <c r="K1778" s="1">
        <v>37319</v>
      </c>
      <c r="L1778" s="1">
        <v>37319</v>
      </c>
      <c r="M1778" s="1">
        <v>37322</v>
      </c>
      <c r="N1778" s="1">
        <v>37331</v>
      </c>
      <c r="O1778" t="s">
        <v>1114</v>
      </c>
      <c r="P1778">
        <v>4</v>
      </c>
      <c r="Q1778" t="s">
        <v>2662</v>
      </c>
      <c r="R1778">
        <f t="shared" si="55"/>
        <v>11</v>
      </c>
      <c r="S1778">
        <f t="shared" si="56"/>
        <v>1</v>
      </c>
    </row>
    <row r="1779" spans="1:19" x14ac:dyDescent="0.25">
      <c r="A1779" t="s">
        <v>2903</v>
      </c>
      <c r="B1779" t="s">
        <v>1199</v>
      </c>
      <c r="C1779">
        <v>2</v>
      </c>
      <c r="D1779">
        <v>650</v>
      </c>
      <c r="E1779">
        <v>0</v>
      </c>
      <c r="F1779">
        <v>20</v>
      </c>
      <c r="G1779">
        <v>20</v>
      </c>
      <c r="H1779" t="s">
        <v>2661</v>
      </c>
      <c r="I1779" s="1">
        <v>37192</v>
      </c>
      <c r="J1779" s="1">
        <v>37332</v>
      </c>
      <c r="K1779" s="1">
        <v>37340</v>
      </c>
      <c r="L1779" s="1">
        <v>37340</v>
      </c>
      <c r="M1779" s="1">
        <v>37339</v>
      </c>
      <c r="N1779" s="1">
        <v>37346</v>
      </c>
      <c r="O1779" t="s">
        <v>1117</v>
      </c>
      <c r="P1779">
        <v>13</v>
      </c>
      <c r="Q1779" t="s">
        <v>2662</v>
      </c>
      <c r="R1779">
        <f t="shared" si="55"/>
        <v>14</v>
      </c>
      <c r="S1779">
        <f t="shared" si="56"/>
        <v>1</v>
      </c>
    </row>
    <row r="1780" spans="1:19" x14ac:dyDescent="0.25">
      <c r="A1780" t="s">
        <v>2904</v>
      </c>
      <c r="B1780" t="s">
        <v>4029</v>
      </c>
      <c r="C1780">
        <v>2.2999999999999998</v>
      </c>
      <c r="D1780">
        <v>615</v>
      </c>
      <c r="E1780">
        <v>0</v>
      </c>
      <c r="F1780">
        <v>40</v>
      </c>
      <c r="G1780">
        <v>40</v>
      </c>
      <c r="H1780" t="s">
        <v>2661</v>
      </c>
      <c r="I1780" s="1">
        <v>37134</v>
      </c>
      <c r="J1780" s="1">
        <v>37326</v>
      </c>
      <c r="K1780" s="1">
        <v>37325</v>
      </c>
      <c r="L1780" s="1">
        <v>37326</v>
      </c>
      <c r="M1780" s="1">
        <v>37326</v>
      </c>
      <c r="N1780" s="1">
        <v>37326</v>
      </c>
      <c r="O1780" t="s">
        <v>1114</v>
      </c>
      <c r="P1780">
        <v>7</v>
      </c>
      <c r="Q1780" t="s">
        <v>2662</v>
      </c>
      <c r="R1780">
        <f t="shared" si="55"/>
        <v>11</v>
      </c>
      <c r="S1780">
        <f t="shared" si="56"/>
        <v>1</v>
      </c>
    </row>
    <row r="1781" spans="1:19" x14ac:dyDescent="0.25">
      <c r="A1781" t="s">
        <v>2905</v>
      </c>
      <c r="B1781" t="s">
        <v>1199</v>
      </c>
      <c r="C1781">
        <v>4</v>
      </c>
      <c r="D1781">
        <v>1250</v>
      </c>
      <c r="E1781">
        <v>0</v>
      </c>
      <c r="F1781">
        <v>20</v>
      </c>
      <c r="G1781">
        <v>20</v>
      </c>
      <c r="H1781" t="s">
        <v>2661</v>
      </c>
      <c r="I1781" s="1">
        <v>37159</v>
      </c>
      <c r="J1781" s="1">
        <v>37345</v>
      </c>
      <c r="K1781" s="1">
        <v>37345</v>
      </c>
      <c r="L1781" s="1">
        <v>37345</v>
      </c>
      <c r="M1781" s="1">
        <v>37345</v>
      </c>
      <c r="N1781" s="1">
        <v>37345</v>
      </c>
      <c r="O1781" t="s">
        <v>1114</v>
      </c>
      <c r="P1781">
        <v>1</v>
      </c>
      <c r="Q1781" t="s">
        <v>2662</v>
      </c>
      <c r="R1781">
        <f t="shared" si="55"/>
        <v>13</v>
      </c>
      <c r="S1781">
        <f t="shared" si="56"/>
        <v>1</v>
      </c>
    </row>
    <row r="1782" spans="1:19" x14ac:dyDescent="0.25">
      <c r="A1782" t="s">
        <v>2906</v>
      </c>
      <c r="B1782" t="s">
        <v>1199</v>
      </c>
      <c r="C1782">
        <v>2.2999999999999998</v>
      </c>
      <c r="D1782">
        <v>485</v>
      </c>
      <c r="E1782">
        <v>0</v>
      </c>
      <c r="F1782">
        <v>29</v>
      </c>
      <c r="G1782">
        <v>29</v>
      </c>
      <c r="H1782" t="s">
        <v>2661</v>
      </c>
      <c r="I1782" s="1">
        <v>37134</v>
      </c>
      <c r="J1782" s="1">
        <v>37326</v>
      </c>
      <c r="K1782" s="1">
        <v>37325</v>
      </c>
      <c r="L1782" s="1">
        <v>37326</v>
      </c>
      <c r="M1782" s="1">
        <v>37326</v>
      </c>
      <c r="N1782" s="1">
        <v>37326</v>
      </c>
      <c r="O1782" t="s">
        <v>1114</v>
      </c>
      <c r="P1782">
        <v>8</v>
      </c>
      <c r="Q1782" t="s">
        <v>2662</v>
      </c>
      <c r="R1782">
        <f t="shared" si="55"/>
        <v>11</v>
      </c>
      <c r="S1782">
        <f t="shared" si="56"/>
        <v>1</v>
      </c>
    </row>
    <row r="1783" spans="1:19" x14ac:dyDescent="0.25">
      <c r="A1783" t="s">
        <v>2907</v>
      </c>
      <c r="B1783" t="s">
        <v>4026</v>
      </c>
      <c r="C1783">
        <v>2.2999999999999998</v>
      </c>
      <c r="D1783">
        <v>530</v>
      </c>
      <c r="E1783">
        <v>0</v>
      </c>
      <c r="F1783">
        <v>45</v>
      </c>
      <c r="G1783">
        <v>45</v>
      </c>
      <c r="H1783" t="s">
        <v>2661</v>
      </c>
      <c r="I1783" s="1">
        <v>37134</v>
      </c>
      <c r="J1783" s="1">
        <v>37325</v>
      </c>
      <c r="K1783" s="1">
        <v>37328</v>
      </c>
      <c r="L1783" s="1">
        <v>37328</v>
      </c>
      <c r="M1783" s="1">
        <v>37325</v>
      </c>
      <c r="N1783" s="1">
        <v>37325</v>
      </c>
      <c r="O1783" t="s">
        <v>1117</v>
      </c>
      <c r="P1783">
        <v>6</v>
      </c>
      <c r="Q1783" t="s">
        <v>2662</v>
      </c>
      <c r="R1783">
        <f t="shared" si="55"/>
        <v>11</v>
      </c>
      <c r="S1783">
        <f t="shared" si="56"/>
        <v>1</v>
      </c>
    </row>
    <row r="1784" spans="1:19" x14ac:dyDescent="0.25">
      <c r="A1784" t="s">
        <v>2908</v>
      </c>
      <c r="B1784" t="s">
        <v>4028</v>
      </c>
      <c r="C1784">
        <v>3</v>
      </c>
      <c r="D1784">
        <v>750</v>
      </c>
      <c r="E1784">
        <v>0</v>
      </c>
      <c r="F1784">
        <v>12</v>
      </c>
      <c r="G1784">
        <v>12</v>
      </c>
      <c r="H1784" t="s">
        <v>2661</v>
      </c>
      <c r="I1784" s="1">
        <v>37126</v>
      </c>
      <c r="J1784" s="1">
        <v>37345</v>
      </c>
      <c r="K1784" s="1">
        <v>37375</v>
      </c>
      <c r="L1784" s="1">
        <v>37375</v>
      </c>
      <c r="M1784" s="1">
        <v>37345</v>
      </c>
      <c r="N1784" s="1">
        <v>37345</v>
      </c>
      <c r="O1784" t="s">
        <v>1117</v>
      </c>
      <c r="P1784">
        <v>7</v>
      </c>
      <c r="Q1784" t="s">
        <v>2662</v>
      </c>
      <c r="R1784">
        <f t="shared" si="55"/>
        <v>13</v>
      </c>
      <c r="S1784">
        <f t="shared" si="56"/>
        <v>1</v>
      </c>
    </row>
    <row r="1785" spans="1:19" x14ac:dyDescent="0.25">
      <c r="A1785" t="s">
        <v>2909</v>
      </c>
      <c r="B1785" t="s">
        <v>4028</v>
      </c>
      <c r="C1785">
        <v>3</v>
      </c>
      <c r="D1785">
        <v>725</v>
      </c>
      <c r="E1785">
        <v>0</v>
      </c>
      <c r="F1785">
        <v>11.5</v>
      </c>
      <c r="G1785">
        <v>11.5</v>
      </c>
      <c r="H1785" t="s">
        <v>2661</v>
      </c>
      <c r="I1785" s="1">
        <v>37126</v>
      </c>
      <c r="J1785" s="1">
        <v>37345</v>
      </c>
      <c r="K1785" t="s">
        <v>1124</v>
      </c>
      <c r="L1785" t="s">
        <v>1124</v>
      </c>
      <c r="M1785" s="1">
        <v>37352</v>
      </c>
      <c r="N1785" s="1">
        <v>37352</v>
      </c>
      <c r="O1785" t="s">
        <v>1117</v>
      </c>
      <c r="P1785">
        <v>5</v>
      </c>
      <c r="Q1785" t="s">
        <v>2662</v>
      </c>
      <c r="R1785">
        <f t="shared" si="55"/>
        <v>14</v>
      </c>
      <c r="S1785">
        <f t="shared" si="56"/>
        <v>1</v>
      </c>
    </row>
    <row r="1786" spans="1:19" x14ac:dyDescent="0.25">
      <c r="A1786" t="s">
        <v>2910</v>
      </c>
      <c r="B1786" t="s">
        <v>1199</v>
      </c>
      <c r="C1786">
        <v>2</v>
      </c>
      <c r="D1786">
        <v>640</v>
      </c>
      <c r="E1786">
        <v>0</v>
      </c>
      <c r="F1786">
        <v>20</v>
      </c>
      <c r="G1786">
        <v>20</v>
      </c>
      <c r="H1786" t="s">
        <v>2661</v>
      </c>
      <c r="I1786" s="1">
        <v>37192</v>
      </c>
      <c r="J1786" s="1">
        <v>37332</v>
      </c>
      <c r="K1786" s="1">
        <v>37353</v>
      </c>
      <c r="L1786" s="1">
        <v>37353</v>
      </c>
      <c r="M1786" s="1">
        <v>37346</v>
      </c>
      <c r="N1786" s="1">
        <v>37346</v>
      </c>
      <c r="O1786" t="s">
        <v>1117</v>
      </c>
      <c r="P1786">
        <v>11</v>
      </c>
      <c r="Q1786" t="s">
        <v>2662</v>
      </c>
      <c r="R1786">
        <f t="shared" si="55"/>
        <v>14</v>
      </c>
      <c r="S1786">
        <f t="shared" si="56"/>
        <v>1</v>
      </c>
    </row>
    <row r="1787" spans="1:19" x14ac:dyDescent="0.25">
      <c r="A1787" t="s">
        <v>2911</v>
      </c>
      <c r="B1787" t="s">
        <v>3521</v>
      </c>
      <c r="C1787">
        <v>4</v>
      </c>
      <c r="D1787">
        <v>1250</v>
      </c>
      <c r="E1787">
        <v>0</v>
      </c>
      <c r="F1787">
        <v>40</v>
      </c>
      <c r="G1787">
        <v>40</v>
      </c>
      <c r="H1787" t="s">
        <v>2661</v>
      </c>
      <c r="I1787" s="1">
        <v>37125</v>
      </c>
      <c r="J1787" s="1">
        <v>37345</v>
      </c>
      <c r="K1787" s="1">
        <v>37345</v>
      </c>
      <c r="L1787" s="1">
        <v>37345</v>
      </c>
      <c r="M1787" s="1">
        <v>37345</v>
      </c>
      <c r="N1787" s="1">
        <v>37345</v>
      </c>
      <c r="O1787" t="s">
        <v>1114</v>
      </c>
      <c r="P1787">
        <v>1</v>
      </c>
      <c r="Q1787" t="s">
        <v>2662</v>
      </c>
      <c r="R1787">
        <f t="shared" si="55"/>
        <v>13</v>
      </c>
      <c r="S1787">
        <f t="shared" si="56"/>
        <v>1</v>
      </c>
    </row>
    <row r="1788" spans="1:19" x14ac:dyDescent="0.25">
      <c r="A1788" t="s">
        <v>2912</v>
      </c>
      <c r="B1788" t="s">
        <v>1199</v>
      </c>
      <c r="C1788">
        <v>2.5</v>
      </c>
      <c r="D1788">
        <v>645</v>
      </c>
      <c r="E1788">
        <v>0</v>
      </c>
      <c r="F1788">
        <v>10</v>
      </c>
      <c r="G1788">
        <v>10</v>
      </c>
      <c r="H1788" t="s">
        <v>2661</v>
      </c>
      <c r="I1788" s="1">
        <v>37126</v>
      </c>
      <c r="J1788" s="1">
        <v>37345</v>
      </c>
      <c r="K1788" s="1">
        <v>37347</v>
      </c>
      <c r="L1788" s="1">
        <v>37347</v>
      </c>
      <c r="M1788" s="1">
        <v>37345</v>
      </c>
      <c r="N1788" s="1">
        <v>37345</v>
      </c>
      <c r="O1788" t="s">
        <v>1117</v>
      </c>
      <c r="P1788">
        <v>4</v>
      </c>
      <c r="Q1788" t="s">
        <v>2662</v>
      </c>
      <c r="R1788">
        <f t="shared" si="55"/>
        <v>13</v>
      </c>
      <c r="S1788">
        <f t="shared" si="56"/>
        <v>1</v>
      </c>
    </row>
    <row r="1789" spans="1:19" x14ac:dyDescent="0.25">
      <c r="A1789" t="s">
        <v>2913</v>
      </c>
      <c r="B1789" t="s">
        <v>1199</v>
      </c>
      <c r="C1789">
        <v>2.2999999999999998</v>
      </c>
      <c r="D1789">
        <v>625</v>
      </c>
      <c r="E1789">
        <v>0</v>
      </c>
      <c r="F1789">
        <v>20</v>
      </c>
      <c r="G1789">
        <v>20</v>
      </c>
      <c r="H1789" t="s">
        <v>2661</v>
      </c>
      <c r="I1789" s="1">
        <v>37192</v>
      </c>
      <c r="J1789" s="1">
        <v>37332</v>
      </c>
      <c r="K1789" s="1">
        <v>37345</v>
      </c>
      <c r="L1789" s="1">
        <v>37345</v>
      </c>
      <c r="M1789" s="1">
        <v>37345</v>
      </c>
      <c r="N1789" s="1">
        <v>37345</v>
      </c>
      <c r="O1789" t="s">
        <v>1117</v>
      </c>
      <c r="P1789">
        <v>1</v>
      </c>
      <c r="Q1789" t="s">
        <v>2662</v>
      </c>
      <c r="R1789">
        <f t="shared" si="55"/>
        <v>13</v>
      </c>
      <c r="S1789">
        <f t="shared" si="56"/>
        <v>1</v>
      </c>
    </row>
    <row r="1790" spans="1:19" x14ac:dyDescent="0.25">
      <c r="A1790" t="s">
        <v>2914</v>
      </c>
      <c r="B1790" t="s">
        <v>4028</v>
      </c>
      <c r="C1790">
        <v>2.2999999999999998</v>
      </c>
      <c r="D1790">
        <v>1250</v>
      </c>
      <c r="E1790">
        <v>0</v>
      </c>
      <c r="F1790">
        <v>63</v>
      </c>
      <c r="G1790">
        <v>63</v>
      </c>
      <c r="H1790" t="s">
        <v>2661</v>
      </c>
      <c r="I1790" s="1">
        <v>37189</v>
      </c>
      <c r="J1790" s="1">
        <v>37330</v>
      </c>
      <c r="K1790" s="1">
        <v>37332</v>
      </c>
      <c r="L1790" s="1">
        <v>37332</v>
      </c>
      <c r="M1790" s="1">
        <v>37332</v>
      </c>
      <c r="N1790" s="1">
        <v>37332</v>
      </c>
      <c r="O1790" t="s">
        <v>1117</v>
      </c>
      <c r="P1790">
        <v>3</v>
      </c>
      <c r="Q1790" t="s">
        <v>2662</v>
      </c>
      <c r="R1790">
        <f t="shared" si="55"/>
        <v>12</v>
      </c>
      <c r="S1790">
        <f t="shared" si="56"/>
        <v>1</v>
      </c>
    </row>
    <row r="1791" spans="1:19" x14ac:dyDescent="0.25">
      <c r="A1791" t="s">
        <v>2915</v>
      </c>
      <c r="B1791" t="s">
        <v>1199</v>
      </c>
      <c r="C1791">
        <v>2</v>
      </c>
      <c r="D1791">
        <v>1100</v>
      </c>
      <c r="E1791">
        <v>0</v>
      </c>
      <c r="F1791">
        <v>60</v>
      </c>
      <c r="G1791">
        <v>60</v>
      </c>
      <c r="H1791" t="s">
        <v>2661</v>
      </c>
      <c r="I1791" s="1">
        <v>37230</v>
      </c>
      <c r="J1791" s="1">
        <v>37316</v>
      </c>
      <c r="K1791" s="1">
        <v>37316</v>
      </c>
      <c r="L1791" s="1">
        <v>37316</v>
      </c>
      <c r="M1791" s="1">
        <v>37317</v>
      </c>
      <c r="N1791" s="1">
        <v>37330</v>
      </c>
      <c r="O1791" t="s">
        <v>1114</v>
      </c>
      <c r="P1791">
        <v>2</v>
      </c>
      <c r="Q1791" t="s">
        <v>2662</v>
      </c>
      <c r="R1791">
        <f t="shared" si="55"/>
        <v>11</v>
      </c>
      <c r="S1791">
        <f t="shared" si="56"/>
        <v>1</v>
      </c>
    </row>
    <row r="1792" spans="1:19" x14ac:dyDescent="0.25">
      <c r="A1792" t="s">
        <v>2916</v>
      </c>
      <c r="B1792" t="s">
        <v>1199</v>
      </c>
      <c r="C1792">
        <v>2.5</v>
      </c>
      <c r="D1792">
        <v>510</v>
      </c>
      <c r="E1792">
        <v>0</v>
      </c>
      <c r="F1792">
        <v>8</v>
      </c>
      <c r="G1792">
        <v>8</v>
      </c>
      <c r="H1792" t="s">
        <v>2661</v>
      </c>
      <c r="I1792" s="1">
        <v>37134</v>
      </c>
      <c r="J1792" s="1">
        <v>37326</v>
      </c>
      <c r="K1792" s="1">
        <v>37326</v>
      </c>
      <c r="L1792" s="1">
        <v>37326</v>
      </c>
      <c r="M1792" s="1">
        <v>37331</v>
      </c>
      <c r="N1792" s="1">
        <v>37331</v>
      </c>
      <c r="O1792" t="s">
        <v>1114</v>
      </c>
      <c r="P1792">
        <v>5</v>
      </c>
      <c r="Q1792" t="s">
        <v>2662</v>
      </c>
      <c r="R1792">
        <f t="shared" si="55"/>
        <v>11</v>
      </c>
      <c r="S1792">
        <f t="shared" si="56"/>
        <v>1</v>
      </c>
    </row>
    <row r="1793" spans="1:19" x14ac:dyDescent="0.25">
      <c r="A1793" t="s">
        <v>2917</v>
      </c>
      <c r="B1793" t="s">
        <v>3521</v>
      </c>
      <c r="C1793">
        <v>2.5</v>
      </c>
      <c r="D1793">
        <v>398</v>
      </c>
      <c r="E1793">
        <v>0</v>
      </c>
      <c r="F1793">
        <v>14</v>
      </c>
      <c r="G1793">
        <v>14</v>
      </c>
      <c r="H1793" t="s">
        <v>2661</v>
      </c>
      <c r="I1793" s="1">
        <v>37134</v>
      </c>
      <c r="J1793" s="1">
        <v>37326</v>
      </c>
      <c r="K1793" s="1">
        <v>37326</v>
      </c>
      <c r="L1793" s="1">
        <v>37326</v>
      </c>
      <c r="M1793" s="1">
        <v>37327</v>
      </c>
      <c r="N1793" s="1">
        <v>37334</v>
      </c>
      <c r="O1793" t="s">
        <v>1114</v>
      </c>
      <c r="P1793">
        <v>3</v>
      </c>
      <c r="Q1793" t="s">
        <v>2662</v>
      </c>
      <c r="R1793">
        <f t="shared" si="55"/>
        <v>12</v>
      </c>
      <c r="S1793">
        <f t="shared" si="56"/>
        <v>1</v>
      </c>
    </row>
    <row r="1794" spans="1:19" x14ac:dyDescent="0.25">
      <c r="A1794" t="s">
        <v>2918</v>
      </c>
      <c r="B1794" t="s">
        <v>1199</v>
      </c>
      <c r="C1794">
        <v>2</v>
      </c>
      <c r="D1794">
        <v>1100</v>
      </c>
      <c r="E1794">
        <v>0</v>
      </c>
      <c r="F1794">
        <v>42</v>
      </c>
      <c r="G1794">
        <v>42</v>
      </c>
      <c r="H1794" t="s">
        <v>2661</v>
      </c>
      <c r="I1794" s="1">
        <v>37189</v>
      </c>
      <c r="J1794" s="1">
        <v>37330</v>
      </c>
      <c r="K1794" s="1">
        <v>37330</v>
      </c>
      <c r="L1794" s="1">
        <v>37330</v>
      </c>
      <c r="M1794" s="1">
        <v>37330</v>
      </c>
      <c r="N1794" s="1">
        <v>37330</v>
      </c>
      <c r="O1794" t="s">
        <v>1114</v>
      </c>
      <c r="P1794">
        <v>2</v>
      </c>
      <c r="Q1794" t="s">
        <v>2662</v>
      </c>
      <c r="R1794">
        <f t="shared" si="55"/>
        <v>11</v>
      </c>
      <c r="S1794">
        <f t="shared" si="56"/>
        <v>1</v>
      </c>
    </row>
    <row r="1795" spans="1:19" x14ac:dyDescent="0.25">
      <c r="A1795" t="s">
        <v>2919</v>
      </c>
      <c r="B1795" t="s">
        <v>4028</v>
      </c>
      <c r="C1795">
        <v>2</v>
      </c>
      <c r="D1795">
        <v>1250</v>
      </c>
      <c r="E1795">
        <v>0</v>
      </c>
      <c r="F1795">
        <v>20</v>
      </c>
      <c r="G1795">
        <v>20</v>
      </c>
      <c r="H1795" t="s">
        <v>2661</v>
      </c>
      <c r="I1795" s="1">
        <v>37335</v>
      </c>
      <c r="J1795" s="1">
        <v>37368</v>
      </c>
      <c r="K1795" s="1">
        <v>37368</v>
      </c>
      <c r="L1795" s="1">
        <v>37368</v>
      </c>
      <c r="M1795" s="1">
        <v>37368</v>
      </c>
      <c r="N1795" s="1">
        <v>37368</v>
      </c>
      <c r="O1795" t="s">
        <v>1114</v>
      </c>
      <c r="P1795">
        <v>1</v>
      </c>
      <c r="Q1795" t="s">
        <v>2662</v>
      </c>
      <c r="R1795">
        <f t="shared" ref="R1795:R1858" si="57">WEEKNUM(N1795,1)</f>
        <v>17</v>
      </c>
      <c r="S1795">
        <f t="shared" ref="S1795:S1858" si="58">IF(AND(F1795=G1795, M1795&lt;=N1795), 1,0)</f>
        <v>1</v>
      </c>
    </row>
    <row r="1796" spans="1:19" x14ac:dyDescent="0.25">
      <c r="A1796" t="s">
        <v>2920</v>
      </c>
      <c r="B1796" t="s">
        <v>4028</v>
      </c>
      <c r="C1796">
        <v>6</v>
      </c>
      <c r="D1796">
        <v>1250</v>
      </c>
      <c r="E1796">
        <v>0</v>
      </c>
      <c r="F1796">
        <v>10</v>
      </c>
      <c r="G1796">
        <v>10</v>
      </c>
      <c r="H1796" t="s">
        <v>2661</v>
      </c>
      <c r="I1796" s="1">
        <v>37125</v>
      </c>
      <c r="J1796" s="1">
        <v>37322</v>
      </c>
      <c r="K1796" s="1">
        <v>37322</v>
      </c>
      <c r="L1796" s="1">
        <v>37322</v>
      </c>
      <c r="M1796" s="1">
        <v>37324</v>
      </c>
      <c r="N1796" s="1">
        <v>37324</v>
      </c>
      <c r="O1796" t="s">
        <v>1114</v>
      </c>
      <c r="P1796">
        <v>2</v>
      </c>
      <c r="Q1796" t="s">
        <v>2662</v>
      </c>
      <c r="R1796">
        <f t="shared" si="57"/>
        <v>10</v>
      </c>
      <c r="S1796">
        <f t="shared" si="58"/>
        <v>1</v>
      </c>
    </row>
    <row r="1797" spans="1:19" x14ac:dyDescent="0.25">
      <c r="A1797" t="s">
        <v>2921</v>
      </c>
      <c r="B1797" t="s">
        <v>1199</v>
      </c>
      <c r="C1797">
        <v>2.5</v>
      </c>
      <c r="D1797">
        <v>398</v>
      </c>
      <c r="E1797">
        <v>0</v>
      </c>
      <c r="F1797">
        <v>7</v>
      </c>
      <c r="G1797">
        <v>7</v>
      </c>
      <c r="H1797" t="s">
        <v>2661</v>
      </c>
      <c r="I1797" s="1">
        <v>37134</v>
      </c>
      <c r="J1797" s="1">
        <v>37326</v>
      </c>
      <c r="K1797" s="1">
        <v>37335</v>
      </c>
      <c r="L1797" s="1">
        <v>37335</v>
      </c>
      <c r="M1797" s="1">
        <v>37334</v>
      </c>
      <c r="N1797" s="1">
        <v>37334</v>
      </c>
      <c r="O1797" t="s">
        <v>1117</v>
      </c>
      <c r="P1797">
        <v>6</v>
      </c>
      <c r="Q1797" t="s">
        <v>2662</v>
      </c>
      <c r="R1797">
        <f t="shared" si="57"/>
        <v>12</v>
      </c>
      <c r="S1797">
        <f t="shared" si="58"/>
        <v>1</v>
      </c>
    </row>
    <row r="1798" spans="1:19" x14ac:dyDescent="0.25">
      <c r="A1798" t="s">
        <v>2922</v>
      </c>
      <c r="B1798" t="s">
        <v>4028</v>
      </c>
      <c r="C1798">
        <v>2.5</v>
      </c>
      <c r="D1798">
        <v>460</v>
      </c>
      <c r="E1798">
        <v>0</v>
      </c>
      <c r="F1798">
        <v>7</v>
      </c>
      <c r="G1798">
        <v>7</v>
      </c>
      <c r="H1798" t="s">
        <v>2661</v>
      </c>
      <c r="I1798" s="1">
        <v>37134</v>
      </c>
      <c r="J1798" s="1">
        <v>37325</v>
      </c>
      <c r="K1798" s="1">
        <v>37325</v>
      </c>
      <c r="L1798" s="1">
        <v>37325</v>
      </c>
      <c r="M1798" s="1">
        <v>37325</v>
      </c>
      <c r="N1798" s="1">
        <v>37325</v>
      </c>
      <c r="O1798" t="s">
        <v>1114</v>
      </c>
      <c r="P1798">
        <v>4</v>
      </c>
      <c r="Q1798" t="s">
        <v>2662</v>
      </c>
      <c r="R1798">
        <f t="shared" si="57"/>
        <v>11</v>
      </c>
      <c r="S1798">
        <f t="shared" si="58"/>
        <v>1</v>
      </c>
    </row>
    <row r="1799" spans="1:19" x14ac:dyDescent="0.25">
      <c r="A1799" t="s">
        <v>2923</v>
      </c>
      <c r="B1799" t="s">
        <v>1199</v>
      </c>
      <c r="C1799">
        <v>2</v>
      </c>
      <c r="D1799">
        <v>610</v>
      </c>
      <c r="E1799">
        <v>0</v>
      </c>
      <c r="F1799">
        <v>20</v>
      </c>
      <c r="G1799">
        <v>20</v>
      </c>
      <c r="H1799" t="s">
        <v>2661</v>
      </c>
      <c r="I1799" s="1">
        <v>37192</v>
      </c>
      <c r="J1799" s="1">
        <v>37332</v>
      </c>
      <c r="K1799" t="s">
        <v>1124</v>
      </c>
      <c r="L1799" t="s">
        <v>1124</v>
      </c>
      <c r="M1799" s="1">
        <v>37335</v>
      </c>
      <c r="N1799" s="1">
        <v>37345</v>
      </c>
      <c r="O1799" t="s">
        <v>1117</v>
      </c>
      <c r="P1799">
        <v>10</v>
      </c>
      <c r="Q1799" t="s">
        <v>2662</v>
      </c>
      <c r="R1799">
        <f t="shared" si="57"/>
        <v>13</v>
      </c>
      <c r="S1799">
        <f t="shared" si="58"/>
        <v>1</v>
      </c>
    </row>
    <row r="1800" spans="1:19" x14ac:dyDescent="0.25">
      <c r="A1800" t="s">
        <v>2924</v>
      </c>
      <c r="B1800" t="s">
        <v>1199</v>
      </c>
      <c r="C1800">
        <v>2</v>
      </c>
      <c r="D1800">
        <v>600</v>
      </c>
      <c r="E1800">
        <v>0</v>
      </c>
      <c r="F1800">
        <v>20</v>
      </c>
      <c r="G1800">
        <v>20</v>
      </c>
      <c r="H1800" t="s">
        <v>2661</v>
      </c>
      <c r="I1800" s="1">
        <v>37192</v>
      </c>
      <c r="J1800" s="1">
        <v>37332</v>
      </c>
      <c r="K1800" t="s">
        <v>1124</v>
      </c>
      <c r="L1800" t="s">
        <v>1124</v>
      </c>
      <c r="M1800" s="1">
        <v>37335</v>
      </c>
      <c r="N1800" s="1">
        <v>37360</v>
      </c>
      <c r="O1800" t="s">
        <v>1117</v>
      </c>
      <c r="P1800">
        <v>12</v>
      </c>
      <c r="Q1800" t="s">
        <v>2662</v>
      </c>
      <c r="R1800">
        <f t="shared" si="57"/>
        <v>16</v>
      </c>
      <c r="S1800">
        <f t="shared" si="58"/>
        <v>1</v>
      </c>
    </row>
    <row r="1801" spans="1:19" x14ac:dyDescent="0.25">
      <c r="A1801" t="s">
        <v>2925</v>
      </c>
      <c r="B1801" t="s">
        <v>3521</v>
      </c>
      <c r="C1801">
        <v>2</v>
      </c>
      <c r="D1801">
        <v>1250</v>
      </c>
      <c r="E1801">
        <v>0</v>
      </c>
      <c r="F1801">
        <v>20</v>
      </c>
      <c r="G1801">
        <v>20</v>
      </c>
      <c r="H1801" t="s">
        <v>2661</v>
      </c>
      <c r="I1801" s="1">
        <v>37343</v>
      </c>
      <c r="J1801" s="1">
        <v>37379</v>
      </c>
      <c r="K1801" t="s">
        <v>1124</v>
      </c>
      <c r="L1801" t="s">
        <v>1124</v>
      </c>
      <c r="M1801" t="s">
        <v>1124</v>
      </c>
      <c r="N1801" s="1">
        <v>37368</v>
      </c>
      <c r="O1801" t="s">
        <v>1117</v>
      </c>
      <c r="P1801">
        <v>1</v>
      </c>
      <c r="Q1801" t="s">
        <v>2662</v>
      </c>
      <c r="R1801">
        <f t="shared" si="57"/>
        <v>17</v>
      </c>
      <c r="S1801">
        <f t="shared" si="58"/>
        <v>0</v>
      </c>
    </row>
    <row r="1802" spans="1:19" x14ac:dyDescent="0.25">
      <c r="A1802" t="s">
        <v>2926</v>
      </c>
      <c r="B1802" t="s">
        <v>4028</v>
      </c>
      <c r="C1802">
        <v>2</v>
      </c>
      <c r="D1802">
        <v>1250</v>
      </c>
      <c r="E1802">
        <v>0</v>
      </c>
      <c r="F1802">
        <v>20</v>
      </c>
      <c r="G1802">
        <v>20</v>
      </c>
      <c r="H1802" t="s">
        <v>2661</v>
      </c>
      <c r="I1802" s="1">
        <v>37343</v>
      </c>
      <c r="J1802" s="1">
        <v>37379</v>
      </c>
      <c r="K1802" t="s">
        <v>1124</v>
      </c>
      <c r="L1802" t="s">
        <v>1124</v>
      </c>
      <c r="M1802" t="s">
        <v>1124</v>
      </c>
      <c r="N1802" s="1">
        <v>37368</v>
      </c>
      <c r="O1802" t="s">
        <v>1117</v>
      </c>
      <c r="P1802">
        <v>1</v>
      </c>
      <c r="Q1802" t="s">
        <v>2662</v>
      </c>
      <c r="R1802">
        <f t="shared" si="57"/>
        <v>17</v>
      </c>
      <c r="S1802">
        <f t="shared" si="58"/>
        <v>0</v>
      </c>
    </row>
    <row r="1803" spans="1:19" x14ac:dyDescent="0.25">
      <c r="A1803" t="s">
        <v>2927</v>
      </c>
      <c r="B1803" t="s">
        <v>4028</v>
      </c>
      <c r="C1803">
        <v>2.2999999999999998</v>
      </c>
      <c r="D1803">
        <v>625</v>
      </c>
      <c r="E1803">
        <v>0</v>
      </c>
      <c r="F1803">
        <v>20</v>
      </c>
      <c r="G1803">
        <v>20</v>
      </c>
      <c r="H1803" t="s">
        <v>2661</v>
      </c>
      <c r="I1803" s="1">
        <v>37192</v>
      </c>
      <c r="J1803" s="1">
        <v>37332</v>
      </c>
      <c r="K1803" s="1">
        <v>37345</v>
      </c>
      <c r="L1803" s="1">
        <v>37345</v>
      </c>
      <c r="M1803" s="1">
        <v>37345</v>
      </c>
      <c r="N1803" s="1">
        <v>37345</v>
      </c>
      <c r="O1803" t="s">
        <v>1117</v>
      </c>
      <c r="P1803">
        <v>1</v>
      </c>
      <c r="Q1803" t="s">
        <v>2662</v>
      </c>
      <c r="R1803">
        <f t="shared" si="57"/>
        <v>13</v>
      </c>
      <c r="S1803">
        <f t="shared" si="58"/>
        <v>1</v>
      </c>
    </row>
    <row r="1804" spans="1:19" x14ac:dyDescent="0.25">
      <c r="A1804" t="s">
        <v>2928</v>
      </c>
      <c r="B1804" t="s">
        <v>4028</v>
      </c>
      <c r="C1804">
        <v>3</v>
      </c>
      <c r="D1804">
        <v>1250</v>
      </c>
      <c r="E1804">
        <v>0</v>
      </c>
      <c r="F1804">
        <v>100</v>
      </c>
      <c r="G1804">
        <v>62.276000000000003</v>
      </c>
      <c r="H1804" t="s">
        <v>2661</v>
      </c>
      <c r="I1804" s="1">
        <v>37321</v>
      </c>
      <c r="J1804" s="1">
        <v>37336</v>
      </c>
      <c r="K1804" s="1">
        <v>37336</v>
      </c>
      <c r="L1804" s="1">
        <v>37336</v>
      </c>
      <c r="M1804" s="1">
        <v>37336</v>
      </c>
      <c r="N1804" s="1">
        <v>37336</v>
      </c>
      <c r="O1804" t="s">
        <v>1114</v>
      </c>
      <c r="P1804">
        <v>1</v>
      </c>
      <c r="Q1804" t="s">
        <v>2662</v>
      </c>
      <c r="R1804">
        <f t="shared" si="57"/>
        <v>12</v>
      </c>
      <c r="S1804">
        <f t="shared" si="58"/>
        <v>0</v>
      </c>
    </row>
    <row r="1805" spans="1:19" x14ac:dyDescent="0.25">
      <c r="A1805" t="s">
        <v>2929</v>
      </c>
      <c r="B1805" t="s">
        <v>4028</v>
      </c>
      <c r="C1805">
        <v>3</v>
      </c>
      <c r="D1805">
        <v>1250</v>
      </c>
      <c r="E1805">
        <v>0</v>
      </c>
      <c r="F1805">
        <v>5</v>
      </c>
      <c r="G1805">
        <v>5</v>
      </c>
      <c r="H1805" t="s">
        <v>2661</v>
      </c>
      <c r="I1805" s="1">
        <v>37159</v>
      </c>
      <c r="J1805" s="1">
        <v>37320</v>
      </c>
      <c r="K1805" s="1">
        <v>37332</v>
      </c>
      <c r="L1805" s="1">
        <v>37332</v>
      </c>
      <c r="M1805" s="1">
        <v>37339</v>
      </c>
      <c r="N1805" s="1">
        <v>37339</v>
      </c>
      <c r="O1805" t="s">
        <v>1117</v>
      </c>
      <c r="P1805">
        <v>3</v>
      </c>
      <c r="Q1805" t="s">
        <v>2662</v>
      </c>
      <c r="R1805">
        <f t="shared" si="57"/>
        <v>13</v>
      </c>
      <c r="S1805">
        <f t="shared" si="58"/>
        <v>1</v>
      </c>
    </row>
    <row r="1806" spans="1:19" x14ac:dyDescent="0.25">
      <c r="A1806" t="s">
        <v>2930</v>
      </c>
      <c r="B1806" t="s">
        <v>4028</v>
      </c>
      <c r="C1806">
        <v>2.5</v>
      </c>
      <c r="D1806">
        <v>350</v>
      </c>
      <c r="E1806">
        <v>0</v>
      </c>
      <c r="F1806">
        <v>6</v>
      </c>
      <c r="G1806">
        <v>6</v>
      </c>
      <c r="H1806" t="s">
        <v>2661</v>
      </c>
      <c r="I1806" s="1">
        <v>37134</v>
      </c>
      <c r="J1806" s="1">
        <v>37326</v>
      </c>
      <c r="K1806" s="1">
        <v>37335</v>
      </c>
      <c r="L1806" s="1">
        <v>37335</v>
      </c>
      <c r="M1806" s="1">
        <v>37334</v>
      </c>
      <c r="N1806" s="1">
        <v>37334</v>
      </c>
      <c r="O1806" t="s">
        <v>1117</v>
      </c>
      <c r="P1806">
        <v>7</v>
      </c>
      <c r="Q1806" t="s">
        <v>2662</v>
      </c>
      <c r="R1806">
        <f t="shared" si="57"/>
        <v>12</v>
      </c>
      <c r="S1806">
        <f t="shared" si="58"/>
        <v>1</v>
      </c>
    </row>
    <row r="1807" spans="1:19" x14ac:dyDescent="0.25">
      <c r="A1807" t="s">
        <v>2931</v>
      </c>
      <c r="B1807" t="s">
        <v>3521</v>
      </c>
      <c r="C1807">
        <v>2</v>
      </c>
      <c r="D1807">
        <v>1250</v>
      </c>
      <c r="E1807">
        <v>0</v>
      </c>
      <c r="F1807">
        <v>20</v>
      </c>
      <c r="G1807">
        <v>20</v>
      </c>
      <c r="H1807" t="s">
        <v>2661</v>
      </c>
      <c r="I1807" s="1">
        <v>37335</v>
      </c>
      <c r="J1807" s="1">
        <v>37368</v>
      </c>
      <c r="K1807" s="1">
        <v>37368</v>
      </c>
      <c r="L1807" s="1">
        <v>37368</v>
      </c>
      <c r="M1807" s="1">
        <v>37368</v>
      </c>
      <c r="N1807" s="1">
        <v>37368</v>
      </c>
      <c r="O1807" t="s">
        <v>1114</v>
      </c>
      <c r="P1807">
        <v>1</v>
      </c>
      <c r="Q1807" t="s">
        <v>2662</v>
      </c>
      <c r="R1807">
        <f t="shared" si="57"/>
        <v>17</v>
      </c>
      <c r="S1807">
        <f t="shared" si="58"/>
        <v>1</v>
      </c>
    </row>
    <row r="1808" spans="1:19" x14ac:dyDescent="0.25">
      <c r="A1808" t="s">
        <v>2932</v>
      </c>
      <c r="B1808" t="s">
        <v>1199</v>
      </c>
      <c r="C1808">
        <v>2</v>
      </c>
      <c r="D1808">
        <v>525</v>
      </c>
      <c r="E1808">
        <v>0</v>
      </c>
      <c r="F1808">
        <v>25</v>
      </c>
      <c r="G1808">
        <v>25</v>
      </c>
      <c r="H1808" t="s">
        <v>2661</v>
      </c>
      <c r="I1808" s="1">
        <v>37192</v>
      </c>
      <c r="J1808" s="1">
        <v>37333</v>
      </c>
      <c r="K1808" s="1">
        <v>37360</v>
      </c>
      <c r="L1808" s="1">
        <v>37360</v>
      </c>
      <c r="M1808" s="1">
        <v>37360</v>
      </c>
      <c r="N1808" s="1">
        <v>37360</v>
      </c>
      <c r="O1808" t="s">
        <v>1117</v>
      </c>
      <c r="P1808">
        <v>19</v>
      </c>
      <c r="Q1808" t="s">
        <v>2662</v>
      </c>
      <c r="R1808">
        <f t="shared" si="57"/>
        <v>16</v>
      </c>
      <c r="S1808">
        <f t="shared" si="58"/>
        <v>1</v>
      </c>
    </row>
    <row r="1809" spans="1:19" x14ac:dyDescent="0.25">
      <c r="A1809" t="s">
        <v>2933</v>
      </c>
      <c r="B1809" t="s">
        <v>1199</v>
      </c>
      <c r="C1809">
        <v>2.5</v>
      </c>
      <c r="D1809">
        <v>1250</v>
      </c>
      <c r="E1809">
        <v>0</v>
      </c>
      <c r="F1809">
        <v>100</v>
      </c>
      <c r="G1809">
        <v>80</v>
      </c>
      <c r="H1809" t="s">
        <v>2661</v>
      </c>
      <c r="I1809" s="1">
        <v>37192</v>
      </c>
      <c r="J1809" s="1">
        <v>37330</v>
      </c>
      <c r="K1809" t="s">
        <v>1124</v>
      </c>
      <c r="L1809" t="s">
        <v>1124</v>
      </c>
      <c r="M1809" s="1">
        <v>37334</v>
      </c>
      <c r="N1809" s="1">
        <v>37334</v>
      </c>
      <c r="O1809" t="s">
        <v>1117</v>
      </c>
      <c r="P1809">
        <v>1</v>
      </c>
      <c r="Q1809" t="s">
        <v>2662</v>
      </c>
      <c r="R1809">
        <f t="shared" si="57"/>
        <v>12</v>
      </c>
      <c r="S1809">
        <f t="shared" si="58"/>
        <v>0</v>
      </c>
    </row>
    <row r="1810" spans="1:19" x14ac:dyDescent="0.25">
      <c r="A1810" t="s">
        <v>2934</v>
      </c>
      <c r="B1810" t="s">
        <v>1199</v>
      </c>
      <c r="C1810">
        <v>4.78</v>
      </c>
      <c r="D1810">
        <v>1140</v>
      </c>
      <c r="E1810">
        <v>0</v>
      </c>
      <c r="F1810">
        <v>18</v>
      </c>
      <c r="G1810">
        <v>18</v>
      </c>
      <c r="H1810" t="s">
        <v>2661</v>
      </c>
      <c r="I1810" s="1">
        <v>37110</v>
      </c>
      <c r="J1810" s="1">
        <v>37344</v>
      </c>
      <c r="K1810" s="1">
        <v>37344</v>
      </c>
      <c r="L1810" s="1">
        <v>37344</v>
      </c>
      <c r="M1810" s="1">
        <v>37344</v>
      </c>
      <c r="N1810" s="1">
        <v>37344</v>
      </c>
      <c r="O1810" t="s">
        <v>1114</v>
      </c>
      <c r="P1810">
        <v>1</v>
      </c>
      <c r="Q1810" t="s">
        <v>2662</v>
      </c>
      <c r="R1810">
        <f t="shared" si="57"/>
        <v>13</v>
      </c>
      <c r="S1810">
        <f t="shared" si="58"/>
        <v>1</v>
      </c>
    </row>
    <row r="1811" spans="1:19" x14ac:dyDescent="0.25">
      <c r="A1811" t="s">
        <v>2935</v>
      </c>
      <c r="B1811" t="s">
        <v>3521</v>
      </c>
      <c r="C1811">
        <v>2.5</v>
      </c>
      <c r="D1811">
        <v>1250</v>
      </c>
      <c r="E1811">
        <v>0</v>
      </c>
      <c r="F1811">
        <v>100</v>
      </c>
      <c r="G1811">
        <v>100</v>
      </c>
      <c r="H1811" t="s">
        <v>2661</v>
      </c>
      <c r="I1811" s="1">
        <v>37192</v>
      </c>
      <c r="J1811" s="1">
        <v>37330</v>
      </c>
      <c r="K1811" s="1">
        <v>37330</v>
      </c>
      <c r="L1811" s="1">
        <v>37330</v>
      </c>
      <c r="M1811" s="1">
        <v>37330</v>
      </c>
      <c r="N1811" s="1">
        <v>37334</v>
      </c>
      <c r="O1811" t="s">
        <v>1114</v>
      </c>
      <c r="P1811">
        <v>1</v>
      </c>
      <c r="Q1811" t="s">
        <v>2662</v>
      </c>
      <c r="R1811">
        <f t="shared" si="57"/>
        <v>12</v>
      </c>
      <c r="S1811">
        <f t="shared" si="58"/>
        <v>1</v>
      </c>
    </row>
    <row r="1812" spans="1:19" x14ac:dyDescent="0.25">
      <c r="A1812" t="s">
        <v>2936</v>
      </c>
      <c r="B1812" t="s">
        <v>4026</v>
      </c>
      <c r="C1812">
        <v>2</v>
      </c>
      <c r="D1812">
        <v>525</v>
      </c>
      <c r="E1812">
        <v>0</v>
      </c>
      <c r="F1812">
        <v>25</v>
      </c>
      <c r="G1812">
        <v>25</v>
      </c>
      <c r="H1812" t="s">
        <v>2661</v>
      </c>
      <c r="I1812" s="1">
        <v>37192</v>
      </c>
      <c r="J1812" s="1">
        <v>37333</v>
      </c>
      <c r="K1812" t="s">
        <v>1124</v>
      </c>
      <c r="L1812" t="s">
        <v>1124</v>
      </c>
      <c r="M1812" s="1">
        <v>37335</v>
      </c>
      <c r="N1812" s="1">
        <v>37360</v>
      </c>
      <c r="O1812" t="s">
        <v>1117</v>
      </c>
      <c r="P1812">
        <v>19</v>
      </c>
      <c r="Q1812" t="s">
        <v>2662</v>
      </c>
      <c r="R1812">
        <f t="shared" si="57"/>
        <v>16</v>
      </c>
      <c r="S1812">
        <f t="shared" si="58"/>
        <v>1</v>
      </c>
    </row>
    <row r="1813" spans="1:19" x14ac:dyDescent="0.25">
      <c r="A1813" t="s">
        <v>2937</v>
      </c>
      <c r="B1813" t="s">
        <v>4028</v>
      </c>
      <c r="C1813">
        <v>2.5</v>
      </c>
      <c r="D1813">
        <v>605</v>
      </c>
      <c r="E1813">
        <v>0</v>
      </c>
      <c r="F1813">
        <v>10</v>
      </c>
      <c r="G1813">
        <v>10</v>
      </c>
      <c r="H1813" t="s">
        <v>2661</v>
      </c>
      <c r="I1813" s="1">
        <v>37126</v>
      </c>
      <c r="J1813" s="1">
        <v>37345</v>
      </c>
      <c r="K1813" s="1">
        <v>37347</v>
      </c>
      <c r="L1813" s="1">
        <v>37347</v>
      </c>
      <c r="M1813" s="1">
        <v>37345</v>
      </c>
      <c r="N1813" s="1">
        <v>37345</v>
      </c>
      <c r="O1813" t="s">
        <v>1117</v>
      </c>
      <c r="P1813">
        <v>3</v>
      </c>
      <c r="Q1813" t="s">
        <v>2662</v>
      </c>
      <c r="R1813">
        <f t="shared" si="57"/>
        <v>13</v>
      </c>
      <c r="S1813">
        <f t="shared" si="58"/>
        <v>1</v>
      </c>
    </row>
    <row r="1814" spans="1:19" x14ac:dyDescent="0.25">
      <c r="A1814" t="s">
        <v>2938</v>
      </c>
      <c r="B1814" t="s">
        <v>3521</v>
      </c>
      <c r="C1814">
        <v>2.2999999999999998</v>
      </c>
      <c r="D1814">
        <v>535</v>
      </c>
      <c r="E1814">
        <v>0</v>
      </c>
      <c r="F1814">
        <v>26</v>
      </c>
      <c r="G1814">
        <v>26</v>
      </c>
      <c r="H1814" t="s">
        <v>2661</v>
      </c>
      <c r="I1814" s="1">
        <v>37192</v>
      </c>
      <c r="J1814" s="1">
        <v>37333</v>
      </c>
      <c r="K1814" t="s">
        <v>1124</v>
      </c>
      <c r="L1814" t="s">
        <v>1124</v>
      </c>
      <c r="M1814" s="1">
        <v>37337</v>
      </c>
      <c r="N1814" s="1">
        <v>37339</v>
      </c>
      <c r="O1814" t="s">
        <v>1117</v>
      </c>
      <c r="P1814">
        <v>4</v>
      </c>
      <c r="Q1814" t="s">
        <v>2662</v>
      </c>
      <c r="R1814">
        <f t="shared" si="57"/>
        <v>13</v>
      </c>
      <c r="S1814">
        <f t="shared" si="58"/>
        <v>1</v>
      </c>
    </row>
    <row r="1815" spans="1:19" x14ac:dyDescent="0.25">
      <c r="A1815" t="s">
        <v>2939</v>
      </c>
      <c r="B1815" t="s">
        <v>1199</v>
      </c>
      <c r="C1815">
        <v>3</v>
      </c>
      <c r="D1815">
        <v>1250</v>
      </c>
      <c r="E1815">
        <v>0</v>
      </c>
      <c r="F1815">
        <v>6</v>
      </c>
      <c r="G1815">
        <v>6</v>
      </c>
      <c r="H1815" t="s">
        <v>2661</v>
      </c>
      <c r="I1815" s="1">
        <v>37126</v>
      </c>
      <c r="J1815" s="1">
        <v>37319</v>
      </c>
      <c r="K1815" s="1">
        <v>37319</v>
      </c>
      <c r="L1815" s="1">
        <v>37319</v>
      </c>
      <c r="M1815" s="1">
        <v>37321</v>
      </c>
      <c r="N1815" s="1">
        <v>37353</v>
      </c>
      <c r="O1815" t="s">
        <v>1114</v>
      </c>
      <c r="P1815">
        <v>1</v>
      </c>
      <c r="Q1815" t="s">
        <v>2662</v>
      </c>
      <c r="R1815">
        <f t="shared" si="57"/>
        <v>15</v>
      </c>
      <c r="S1815">
        <f t="shared" si="58"/>
        <v>1</v>
      </c>
    </row>
    <row r="1816" spans="1:19" x14ac:dyDescent="0.25">
      <c r="A1816" t="s">
        <v>2940</v>
      </c>
      <c r="B1816" t="s">
        <v>4028</v>
      </c>
      <c r="C1816">
        <v>2</v>
      </c>
      <c r="D1816">
        <v>580</v>
      </c>
      <c r="E1816">
        <v>0</v>
      </c>
      <c r="F1816">
        <v>29</v>
      </c>
      <c r="G1816">
        <v>29</v>
      </c>
      <c r="H1816" t="s">
        <v>2661</v>
      </c>
      <c r="I1816" s="1">
        <v>37201</v>
      </c>
      <c r="J1816" s="1">
        <v>37333</v>
      </c>
      <c r="K1816" s="1">
        <v>37360</v>
      </c>
      <c r="L1816" s="1">
        <v>37360</v>
      </c>
      <c r="M1816" s="1">
        <v>37360</v>
      </c>
      <c r="N1816" s="1">
        <v>37360</v>
      </c>
      <c r="O1816" t="s">
        <v>1117</v>
      </c>
      <c r="P1816">
        <v>18</v>
      </c>
      <c r="Q1816" t="s">
        <v>2662</v>
      </c>
      <c r="R1816">
        <f t="shared" si="57"/>
        <v>16</v>
      </c>
      <c r="S1816">
        <f t="shared" si="58"/>
        <v>1</v>
      </c>
    </row>
    <row r="1817" spans="1:19" x14ac:dyDescent="0.25">
      <c r="A1817" t="s">
        <v>2941</v>
      </c>
      <c r="B1817" t="s">
        <v>1199</v>
      </c>
      <c r="C1817">
        <v>2</v>
      </c>
      <c r="D1817">
        <v>555</v>
      </c>
      <c r="E1817">
        <v>0</v>
      </c>
      <c r="F1817">
        <v>27</v>
      </c>
      <c r="G1817">
        <v>27</v>
      </c>
      <c r="H1817" t="s">
        <v>2661</v>
      </c>
      <c r="I1817" s="1">
        <v>37201</v>
      </c>
      <c r="J1817" s="1">
        <v>37333</v>
      </c>
      <c r="K1817" s="1">
        <v>37360</v>
      </c>
      <c r="L1817" s="1">
        <v>37360</v>
      </c>
      <c r="M1817" s="1">
        <v>37360</v>
      </c>
      <c r="N1817" s="1">
        <v>37360</v>
      </c>
      <c r="O1817" t="s">
        <v>1117</v>
      </c>
      <c r="P1817">
        <v>20</v>
      </c>
      <c r="Q1817" t="s">
        <v>2662</v>
      </c>
      <c r="R1817">
        <f t="shared" si="57"/>
        <v>16</v>
      </c>
      <c r="S1817">
        <f t="shared" si="58"/>
        <v>1</v>
      </c>
    </row>
    <row r="1818" spans="1:19" x14ac:dyDescent="0.25">
      <c r="A1818" t="s">
        <v>2942</v>
      </c>
      <c r="B1818" t="s">
        <v>1199</v>
      </c>
      <c r="C1818">
        <v>3</v>
      </c>
      <c r="D1818">
        <v>1250</v>
      </c>
      <c r="E1818">
        <v>0</v>
      </c>
      <c r="F1818">
        <v>5</v>
      </c>
      <c r="G1818">
        <v>5</v>
      </c>
      <c r="H1818" t="s">
        <v>2661</v>
      </c>
      <c r="I1818" s="1">
        <v>37125</v>
      </c>
      <c r="J1818" s="1">
        <v>37320</v>
      </c>
      <c r="K1818" s="1">
        <v>37332</v>
      </c>
      <c r="L1818" s="1">
        <v>37332</v>
      </c>
      <c r="M1818" s="1">
        <v>37339</v>
      </c>
      <c r="N1818" s="1">
        <v>37339</v>
      </c>
      <c r="O1818" t="s">
        <v>1117</v>
      </c>
      <c r="P1818">
        <v>1</v>
      </c>
      <c r="Q1818" t="s">
        <v>2662</v>
      </c>
      <c r="R1818">
        <f t="shared" si="57"/>
        <v>13</v>
      </c>
      <c r="S1818">
        <f t="shared" si="58"/>
        <v>1</v>
      </c>
    </row>
    <row r="1819" spans="1:19" x14ac:dyDescent="0.25">
      <c r="A1819" t="s">
        <v>2943</v>
      </c>
      <c r="B1819" t="s">
        <v>4028</v>
      </c>
      <c r="C1819">
        <v>2</v>
      </c>
      <c r="D1819">
        <v>510</v>
      </c>
      <c r="E1819">
        <v>0</v>
      </c>
      <c r="F1819">
        <v>18</v>
      </c>
      <c r="G1819">
        <v>18</v>
      </c>
      <c r="H1819" t="s">
        <v>2661</v>
      </c>
      <c r="I1819" s="1">
        <v>37201</v>
      </c>
      <c r="J1819" s="1">
        <v>37333</v>
      </c>
      <c r="K1819" s="1">
        <v>37360</v>
      </c>
      <c r="L1819" s="1">
        <v>37360</v>
      </c>
      <c r="M1819" s="1">
        <v>37360</v>
      </c>
      <c r="N1819" s="1">
        <v>37360</v>
      </c>
      <c r="O1819" t="s">
        <v>1117</v>
      </c>
      <c r="P1819">
        <v>17</v>
      </c>
      <c r="Q1819" t="s">
        <v>2662</v>
      </c>
      <c r="R1819">
        <f t="shared" si="57"/>
        <v>16</v>
      </c>
      <c r="S1819">
        <f t="shared" si="58"/>
        <v>1</v>
      </c>
    </row>
    <row r="1820" spans="1:19" x14ac:dyDescent="0.25">
      <c r="A1820" t="s">
        <v>2944</v>
      </c>
      <c r="B1820" t="s">
        <v>4026</v>
      </c>
      <c r="C1820">
        <v>2</v>
      </c>
      <c r="D1820">
        <v>555</v>
      </c>
      <c r="E1820">
        <v>0</v>
      </c>
      <c r="F1820">
        <v>27</v>
      </c>
      <c r="G1820">
        <v>27</v>
      </c>
      <c r="H1820" t="s">
        <v>2661</v>
      </c>
      <c r="I1820" s="1">
        <v>37201</v>
      </c>
      <c r="J1820" s="1">
        <v>37310</v>
      </c>
      <c r="K1820" s="1">
        <v>37352</v>
      </c>
      <c r="L1820" s="1">
        <v>37352</v>
      </c>
      <c r="M1820" s="1">
        <v>37352</v>
      </c>
      <c r="N1820" s="1">
        <v>37360</v>
      </c>
      <c r="O1820" t="s">
        <v>1117</v>
      </c>
      <c r="P1820">
        <v>20</v>
      </c>
      <c r="Q1820" t="s">
        <v>2662</v>
      </c>
      <c r="R1820">
        <f t="shared" si="57"/>
        <v>16</v>
      </c>
      <c r="S1820">
        <f t="shared" si="58"/>
        <v>1</v>
      </c>
    </row>
    <row r="1821" spans="1:19" x14ac:dyDescent="0.25">
      <c r="A1821" t="s">
        <v>2945</v>
      </c>
      <c r="B1821" t="s">
        <v>4028</v>
      </c>
      <c r="C1821">
        <v>6</v>
      </c>
      <c r="D1821">
        <v>1250</v>
      </c>
      <c r="E1821">
        <v>0</v>
      </c>
      <c r="F1821">
        <v>6</v>
      </c>
      <c r="G1821">
        <v>6</v>
      </c>
      <c r="H1821" t="s">
        <v>2661</v>
      </c>
      <c r="I1821" s="1">
        <v>37130</v>
      </c>
      <c r="J1821" s="1">
        <v>37319</v>
      </c>
      <c r="K1821" s="1">
        <v>37319</v>
      </c>
      <c r="L1821" s="1">
        <v>37319</v>
      </c>
      <c r="M1821" s="1">
        <v>37322</v>
      </c>
      <c r="N1821" s="1">
        <v>37331</v>
      </c>
      <c r="O1821" t="s">
        <v>1114</v>
      </c>
      <c r="P1821">
        <v>1</v>
      </c>
      <c r="Q1821" t="s">
        <v>2662</v>
      </c>
      <c r="R1821">
        <f t="shared" si="57"/>
        <v>11</v>
      </c>
      <c r="S1821">
        <f t="shared" si="58"/>
        <v>1</v>
      </c>
    </row>
    <row r="1822" spans="1:19" x14ac:dyDescent="0.25">
      <c r="A1822" t="s">
        <v>2946</v>
      </c>
      <c r="B1822" t="s">
        <v>4028</v>
      </c>
      <c r="C1822">
        <v>6</v>
      </c>
      <c r="D1822">
        <v>1250</v>
      </c>
      <c r="E1822">
        <v>0</v>
      </c>
      <c r="F1822">
        <v>6</v>
      </c>
      <c r="G1822">
        <v>6</v>
      </c>
      <c r="H1822" t="s">
        <v>2661</v>
      </c>
      <c r="I1822" s="1">
        <v>37126</v>
      </c>
      <c r="J1822" s="1">
        <v>37319</v>
      </c>
      <c r="K1822" s="1">
        <v>37324</v>
      </c>
      <c r="L1822" s="1">
        <v>37324</v>
      </c>
      <c r="M1822" s="1">
        <v>37331</v>
      </c>
      <c r="N1822" s="1">
        <v>37331</v>
      </c>
      <c r="O1822" t="s">
        <v>1117</v>
      </c>
      <c r="P1822">
        <v>2</v>
      </c>
      <c r="Q1822" t="s">
        <v>2662</v>
      </c>
      <c r="R1822">
        <f t="shared" si="57"/>
        <v>11</v>
      </c>
      <c r="S1822">
        <f t="shared" si="58"/>
        <v>1</v>
      </c>
    </row>
    <row r="1823" spans="1:19" x14ac:dyDescent="0.25">
      <c r="A1823" t="s">
        <v>2947</v>
      </c>
      <c r="B1823" t="s">
        <v>1199</v>
      </c>
      <c r="C1823">
        <v>5</v>
      </c>
      <c r="D1823">
        <v>1250</v>
      </c>
      <c r="E1823">
        <v>0</v>
      </c>
      <c r="F1823">
        <v>6</v>
      </c>
      <c r="G1823">
        <v>6</v>
      </c>
      <c r="H1823" t="s">
        <v>2661</v>
      </c>
      <c r="I1823" s="1">
        <v>37133</v>
      </c>
      <c r="J1823" s="1">
        <v>37319</v>
      </c>
      <c r="K1823" s="1">
        <v>37330</v>
      </c>
      <c r="L1823" s="1">
        <v>37330</v>
      </c>
      <c r="M1823" s="1">
        <v>37330</v>
      </c>
      <c r="N1823" s="1">
        <v>37330</v>
      </c>
      <c r="O1823" t="s">
        <v>1117</v>
      </c>
      <c r="P1823">
        <v>3</v>
      </c>
      <c r="Q1823" t="s">
        <v>2662</v>
      </c>
      <c r="R1823">
        <f t="shared" si="57"/>
        <v>11</v>
      </c>
      <c r="S1823">
        <f t="shared" si="58"/>
        <v>1</v>
      </c>
    </row>
    <row r="1824" spans="1:19" x14ac:dyDescent="0.25">
      <c r="A1824" t="s">
        <v>2948</v>
      </c>
      <c r="B1824" t="s">
        <v>1199</v>
      </c>
      <c r="C1824">
        <v>2</v>
      </c>
      <c r="D1824">
        <v>640</v>
      </c>
      <c r="E1824">
        <v>0</v>
      </c>
      <c r="F1824">
        <v>20</v>
      </c>
      <c r="G1824">
        <v>20</v>
      </c>
      <c r="H1824" t="s">
        <v>2661</v>
      </c>
      <c r="I1824" s="1">
        <v>37201</v>
      </c>
      <c r="J1824" s="1">
        <v>37333</v>
      </c>
      <c r="K1824" s="1">
        <v>37340</v>
      </c>
      <c r="L1824" s="1">
        <v>37340</v>
      </c>
      <c r="M1824" s="1">
        <v>37334</v>
      </c>
      <c r="N1824" s="1">
        <v>37346</v>
      </c>
      <c r="O1824" t="s">
        <v>1117</v>
      </c>
      <c r="P1824">
        <v>11</v>
      </c>
      <c r="Q1824" t="s">
        <v>2662</v>
      </c>
      <c r="R1824">
        <f t="shared" si="57"/>
        <v>14</v>
      </c>
      <c r="S1824">
        <f t="shared" si="58"/>
        <v>1</v>
      </c>
    </row>
    <row r="1825" spans="1:19" x14ac:dyDescent="0.25">
      <c r="A1825" t="s">
        <v>2949</v>
      </c>
      <c r="B1825" t="s">
        <v>4028</v>
      </c>
      <c r="C1825">
        <v>2</v>
      </c>
      <c r="D1825">
        <v>600</v>
      </c>
      <c r="E1825">
        <v>0</v>
      </c>
      <c r="F1825">
        <v>20</v>
      </c>
      <c r="G1825">
        <v>20</v>
      </c>
      <c r="H1825" t="s">
        <v>2661</v>
      </c>
      <c r="I1825" s="1">
        <v>37201</v>
      </c>
      <c r="J1825" s="1">
        <v>37315</v>
      </c>
      <c r="K1825" s="1">
        <v>37340</v>
      </c>
      <c r="L1825" s="1">
        <v>37340</v>
      </c>
      <c r="M1825" s="1">
        <v>37333</v>
      </c>
      <c r="N1825" s="1">
        <v>37360</v>
      </c>
      <c r="O1825" t="s">
        <v>1117</v>
      </c>
      <c r="P1825">
        <v>12</v>
      </c>
      <c r="Q1825" t="s">
        <v>2662</v>
      </c>
      <c r="R1825">
        <f t="shared" si="57"/>
        <v>16</v>
      </c>
      <c r="S1825">
        <f t="shared" si="58"/>
        <v>1</v>
      </c>
    </row>
    <row r="1826" spans="1:19" x14ac:dyDescent="0.25">
      <c r="A1826" t="s">
        <v>2950</v>
      </c>
      <c r="B1826" t="s">
        <v>1199</v>
      </c>
      <c r="C1826">
        <v>4</v>
      </c>
      <c r="D1826">
        <v>1250</v>
      </c>
      <c r="E1826">
        <v>0</v>
      </c>
      <c r="F1826">
        <v>12</v>
      </c>
      <c r="G1826">
        <v>12</v>
      </c>
      <c r="H1826" t="s">
        <v>2661</v>
      </c>
      <c r="I1826" s="1">
        <v>37159</v>
      </c>
      <c r="J1826" s="1">
        <v>37325</v>
      </c>
      <c r="K1826" s="1">
        <v>37332</v>
      </c>
      <c r="L1826" s="1">
        <v>37332</v>
      </c>
      <c r="M1826" s="1">
        <v>37332</v>
      </c>
      <c r="N1826" s="1">
        <v>37332</v>
      </c>
      <c r="O1826" t="s">
        <v>1117</v>
      </c>
      <c r="P1826">
        <v>3</v>
      </c>
      <c r="Q1826" t="s">
        <v>2662</v>
      </c>
      <c r="R1826">
        <f t="shared" si="57"/>
        <v>12</v>
      </c>
      <c r="S1826">
        <f t="shared" si="58"/>
        <v>1</v>
      </c>
    </row>
    <row r="1827" spans="1:19" x14ac:dyDescent="0.25">
      <c r="A1827" t="s">
        <v>2951</v>
      </c>
      <c r="B1827" t="s">
        <v>1199</v>
      </c>
      <c r="C1827">
        <v>2</v>
      </c>
      <c r="D1827">
        <v>560</v>
      </c>
      <c r="E1827">
        <v>0</v>
      </c>
      <c r="F1827">
        <v>10</v>
      </c>
      <c r="G1827">
        <v>10</v>
      </c>
      <c r="H1827" t="s">
        <v>2661</v>
      </c>
      <c r="I1827" s="1">
        <v>37159</v>
      </c>
      <c r="J1827" s="1">
        <v>37319</v>
      </c>
      <c r="K1827" s="1">
        <v>37322</v>
      </c>
      <c r="L1827" s="1">
        <v>37322</v>
      </c>
      <c r="M1827" s="1">
        <v>37321</v>
      </c>
      <c r="N1827" s="1">
        <v>37321</v>
      </c>
      <c r="O1827" t="s">
        <v>1117</v>
      </c>
      <c r="P1827">
        <v>4</v>
      </c>
      <c r="Q1827" t="s">
        <v>2855</v>
      </c>
      <c r="R1827">
        <f t="shared" si="57"/>
        <v>10</v>
      </c>
      <c r="S1827">
        <f t="shared" si="58"/>
        <v>1</v>
      </c>
    </row>
    <row r="1828" spans="1:19" x14ac:dyDescent="0.25">
      <c r="A1828" t="s">
        <v>2952</v>
      </c>
      <c r="B1828" t="s">
        <v>4026</v>
      </c>
      <c r="C1828">
        <v>2</v>
      </c>
      <c r="D1828">
        <v>1100</v>
      </c>
      <c r="E1828">
        <v>0</v>
      </c>
      <c r="F1828">
        <v>200</v>
      </c>
      <c r="G1828">
        <v>126.024</v>
      </c>
      <c r="H1828" t="s">
        <v>2661</v>
      </c>
      <c r="I1828" s="1">
        <v>37123</v>
      </c>
      <c r="J1828" s="1">
        <v>37345</v>
      </c>
      <c r="K1828" s="1">
        <v>37352</v>
      </c>
      <c r="L1828" s="1">
        <v>37352</v>
      </c>
      <c r="M1828" s="1">
        <v>37352</v>
      </c>
      <c r="N1828" s="1">
        <v>37352</v>
      </c>
      <c r="O1828" t="s">
        <v>1117</v>
      </c>
      <c r="P1828">
        <v>1</v>
      </c>
      <c r="Q1828" t="s">
        <v>2662</v>
      </c>
      <c r="R1828">
        <f t="shared" si="57"/>
        <v>14</v>
      </c>
      <c r="S1828">
        <f t="shared" si="58"/>
        <v>0</v>
      </c>
    </row>
    <row r="1829" spans="1:19" x14ac:dyDescent="0.25">
      <c r="A1829" t="s">
        <v>2953</v>
      </c>
      <c r="B1829" t="s">
        <v>4028</v>
      </c>
      <c r="C1829">
        <v>2.2999999999999998</v>
      </c>
      <c r="D1829">
        <v>625</v>
      </c>
      <c r="E1829">
        <v>0</v>
      </c>
      <c r="F1829">
        <v>20</v>
      </c>
      <c r="G1829">
        <v>20</v>
      </c>
      <c r="H1829" t="s">
        <v>2661</v>
      </c>
      <c r="I1829" s="1">
        <v>37201</v>
      </c>
      <c r="J1829" s="1">
        <v>37333</v>
      </c>
      <c r="K1829" s="1">
        <v>37345</v>
      </c>
      <c r="L1829" s="1">
        <v>37345</v>
      </c>
      <c r="M1829" s="1">
        <v>37345</v>
      </c>
      <c r="N1829" s="1">
        <v>37345</v>
      </c>
      <c r="O1829" t="s">
        <v>1117</v>
      </c>
      <c r="P1829">
        <v>1</v>
      </c>
      <c r="Q1829" t="s">
        <v>2662</v>
      </c>
      <c r="R1829">
        <f t="shared" si="57"/>
        <v>13</v>
      </c>
      <c r="S1829">
        <f t="shared" si="58"/>
        <v>1</v>
      </c>
    </row>
    <row r="1830" spans="1:19" x14ac:dyDescent="0.25">
      <c r="A1830" t="s">
        <v>2954</v>
      </c>
      <c r="B1830" t="s">
        <v>4028</v>
      </c>
      <c r="C1830">
        <v>2</v>
      </c>
      <c r="D1830">
        <v>650</v>
      </c>
      <c r="E1830">
        <v>0</v>
      </c>
      <c r="F1830">
        <v>20</v>
      </c>
      <c r="G1830">
        <v>20</v>
      </c>
      <c r="H1830" t="s">
        <v>2661</v>
      </c>
      <c r="I1830" s="1">
        <v>37201</v>
      </c>
      <c r="J1830" s="1">
        <v>37333</v>
      </c>
      <c r="K1830" s="1">
        <v>37340</v>
      </c>
      <c r="L1830" s="1">
        <v>37340</v>
      </c>
      <c r="M1830" s="1">
        <v>37333</v>
      </c>
      <c r="N1830" s="1">
        <v>37346</v>
      </c>
      <c r="O1830" t="s">
        <v>1117</v>
      </c>
      <c r="P1830">
        <v>13</v>
      </c>
      <c r="Q1830" t="s">
        <v>2662</v>
      </c>
      <c r="R1830">
        <f t="shared" si="57"/>
        <v>14</v>
      </c>
      <c r="S1830">
        <f t="shared" si="58"/>
        <v>1</v>
      </c>
    </row>
    <row r="1831" spans="1:19" x14ac:dyDescent="0.25">
      <c r="A1831" t="s">
        <v>2955</v>
      </c>
      <c r="B1831" t="s">
        <v>1199</v>
      </c>
      <c r="C1831">
        <v>2</v>
      </c>
      <c r="D1831">
        <v>590</v>
      </c>
      <c r="E1831">
        <v>0</v>
      </c>
      <c r="F1831">
        <v>20</v>
      </c>
      <c r="G1831">
        <v>20</v>
      </c>
      <c r="H1831" t="s">
        <v>2661</v>
      </c>
      <c r="I1831" s="1">
        <v>37201</v>
      </c>
      <c r="J1831" s="1">
        <v>37333</v>
      </c>
      <c r="K1831" s="1">
        <v>37343</v>
      </c>
      <c r="L1831" s="1">
        <v>37343</v>
      </c>
      <c r="M1831" s="1">
        <v>37336</v>
      </c>
      <c r="N1831" s="1">
        <v>37360</v>
      </c>
      <c r="O1831" t="s">
        <v>1117</v>
      </c>
      <c r="P1831">
        <v>8</v>
      </c>
      <c r="Q1831" t="s">
        <v>2662</v>
      </c>
      <c r="R1831">
        <f t="shared" si="57"/>
        <v>16</v>
      </c>
      <c r="S1831">
        <f t="shared" si="58"/>
        <v>1</v>
      </c>
    </row>
    <row r="1832" spans="1:19" x14ac:dyDescent="0.25">
      <c r="A1832" t="s">
        <v>2956</v>
      </c>
      <c r="B1832" t="s">
        <v>1199</v>
      </c>
      <c r="C1832">
        <v>2.2999999999999998</v>
      </c>
      <c r="D1832">
        <v>640</v>
      </c>
      <c r="E1832">
        <v>0</v>
      </c>
      <c r="F1832">
        <v>20</v>
      </c>
      <c r="G1832">
        <v>20</v>
      </c>
      <c r="H1832" t="s">
        <v>2661</v>
      </c>
      <c r="I1832" s="1">
        <v>37201</v>
      </c>
      <c r="J1832" s="1">
        <v>37333</v>
      </c>
      <c r="K1832" t="s">
        <v>1124</v>
      </c>
      <c r="L1832" t="s">
        <v>1124</v>
      </c>
      <c r="M1832" s="1">
        <v>37337</v>
      </c>
      <c r="N1832" s="1">
        <v>37339</v>
      </c>
      <c r="O1832" t="s">
        <v>1117</v>
      </c>
      <c r="P1832">
        <v>3</v>
      </c>
      <c r="Q1832" t="s">
        <v>2662</v>
      </c>
      <c r="R1832">
        <f t="shared" si="57"/>
        <v>13</v>
      </c>
      <c r="S1832">
        <f t="shared" si="58"/>
        <v>1</v>
      </c>
    </row>
    <row r="1833" spans="1:19" x14ac:dyDescent="0.25">
      <c r="A1833" t="s">
        <v>2957</v>
      </c>
      <c r="B1833" t="s">
        <v>4026</v>
      </c>
      <c r="C1833">
        <v>6</v>
      </c>
      <c r="D1833">
        <v>1250</v>
      </c>
      <c r="E1833">
        <v>0</v>
      </c>
      <c r="F1833">
        <v>6</v>
      </c>
      <c r="G1833">
        <v>6</v>
      </c>
      <c r="H1833" t="s">
        <v>2661</v>
      </c>
      <c r="I1833" s="1">
        <v>37133</v>
      </c>
      <c r="J1833" s="1">
        <v>37319</v>
      </c>
      <c r="K1833" s="1">
        <v>37324</v>
      </c>
      <c r="L1833" s="1">
        <v>37324</v>
      </c>
      <c r="M1833" s="1">
        <v>37331</v>
      </c>
      <c r="N1833" s="1">
        <v>37331</v>
      </c>
      <c r="O1833" t="s">
        <v>1117</v>
      </c>
      <c r="P1833">
        <v>4</v>
      </c>
      <c r="Q1833" t="s">
        <v>2662</v>
      </c>
      <c r="R1833">
        <f t="shared" si="57"/>
        <v>11</v>
      </c>
      <c r="S1833">
        <f t="shared" si="58"/>
        <v>1</v>
      </c>
    </row>
    <row r="1834" spans="1:19" x14ac:dyDescent="0.25">
      <c r="A1834" t="s">
        <v>2958</v>
      </c>
      <c r="B1834" t="s">
        <v>1199</v>
      </c>
      <c r="C1834">
        <v>2</v>
      </c>
      <c r="D1834">
        <v>625</v>
      </c>
      <c r="E1834">
        <v>0</v>
      </c>
      <c r="F1834">
        <v>20</v>
      </c>
      <c r="G1834">
        <v>20</v>
      </c>
      <c r="H1834" t="s">
        <v>2661</v>
      </c>
      <c r="I1834" s="1">
        <v>37201</v>
      </c>
      <c r="J1834" s="1">
        <v>37333</v>
      </c>
      <c r="K1834" s="1">
        <v>37340</v>
      </c>
      <c r="L1834" s="1">
        <v>37340</v>
      </c>
      <c r="M1834" s="1">
        <v>37334</v>
      </c>
      <c r="N1834" s="1">
        <v>37387</v>
      </c>
      <c r="O1834" t="s">
        <v>1117</v>
      </c>
      <c r="P1834">
        <v>9</v>
      </c>
      <c r="Q1834" t="s">
        <v>2662</v>
      </c>
      <c r="R1834">
        <f t="shared" si="57"/>
        <v>19</v>
      </c>
      <c r="S1834">
        <f t="shared" si="58"/>
        <v>1</v>
      </c>
    </row>
    <row r="1835" spans="1:19" x14ac:dyDescent="0.25">
      <c r="A1835" t="s">
        <v>2959</v>
      </c>
      <c r="B1835" t="s">
        <v>4027</v>
      </c>
      <c r="C1835">
        <v>2</v>
      </c>
      <c r="D1835">
        <v>550</v>
      </c>
      <c r="E1835">
        <v>0</v>
      </c>
      <c r="F1835">
        <v>27</v>
      </c>
      <c r="G1835">
        <v>27</v>
      </c>
      <c r="H1835" t="s">
        <v>2661</v>
      </c>
      <c r="I1835" s="1">
        <v>37201</v>
      </c>
      <c r="J1835" s="1">
        <v>37313</v>
      </c>
      <c r="K1835" s="1">
        <v>37352</v>
      </c>
      <c r="L1835" s="1">
        <v>37352</v>
      </c>
      <c r="M1835" s="1">
        <v>37352</v>
      </c>
      <c r="N1835" s="1">
        <v>37360</v>
      </c>
      <c r="O1835" t="s">
        <v>1117</v>
      </c>
      <c r="P1835">
        <v>16</v>
      </c>
      <c r="Q1835" t="s">
        <v>2662</v>
      </c>
      <c r="R1835">
        <f t="shared" si="57"/>
        <v>16</v>
      </c>
      <c r="S1835">
        <f t="shared" si="58"/>
        <v>1</v>
      </c>
    </row>
    <row r="1836" spans="1:19" x14ac:dyDescent="0.25">
      <c r="A1836" t="s">
        <v>2960</v>
      </c>
      <c r="B1836" t="s">
        <v>4028</v>
      </c>
      <c r="C1836">
        <v>2</v>
      </c>
      <c r="D1836">
        <v>535</v>
      </c>
      <c r="E1836">
        <v>0</v>
      </c>
      <c r="F1836">
        <v>9</v>
      </c>
      <c r="G1836">
        <v>9</v>
      </c>
      <c r="H1836" t="s">
        <v>2661</v>
      </c>
      <c r="I1836" s="1">
        <v>37201</v>
      </c>
      <c r="J1836" s="1">
        <v>37333</v>
      </c>
      <c r="K1836" s="1">
        <v>37353</v>
      </c>
      <c r="L1836" s="1">
        <v>37353</v>
      </c>
      <c r="M1836" s="1">
        <v>37353</v>
      </c>
      <c r="N1836" s="1">
        <v>37353</v>
      </c>
      <c r="O1836" t="s">
        <v>1117</v>
      </c>
      <c r="P1836">
        <v>7</v>
      </c>
      <c r="Q1836" t="s">
        <v>2662</v>
      </c>
      <c r="R1836">
        <f t="shared" si="57"/>
        <v>15</v>
      </c>
      <c r="S1836">
        <f t="shared" si="58"/>
        <v>1</v>
      </c>
    </row>
    <row r="1837" spans="1:19" x14ac:dyDescent="0.25">
      <c r="A1837" t="s">
        <v>2961</v>
      </c>
      <c r="B1837" t="s">
        <v>4028</v>
      </c>
      <c r="C1837">
        <v>2</v>
      </c>
      <c r="D1837">
        <v>580</v>
      </c>
      <c r="E1837">
        <v>0</v>
      </c>
      <c r="F1837">
        <v>29</v>
      </c>
      <c r="G1837">
        <v>29</v>
      </c>
      <c r="H1837" t="s">
        <v>2661</v>
      </c>
      <c r="I1837" s="1">
        <v>37201</v>
      </c>
      <c r="J1837" s="1">
        <v>37333</v>
      </c>
      <c r="K1837" s="1">
        <v>37359</v>
      </c>
      <c r="L1837" s="1">
        <v>37359</v>
      </c>
      <c r="M1837" s="1">
        <v>37353</v>
      </c>
      <c r="N1837" s="1">
        <v>37360</v>
      </c>
      <c r="O1837" t="s">
        <v>1117</v>
      </c>
      <c r="P1837">
        <v>18</v>
      </c>
      <c r="Q1837" t="s">
        <v>2662</v>
      </c>
      <c r="R1837">
        <f t="shared" si="57"/>
        <v>16</v>
      </c>
      <c r="S1837">
        <f t="shared" si="58"/>
        <v>1</v>
      </c>
    </row>
    <row r="1838" spans="1:19" x14ac:dyDescent="0.25">
      <c r="A1838" t="s">
        <v>2962</v>
      </c>
      <c r="B1838" t="s">
        <v>4028</v>
      </c>
      <c r="C1838">
        <v>2</v>
      </c>
      <c r="D1838">
        <v>1250</v>
      </c>
      <c r="E1838">
        <v>0</v>
      </c>
      <c r="F1838">
        <v>20</v>
      </c>
      <c r="G1838">
        <v>20</v>
      </c>
      <c r="H1838" t="s">
        <v>2661</v>
      </c>
      <c r="I1838" s="1">
        <v>37343</v>
      </c>
      <c r="J1838" s="1">
        <v>37384</v>
      </c>
      <c r="K1838" t="s">
        <v>1124</v>
      </c>
      <c r="L1838" t="s">
        <v>1124</v>
      </c>
      <c r="M1838" t="s">
        <v>1124</v>
      </c>
      <c r="N1838" s="1">
        <v>37368</v>
      </c>
      <c r="O1838" t="s">
        <v>1117</v>
      </c>
      <c r="P1838">
        <v>1</v>
      </c>
      <c r="Q1838" t="s">
        <v>2662</v>
      </c>
      <c r="R1838">
        <f t="shared" si="57"/>
        <v>17</v>
      </c>
      <c r="S1838">
        <f t="shared" si="58"/>
        <v>0</v>
      </c>
    </row>
    <row r="1839" spans="1:19" x14ac:dyDescent="0.25">
      <c r="A1839" t="s">
        <v>2963</v>
      </c>
      <c r="B1839" t="s">
        <v>3631</v>
      </c>
      <c r="C1839">
        <v>2</v>
      </c>
      <c r="D1839">
        <v>505</v>
      </c>
      <c r="E1839">
        <v>0</v>
      </c>
      <c r="F1839">
        <v>24</v>
      </c>
      <c r="G1839">
        <v>24</v>
      </c>
      <c r="H1839" t="s">
        <v>2661</v>
      </c>
      <c r="I1839" s="1">
        <v>37201</v>
      </c>
      <c r="J1839" s="1">
        <v>37333</v>
      </c>
      <c r="K1839" s="1">
        <v>37352</v>
      </c>
      <c r="L1839" s="1">
        <v>37352</v>
      </c>
      <c r="M1839" s="1">
        <v>37352</v>
      </c>
      <c r="N1839" s="1">
        <v>37360</v>
      </c>
      <c r="O1839" t="s">
        <v>1117</v>
      </c>
      <c r="P1839">
        <v>15</v>
      </c>
      <c r="Q1839" t="s">
        <v>2662</v>
      </c>
      <c r="R1839">
        <f t="shared" si="57"/>
        <v>16</v>
      </c>
      <c r="S1839">
        <f t="shared" si="58"/>
        <v>1</v>
      </c>
    </row>
    <row r="1840" spans="1:19" x14ac:dyDescent="0.25">
      <c r="A1840" t="s">
        <v>2964</v>
      </c>
      <c r="B1840" t="s">
        <v>1199</v>
      </c>
      <c r="C1840">
        <v>3</v>
      </c>
      <c r="D1840">
        <v>840</v>
      </c>
      <c r="E1840">
        <v>0</v>
      </c>
      <c r="F1840">
        <v>7</v>
      </c>
      <c r="G1840">
        <v>7</v>
      </c>
      <c r="H1840" t="s">
        <v>2661</v>
      </c>
      <c r="I1840" s="1">
        <v>37126</v>
      </c>
      <c r="J1840" s="1">
        <v>37345</v>
      </c>
      <c r="K1840" s="1">
        <v>37345</v>
      </c>
      <c r="L1840" s="1">
        <v>37345</v>
      </c>
      <c r="M1840" s="1">
        <v>37345</v>
      </c>
      <c r="N1840" s="1">
        <v>37345</v>
      </c>
      <c r="O1840" t="s">
        <v>1114</v>
      </c>
      <c r="P1840">
        <v>11</v>
      </c>
      <c r="Q1840" t="s">
        <v>2662</v>
      </c>
      <c r="R1840">
        <f t="shared" si="57"/>
        <v>13</v>
      </c>
      <c r="S1840">
        <f t="shared" si="58"/>
        <v>1</v>
      </c>
    </row>
    <row r="1841" spans="1:19" x14ac:dyDescent="0.25">
      <c r="A1841" t="s">
        <v>2965</v>
      </c>
      <c r="B1841" t="s">
        <v>1199</v>
      </c>
      <c r="C1841">
        <v>4</v>
      </c>
      <c r="D1841">
        <v>1250</v>
      </c>
      <c r="E1841">
        <v>0</v>
      </c>
      <c r="F1841">
        <v>6</v>
      </c>
      <c r="G1841">
        <v>6</v>
      </c>
      <c r="H1841" t="s">
        <v>2661</v>
      </c>
      <c r="I1841" s="1">
        <v>37159</v>
      </c>
      <c r="J1841" s="1">
        <v>37325</v>
      </c>
      <c r="K1841" s="1">
        <v>37332</v>
      </c>
      <c r="L1841" s="1">
        <v>37332</v>
      </c>
      <c r="M1841" s="1">
        <v>37332</v>
      </c>
      <c r="N1841" s="1">
        <v>37332</v>
      </c>
      <c r="O1841" t="s">
        <v>1117</v>
      </c>
      <c r="P1841">
        <v>4</v>
      </c>
      <c r="Q1841" t="s">
        <v>2662</v>
      </c>
      <c r="R1841">
        <f t="shared" si="57"/>
        <v>12</v>
      </c>
      <c r="S1841">
        <f t="shared" si="58"/>
        <v>1</v>
      </c>
    </row>
    <row r="1842" spans="1:19" x14ac:dyDescent="0.25">
      <c r="A1842" t="s">
        <v>2966</v>
      </c>
      <c r="B1842" t="s">
        <v>1199</v>
      </c>
      <c r="C1842">
        <v>3</v>
      </c>
      <c r="D1842">
        <v>525</v>
      </c>
      <c r="E1842">
        <v>0</v>
      </c>
      <c r="F1842">
        <v>8.5</v>
      </c>
      <c r="G1842">
        <v>8.5</v>
      </c>
      <c r="H1842" t="s">
        <v>2661</v>
      </c>
      <c r="I1842" s="1">
        <v>37126</v>
      </c>
      <c r="J1842" s="1">
        <v>37345</v>
      </c>
      <c r="K1842" t="s">
        <v>1124</v>
      </c>
      <c r="L1842" t="s">
        <v>1124</v>
      </c>
      <c r="M1842" s="1">
        <v>37352</v>
      </c>
      <c r="N1842" s="1">
        <v>37352</v>
      </c>
      <c r="O1842" t="s">
        <v>1117</v>
      </c>
      <c r="P1842">
        <v>6</v>
      </c>
      <c r="Q1842" t="s">
        <v>2662</v>
      </c>
      <c r="R1842">
        <f t="shared" si="57"/>
        <v>14</v>
      </c>
      <c r="S1842">
        <f t="shared" si="58"/>
        <v>1</v>
      </c>
    </row>
    <row r="1843" spans="1:19" x14ac:dyDescent="0.25">
      <c r="A1843" t="s">
        <v>2967</v>
      </c>
      <c r="B1843" t="s">
        <v>4028</v>
      </c>
      <c r="C1843">
        <v>3</v>
      </c>
      <c r="D1843">
        <v>1250</v>
      </c>
      <c r="E1843">
        <v>0</v>
      </c>
      <c r="F1843">
        <v>8</v>
      </c>
      <c r="G1843">
        <v>8</v>
      </c>
      <c r="H1843" t="s">
        <v>2661</v>
      </c>
      <c r="I1843" s="1">
        <v>37125</v>
      </c>
      <c r="J1843" s="1">
        <v>37321</v>
      </c>
      <c r="K1843" s="1">
        <v>37321</v>
      </c>
      <c r="L1843" s="1">
        <v>37321</v>
      </c>
      <c r="M1843" s="1">
        <v>37322</v>
      </c>
      <c r="N1843" s="1">
        <v>37322</v>
      </c>
      <c r="O1843" t="s">
        <v>1114</v>
      </c>
      <c r="P1843">
        <v>1</v>
      </c>
      <c r="Q1843" t="s">
        <v>2662</v>
      </c>
      <c r="R1843">
        <f t="shared" si="57"/>
        <v>10</v>
      </c>
      <c r="S1843">
        <f t="shared" si="58"/>
        <v>1</v>
      </c>
    </row>
    <row r="1844" spans="1:19" x14ac:dyDescent="0.25">
      <c r="A1844" t="s">
        <v>2968</v>
      </c>
      <c r="B1844" t="s">
        <v>4028</v>
      </c>
      <c r="C1844">
        <v>3</v>
      </c>
      <c r="D1844">
        <v>1250</v>
      </c>
      <c r="E1844">
        <v>0</v>
      </c>
      <c r="F1844">
        <v>200</v>
      </c>
      <c r="G1844">
        <v>157.32300000000001</v>
      </c>
      <c r="H1844" t="s">
        <v>2661</v>
      </c>
      <c r="I1844" s="1">
        <v>37321</v>
      </c>
      <c r="J1844" s="1">
        <v>37336</v>
      </c>
      <c r="K1844" s="1">
        <v>37337</v>
      </c>
      <c r="L1844" s="1">
        <v>37337</v>
      </c>
      <c r="M1844" s="1">
        <v>37337</v>
      </c>
      <c r="N1844" s="1">
        <v>37337</v>
      </c>
      <c r="O1844" t="s">
        <v>1117</v>
      </c>
      <c r="P1844">
        <v>1</v>
      </c>
      <c r="Q1844" t="s">
        <v>2662</v>
      </c>
      <c r="R1844">
        <f t="shared" si="57"/>
        <v>12</v>
      </c>
      <c r="S1844">
        <f t="shared" si="58"/>
        <v>0</v>
      </c>
    </row>
    <row r="1845" spans="1:19" x14ac:dyDescent="0.25">
      <c r="A1845" t="s">
        <v>2969</v>
      </c>
      <c r="B1845" t="s">
        <v>4028</v>
      </c>
      <c r="C1845">
        <v>2.5</v>
      </c>
      <c r="D1845">
        <v>530</v>
      </c>
      <c r="E1845">
        <v>0</v>
      </c>
      <c r="F1845">
        <v>9</v>
      </c>
      <c r="G1845">
        <v>9</v>
      </c>
      <c r="H1845" t="s">
        <v>2661</v>
      </c>
      <c r="I1845" s="1">
        <v>37134</v>
      </c>
      <c r="J1845" s="1">
        <v>37325</v>
      </c>
      <c r="K1845" s="1">
        <v>37325</v>
      </c>
      <c r="L1845" s="1">
        <v>37325</v>
      </c>
      <c r="M1845" s="1">
        <v>37325</v>
      </c>
      <c r="N1845" s="1">
        <v>37325</v>
      </c>
      <c r="O1845" t="s">
        <v>1114</v>
      </c>
      <c r="P1845">
        <v>9</v>
      </c>
      <c r="Q1845" t="s">
        <v>2662</v>
      </c>
      <c r="R1845">
        <f t="shared" si="57"/>
        <v>11</v>
      </c>
      <c r="S1845">
        <f t="shared" si="58"/>
        <v>1</v>
      </c>
    </row>
    <row r="1846" spans="1:19" x14ac:dyDescent="0.25">
      <c r="A1846" t="s">
        <v>2970</v>
      </c>
      <c r="B1846" t="s">
        <v>4028</v>
      </c>
      <c r="C1846">
        <v>4</v>
      </c>
      <c r="D1846">
        <v>399</v>
      </c>
      <c r="E1846">
        <v>0</v>
      </c>
      <c r="F1846">
        <v>6</v>
      </c>
      <c r="G1846">
        <v>6</v>
      </c>
      <c r="H1846" t="s">
        <v>2661</v>
      </c>
      <c r="I1846" s="1">
        <v>37105</v>
      </c>
      <c r="J1846" s="1">
        <v>37319</v>
      </c>
      <c r="K1846" s="1">
        <v>37324</v>
      </c>
      <c r="L1846" s="1">
        <v>37324</v>
      </c>
      <c r="M1846" s="1">
        <v>37322</v>
      </c>
      <c r="N1846" s="1">
        <v>37322</v>
      </c>
      <c r="O1846" t="s">
        <v>1117</v>
      </c>
      <c r="P1846">
        <v>5</v>
      </c>
      <c r="Q1846" t="s">
        <v>2662</v>
      </c>
      <c r="R1846">
        <f t="shared" si="57"/>
        <v>10</v>
      </c>
      <c r="S1846">
        <f t="shared" si="58"/>
        <v>1</v>
      </c>
    </row>
    <row r="1847" spans="1:19" x14ac:dyDescent="0.25">
      <c r="A1847" t="s">
        <v>2971</v>
      </c>
      <c r="B1847" t="s">
        <v>1199</v>
      </c>
      <c r="C1847">
        <v>2</v>
      </c>
      <c r="D1847">
        <v>510</v>
      </c>
      <c r="E1847">
        <v>0</v>
      </c>
      <c r="F1847">
        <v>18</v>
      </c>
      <c r="G1847">
        <v>18</v>
      </c>
      <c r="H1847" t="s">
        <v>2661</v>
      </c>
      <c r="I1847" s="1">
        <v>37201</v>
      </c>
      <c r="J1847" s="1">
        <v>37333</v>
      </c>
      <c r="K1847" s="1">
        <v>37359</v>
      </c>
      <c r="L1847" s="1">
        <v>37359</v>
      </c>
      <c r="M1847" s="1">
        <v>37353</v>
      </c>
      <c r="N1847" s="1">
        <v>37360</v>
      </c>
      <c r="O1847" t="s">
        <v>1117</v>
      </c>
      <c r="P1847">
        <v>17</v>
      </c>
      <c r="Q1847" t="s">
        <v>2662</v>
      </c>
      <c r="R1847">
        <f t="shared" si="57"/>
        <v>16</v>
      </c>
      <c r="S1847">
        <f t="shared" si="58"/>
        <v>1</v>
      </c>
    </row>
    <row r="1848" spans="1:19" x14ac:dyDescent="0.25">
      <c r="A1848" t="s">
        <v>2972</v>
      </c>
      <c r="B1848" t="s">
        <v>1199</v>
      </c>
      <c r="C1848">
        <v>2.5</v>
      </c>
      <c r="D1848">
        <v>1250</v>
      </c>
      <c r="E1848">
        <v>0</v>
      </c>
      <c r="F1848">
        <v>20</v>
      </c>
      <c r="G1848">
        <v>20</v>
      </c>
      <c r="H1848" t="s">
        <v>2661</v>
      </c>
      <c r="I1848" s="1">
        <v>37116</v>
      </c>
      <c r="J1848" s="1">
        <v>37346</v>
      </c>
      <c r="K1848" t="s">
        <v>1124</v>
      </c>
      <c r="L1848" t="s">
        <v>1124</v>
      </c>
      <c r="M1848" s="1">
        <v>37346</v>
      </c>
      <c r="N1848" s="1">
        <v>37353</v>
      </c>
      <c r="O1848" t="s">
        <v>1117</v>
      </c>
      <c r="P1848">
        <v>6</v>
      </c>
      <c r="Q1848" t="s">
        <v>2662</v>
      </c>
      <c r="R1848">
        <f t="shared" si="57"/>
        <v>15</v>
      </c>
      <c r="S1848">
        <f t="shared" si="58"/>
        <v>1</v>
      </c>
    </row>
    <row r="1849" spans="1:19" x14ac:dyDescent="0.25">
      <c r="A1849" t="s">
        <v>2973</v>
      </c>
      <c r="B1849" t="s">
        <v>4027</v>
      </c>
      <c r="C1849">
        <v>2.5</v>
      </c>
      <c r="D1849">
        <v>446</v>
      </c>
      <c r="E1849">
        <v>0</v>
      </c>
      <c r="F1849">
        <v>7</v>
      </c>
      <c r="G1849">
        <v>7</v>
      </c>
      <c r="H1849" t="s">
        <v>2661</v>
      </c>
      <c r="I1849" s="1">
        <v>37134</v>
      </c>
      <c r="J1849" s="1">
        <v>37326</v>
      </c>
      <c r="K1849" s="1">
        <v>37326</v>
      </c>
      <c r="L1849" s="1">
        <v>37326</v>
      </c>
      <c r="M1849" s="1">
        <v>37326</v>
      </c>
      <c r="N1849" s="1">
        <v>37326</v>
      </c>
      <c r="O1849" t="s">
        <v>1114</v>
      </c>
      <c r="P1849">
        <v>10</v>
      </c>
      <c r="Q1849" t="s">
        <v>2662</v>
      </c>
      <c r="R1849">
        <f t="shared" si="57"/>
        <v>11</v>
      </c>
      <c r="S1849">
        <f t="shared" si="58"/>
        <v>1</v>
      </c>
    </row>
    <row r="1850" spans="1:19" x14ac:dyDescent="0.25">
      <c r="A1850" t="s">
        <v>2974</v>
      </c>
      <c r="B1850" t="s">
        <v>1199</v>
      </c>
      <c r="C1850">
        <v>2</v>
      </c>
      <c r="D1850">
        <v>1100</v>
      </c>
      <c r="E1850">
        <v>0</v>
      </c>
      <c r="F1850">
        <v>42</v>
      </c>
      <c r="G1850">
        <v>42</v>
      </c>
      <c r="H1850" t="s">
        <v>2661</v>
      </c>
      <c r="I1850" s="1">
        <v>37189</v>
      </c>
      <c r="J1850" s="1">
        <v>37329</v>
      </c>
      <c r="K1850" s="1">
        <v>37329</v>
      </c>
      <c r="L1850" s="1">
        <v>37329</v>
      </c>
      <c r="M1850" s="1">
        <v>37329</v>
      </c>
      <c r="N1850" s="1">
        <v>37330</v>
      </c>
      <c r="O1850" t="s">
        <v>1114</v>
      </c>
      <c r="P1850">
        <v>2</v>
      </c>
      <c r="Q1850" t="s">
        <v>2662</v>
      </c>
      <c r="R1850">
        <f t="shared" si="57"/>
        <v>11</v>
      </c>
      <c r="S1850">
        <f t="shared" si="58"/>
        <v>1</v>
      </c>
    </row>
    <row r="1851" spans="1:19" x14ac:dyDescent="0.25">
      <c r="A1851" t="s">
        <v>2975</v>
      </c>
      <c r="B1851" t="s">
        <v>4027</v>
      </c>
      <c r="C1851">
        <v>3</v>
      </c>
      <c r="D1851">
        <v>1250</v>
      </c>
      <c r="E1851">
        <v>0</v>
      </c>
      <c r="F1851">
        <v>18</v>
      </c>
      <c r="G1851">
        <v>18</v>
      </c>
      <c r="H1851" t="s">
        <v>2661</v>
      </c>
      <c r="I1851" s="1">
        <v>37133</v>
      </c>
      <c r="J1851" s="1">
        <v>37319</v>
      </c>
      <c r="K1851" s="1">
        <v>37319</v>
      </c>
      <c r="L1851" s="1">
        <v>37319</v>
      </c>
      <c r="M1851" s="1">
        <v>37321</v>
      </c>
      <c r="N1851" s="1">
        <v>37353</v>
      </c>
      <c r="O1851" t="s">
        <v>1114</v>
      </c>
      <c r="P1851">
        <v>2</v>
      </c>
      <c r="Q1851" t="s">
        <v>2662</v>
      </c>
      <c r="R1851">
        <f t="shared" si="57"/>
        <v>15</v>
      </c>
      <c r="S1851">
        <f t="shared" si="58"/>
        <v>1</v>
      </c>
    </row>
    <row r="1852" spans="1:19" x14ac:dyDescent="0.25">
      <c r="A1852" t="s">
        <v>2976</v>
      </c>
      <c r="B1852" t="s">
        <v>4026</v>
      </c>
      <c r="C1852">
        <v>2.5</v>
      </c>
      <c r="D1852">
        <v>1250</v>
      </c>
      <c r="E1852">
        <v>0</v>
      </c>
      <c r="F1852">
        <v>27</v>
      </c>
      <c r="G1852">
        <v>10.914999999999999</v>
      </c>
      <c r="H1852" t="s">
        <v>2661</v>
      </c>
      <c r="I1852" s="1">
        <v>37122</v>
      </c>
      <c r="J1852" s="1">
        <v>37319</v>
      </c>
      <c r="K1852" s="1">
        <v>37319</v>
      </c>
      <c r="L1852" s="1">
        <v>37319</v>
      </c>
      <c r="M1852" s="1">
        <v>37323</v>
      </c>
      <c r="N1852" s="1">
        <v>37324</v>
      </c>
      <c r="O1852" t="s">
        <v>1114</v>
      </c>
      <c r="P1852">
        <v>5</v>
      </c>
      <c r="Q1852" t="s">
        <v>2662</v>
      </c>
      <c r="R1852">
        <f t="shared" si="57"/>
        <v>10</v>
      </c>
      <c r="S1852">
        <f t="shared" si="58"/>
        <v>0</v>
      </c>
    </row>
    <row r="1853" spans="1:19" x14ac:dyDescent="0.25">
      <c r="A1853" t="s">
        <v>2977</v>
      </c>
      <c r="B1853" t="s">
        <v>4028</v>
      </c>
      <c r="C1853">
        <v>6</v>
      </c>
      <c r="D1853">
        <v>1250</v>
      </c>
      <c r="E1853">
        <v>0</v>
      </c>
      <c r="F1853">
        <v>8</v>
      </c>
      <c r="G1853">
        <v>8</v>
      </c>
      <c r="H1853" t="s">
        <v>2661</v>
      </c>
      <c r="I1853" s="1">
        <v>37125</v>
      </c>
      <c r="J1853" s="1">
        <v>37321</v>
      </c>
      <c r="K1853" s="1">
        <v>37321</v>
      </c>
      <c r="L1853" s="1">
        <v>37321</v>
      </c>
      <c r="M1853" s="1">
        <v>37322</v>
      </c>
      <c r="N1853" s="1">
        <v>37322</v>
      </c>
      <c r="O1853" t="s">
        <v>1114</v>
      </c>
      <c r="P1853">
        <v>2</v>
      </c>
      <c r="Q1853" t="s">
        <v>2662</v>
      </c>
      <c r="R1853">
        <f t="shared" si="57"/>
        <v>10</v>
      </c>
      <c r="S1853">
        <f t="shared" si="58"/>
        <v>1</v>
      </c>
    </row>
    <row r="1854" spans="1:19" x14ac:dyDescent="0.25">
      <c r="A1854" t="s">
        <v>2978</v>
      </c>
      <c r="B1854" t="s">
        <v>1199</v>
      </c>
      <c r="C1854">
        <v>2.2999999999999998</v>
      </c>
      <c r="D1854">
        <v>1250</v>
      </c>
      <c r="E1854">
        <v>0</v>
      </c>
      <c r="F1854">
        <v>63</v>
      </c>
      <c r="G1854">
        <v>63</v>
      </c>
      <c r="H1854" t="s">
        <v>2661</v>
      </c>
      <c r="I1854" s="1">
        <v>37189</v>
      </c>
      <c r="J1854" s="1">
        <v>37329</v>
      </c>
      <c r="K1854" s="1">
        <v>37329</v>
      </c>
      <c r="L1854" s="1">
        <v>37329</v>
      </c>
      <c r="M1854" s="1">
        <v>37329</v>
      </c>
      <c r="N1854" s="1">
        <v>37332</v>
      </c>
      <c r="O1854" t="s">
        <v>1114</v>
      </c>
      <c r="P1854">
        <v>3</v>
      </c>
      <c r="Q1854" t="s">
        <v>2662</v>
      </c>
      <c r="R1854">
        <f t="shared" si="57"/>
        <v>12</v>
      </c>
      <c r="S1854">
        <f t="shared" si="58"/>
        <v>1</v>
      </c>
    </row>
    <row r="1855" spans="1:19" x14ac:dyDescent="0.25">
      <c r="A1855" t="s">
        <v>2979</v>
      </c>
      <c r="B1855" t="s">
        <v>4028</v>
      </c>
      <c r="C1855">
        <v>2</v>
      </c>
      <c r="D1855">
        <v>525</v>
      </c>
      <c r="E1855">
        <v>0</v>
      </c>
      <c r="F1855">
        <v>25</v>
      </c>
      <c r="G1855">
        <v>25</v>
      </c>
      <c r="H1855" t="s">
        <v>2661</v>
      </c>
      <c r="I1855" s="1">
        <v>37192</v>
      </c>
      <c r="J1855" s="1">
        <v>37333</v>
      </c>
      <c r="K1855" s="1">
        <v>37353</v>
      </c>
      <c r="L1855" s="1">
        <v>37353</v>
      </c>
      <c r="M1855" s="1">
        <v>37353</v>
      </c>
      <c r="N1855" s="1">
        <v>37360</v>
      </c>
      <c r="O1855" t="s">
        <v>1117</v>
      </c>
      <c r="P1855">
        <v>19</v>
      </c>
      <c r="Q1855" t="s">
        <v>2662</v>
      </c>
      <c r="R1855">
        <f t="shared" si="57"/>
        <v>16</v>
      </c>
      <c r="S1855">
        <f t="shared" si="58"/>
        <v>1</v>
      </c>
    </row>
    <row r="1856" spans="1:19" x14ac:dyDescent="0.25">
      <c r="A1856" t="s">
        <v>2980</v>
      </c>
      <c r="B1856" t="s">
        <v>4028</v>
      </c>
      <c r="C1856">
        <v>2.5</v>
      </c>
      <c r="D1856">
        <v>282</v>
      </c>
      <c r="E1856">
        <v>0</v>
      </c>
      <c r="F1856">
        <v>5</v>
      </c>
      <c r="G1856">
        <v>5</v>
      </c>
      <c r="H1856" t="s">
        <v>2661</v>
      </c>
      <c r="I1856" s="1">
        <v>37134</v>
      </c>
      <c r="J1856" s="1">
        <v>37326</v>
      </c>
      <c r="K1856" s="1">
        <v>37326</v>
      </c>
      <c r="L1856" s="1">
        <v>37326</v>
      </c>
      <c r="M1856" s="1">
        <v>37326</v>
      </c>
      <c r="N1856" s="1">
        <v>37326</v>
      </c>
      <c r="O1856" t="s">
        <v>1114</v>
      </c>
      <c r="P1856">
        <v>8</v>
      </c>
      <c r="Q1856" t="s">
        <v>2662</v>
      </c>
      <c r="R1856">
        <f t="shared" si="57"/>
        <v>11</v>
      </c>
      <c r="S1856">
        <f t="shared" si="58"/>
        <v>1</v>
      </c>
    </row>
    <row r="1857" spans="1:19" x14ac:dyDescent="0.25">
      <c r="A1857" t="s">
        <v>2981</v>
      </c>
      <c r="B1857" t="s">
        <v>1199</v>
      </c>
      <c r="C1857">
        <v>4</v>
      </c>
      <c r="D1857">
        <v>1250</v>
      </c>
      <c r="E1857">
        <v>0</v>
      </c>
      <c r="F1857">
        <v>5</v>
      </c>
      <c r="G1857">
        <v>5</v>
      </c>
      <c r="H1857" t="s">
        <v>2661</v>
      </c>
      <c r="I1857" s="1">
        <v>37133</v>
      </c>
      <c r="J1857" s="1">
        <v>37319</v>
      </c>
      <c r="K1857" s="1">
        <v>37321</v>
      </c>
      <c r="L1857" s="1">
        <v>37321</v>
      </c>
      <c r="M1857" s="1">
        <v>37324</v>
      </c>
      <c r="N1857" s="1">
        <v>37332</v>
      </c>
      <c r="O1857" t="s">
        <v>1117</v>
      </c>
      <c r="P1857">
        <v>1</v>
      </c>
      <c r="Q1857" t="s">
        <v>2662</v>
      </c>
      <c r="R1857">
        <f t="shared" si="57"/>
        <v>12</v>
      </c>
      <c r="S1857">
        <f t="shared" si="58"/>
        <v>1</v>
      </c>
    </row>
    <row r="1858" spans="1:19" x14ac:dyDescent="0.25">
      <c r="A1858" t="s">
        <v>2982</v>
      </c>
      <c r="B1858" t="s">
        <v>1199</v>
      </c>
      <c r="C1858">
        <v>6</v>
      </c>
      <c r="D1858">
        <v>1250</v>
      </c>
      <c r="E1858">
        <v>0</v>
      </c>
      <c r="F1858">
        <v>17</v>
      </c>
      <c r="G1858">
        <v>17</v>
      </c>
      <c r="H1858" t="s">
        <v>2661</v>
      </c>
      <c r="I1858" s="1">
        <v>37133</v>
      </c>
      <c r="J1858" s="1">
        <v>37319</v>
      </c>
      <c r="K1858" s="1">
        <v>37318</v>
      </c>
      <c r="L1858" s="1">
        <v>37319</v>
      </c>
      <c r="M1858" s="1">
        <v>37322</v>
      </c>
      <c r="N1858" s="1">
        <v>37331</v>
      </c>
      <c r="O1858" t="s">
        <v>1114</v>
      </c>
      <c r="P1858">
        <v>4</v>
      </c>
      <c r="Q1858" t="s">
        <v>2662</v>
      </c>
      <c r="R1858">
        <f t="shared" si="57"/>
        <v>11</v>
      </c>
      <c r="S1858">
        <f t="shared" si="58"/>
        <v>1</v>
      </c>
    </row>
    <row r="1859" spans="1:19" x14ac:dyDescent="0.25">
      <c r="A1859" t="s">
        <v>2983</v>
      </c>
      <c r="B1859" t="s">
        <v>1199</v>
      </c>
      <c r="C1859">
        <v>3</v>
      </c>
      <c r="D1859">
        <v>1250</v>
      </c>
      <c r="E1859">
        <v>0</v>
      </c>
      <c r="F1859">
        <v>8</v>
      </c>
      <c r="G1859">
        <v>8</v>
      </c>
      <c r="H1859" t="s">
        <v>2661</v>
      </c>
      <c r="I1859" s="1">
        <v>37133</v>
      </c>
      <c r="J1859" s="1">
        <v>37319</v>
      </c>
      <c r="K1859" s="1">
        <v>37319</v>
      </c>
      <c r="L1859" s="1">
        <v>37319</v>
      </c>
      <c r="M1859" s="1">
        <v>37321</v>
      </c>
      <c r="N1859" s="1">
        <v>37353</v>
      </c>
      <c r="O1859" t="s">
        <v>1114</v>
      </c>
      <c r="P1859">
        <v>1</v>
      </c>
      <c r="Q1859" t="s">
        <v>2662</v>
      </c>
      <c r="R1859">
        <f t="shared" ref="R1859:R1922" si="59">WEEKNUM(N1859,1)</f>
        <v>15</v>
      </c>
      <c r="S1859">
        <f t="shared" ref="S1859:S1922" si="60">IF(AND(F1859=G1859, M1859&lt;=N1859), 1,0)</f>
        <v>1</v>
      </c>
    </row>
    <row r="1860" spans="1:19" x14ac:dyDescent="0.25">
      <c r="A1860" t="s">
        <v>2984</v>
      </c>
      <c r="B1860" t="s">
        <v>4026</v>
      </c>
      <c r="C1860">
        <v>5</v>
      </c>
      <c r="D1860">
        <v>1250</v>
      </c>
      <c r="E1860">
        <v>0</v>
      </c>
      <c r="F1860">
        <v>35</v>
      </c>
      <c r="G1860">
        <v>35</v>
      </c>
      <c r="H1860" t="s">
        <v>2661</v>
      </c>
      <c r="I1860" s="1">
        <v>37133</v>
      </c>
      <c r="J1860" s="1">
        <v>37319</v>
      </c>
      <c r="K1860" s="1">
        <v>37319</v>
      </c>
      <c r="L1860" s="1">
        <v>37319</v>
      </c>
      <c r="M1860" s="1">
        <v>37321</v>
      </c>
      <c r="N1860" s="1">
        <v>37330</v>
      </c>
      <c r="O1860" t="s">
        <v>1114</v>
      </c>
      <c r="P1860">
        <v>3</v>
      </c>
      <c r="Q1860" t="s">
        <v>2662</v>
      </c>
      <c r="R1860">
        <f t="shared" si="59"/>
        <v>11</v>
      </c>
      <c r="S1860">
        <f t="shared" si="60"/>
        <v>1</v>
      </c>
    </row>
    <row r="1861" spans="1:19" x14ac:dyDescent="0.25">
      <c r="A1861" t="s">
        <v>2985</v>
      </c>
      <c r="B1861" t="s">
        <v>1199</v>
      </c>
      <c r="C1861">
        <v>4</v>
      </c>
      <c r="D1861">
        <v>1250</v>
      </c>
      <c r="E1861">
        <v>0</v>
      </c>
      <c r="F1861">
        <v>20</v>
      </c>
      <c r="G1861">
        <v>20</v>
      </c>
      <c r="H1861" t="s">
        <v>2661</v>
      </c>
      <c r="I1861" s="1">
        <v>37115</v>
      </c>
      <c r="J1861" s="1">
        <v>37345</v>
      </c>
      <c r="K1861" s="1">
        <v>37345</v>
      </c>
      <c r="L1861" s="1">
        <v>37345</v>
      </c>
      <c r="M1861" s="1">
        <v>37345</v>
      </c>
      <c r="N1861" s="1">
        <v>37345</v>
      </c>
      <c r="O1861" t="s">
        <v>1114</v>
      </c>
      <c r="P1861">
        <v>1</v>
      </c>
      <c r="Q1861" t="s">
        <v>2662</v>
      </c>
      <c r="R1861">
        <f t="shared" si="59"/>
        <v>13</v>
      </c>
      <c r="S1861">
        <f t="shared" si="60"/>
        <v>1</v>
      </c>
    </row>
    <row r="1862" spans="1:19" x14ac:dyDescent="0.25">
      <c r="A1862" t="s">
        <v>2986</v>
      </c>
      <c r="B1862" t="s">
        <v>4026</v>
      </c>
      <c r="C1862">
        <v>2</v>
      </c>
      <c r="D1862">
        <v>640</v>
      </c>
      <c r="E1862">
        <v>0</v>
      </c>
      <c r="F1862">
        <v>20</v>
      </c>
      <c r="G1862">
        <v>20</v>
      </c>
      <c r="H1862" t="s">
        <v>2661</v>
      </c>
      <c r="I1862" s="1">
        <v>37192</v>
      </c>
      <c r="J1862" s="1">
        <v>37332</v>
      </c>
      <c r="K1862" s="1">
        <v>37336</v>
      </c>
      <c r="L1862" s="1">
        <v>37336</v>
      </c>
      <c r="M1862" s="1">
        <v>37336</v>
      </c>
      <c r="N1862" s="1">
        <v>37346</v>
      </c>
      <c r="O1862" t="s">
        <v>1117</v>
      </c>
      <c r="P1862">
        <v>11</v>
      </c>
      <c r="Q1862" t="s">
        <v>2662</v>
      </c>
      <c r="R1862">
        <f t="shared" si="59"/>
        <v>14</v>
      </c>
      <c r="S1862">
        <f t="shared" si="60"/>
        <v>1</v>
      </c>
    </row>
    <row r="1863" spans="1:19" x14ac:dyDescent="0.25">
      <c r="A1863" t="s">
        <v>2987</v>
      </c>
      <c r="B1863" t="s">
        <v>1199</v>
      </c>
      <c r="C1863">
        <v>4</v>
      </c>
      <c r="D1863">
        <v>439</v>
      </c>
      <c r="E1863">
        <v>0</v>
      </c>
      <c r="F1863">
        <v>7.5</v>
      </c>
      <c r="G1863">
        <v>7.5</v>
      </c>
      <c r="H1863" t="s">
        <v>2661</v>
      </c>
      <c r="I1863" s="1">
        <v>37105</v>
      </c>
      <c r="J1863" s="1">
        <v>37319</v>
      </c>
      <c r="K1863" s="1">
        <v>37325</v>
      </c>
      <c r="L1863" s="1">
        <v>37325</v>
      </c>
      <c r="M1863" s="1">
        <v>37322</v>
      </c>
      <c r="N1863" s="1">
        <v>37322</v>
      </c>
      <c r="O1863" t="s">
        <v>1117</v>
      </c>
      <c r="P1863">
        <v>3</v>
      </c>
      <c r="Q1863" t="s">
        <v>2662</v>
      </c>
      <c r="R1863">
        <f t="shared" si="59"/>
        <v>10</v>
      </c>
      <c r="S1863">
        <f t="shared" si="60"/>
        <v>1</v>
      </c>
    </row>
    <row r="1864" spans="1:19" x14ac:dyDescent="0.25">
      <c r="A1864" t="s">
        <v>2988</v>
      </c>
      <c r="B1864" t="s">
        <v>3601</v>
      </c>
      <c r="C1864">
        <v>2</v>
      </c>
      <c r="D1864">
        <v>1250</v>
      </c>
      <c r="E1864">
        <v>0</v>
      </c>
      <c r="F1864">
        <v>110</v>
      </c>
      <c r="G1864">
        <v>110</v>
      </c>
      <c r="H1864" t="s">
        <v>2661</v>
      </c>
      <c r="I1864" s="1">
        <v>37130</v>
      </c>
      <c r="J1864" s="1">
        <v>37346</v>
      </c>
      <c r="K1864" s="1">
        <v>37346</v>
      </c>
      <c r="L1864" s="1">
        <v>37346</v>
      </c>
      <c r="M1864" s="1">
        <v>37346</v>
      </c>
      <c r="N1864" s="1">
        <v>37346</v>
      </c>
      <c r="O1864" t="s">
        <v>1114</v>
      </c>
      <c r="P1864">
        <v>3</v>
      </c>
      <c r="Q1864" t="s">
        <v>2662</v>
      </c>
      <c r="R1864">
        <f t="shared" si="59"/>
        <v>14</v>
      </c>
      <c r="S1864">
        <f t="shared" si="60"/>
        <v>1</v>
      </c>
    </row>
    <row r="1865" spans="1:19" x14ac:dyDescent="0.25">
      <c r="A1865" t="s">
        <v>2989</v>
      </c>
      <c r="B1865" t="s">
        <v>3601</v>
      </c>
      <c r="C1865">
        <v>2</v>
      </c>
      <c r="D1865">
        <v>610</v>
      </c>
      <c r="E1865">
        <v>0</v>
      </c>
      <c r="F1865">
        <v>20</v>
      </c>
      <c r="G1865">
        <v>20</v>
      </c>
      <c r="H1865" t="s">
        <v>2661</v>
      </c>
      <c r="I1865" s="1">
        <v>37201</v>
      </c>
      <c r="J1865" s="1">
        <v>37333</v>
      </c>
      <c r="K1865" s="1">
        <v>37334</v>
      </c>
      <c r="L1865" s="1">
        <v>37334</v>
      </c>
      <c r="M1865" s="1">
        <v>37334</v>
      </c>
      <c r="N1865" s="1">
        <v>37345</v>
      </c>
      <c r="O1865" t="s">
        <v>1117</v>
      </c>
      <c r="P1865">
        <v>10</v>
      </c>
      <c r="Q1865" t="s">
        <v>2662</v>
      </c>
      <c r="R1865">
        <f t="shared" si="59"/>
        <v>13</v>
      </c>
      <c r="S1865">
        <f t="shared" si="60"/>
        <v>1</v>
      </c>
    </row>
    <row r="1866" spans="1:19" x14ac:dyDescent="0.25">
      <c r="A1866" t="s">
        <v>2990</v>
      </c>
      <c r="B1866" t="s">
        <v>1199</v>
      </c>
      <c r="C1866">
        <v>2</v>
      </c>
      <c r="D1866">
        <v>1100</v>
      </c>
      <c r="E1866">
        <v>0</v>
      </c>
      <c r="F1866">
        <v>170</v>
      </c>
      <c r="G1866">
        <v>78.337000000000003</v>
      </c>
      <c r="H1866" t="s">
        <v>2661</v>
      </c>
      <c r="I1866" s="1">
        <v>37123</v>
      </c>
      <c r="J1866" s="1">
        <v>37345</v>
      </c>
      <c r="K1866" s="1">
        <v>37345</v>
      </c>
      <c r="L1866" s="1">
        <v>37345</v>
      </c>
      <c r="M1866" s="1">
        <v>37345</v>
      </c>
      <c r="N1866" s="1">
        <v>37345</v>
      </c>
      <c r="O1866" t="s">
        <v>1114</v>
      </c>
      <c r="P1866">
        <v>1</v>
      </c>
      <c r="Q1866" t="s">
        <v>2662</v>
      </c>
      <c r="R1866">
        <f t="shared" si="59"/>
        <v>13</v>
      </c>
      <c r="S1866">
        <f t="shared" si="60"/>
        <v>0</v>
      </c>
    </row>
    <row r="1867" spans="1:19" x14ac:dyDescent="0.25">
      <c r="A1867" t="s">
        <v>2991</v>
      </c>
      <c r="B1867" t="s">
        <v>4027</v>
      </c>
      <c r="C1867">
        <v>3</v>
      </c>
      <c r="D1867">
        <v>1250</v>
      </c>
      <c r="E1867">
        <v>0</v>
      </c>
      <c r="F1867">
        <v>20</v>
      </c>
      <c r="G1867">
        <v>20</v>
      </c>
      <c r="H1867" t="s">
        <v>2661</v>
      </c>
      <c r="I1867" s="1">
        <v>37130</v>
      </c>
      <c r="J1867" s="1">
        <v>37346</v>
      </c>
      <c r="K1867" s="1">
        <v>37346</v>
      </c>
      <c r="L1867" s="1">
        <v>37346</v>
      </c>
      <c r="M1867" s="1">
        <v>37346</v>
      </c>
      <c r="N1867" s="1">
        <v>37346</v>
      </c>
      <c r="O1867" t="s">
        <v>1114</v>
      </c>
      <c r="P1867">
        <v>2</v>
      </c>
      <c r="Q1867" t="s">
        <v>2662</v>
      </c>
      <c r="R1867">
        <f t="shared" si="59"/>
        <v>14</v>
      </c>
      <c r="S1867">
        <f t="shared" si="60"/>
        <v>1</v>
      </c>
    </row>
    <row r="1868" spans="1:19" x14ac:dyDescent="0.25">
      <c r="A1868" t="s">
        <v>2992</v>
      </c>
      <c r="B1868" t="s">
        <v>1199</v>
      </c>
      <c r="C1868">
        <v>2.2999999999999998</v>
      </c>
      <c r="D1868">
        <v>625</v>
      </c>
      <c r="E1868">
        <v>0</v>
      </c>
      <c r="F1868">
        <v>20</v>
      </c>
      <c r="G1868">
        <v>20</v>
      </c>
      <c r="H1868" t="s">
        <v>2661</v>
      </c>
      <c r="I1868" s="1">
        <v>37130</v>
      </c>
      <c r="J1868" s="1">
        <v>37346</v>
      </c>
      <c r="K1868" s="1">
        <v>37360</v>
      </c>
      <c r="L1868" s="1">
        <v>37360</v>
      </c>
      <c r="M1868" s="1">
        <v>37360</v>
      </c>
      <c r="N1868" s="1">
        <v>37360</v>
      </c>
      <c r="O1868" t="s">
        <v>1117</v>
      </c>
      <c r="P1868">
        <v>1</v>
      </c>
      <c r="Q1868" t="s">
        <v>2662</v>
      </c>
      <c r="R1868">
        <f t="shared" si="59"/>
        <v>16</v>
      </c>
      <c r="S1868">
        <f t="shared" si="60"/>
        <v>1</v>
      </c>
    </row>
    <row r="1869" spans="1:19" x14ac:dyDescent="0.25">
      <c r="A1869" t="s">
        <v>2993</v>
      </c>
      <c r="B1869" t="s">
        <v>4026</v>
      </c>
      <c r="C1869">
        <v>3</v>
      </c>
      <c r="D1869">
        <v>1250</v>
      </c>
      <c r="E1869">
        <v>0</v>
      </c>
      <c r="F1869">
        <v>61</v>
      </c>
      <c r="G1869">
        <v>61</v>
      </c>
      <c r="H1869" t="s">
        <v>2661</v>
      </c>
      <c r="I1869" s="1">
        <v>37110</v>
      </c>
      <c r="J1869" s="1">
        <v>37346</v>
      </c>
      <c r="K1869" s="1">
        <v>37346</v>
      </c>
      <c r="L1869" s="1">
        <v>37346</v>
      </c>
      <c r="M1869" s="1">
        <v>37346</v>
      </c>
      <c r="N1869" s="1">
        <v>37346</v>
      </c>
      <c r="O1869" t="s">
        <v>1114</v>
      </c>
      <c r="P1869">
        <v>3</v>
      </c>
      <c r="Q1869" t="s">
        <v>2662</v>
      </c>
      <c r="R1869">
        <f t="shared" si="59"/>
        <v>14</v>
      </c>
      <c r="S1869">
        <f t="shared" si="60"/>
        <v>1</v>
      </c>
    </row>
    <row r="1870" spans="1:19" x14ac:dyDescent="0.25">
      <c r="A1870" t="s">
        <v>2994</v>
      </c>
      <c r="B1870" t="s">
        <v>1199</v>
      </c>
      <c r="C1870">
        <v>4</v>
      </c>
      <c r="D1870">
        <v>453</v>
      </c>
      <c r="E1870">
        <v>0</v>
      </c>
      <c r="F1870">
        <v>7.5</v>
      </c>
      <c r="G1870">
        <v>7.5</v>
      </c>
      <c r="H1870" t="s">
        <v>2661</v>
      </c>
      <c r="I1870" s="1">
        <v>37105</v>
      </c>
      <c r="J1870" s="1">
        <v>37319</v>
      </c>
      <c r="K1870" s="1">
        <v>37325</v>
      </c>
      <c r="L1870" s="1">
        <v>37325</v>
      </c>
      <c r="M1870" s="1">
        <v>37323</v>
      </c>
      <c r="N1870" s="1">
        <v>37323</v>
      </c>
      <c r="O1870" t="s">
        <v>1117</v>
      </c>
      <c r="P1870">
        <v>2</v>
      </c>
      <c r="Q1870" t="s">
        <v>2662</v>
      </c>
      <c r="R1870">
        <f t="shared" si="59"/>
        <v>10</v>
      </c>
      <c r="S1870">
        <f t="shared" si="60"/>
        <v>1</v>
      </c>
    </row>
    <row r="1871" spans="1:19" x14ac:dyDescent="0.25">
      <c r="A1871" t="s">
        <v>2995</v>
      </c>
      <c r="B1871" t="s">
        <v>1199</v>
      </c>
      <c r="C1871">
        <v>2</v>
      </c>
      <c r="D1871">
        <v>580</v>
      </c>
      <c r="E1871">
        <v>0</v>
      </c>
      <c r="F1871">
        <v>29</v>
      </c>
      <c r="G1871">
        <v>29</v>
      </c>
      <c r="H1871" t="s">
        <v>2661</v>
      </c>
      <c r="I1871" s="1">
        <v>37280</v>
      </c>
      <c r="J1871" s="1">
        <v>37332</v>
      </c>
      <c r="K1871" s="1">
        <v>37360</v>
      </c>
      <c r="L1871" s="1">
        <v>37360</v>
      </c>
      <c r="M1871" s="1">
        <v>37360</v>
      </c>
      <c r="N1871" s="1">
        <v>37360</v>
      </c>
      <c r="O1871" t="s">
        <v>1117</v>
      </c>
      <c r="P1871">
        <v>18</v>
      </c>
      <c r="Q1871" t="s">
        <v>2662</v>
      </c>
      <c r="R1871">
        <f t="shared" si="59"/>
        <v>16</v>
      </c>
      <c r="S1871">
        <f t="shared" si="60"/>
        <v>1</v>
      </c>
    </row>
    <row r="1872" spans="1:19" x14ac:dyDescent="0.25">
      <c r="A1872" t="s">
        <v>2996</v>
      </c>
      <c r="B1872" t="s">
        <v>3521</v>
      </c>
      <c r="C1872">
        <v>2.5</v>
      </c>
      <c r="D1872">
        <v>1250</v>
      </c>
      <c r="E1872">
        <v>0</v>
      </c>
      <c r="F1872">
        <v>71</v>
      </c>
      <c r="G1872">
        <v>19.95</v>
      </c>
      <c r="H1872" t="s">
        <v>2661</v>
      </c>
      <c r="I1872" s="1">
        <v>37116</v>
      </c>
      <c r="J1872" s="1">
        <v>37346</v>
      </c>
      <c r="K1872" t="s">
        <v>1124</v>
      </c>
      <c r="L1872" t="s">
        <v>1124</v>
      </c>
      <c r="M1872" s="1">
        <v>37360</v>
      </c>
      <c r="N1872" s="1">
        <v>37360</v>
      </c>
      <c r="O1872" t="s">
        <v>1117</v>
      </c>
      <c r="P1872">
        <v>5</v>
      </c>
      <c r="Q1872" t="s">
        <v>2662</v>
      </c>
      <c r="R1872">
        <f t="shared" si="59"/>
        <v>16</v>
      </c>
      <c r="S1872">
        <f t="shared" si="60"/>
        <v>0</v>
      </c>
    </row>
    <row r="1873" spans="1:19" x14ac:dyDescent="0.25">
      <c r="A1873" t="s">
        <v>2997</v>
      </c>
      <c r="B1873" t="s">
        <v>4028</v>
      </c>
      <c r="C1873">
        <v>4</v>
      </c>
      <c r="D1873">
        <v>296</v>
      </c>
      <c r="E1873">
        <v>0</v>
      </c>
      <c r="F1873">
        <v>5</v>
      </c>
      <c r="G1873">
        <v>5</v>
      </c>
      <c r="H1873" t="s">
        <v>2661</v>
      </c>
      <c r="I1873" s="1">
        <v>37105</v>
      </c>
      <c r="J1873" s="1">
        <v>37320</v>
      </c>
      <c r="K1873" s="1">
        <v>37324</v>
      </c>
      <c r="L1873" s="1">
        <v>37324</v>
      </c>
      <c r="M1873" s="1">
        <v>37323</v>
      </c>
      <c r="N1873" s="1">
        <v>37323</v>
      </c>
      <c r="O1873" t="s">
        <v>1117</v>
      </c>
      <c r="P1873">
        <v>7</v>
      </c>
      <c r="Q1873" t="s">
        <v>2662</v>
      </c>
      <c r="R1873">
        <f t="shared" si="59"/>
        <v>10</v>
      </c>
      <c r="S1873">
        <f t="shared" si="60"/>
        <v>1</v>
      </c>
    </row>
    <row r="1874" spans="1:19" x14ac:dyDescent="0.25">
      <c r="A1874" t="s">
        <v>2998</v>
      </c>
      <c r="B1874" t="s">
        <v>1199</v>
      </c>
      <c r="C1874">
        <v>2</v>
      </c>
      <c r="D1874">
        <v>1250</v>
      </c>
      <c r="E1874">
        <v>0</v>
      </c>
      <c r="F1874">
        <v>48</v>
      </c>
      <c r="G1874">
        <v>6.9</v>
      </c>
      <c r="H1874" t="s">
        <v>2661</v>
      </c>
      <c r="I1874" s="1">
        <v>37122</v>
      </c>
      <c r="J1874" s="1">
        <v>37346</v>
      </c>
      <c r="K1874" s="1">
        <v>37346</v>
      </c>
      <c r="L1874" s="1">
        <v>37346</v>
      </c>
      <c r="M1874" s="1">
        <v>37346</v>
      </c>
      <c r="N1874" s="1">
        <v>37346</v>
      </c>
      <c r="O1874" t="s">
        <v>1114</v>
      </c>
      <c r="P1874">
        <v>5</v>
      </c>
      <c r="Q1874" t="s">
        <v>2662</v>
      </c>
      <c r="R1874">
        <f t="shared" si="59"/>
        <v>14</v>
      </c>
      <c r="S1874">
        <f t="shared" si="60"/>
        <v>0</v>
      </c>
    </row>
    <row r="1875" spans="1:19" x14ac:dyDescent="0.25">
      <c r="A1875" t="s">
        <v>2999</v>
      </c>
      <c r="B1875" t="s">
        <v>1199</v>
      </c>
      <c r="C1875">
        <v>4</v>
      </c>
      <c r="D1875">
        <v>219</v>
      </c>
      <c r="E1875">
        <v>0</v>
      </c>
      <c r="F1875">
        <v>4</v>
      </c>
      <c r="G1875">
        <v>4</v>
      </c>
      <c r="H1875" t="s">
        <v>2661</v>
      </c>
      <c r="I1875" s="1">
        <v>37105</v>
      </c>
      <c r="J1875" s="1">
        <v>37320</v>
      </c>
      <c r="K1875" s="1">
        <v>37324</v>
      </c>
      <c r="L1875" s="1">
        <v>37324</v>
      </c>
      <c r="M1875" s="1">
        <v>37323</v>
      </c>
      <c r="N1875" s="1">
        <v>37323</v>
      </c>
      <c r="O1875" t="s">
        <v>1117</v>
      </c>
      <c r="P1875">
        <v>8</v>
      </c>
      <c r="Q1875" t="s">
        <v>2662</v>
      </c>
      <c r="R1875">
        <f t="shared" si="59"/>
        <v>10</v>
      </c>
      <c r="S1875">
        <f t="shared" si="60"/>
        <v>1</v>
      </c>
    </row>
    <row r="1876" spans="1:19" x14ac:dyDescent="0.25">
      <c r="A1876" t="s">
        <v>3000</v>
      </c>
      <c r="B1876" t="s">
        <v>4026</v>
      </c>
      <c r="C1876">
        <v>2</v>
      </c>
      <c r="D1876">
        <v>610</v>
      </c>
      <c r="E1876">
        <v>0</v>
      </c>
      <c r="F1876">
        <v>20</v>
      </c>
      <c r="G1876">
        <v>20</v>
      </c>
      <c r="H1876" t="s">
        <v>2661</v>
      </c>
      <c r="I1876" s="1">
        <v>37201</v>
      </c>
      <c r="J1876" s="1">
        <v>37308</v>
      </c>
      <c r="K1876" s="1">
        <v>37340</v>
      </c>
      <c r="L1876" s="1">
        <v>37340</v>
      </c>
      <c r="M1876" s="1">
        <v>37333</v>
      </c>
      <c r="N1876" s="1">
        <v>37345</v>
      </c>
      <c r="O1876" t="s">
        <v>1117</v>
      </c>
      <c r="P1876">
        <v>10</v>
      </c>
      <c r="Q1876" t="s">
        <v>2662</v>
      </c>
      <c r="R1876">
        <f t="shared" si="59"/>
        <v>13</v>
      </c>
      <c r="S1876">
        <f t="shared" si="60"/>
        <v>1</v>
      </c>
    </row>
    <row r="1877" spans="1:19" x14ac:dyDescent="0.25">
      <c r="A1877" t="s">
        <v>3001</v>
      </c>
      <c r="B1877" t="s">
        <v>1199</v>
      </c>
      <c r="C1877">
        <v>4</v>
      </c>
      <c r="D1877">
        <v>343</v>
      </c>
      <c r="E1877">
        <v>0</v>
      </c>
      <c r="F1877">
        <v>5</v>
      </c>
      <c r="G1877">
        <v>5</v>
      </c>
      <c r="H1877" t="s">
        <v>2661</v>
      </c>
      <c r="I1877" s="1">
        <v>37105</v>
      </c>
      <c r="J1877" s="1">
        <v>37319</v>
      </c>
      <c r="K1877" s="1">
        <v>37324</v>
      </c>
      <c r="L1877" s="1">
        <v>37324</v>
      </c>
      <c r="M1877" s="1">
        <v>37323</v>
      </c>
      <c r="N1877" s="1">
        <v>37323</v>
      </c>
      <c r="O1877" t="s">
        <v>1117</v>
      </c>
      <c r="P1877">
        <v>6</v>
      </c>
      <c r="Q1877" t="s">
        <v>2662</v>
      </c>
      <c r="R1877">
        <f t="shared" si="59"/>
        <v>10</v>
      </c>
      <c r="S1877">
        <f t="shared" si="60"/>
        <v>1</v>
      </c>
    </row>
    <row r="1878" spans="1:19" x14ac:dyDescent="0.25">
      <c r="A1878" t="s">
        <v>3002</v>
      </c>
      <c r="B1878" t="s">
        <v>4026</v>
      </c>
      <c r="C1878">
        <v>4</v>
      </c>
      <c r="D1878">
        <v>1250</v>
      </c>
      <c r="E1878">
        <v>0</v>
      </c>
      <c r="F1878">
        <v>19</v>
      </c>
      <c r="G1878">
        <v>19</v>
      </c>
      <c r="H1878" t="s">
        <v>2661</v>
      </c>
      <c r="I1878" s="1">
        <v>37117</v>
      </c>
      <c r="J1878" s="1">
        <v>37345</v>
      </c>
      <c r="K1878" s="1">
        <v>37346</v>
      </c>
      <c r="L1878" s="1">
        <v>37346</v>
      </c>
      <c r="M1878" s="1">
        <v>37345</v>
      </c>
      <c r="N1878" s="1">
        <v>37345</v>
      </c>
      <c r="O1878" t="s">
        <v>1117</v>
      </c>
      <c r="P1878">
        <v>7</v>
      </c>
      <c r="Q1878" t="s">
        <v>2662</v>
      </c>
      <c r="R1878">
        <f t="shared" si="59"/>
        <v>13</v>
      </c>
      <c r="S1878">
        <f t="shared" si="60"/>
        <v>1</v>
      </c>
    </row>
    <row r="1879" spans="1:19" x14ac:dyDescent="0.25">
      <c r="A1879" t="s">
        <v>3003</v>
      </c>
      <c r="B1879" t="s">
        <v>1199</v>
      </c>
      <c r="C1879">
        <v>2</v>
      </c>
      <c r="D1879">
        <v>505</v>
      </c>
      <c r="E1879">
        <v>0</v>
      </c>
      <c r="F1879">
        <v>24</v>
      </c>
      <c r="G1879">
        <v>24</v>
      </c>
      <c r="H1879" t="s">
        <v>2661</v>
      </c>
      <c r="I1879" s="1">
        <v>37201</v>
      </c>
      <c r="J1879" s="1">
        <v>37335</v>
      </c>
      <c r="K1879" s="1">
        <v>37359</v>
      </c>
      <c r="L1879" s="1">
        <v>37359</v>
      </c>
      <c r="M1879" s="1">
        <v>37353</v>
      </c>
      <c r="N1879" s="1">
        <v>37360</v>
      </c>
      <c r="O1879" t="s">
        <v>1117</v>
      </c>
      <c r="P1879">
        <v>15</v>
      </c>
      <c r="Q1879" t="s">
        <v>2662</v>
      </c>
      <c r="R1879">
        <f t="shared" si="59"/>
        <v>16</v>
      </c>
      <c r="S1879">
        <f t="shared" si="60"/>
        <v>1</v>
      </c>
    </row>
    <row r="1880" spans="1:19" x14ac:dyDescent="0.25">
      <c r="A1880" t="s">
        <v>3004</v>
      </c>
      <c r="B1880" t="s">
        <v>3631</v>
      </c>
      <c r="C1880">
        <v>2</v>
      </c>
      <c r="D1880">
        <v>535</v>
      </c>
      <c r="E1880">
        <v>0</v>
      </c>
      <c r="F1880">
        <v>9</v>
      </c>
      <c r="G1880">
        <v>9</v>
      </c>
      <c r="H1880" t="s">
        <v>2661</v>
      </c>
      <c r="I1880" s="1">
        <v>37199</v>
      </c>
      <c r="J1880" s="1">
        <v>37335</v>
      </c>
      <c r="K1880" s="1">
        <v>37353</v>
      </c>
      <c r="L1880" s="1">
        <v>37353</v>
      </c>
      <c r="M1880" s="1">
        <v>37353</v>
      </c>
      <c r="N1880" s="1">
        <v>37353</v>
      </c>
      <c r="O1880" t="s">
        <v>1117</v>
      </c>
      <c r="P1880">
        <v>7</v>
      </c>
      <c r="Q1880" t="s">
        <v>2662</v>
      </c>
      <c r="R1880">
        <f t="shared" si="59"/>
        <v>15</v>
      </c>
      <c r="S1880">
        <f t="shared" si="60"/>
        <v>1</v>
      </c>
    </row>
    <row r="1881" spans="1:19" x14ac:dyDescent="0.25">
      <c r="A1881" t="s">
        <v>3005</v>
      </c>
      <c r="B1881" t="s">
        <v>4028</v>
      </c>
      <c r="C1881">
        <v>2</v>
      </c>
      <c r="D1881">
        <v>550</v>
      </c>
      <c r="E1881">
        <v>0</v>
      </c>
      <c r="F1881">
        <v>27</v>
      </c>
      <c r="G1881">
        <v>27</v>
      </c>
      <c r="H1881" t="s">
        <v>2661</v>
      </c>
      <c r="I1881" s="1">
        <v>37201</v>
      </c>
      <c r="J1881" s="1">
        <v>37312</v>
      </c>
      <c r="K1881" s="1">
        <v>37343</v>
      </c>
      <c r="L1881" s="1">
        <v>37343</v>
      </c>
      <c r="M1881" s="1">
        <v>37338</v>
      </c>
      <c r="N1881" s="1">
        <v>37360</v>
      </c>
      <c r="O1881" t="s">
        <v>1117</v>
      </c>
      <c r="P1881">
        <v>16</v>
      </c>
      <c r="Q1881" t="s">
        <v>2662</v>
      </c>
      <c r="R1881">
        <f t="shared" si="59"/>
        <v>16</v>
      </c>
      <c r="S1881">
        <f t="shared" si="60"/>
        <v>1</v>
      </c>
    </row>
    <row r="1882" spans="1:19" x14ac:dyDescent="0.25">
      <c r="A1882" t="s">
        <v>3006</v>
      </c>
      <c r="B1882" t="s">
        <v>1199</v>
      </c>
      <c r="C1882">
        <v>2.2999999999999998</v>
      </c>
      <c r="D1882">
        <v>460</v>
      </c>
      <c r="E1882">
        <v>0</v>
      </c>
      <c r="F1882">
        <v>18</v>
      </c>
      <c r="G1882">
        <v>18</v>
      </c>
      <c r="H1882" t="s">
        <v>2661</v>
      </c>
      <c r="I1882" s="1">
        <v>37201</v>
      </c>
      <c r="J1882" s="1">
        <v>37334</v>
      </c>
      <c r="K1882" s="1">
        <v>37339</v>
      </c>
      <c r="L1882" s="1">
        <v>37339</v>
      </c>
      <c r="M1882" s="1">
        <v>37339</v>
      </c>
      <c r="N1882" s="1">
        <v>37353</v>
      </c>
      <c r="O1882" t="s">
        <v>1117</v>
      </c>
      <c r="P1882">
        <v>2</v>
      </c>
      <c r="Q1882" t="s">
        <v>2662</v>
      </c>
      <c r="R1882">
        <f t="shared" si="59"/>
        <v>15</v>
      </c>
      <c r="S1882">
        <f t="shared" si="60"/>
        <v>1</v>
      </c>
    </row>
    <row r="1883" spans="1:19" x14ac:dyDescent="0.25">
      <c r="A1883" t="s">
        <v>3007</v>
      </c>
      <c r="B1883" t="s">
        <v>4028</v>
      </c>
      <c r="C1883">
        <v>2</v>
      </c>
      <c r="D1883">
        <v>590</v>
      </c>
      <c r="E1883">
        <v>0</v>
      </c>
      <c r="F1883">
        <v>20</v>
      </c>
      <c r="G1883">
        <v>20</v>
      </c>
      <c r="H1883" t="s">
        <v>2661</v>
      </c>
      <c r="I1883" s="1">
        <v>37199</v>
      </c>
      <c r="J1883" s="1">
        <v>37335</v>
      </c>
      <c r="K1883" s="1">
        <v>37353</v>
      </c>
      <c r="L1883" s="1">
        <v>37353</v>
      </c>
      <c r="M1883" s="1">
        <v>37353</v>
      </c>
      <c r="N1883" s="1">
        <v>37360</v>
      </c>
      <c r="O1883" t="s">
        <v>1117</v>
      </c>
      <c r="P1883">
        <v>8</v>
      </c>
      <c r="Q1883" t="s">
        <v>2662</v>
      </c>
      <c r="R1883">
        <f t="shared" si="59"/>
        <v>16</v>
      </c>
      <c r="S1883">
        <f t="shared" si="60"/>
        <v>1</v>
      </c>
    </row>
    <row r="1884" spans="1:19" x14ac:dyDescent="0.25">
      <c r="A1884" t="s">
        <v>3008</v>
      </c>
      <c r="B1884" t="s">
        <v>4026</v>
      </c>
      <c r="C1884">
        <v>2</v>
      </c>
      <c r="D1884">
        <v>625</v>
      </c>
      <c r="E1884">
        <v>0</v>
      </c>
      <c r="F1884">
        <v>20</v>
      </c>
      <c r="G1884">
        <v>20</v>
      </c>
      <c r="H1884" t="s">
        <v>2661</v>
      </c>
      <c r="I1884" s="1">
        <v>37199</v>
      </c>
      <c r="J1884" s="1">
        <v>37335</v>
      </c>
      <c r="K1884" s="1">
        <v>37340</v>
      </c>
      <c r="L1884" s="1">
        <v>37340</v>
      </c>
      <c r="M1884" s="1">
        <v>37339</v>
      </c>
      <c r="N1884" s="1">
        <v>37387</v>
      </c>
      <c r="O1884" t="s">
        <v>1117</v>
      </c>
      <c r="P1884">
        <v>9</v>
      </c>
      <c r="Q1884" t="s">
        <v>2662</v>
      </c>
      <c r="R1884">
        <f t="shared" si="59"/>
        <v>19</v>
      </c>
      <c r="S1884">
        <f t="shared" si="60"/>
        <v>1</v>
      </c>
    </row>
    <row r="1885" spans="1:19" x14ac:dyDescent="0.25">
      <c r="A1885" t="s">
        <v>3009</v>
      </c>
      <c r="B1885" t="s">
        <v>1199</v>
      </c>
      <c r="C1885">
        <v>2.2999999999999998</v>
      </c>
      <c r="D1885">
        <v>640</v>
      </c>
      <c r="E1885">
        <v>0</v>
      </c>
      <c r="F1885">
        <v>20</v>
      </c>
      <c r="G1885">
        <v>20</v>
      </c>
      <c r="H1885" t="s">
        <v>2661</v>
      </c>
      <c r="I1885" s="1">
        <v>37199</v>
      </c>
      <c r="J1885" s="1">
        <v>37335</v>
      </c>
      <c r="K1885" s="1">
        <v>37339</v>
      </c>
      <c r="L1885" s="1">
        <v>37339</v>
      </c>
      <c r="M1885" s="1">
        <v>37339</v>
      </c>
      <c r="N1885" s="1">
        <v>37339</v>
      </c>
      <c r="O1885" t="s">
        <v>1117</v>
      </c>
      <c r="P1885">
        <v>3</v>
      </c>
      <c r="Q1885" t="s">
        <v>2662</v>
      </c>
      <c r="R1885">
        <f t="shared" si="59"/>
        <v>13</v>
      </c>
      <c r="S1885">
        <f t="shared" si="60"/>
        <v>1</v>
      </c>
    </row>
    <row r="1886" spans="1:19" x14ac:dyDescent="0.25">
      <c r="A1886" t="s">
        <v>3010</v>
      </c>
      <c r="B1886" t="s">
        <v>4026</v>
      </c>
      <c r="C1886">
        <v>2.2999999999999998</v>
      </c>
      <c r="D1886">
        <v>535</v>
      </c>
      <c r="E1886">
        <v>0</v>
      </c>
      <c r="F1886">
        <v>26</v>
      </c>
      <c r="G1886">
        <v>26</v>
      </c>
      <c r="H1886" t="s">
        <v>2661</v>
      </c>
      <c r="I1886" s="1">
        <v>37199</v>
      </c>
      <c r="J1886" s="1">
        <v>37335</v>
      </c>
      <c r="K1886" s="1">
        <v>37339</v>
      </c>
      <c r="L1886" s="1">
        <v>37339</v>
      </c>
      <c r="M1886" s="1">
        <v>37339</v>
      </c>
      <c r="N1886" s="1">
        <v>37339</v>
      </c>
      <c r="O1886" t="s">
        <v>1117</v>
      </c>
      <c r="P1886">
        <v>4</v>
      </c>
      <c r="Q1886" t="s">
        <v>2662</v>
      </c>
      <c r="R1886">
        <f t="shared" si="59"/>
        <v>13</v>
      </c>
      <c r="S1886">
        <f t="shared" si="60"/>
        <v>1</v>
      </c>
    </row>
    <row r="1887" spans="1:19" x14ac:dyDescent="0.25">
      <c r="A1887" t="s">
        <v>3011</v>
      </c>
      <c r="B1887" t="s">
        <v>1199</v>
      </c>
      <c r="C1887">
        <v>3</v>
      </c>
      <c r="D1887">
        <v>1250</v>
      </c>
      <c r="E1887">
        <v>0</v>
      </c>
      <c r="F1887">
        <v>32</v>
      </c>
      <c r="G1887">
        <v>32</v>
      </c>
      <c r="H1887" t="s">
        <v>2661</v>
      </c>
      <c r="I1887" s="1">
        <v>37116</v>
      </c>
      <c r="J1887" s="1">
        <v>37346</v>
      </c>
      <c r="K1887" s="1">
        <v>37346</v>
      </c>
      <c r="L1887" s="1">
        <v>37346</v>
      </c>
      <c r="M1887" s="1">
        <v>37346</v>
      </c>
      <c r="N1887" s="1">
        <v>37346</v>
      </c>
      <c r="O1887" t="s">
        <v>1114</v>
      </c>
      <c r="P1887">
        <v>3</v>
      </c>
      <c r="Q1887" t="s">
        <v>2662</v>
      </c>
      <c r="R1887">
        <f t="shared" si="59"/>
        <v>14</v>
      </c>
      <c r="S1887">
        <f t="shared" si="60"/>
        <v>1</v>
      </c>
    </row>
    <row r="1888" spans="1:19" x14ac:dyDescent="0.25">
      <c r="A1888" t="s">
        <v>3012</v>
      </c>
      <c r="B1888" t="s">
        <v>4026</v>
      </c>
      <c r="C1888">
        <v>2</v>
      </c>
      <c r="D1888">
        <v>580</v>
      </c>
      <c r="E1888">
        <v>0</v>
      </c>
      <c r="F1888">
        <v>29</v>
      </c>
      <c r="G1888">
        <v>29</v>
      </c>
      <c r="H1888" t="s">
        <v>2661</v>
      </c>
      <c r="I1888" s="1">
        <v>37199</v>
      </c>
      <c r="J1888" s="1">
        <v>37336</v>
      </c>
      <c r="K1888" s="1">
        <v>37359</v>
      </c>
      <c r="L1888" s="1">
        <v>37359</v>
      </c>
      <c r="M1888" s="1">
        <v>37353</v>
      </c>
      <c r="N1888" s="1">
        <v>37360</v>
      </c>
      <c r="O1888" t="s">
        <v>1117</v>
      </c>
      <c r="P1888">
        <v>18</v>
      </c>
      <c r="Q1888" t="s">
        <v>2662</v>
      </c>
      <c r="R1888">
        <f t="shared" si="59"/>
        <v>16</v>
      </c>
      <c r="S1888">
        <f t="shared" si="60"/>
        <v>1</v>
      </c>
    </row>
    <row r="1889" spans="1:19" x14ac:dyDescent="0.25">
      <c r="A1889" t="s">
        <v>3013</v>
      </c>
      <c r="B1889" t="s">
        <v>1199</v>
      </c>
      <c r="C1889">
        <v>2.2999999999999998</v>
      </c>
      <c r="D1889">
        <v>460</v>
      </c>
      <c r="E1889">
        <v>0</v>
      </c>
      <c r="F1889">
        <v>18</v>
      </c>
      <c r="G1889">
        <v>18</v>
      </c>
      <c r="H1889" t="s">
        <v>2661</v>
      </c>
      <c r="I1889" s="1">
        <v>37192</v>
      </c>
      <c r="J1889" s="1">
        <v>37335</v>
      </c>
      <c r="K1889" s="1">
        <v>37339</v>
      </c>
      <c r="L1889" s="1">
        <v>37339</v>
      </c>
      <c r="M1889" s="1">
        <v>37339</v>
      </c>
      <c r="N1889" s="1">
        <v>37353</v>
      </c>
      <c r="O1889" t="s">
        <v>1117</v>
      </c>
      <c r="P1889">
        <v>2</v>
      </c>
      <c r="Q1889" t="s">
        <v>2662</v>
      </c>
      <c r="R1889">
        <f t="shared" si="59"/>
        <v>15</v>
      </c>
      <c r="S1889">
        <f t="shared" si="60"/>
        <v>1</v>
      </c>
    </row>
    <row r="1890" spans="1:19" x14ac:dyDescent="0.25">
      <c r="A1890" t="s">
        <v>3014</v>
      </c>
      <c r="B1890" t="s">
        <v>1199</v>
      </c>
      <c r="C1890">
        <v>2</v>
      </c>
      <c r="D1890">
        <v>510</v>
      </c>
      <c r="E1890">
        <v>0</v>
      </c>
      <c r="F1890">
        <v>18</v>
      </c>
      <c r="G1890">
        <v>18</v>
      </c>
      <c r="H1890" t="s">
        <v>2661</v>
      </c>
      <c r="I1890" s="1">
        <v>37192</v>
      </c>
      <c r="J1890" s="1">
        <v>37336</v>
      </c>
      <c r="K1890" s="1">
        <v>37359</v>
      </c>
      <c r="L1890" s="1">
        <v>37359</v>
      </c>
      <c r="M1890" s="1">
        <v>37353</v>
      </c>
      <c r="N1890" s="1">
        <v>37360</v>
      </c>
      <c r="O1890" t="s">
        <v>1117</v>
      </c>
      <c r="P1890">
        <v>17</v>
      </c>
      <c r="Q1890" t="s">
        <v>2662</v>
      </c>
      <c r="R1890">
        <f t="shared" si="59"/>
        <v>16</v>
      </c>
      <c r="S1890">
        <f t="shared" si="60"/>
        <v>1</v>
      </c>
    </row>
    <row r="1891" spans="1:19" x14ac:dyDescent="0.25">
      <c r="A1891" t="s">
        <v>3015</v>
      </c>
      <c r="B1891" t="s">
        <v>1199</v>
      </c>
      <c r="C1891">
        <v>2</v>
      </c>
      <c r="D1891">
        <v>565</v>
      </c>
      <c r="E1891">
        <v>0</v>
      </c>
      <c r="F1891">
        <v>9</v>
      </c>
      <c r="G1891">
        <v>9</v>
      </c>
      <c r="H1891" t="s">
        <v>2661</v>
      </c>
      <c r="I1891" s="1">
        <v>37199</v>
      </c>
      <c r="J1891" s="1">
        <v>37335</v>
      </c>
      <c r="K1891" s="1">
        <v>37359</v>
      </c>
      <c r="L1891" s="1">
        <v>37359</v>
      </c>
      <c r="M1891" s="1">
        <v>37353</v>
      </c>
      <c r="N1891" s="1">
        <v>37353</v>
      </c>
      <c r="O1891" t="s">
        <v>1117</v>
      </c>
      <c r="P1891">
        <v>6</v>
      </c>
      <c r="Q1891" t="s">
        <v>2662</v>
      </c>
      <c r="R1891">
        <f t="shared" si="59"/>
        <v>15</v>
      </c>
      <c r="S1891">
        <f t="shared" si="60"/>
        <v>1</v>
      </c>
    </row>
    <row r="1892" spans="1:19" x14ac:dyDescent="0.25">
      <c r="A1892" t="s">
        <v>3016</v>
      </c>
      <c r="B1892" t="s">
        <v>1199</v>
      </c>
      <c r="C1892">
        <v>2.2999999999999998</v>
      </c>
      <c r="D1892">
        <v>565</v>
      </c>
      <c r="E1892">
        <v>0</v>
      </c>
      <c r="F1892">
        <v>28</v>
      </c>
      <c r="G1892">
        <v>28</v>
      </c>
      <c r="H1892" t="s">
        <v>2661</v>
      </c>
      <c r="I1892" s="1">
        <v>37199</v>
      </c>
      <c r="J1892" s="1">
        <v>37335</v>
      </c>
      <c r="K1892" s="1">
        <v>37339</v>
      </c>
      <c r="L1892" s="1">
        <v>37339</v>
      </c>
      <c r="M1892" s="1">
        <v>37339</v>
      </c>
      <c r="N1892" s="1">
        <v>37346</v>
      </c>
      <c r="O1892" t="s">
        <v>1117</v>
      </c>
      <c r="P1892">
        <v>5</v>
      </c>
      <c r="Q1892" t="s">
        <v>2662</v>
      </c>
      <c r="R1892">
        <f t="shared" si="59"/>
        <v>14</v>
      </c>
      <c r="S1892">
        <f t="shared" si="60"/>
        <v>1</v>
      </c>
    </row>
    <row r="1893" spans="1:19" x14ac:dyDescent="0.25">
      <c r="A1893" t="s">
        <v>3017</v>
      </c>
      <c r="B1893" t="s">
        <v>4026</v>
      </c>
      <c r="C1893">
        <v>3</v>
      </c>
      <c r="D1893">
        <v>1250</v>
      </c>
      <c r="E1893">
        <v>0</v>
      </c>
      <c r="F1893">
        <v>40</v>
      </c>
      <c r="G1893">
        <v>40</v>
      </c>
      <c r="H1893" t="s">
        <v>2661</v>
      </c>
      <c r="I1893" s="1">
        <v>37104</v>
      </c>
      <c r="J1893" s="1">
        <v>37346</v>
      </c>
      <c r="K1893" s="1">
        <v>37346</v>
      </c>
      <c r="L1893" s="1">
        <v>37346</v>
      </c>
      <c r="M1893" s="1">
        <v>37346</v>
      </c>
      <c r="N1893" s="1">
        <v>37346</v>
      </c>
      <c r="O1893" t="s">
        <v>1114</v>
      </c>
      <c r="P1893">
        <v>1</v>
      </c>
      <c r="Q1893" t="s">
        <v>2662</v>
      </c>
      <c r="R1893">
        <f t="shared" si="59"/>
        <v>14</v>
      </c>
      <c r="S1893">
        <f t="shared" si="60"/>
        <v>1</v>
      </c>
    </row>
    <row r="1894" spans="1:19" x14ac:dyDescent="0.25">
      <c r="A1894" t="s">
        <v>3018</v>
      </c>
      <c r="B1894" t="s">
        <v>4027</v>
      </c>
      <c r="C1894">
        <v>2.2999999999999998</v>
      </c>
      <c r="D1894">
        <v>460</v>
      </c>
      <c r="E1894">
        <v>0</v>
      </c>
      <c r="F1894">
        <v>18</v>
      </c>
      <c r="G1894">
        <v>18</v>
      </c>
      <c r="H1894" t="s">
        <v>2661</v>
      </c>
      <c r="I1894" s="1">
        <v>37201</v>
      </c>
      <c r="J1894" s="1">
        <v>37333</v>
      </c>
      <c r="K1894" s="1">
        <v>37337</v>
      </c>
      <c r="L1894" s="1">
        <v>37337</v>
      </c>
      <c r="M1894" s="1">
        <v>37337</v>
      </c>
      <c r="N1894" s="1">
        <v>37353</v>
      </c>
      <c r="O1894" t="s">
        <v>1117</v>
      </c>
      <c r="P1894">
        <v>2</v>
      </c>
      <c r="Q1894" t="s">
        <v>2662</v>
      </c>
      <c r="R1894">
        <f t="shared" si="59"/>
        <v>15</v>
      </c>
      <c r="S1894">
        <f t="shared" si="60"/>
        <v>1</v>
      </c>
    </row>
    <row r="1895" spans="1:19" x14ac:dyDescent="0.25">
      <c r="A1895" t="s">
        <v>3019</v>
      </c>
      <c r="B1895" t="s">
        <v>4027</v>
      </c>
      <c r="C1895">
        <v>6</v>
      </c>
      <c r="D1895">
        <v>1250</v>
      </c>
      <c r="E1895">
        <v>0</v>
      </c>
      <c r="F1895">
        <v>22</v>
      </c>
      <c r="G1895">
        <v>22</v>
      </c>
      <c r="H1895" t="s">
        <v>2661</v>
      </c>
      <c r="I1895" s="1">
        <v>37159</v>
      </c>
      <c r="J1895" s="1">
        <v>37314</v>
      </c>
      <c r="K1895" s="1">
        <v>37320</v>
      </c>
      <c r="L1895" s="1">
        <v>37320</v>
      </c>
      <c r="M1895" s="1">
        <v>37321</v>
      </c>
      <c r="N1895" s="1">
        <v>37321</v>
      </c>
      <c r="O1895" t="s">
        <v>1117</v>
      </c>
      <c r="P1895">
        <v>1</v>
      </c>
      <c r="Q1895" t="s">
        <v>2662</v>
      </c>
      <c r="R1895">
        <f t="shared" si="59"/>
        <v>10</v>
      </c>
      <c r="S1895">
        <f t="shared" si="60"/>
        <v>1</v>
      </c>
    </row>
    <row r="1896" spans="1:19" x14ac:dyDescent="0.25">
      <c r="A1896" t="s">
        <v>3020</v>
      </c>
      <c r="B1896" t="s">
        <v>1199</v>
      </c>
      <c r="C1896">
        <v>2.5</v>
      </c>
      <c r="D1896">
        <v>568</v>
      </c>
      <c r="E1896">
        <v>0</v>
      </c>
      <c r="F1896">
        <v>9</v>
      </c>
      <c r="G1896">
        <v>9</v>
      </c>
      <c r="H1896" t="s">
        <v>2661</v>
      </c>
      <c r="I1896" s="1">
        <v>37192</v>
      </c>
      <c r="J1896" s="1">
        <v>37328</v>
      </c>
      <c r="K1896" s="1">
        <v>37339</v>
      </c>
      <c r="L1896" s="1">
        <v>37339</v>
      </c>
      <c r="M1896" s="1">
        <v>37332</v>
      </c>
      <c r="N1896" s="1">
        <v>37332</v>
      </c>
      <c r="O1896" t="s">
        <v>1117</v>
      </c>
      <c r="P1896">
        <v>1</v>
      </c>
      <c r="Q1896" t="s">
        <v>2662</v>
      </c>
      <c r="R1896">
        <f t="shared" si="59"/>
        <v>12</v>
      </c>
      <c r="S1896">
        <f t="shared" si="60"/>
        <v>1</v>
      </c>
    </row>
    <row r="1897" spans="1:19" x14ac:dyDescent="0.25">
      <c r="A1897" t="s">
        <v>3021</v>
      </c>
      <c r="B1897" t="s">
        <v>1199</v>
      </c>
      <c r="C1897">
        <v>2.5</v>
      </c>
      <c r="D1897">
        <v>357</v>
      </c>
      <c r="E1897">
        <v>0</v>
      </c>
      <c r="F1897">
        <v>6</v>
      </c>
      <c r="G1897">
        <v>6</v>
      </c>
      <c r="H1897" t="s">
        <v>2661</v>
      </c>
      <c r="I1897" s="1">
        <v>37192</v>
      </c>
      <c r="J1897" s="1">
        <v>37328</v>
      </c>
      <c r="K1897" s="1">
        <v>37339</v>
      </c>
      <c r="L1897" s="1">
        <v>37339</v>
      </c>
      <c r="M1897" s="1">
        <v>37332</v>
      </c>
      <c r="N1897" s="1">
        <v>37332</v>
      </c>
      <c r="O1897" t="s">
        <v>1117</v>
      </c>
      <c r="P1897">
        <v>3</v>
      </c>
      <c r="Q1897" t="s">
        <v>2662</v>
      </c>
      <c r="R1897">
        <f t="shared" si="59"/>
        <v>12</v>
      </c>
      <c r="S1897">
        <f t="shared" si="60"/>
        <v>1</v>
      </c>
    </row>
    <row r="1898" spans="1:19" x14ac:dyDescent="0.25">
      <c r="A1898" t="s">
        <v>3022</v>
      </c>
      <c r="B1898" t="s">
        <v>4028</v>
      </c>
      <c r="C1898">
        <v>3</v>
      </c>
      <c r="D1898">
        <v>225</v>
      </c>
      <c r="E1898">
        <v>0</v>
      </c>
      <c r="F1898">
        <v>5</v>
      </c>
      <c r="G1898">
        <v>5</v>
      </c>
      <c r="H1898" t="s">
        <v>2661</v>
      </c>
      <c r="I1898" s="1">
        <v>37199</v>
      </c>
      <c r="J1898" s="1">
        <v>37327</v>
      </c>
      <c r="K1898" s="1">
        <v>37338</v>
      </c>
      <c r="L1898" s="1">
        <v>37338</v>
      </c>
      <c r="M1898" s="1">
        <v>37331</v>
      </c>
      <c r="N1898" s="1">
        <v>37331</v>
      </c>
      <c r="O1898" t="s">
        <v>1117</v>
      </c>
      <c r="P1898">
        <v>5</v>
      </c>
      <c r="Q1898" t="s">
        <v>2662</v>
      </c>
      <c r="R1898">
        <f t="shared" si="59"/>
        <v>11</v>
      </c>
      <c r="S1898">
        <f t="shared" si="60"/>
        <v>1</v>
      </c>
    </row>
    <row r="1899" spans="1:19" x14ac:dyDescent="0.25">
      <c r="A1899" t="s">
        <v>3023</v>
      </c>
      <c r="B1899" t="s">
        <v>4027</v>
      </c>
      <c r="C1899">
        <v>3</v>
      </c>
      <c r="D1899">
        <v>515</v>
      </c>
      <c r="E1899">
        <v>0</v>
      </c>
      <c r="F1899">
        <v>15</v>
      </c>
      <c r="G1899">
        <v>15</v>
      </c>
      <c r="H1899" t="s">
        <v>2661</v>
      </c>
      <c r="I1899" s="1">
        <v>37199</v>
      </c>
      <c r="J1899" s="1">
        <v>37327</v>
      </c>
      <c r="K1899" s="1">
        <v>37331</v>
      </c>
      <c r="L1899" s="1">
        <v>37331</v>
      </c>
      <c r="M1899" s="1">
        <v>37331</v>
      </c>
      <c r="N1899" s="1">
        <v>37331</v>
      </c>
      <c r="O1899" t="s">
        <v>1117</v>
      </c>
      <c r="P1899">
        <v>8</v>
      </c>
      <c r="Q1899" t="s">
        <v>2662</v>
      </c>
      <c r="R1899">
        <f t="shared" si="59"/>
        <v>11</v>
      </c>
      <c r="S1899">
        <f t="shared" si="60"/>
        <v>1</v>
      </c>
    </row>
    <row r="1900" spans="1:19" x14ac:dyDescent="0.25">
      <c r="A1900" t="s">
        <v>3024</v>
      </c>
      <c r="B1900" t="s">
        <v>4028</v>
      </c>
      <c r="C1900">
        <v>2.5</v>
      </c>
      <c r="D1900">
        <v>1250</v>
      </c>
      <c r="E1900">
        <v>0</v>
      </c>
      <c r="F1900">
        <v>42</v>
      </c>
      <c r="G1900">
        <v>42</v>
      </c>
      <c r="H1900" t="s">
        <v>2661</v>
      </c>
      <c r="I1900" s="1">
        <v>37189</v>
      </c>
      <c r="J1900" s="1">
        <v>37330</v>
      </c>
      <c r="K1900" s="1">
        <v>37330</v>
      </c>
      <c r="L1900" s="1">
        <v>37330</v>
      </c>
      <c r="M1900" s="1">
        <v>37330</v>
      </c>
      <c r="N1900" s="1">
        <v>37330</v>
      </c>
      <c r="O1900" t="s">
        <v>1114</v>
      </c>
      <c r="P1900">
        <v>1</v>
      </c>
      <c r="Q1900" t="s">
        <v>2662</v>
      </c>
      <c r="R1900">
        <f t="shared" si="59"/>
        <v>11</v>
      </c>
      <c r="S1900">
        <f t="shared" si="60"/>
        <v>1</v>
      </c>
    </row>
    <row r="1901" spans="1:19" x14ac:dyDescent="0.25">
      <c r="A1901" t="s">
        <v>3025</v>
      </c>
      <c r="B1901" t="s">
        <v>1199</v>
      </c>
      <c r="C1901">
        <v>2.5</v>
      </c>
      <c r="D1901">
        <v>568</v>
      </c>
      <c r="E1901">
        <v>0</v>
      </c>
      <c r="F1901">
        <v>9</v>
      </c>
      <c r="G1901">
        <v>9</v>
      </c>
      <c r="H1901" t="s">
        <v>2661</v>
      </c>
      <c r="I1901" s="1">
        <v>37189</v>
      </c>
      <c r="J1901" s="1">
        <v>37328</v>
      </c>
      <c r="K1901" s="1">
        <v>37339</v>
      </c>
      <c r="L1901" s="1">
        <v>37339</v>
      </c>
      <c r="M1901" s="1">
        <v>37332</v>
      </c>
      <c r="N1901" s="1">
        <v>37332</v>
      </c>
      <c r="O1901" t="s">
        <v>1117</v>
      </c>
      <c r="P1901">
        <v>1</v>
      </c>
      <c r="Q1901" t="s">
        <v>2662</v>
      </c>
      <c r="R1901">
        <f t="shared" si="59"/>
        <v>12</v>
      </c>
      <c r="S1901">
        <f t="shared" si="60"/>
        <v>1</v>
      </c>
    </row>
    <row r="1902" spans="1:19" x14ac:dyDescent="0.25">
      <c r="A1902" t="s">
        <v>3026</v>
      </c>
      <c r="B1902" t="s">
        <v>1199</v>
      </c>
      <c r="C1902">
        <v>16</v>
      </c>
      <c r="D1902">
        <v>1250</v>
      </c>
      <c r="E1902">
        <v>6000</v>
      </c>
      <c r="F1902">
        <v>5</v>
      </c>
      <c r="G1902">
        <v>5</v>
      </c>
      <c r="H1902" t="s">
        <v>3027</v>
      </c>
      <c r="I1902" s="1">
        <v>37343</v>
      </c>
      <c r="J1902" s="1">
        <v>37383</v>
      </c>
      <c r="K1902" t="s">
        <v>1124</v>
      </c>
      <c r="L1902" t="s">
        <v>1124</v>
      </c>
      <c r="M1902" t="s">
        <v>1124</v>
      </c>
      <c r="N1902" s="1">
        <v>37368</v>
      </c>
      <c r="O1902" t="s">
        <v>1117</v>
      </c>
      <c r="P1902">
        <v>1</v>
      </c>
      <c r="Q1902" t="s">
        <v>2855</v>
      </c>
      <c r="R1902">
        <f t="shared" si="59"/>
        <v>17</v>
      </c>
      <c r="S1902">
        <f t="shared" si="60"/>
        <v>0</v>
      </c>
    </row>
    <row r="1903" spans="1:19" x14ac:dyDescent="0.25">
      <c r="A1903" t="s">
        <v>3028</v>
      </c>
      <c r="B1903" t="s">
        <v>1199</v>
      </c>
      <c r="C1903">
        <v>60</v>
      </c>
      <c r="D1903">
        <v>1250</v>
      </c>
      <c r="E1903">
        <v>6000</v>
      </c>
      <c r="F1903">
        <v>8</v>
      </c>
      <c r="G1903">
        <v>8</v>
      </c>
      <c r="H1903" t="s">
        <v>3027</v>
      </c>
      <c r="I1903" s="1">
        <v>37159</v>
      </c>
      <c r="J1903" s="1">
        <v>37325</v>
      </c>
      <c r="K1903" t="s">
        <v>1124</v>
      </c>
      <c r="L1903" t="s">
        <v>1124</v>
      </c>
      <c r="M1903" s="1">
        <v>37262</v>
      </c>
      <c r="N1903" s="1">
        <v>37262</v>
      </c>
      <c r="O1903" t="s">
        <v>1117</v>
      </c>
      <c r="P1903">
        <v>2</v>
      </c>
      <c r="Q1903" t="s">
        <v>2855</v>
      </c>
      <c r="R1903">
        <f t="shared" si="59"/>
        <v>2</v>
      </c>
      <c r="S1903">
        <f t="shared" si="60"/>
        <v>1</v>
      </c>
    </row>
    <row r="1904" spans="1:19" x14ac:dyDescent="0.25">
      <c r="A1904" t="s">
        <v>3029</v>
      </c>
      <c r="B1904" t="s">
        <v>4026</v>
      </c>
      <c r="C1904">
        <v>14</v>
      </c>
      <c r="D1904">
        <v>1250</v>
      </c>
      <c r="E1904">
        <v>6000</v>
      </c>
      <c r="F1904">
        <v>75</v>
      </c>
      <c r="G1904">
        <v>75</v>
      </c>
      <c r="H1904" t="s">
        <v>3027</v>
      </c>
      <c r="I1904" s="1">
        <v>37159</v>
      </c>
      <c r="J1904" s="1">
        <v>37319</v>
      </c>
      <c r="K1904" s="1">
        <v>37307</v>
      </c>
      <c r="L1904" s="1">
        <v>37319</v>
      </c>
      <c r="M1904" s="1">
        <v>37307</v>
      </c>
      <c r="N1904" s="1">
        <v>37307</v>
      </c>
      <c r="O1904" t="s">
        <v>1114</v>
      </c>
      <c r="P1904">
        <v>1</v>
      </c>
      <c r="Q1904" t="s">
        <v>2855</v>
      </c>
      <c r="R1904">
        <f t="shared" si="59"/>
        <v>8</v>
      </c>
      <c r="S1904">
        <f t="shared" si="60"/>
        <v>1</v>
      </c>
    </row>
    <row r="1905" spans="1:19" x14ac:dyDescent="0.25">
      <c r="A1905" t="s">
        <v>3030</v>
      </c>
      <c r="B1905" t="s">
        <v>1199</v>
      </c>
      <c r="C1905">
        <v>20</v>
      </c>
      <c r="D1905">
        <v>1250</v>
      </c>
      <c r="E1905">
        <v>6000</v>
      </c>
      <c r="F1905">
        <v>5</v>
      </c>
      <c r="G1905">
        <v>5</v>
      </c>
      <c r="H1905" t="s">
        <v>3027</v>
      </c>
      <c r="I1905" s="1">
        <v>37343</v>
      </c>
      <c r="J1905" s="1">
        <v>37383</v>
      </c>
      <c r="K1905" t="s">
        <v>1124</v>
      </c>
      <c r="L1905" t="s">
        <v>1124</v>
      </c>
      <c r="M1905" t="s">
        <v>1124</v>
      </c>
      <c r="N1905" s="1">
        <v>37368</v>
      </c>
      <c r="O1905" t="s">
        <v>1117</v>
      </c>
      <c r="P1905">
        <v>2</v>
      </c>
      <c r="Q1905" t="s">
        <v>2855</v>
      </c>
      <c r="R1905">
        <f t="shared" si="59"/>
        <v>17</v>
      </c>
      <c r="S1905">
        <f t="shared" si="60"/>
        <v>0</v>
      </c>
    </row>
    <row r="1906" spans="1:19" x14ac:dyDescent="0.25">
      <c r="A1906" t="s">
        <v>3031</v>
      </c>
      <c r="B1906" t="s">
        <v>1199</v>
      </c>
      <c r="C1906">
        <v>70</v>
      </c>
      <c r="D1906">
        <v>1250</v>
      </c>
      <c r="E1906">
        <v>6000</v>
      </c>
      <c r="F1906">
        <v>9</v>
      </c>
      <c r="G1906">
        <v>9</v>
      </c>
      <c r="H1906" t="s">
        <v>3027</v>
      </c>
      <c r="I1906" s="1">
        <v>37124</v>
      </c>
      <c r="J1906" s="1">
        <v>37322</v>
      </c>
      <c r="K1906" s="1">
        <v>37308</v>
      </c>
      <c r="L1906" s="1">
        <v>37322</v>
      </c>
      <c r="M1906" s="1">
        <v>37260</v>
      </c>
      <c r="N1906" s="1">
        <v>37260</v>
      </c>
      <c r="O1906" t="s">
        <v>1114</v>
      </c>
      <c r="P1906">
        <v>1</v>
      </c>
      <c r="Q1906" t="s">
        <v>2855</v>
      </c>
      <c r="R1906">
        <f t="shared" si="59"/>
        <v>1</v>
      </c>
      <c r="S1906">
        <f t="shared" si="60"/>
        <v>1</v>
      </c>
    </row>
    <row r="1907" spans="1:19" x14ac:dyDescent="0.25">
      <c r="A1907" t="s">
        <v>3032</v>
      </c>
      <c r="B1907" t="s">
        <v>1199</v>
      </c>
      <c r="C1907">
        <v>8</v>
      </c>
      <c r="D1907">
        <v>1250</v>
      </c>
      <c r="E1907">
        <v>6000</v>
      </c>
      <c r="F1907">
        <v>30</v>
      </c>
      <c r="G1907">
        <v>30</v>
      </c>
      <c r="H1907" t="s">
        <v>3027</v>
      </c>
      <c r="I1907" s="1">
        <v>37335</v>
      </c>
      <c r="J1907" s="1">
        <v>37370</v>
      </c>
      <c r="K1907" s="1">
        <v>37370</v>
      </c>
      <c r="L1907" s="1">
        <v>37370</v>
      </c>
      <c r="M1907" s="1">
        <v>37370</v>
      </c>
      <c r="N1907" s="1">
        <v>37370</v>
      </c>
      <c r="O1907" t="s">
        <v>1114</v>
      </c>
      <c r="P1907">
        <v>5</v>
      </c>
      <c r="Q1907" t="s">
        <v>2855</v>
      </c>
      <c r="R1907">
        <f t="shared" si="59"/>
        <v>17</v>
      </c>
      <c r="S1907">
        <f t="shared" si="60"/>
        <v>1</v>
      </c>
    </row>
    <row r="1908" spans="1:19" x14ac:dyDescent="0.25">
      <c r="A1908" t="s">
        <v>3033</v>
      </c>
      <c r="B1908" t="s">
        <v>4028</v>
      </c>
      <c r="C1908">
        <v>6</v>
      </c>
      <c r="D1908">
        <v>1250</v>
      </c>
      <c r="E1908">
        <v>2500</v>
      </c>
      <c r="F1908">
        <v>34.228999999999999</v>
      </c>
      <c r="G1908">
        <v>24.042999999999999</v>
      </c>
      <c r="H1908" t="s">
        <v>2661</v>
      </c>
      <c r="I1908" s="1">
        <v>37159</v>
      </c>
      <c r="J1908" s="1">
        <v>37325</v>
      </c>
      <c r="K1908" s="1">
        <v>37325</v>
      </c>
      <c r="L1908" s="1">
        <v>37325</v>
      </c>
      <c r="M1908" s="1">
        <v>37325</v>
      </c>
      <c r="N1908" s="1">
        <v>37325</v>
      </c>
      <c r="O1908" t="s">
        <v>1114</v>
      </c>
      <c r="P1908">
        <v>1</v>
      </c>
      <c r="Q1908" t="s">
        <v>2662</v>
      </c>
      <c r="R1908">
        <f t="shared" si="59"/>
        <v>11</v>
      </c>
      <c r="S1908">
        <f t="shared" si="60"/>
        <v>0</v>
      </c>
    </row>
    <row r="1909" spans="1:19" x14ac:dyDescent="0.25">
      <c r="A1909" t="s">
        <v>3034</v>
      </c>
      <c r="B1909" t="s">
        <v>1199</v>
      </c>
      <c r="C1909">
        <v>14</v>
      </c>
      <c r="D1909">
        <v>1250</v>
      </c>
      <c r="E1909">
        <v>6000</v>
      </c>
      <c r="F1909">
        <v>5</v>
      </c>
      <c r="G1909">
        <v>5</v>
      </c>
      <c r="H1909" t="s">
        <v>3027</v>
      </c>
      <c r="I1909" s="1">
        <v>37120</v>
      </c>
      <c r="J1909" s="1">
        <v>37322</v>
      </c>
      <c r="K1909" s="1">
        <v>37311</v>
      </c>
      <c r="L1909" s="1">
        <v>37322</v>
      </c>
      <c r="M1909" s="1">
        <v>37286</v>
      </c>
      <c r="N1909" s="1">
        <v>37286</v>
      </c>
      <c r="O1909" t="s">
        <v>1114</v>
      </c>
      <c r="P1909">
        <v>1</v>
      </c>
      <c r="Q1909" t="s">
        <v>2855</v>
      </c>
      <c r="R1909">
        <f t="shared" si="59"/>
        <v>5</v>
      </c>
      <c r="S1909">
        <f t="shared" si="60"/>
        <v>1</v>
      </c>
    </row>
    <row r="1910" spans="1:19" x14ac:dyDescent="0.25">
      <c r="A1910" t="s">
        <v>3035</v>
      </c>
      <c r="B1910" t="s">
        <v>4026</v>
      </c>
      <c r="C1910">
        <v>8</v>
      </c>
      <c r="D1910">
        <v>1250</v>
      </c>
      <c r="E1910">
        <v>6000</v>
      </c>
      <c r="F1910">
        <v>30</v>
      </c>
      <c r="G1910">
        <v>30</v>
      </c>
      <c r="H1910" t="s">
        <v>3027</v>
      </c>
      <c r="I1910" s="1">
        <v>37343</v>
      </c>
      <c r="J1910" s="1">
        <v>37386</v>
      </c>
      <c r="K1910" t="s">
        <v>1124</v>
      </c>
      <c r="L1910" t="s">
        <v>1124</v>
      </c>
      <c r="M1910" t="s">
        <v>1124</v>
      </c>
      <c r="N1910" s="1">
        <v>37370</v>
      </c>
      <c r="O1910" t="s">
        <v>1117</v>
      </c>
      <c r="P1910">
        <v>5</v>
      </c>
      <c r="Q1910" t="s">
        <v>2855</v>
      </c>
      <c r="R1910">
        <f t="shared" si="59"/>
        <v>17</v>
      </c>
      <c r="S1910">
        <f t="shared" si="60"/>
        <v>0</v>
      </c>
    </row>
    <row r="1911" spans="1:19" x14ac:dyDescent="0.25">
      <c r="A1911" t="s">
        <v>3036</v>
      </c>
      <c r="B1911" t="s">
        <v>4029</v>
      </c>
      <c r="C1911">
        <v>25</v>
      </c>
      <c r="D1911">
        <v>1250</v>
      </c>
      <c r="E1911">
        <v>6000</v>
      </c>
      <c r="F1911">
        <v>5.9</v>
      </c>
      <c r="G1911">
        <v>5.9</v>
      </c>
      <c r="H1911" t="s">
        <v>3027</v>
      </c>
      <c r="I1911" s="1">
        <v>37159</v>
      </c>
      <c r="J1911" s="1">
        <v>37320</v>
      </c>
      <c r="K1911" s="1">
        <v>37308</v>
      </c>
      <c r="L1911" s="1">
        <v>37320</v>
      </c>
      <c r="M1911" s="1">
        <v>37271</v>
      </c>
      <c r="N1911" s="1">
        <v>37271</v>
      </c>
      <c r="O1911" t="s">
        <v>1114</v>
      </c>
      <c r="P1911">
        <v>5</v>
      </c>
      <c r="Q1911" t="s">
        <v>2855</v>
      </c>
      <c r="R1911">
        <f t="shared" si="59"/>
        <v>3</v>
      </c>
      <c r="S1911">
        <f t="shared" si="60"/>
        <v>1</v>
      </c>
    </row>
    <row r="1912" spans="1:19" x14ac:dyDescent="0.25">
      <c r="A1912" t="s">
        <v>3037</v>
      </c>
      <c r="B1912" t="s">
        <v>1199</v>
      </c>
      <c r="C1912">
        <v>14</v>
      </c>
      <c r="D1912">
        <v>1250</v>
      </c>
      <c r="E1912">
        <v>6000</v>
      </c>
      <c r="F1912">
        <v>5</v>
      </c>
      <c r="G1912">
        <v>5</v>
      </c>
      <c r="H1912" t="s">
        <v>3027</v>
      </c>
      <c r="I1912" s="1">
        <v>37159</v>
      </c>
      <c r="J1912" s="1">
        <v>37320</v>
      </c>
      <c r="K1912" t="s">
        <v>1124</v>
      </c>
      <c r="L1912" t="s">
        <v>1124</v>
      </c>
      <c r="M1912" s="1">
        <v>37271</v>
      </c>
      <c r="N1912" s="1">
        <v>37286</v>
      </c>
      <c r="O1912" t="s">
        <v>1117</v>
      </c>
      <c r="P1912">
        <v>1</v>
      </c>
      <c r="Q1912" t="s">
        <v>2855</v>
      </c>
      <c r="R1912">
        <f t="shared" si="59"/>
        <v>5</v>
      </c>
      <c r="S1912">
        <f t="shared" si="60"/>
        <v>1</v>
      </c>
    </row>
    <row r="1913" spans="1:19" x14ac:dyDescent="0.25">
      <c r="A1913" t="s">
        <v>3038</v>
      </c>
      <c r="B1913" t="s">
        <v>4028</v>
      </c>
      <c r="C1913">
        <v>16</v>
      </c>
      <c r="D1913">
        <v>1250</v>
      </c>
      <c r="E1913">
        <v>6000</v>
      </c>
      <c r="F1913">
        <v>5</v>
      </c>
      <c r="G1913">
        <v>5</v>
      </c>
      <c r="H1913" t="s">
        <v>3027</v>
      </c>
      <c r="I1913" s="1">
        <v>37120</v>
      </c>
      <c r="J1913" s="1">
        <v>37322</v>
      </c>
      <c r="K1913" s="1">
        <v>37307</v>
      </c>
      <c r="L1913" s="1">
        <v>37322</v>
      </c>
      <c r="M1913" s="1">
        <v>37286</v>
      </c>
      <c r="N1913" s="1">
        <v>37286</v>
      </c>
      <c r="O1913" t="s">
        <v>1114</v>
      </c>
      <c r="P1913">
        <v>2</v>
      </c>
      <c r="Q1913" t="s">
        <v>2855</v>
      </c>
      <c r="R1913">
        <f t="shared" si="59"/>
        <v>5</v>
      </c>
      <c r="S1913">
        <f t="shared" si="60"/>
        <v>1</v>
      </c>
    </row>
    <row r="1914" spans="1:19" x14ac:dyDescent="0.25">
      <c r="A1914" t="s">
        <v>3039</v>
      </c>
      <c r="B1914" t="s">
        <v>1199</v>
      </c>
      <c r="C1914">
        <v>16</v>
      </c>
      <c r="D1914">
        <v>1250</v>
      </c>
      <c r="E1914">
        <v>5000</v>
      </c>
      <c r="F1914">
        <v>5</v>
      </c>
      <c r="G1914">
        <v>5</v>
      </c>
      <c r="H1914" t="s">
        <v>3027</v>
      </c>
      <c r="I1914" s="1">
        <v>37120</v>
      </c>
      <c r="J1914" s="1">
        <v>37322</v>
      </c>
      <c r="K1914" s="1">
        <v>37307</v>
      </c>
      <c r="L1914" s="1">
        <v>37322</v>
      </c>
      <c r="M1914" s="1">
        <v>37286</v>
      </c>
      <c r="N1914" s="1">
        <v>37286</v>
      </c>
      <c r="O1914" t="s">
        <v>1114</v>
      </c>
      <c r="P1914">
        <v>1</v>
      </c>
      <c r="Q1914" t="s">
        <v>2855</v>
      </c>
      <c r="R1914">
        <f t="shared" si="59"/>
        <v>5</v>
      </c>
      <c r="S1914">
        <f t="shared" si="60"/>
        <v>1</v>
      </c>
    </row>
    <row r="1915" spans="1:19" x14ac:dyDescent="0.25">
      <c r="A1915" t="s">
        <v>3040</v>
      </c>
      <c r="B1915" t="s">
        <v>1199</v>
      </c>
      <c r="C1915">
        <v>85</v>
      </c>
      <c r="D1915">
        <v>1250</v>
      </c>
      <c r="E1915">
        <v>6000</v>
      </c>
      <c r="F1915">
        <v>10.199999999999999</v>
      </c>
      <c r="G1915">
        <v>10.199999999999999</v>
      </c>
      <c r="H1915" t="s">
        <v>3027</v>
      </c>
      <c r="I1915" s="1">
        <v>37115</v>
      </c>
      <c r="J1915" s="1">
        <v>37321</v>
      </c>
      <c r="K1915" s="1">
        <v>37388</v>
      </c>
      <c r="L1915" s="1">
        <v>37388</v>
      </c>
      <c r="M1915" s="1">
        <v>37283</v>
      </c>
      <c r="N1915" s="1">
        <v>37283</v>
      </c>
      <c r="O1915" t="s">
        <v>1117</v>
      </c>
      <c r="P1915">
        <v>1</v>
      </c>
      <c r="Q1915" t="s">
        <v>2855</v>
      </c>
      <c r="R1915">
        <f t="shared" si="59"/>
        <v>5</v>
      </c>
      <c r="S1915">
        <f t="shared" si="60"/>
        <v>1</v>
      </c>
    </row>
    <row r="1916" spans="1:19" x14ac:dyDescent="0.25">
      <c r="A1916" t="s">
        <v>3041</v>
      </c>
      <c r="B1916" t="s">
        <v>1199</v>
      </c>
      <c r="C1916">
        <v>14</v>
      </c>
      <c r="D1916">
        <v>1250</v>
      </c>
      <c r="E1916">
        <v>5000</v>
      </c>
      <c r="F1916">
        <v>5</v>
      </c>
      <c r="G1916">
        <v>5</v>
      </c>
      <c r="H1916" t="s">
        <v>3027</v>
      </c>
      <c r="I1916" s="1">
        <v>37120</v>
      </c>
      <c r="J1916" s="1">
        <v>37322</v>
      </c>
      <c r="K1916" s="1">
        <v>37311</v>
      </c>
      <c r="L1916" s="1">
        <v>37322</v>
      </c>
      <c r="M1916" s="1">
        <v>37286</v>
      </c>
      <c r="N1916" s="1">
        <v>37286</v>
      </c>
      <c r="O1916" t="s">
        <v>1114</v>
      </c>
      <c r="P1916">
        <v>3</v>
      </c>
      <c r="Q1916" t="s">
        <v>2855</v>
      </c>
      <c r="R1916">
        <f t="shared" si="59"/>
        <v>5</v>
      </c>
      <c r="S1916">
        <f t="shared" si="60"/>
        <v>1</v>
      </c>
    </row>
    <row r="1917" spans="1:19" x14ac:dyDescent="0.25">
      <c r="A1917" t="s">
        <v>3042</v>
      </c>
      <c r="B1917" t="s">
        <v>1199</v>
      </c>
      <c r="C1917">
        <v>14</v>
      </c>
      <c r="D1917">
        <v>1250</v>
      </c>
      <c r="E1917">
        <v>6000</v>
      </c>
      <c r="F1917">
        <v>25</v>
      </c>
      <c r="G1917">
        <v>25</v>
      </c>
      <c r="H1917" t="s">
        <v>3027</v>
      </c>
      <c r="I1917" s="1">
        <v>37110</v>
      </c>
      <c r="J1917" s="1">
        <v>37321</v>
      </c>
      <c r="K1917" s="1">
        <v>37300</v>
      </c>
      <c r="L1917" s="1">
        <v>37321</v>
      </c>
      <c r="M1917" s="1">
        <v>37278</v>
      </c>
      <c r="N1917" s="1">
        <v>37307</v>
      </c>
      <c r="O1917" t="s">
        <v>1114</v>
      </c>
      <c r="P1917">
        <v>1</v>
      </c>
      <c r="Q1917" t="s">
        <v>2855</v>
      </c>
      <c r="R1917">
        <f t="shared" si="59"/>
        <v>8</v>
      </c>
      <c r="S1917">
        <f t="shared" si="60"/>
        <v>1</v>
      </c>
    </row>
    <row r="1918" spans="1:19" x14ac:dyDescent="0.25">
      <c r="A1918" t="s">
        <v>3043</v>
      </c>
      <c r="B1918" t="s">
        <v>4026</v>
      </c>
      <c r="C1918">
        <v>10</v>
      </c>
      <c r="D1918">
        <v>1250</v>
      </c>
      <c r="E1918">
        <v>3000</v>
      </c>
      <c r="F1918">
        <v>8</v>
      </c>
      <c r="G1918">
        <v>8</v>
      </c>
      <c r="H1918" t="s">
        <v>3027</v>
      </c>
      <c r="I1918" s="1">
        <v>37159</v>
      </c>
      <c r="J1918" s="1">
        <v>37314</v>
      </c>
      <c r="K1918" s="1">
        <v>37332</v>
      </c>
      <c r="L1918" s="1">
        <v>37332</v>
      </c>
      <c r="M1918" s="1">
        <v>37332</v>
      </c>
      <c r="N1918" s="1">
        <v>37332</v>
      </c>
      <c r="O1918" t="s">
        <v>1117</v>
      </c>
      <c r="P1918">
        <v>5</v>
      </c>
      <c r="Q1918" t="s">
        <v>2855</v>
      </c>
      <c r="R1918">
        <f t="shared" si="59"/>
        <v>12</v>
      </c>
      <c r="S1918">
        <f t="shared" si="60"/>
        <v>1</v>
      </c>
    </row>
    <row r="1919" spans="1:19" x14ac:dyDescent="0.25">
      <c r="A1919" t="s">
        <v>3044</v>
      </c>
      <c r="B1919" t="s">
        <v>1199</v>
      </c>
      <c r="C1919">
        <v>14</v>
      </c>
      <c r="D1919">
        <v>1250</v>
      </c>
      <c r="E1919">
        <v>6000</v>
      </c>
      <c r="F1919">
        <v>5</v>
      </c>
      <c r="G1919">
        <v>5</v>
      </c>
      <c r="H1919" t="s">
        <v>3027</v>
      </c>
      <c r="I1919" s="1">
        <v>37159</v>
      </c>
      <c r="J1919" s="1">
        <v>37319</v>
      </c>
      <c r="K1919" s="1">
        <v>37311</v>
      </c>
      <c r="L1919" s="1">
        <v>37319</v>
      </c>
      <c r="M1919" s="1">
        <v>37285</v>
      </c>
      <c r="N1919" s="1">
        <v>37286</v>
      </c>
      <c r="O1919" t="s">
        <v>1114</v>
      </c>
      <c r="P1919">
        <v>11</v>
      </c>
      <c r="Q1919" t="s">
        <v>2855</v>
      </c>
      <c r="R1919">
        <f t="shared" si="59"/>
        <v>5</v>
      </c>
      <c r="S1919">
        <f t="shared" si="60"/>
        <v>1</v>
      </c>
    </row>
    <row r="1920" spans="1:19" x14ac:dyDescent="0.25">
      <c r="A1920" t="s">
        <v>3045</v>
      </c>
      <c r="B1920" t="s">
        <v>4026</v>
      </c>
      <c r="C1920">
        <v>20</v>
      </c>
      <c r="D1920">
        <v>1250</v>
      </c>
      <c r="E1920">
        <v>6000</v>
      </c>
      <c r="F1920">
        <v>5</v>
      </c>
      <c r="G1920">
        <v>5</v>
      </c>
      <c r="H1920" t="s">
        <v>3027</v>
      </c>
      <c r="I1920" s="1">
        <v>37159</v>
      </c>
      <c r="J1920" s="1">
        <v>37323</v>
      </c>
      <c r="K1920" s="1">
        <v>37306</v>
      </c>
      <c r="L1920" s="1">
        <v>37323</v>
      </c>
      <c r="M1920" s="1">
        <v>37272</v>
      </c>
      <c r="N1920" s="1">
        <v>37368</v>
      </c>
      <c r="O1920" t="s">
        <v>1114</v>
      </c>
      <c r="P1920">
        <v>2</v>
      </c>
      <c r="Q1920" t="s">
        <v>2855</v>
      </c>
      <c r="R1920">
        <f t="shared" si="59"/>
        <v>17</v>
      </c>
      <c r="S1920">
        <f t="shared" si="60"/>
        <v>1</v>
      </c>
    </row>
    <row r="1921" spans="1:19" x14ac:dyDescent="0.25">
      <c r="A1921" t="s">
        <v>3046</v>
      </c>
      <c r="B1921" t="s">
        <v>4028</v>
      </c>
      <c r="C1921">
        <v>10</v>
      </c>
      <c r="D1921">
        <v>1250</v>
      </c>
      <c r="E1921">
        <v>6000</v>
      </c>
      <c r="F1921">
        <v>8</v>
      </c>
      <c r="G1921">
        <v>8</v>
      </c>
      <c r="H1921" t="s">
        <v>3027</v>
      </c>
      <c r="I1921" s="1">
        <v>37159</v>
      </c>
      <c r="J1921" s="1">
        <v>37314</v>
      </c>
      <c r="K1921" s="1">
        <v>37331</v>
      </c>
      <c r="L1921" s="1">
        <v>37331</v>
      </c>
      <c r="M1921" s="1">
        <v>37331</v>
      </c>
      <c r="N1921" s="1">
        <v>37331</v>
      </c>
      <c r="O1921" t="s">
        <v>1117</v>
      </c>
      <c r="P1921">
        <v>1</v>
      </c>
      <c r="Q1921" t="s">
        <v>2855</v>
      </c>
      <c r="R1921">
        <f t="shared" si="59"/>
        <v>11</v>
      </c>
      <c r="S1921">
        <f t="shared" si="60"/>
        <v>1</v>
      </c>
    </row>
    <row r="1922" spans="1:19" x14ac:dyDescent="0.25">
      <c r="A1922" t="s">
        <v>3047</v>
      </c>
      <c r="B1922" t="s">
        <v>4028</v>
      </c>
      <c r="C1922">
        <v>6</v>
      </c>
      <c r="D1922">
        <v>1250</v>
      </c>
      <c r="E1922">
        <v>2500</v>
      </c>
      <c r="F1922">
        <v>13</v>
      </c>
      <c r="G1922">
        <v>12.356999999999999</v>
      </c>
      <c r="H1922" t="s">
        <v>2661</v>
      </c>
      <c r="I1922" s="1">
        <v>37159</v>
      </c>
      <c r="J1922" s="1">
        <v>37314</v>
      </c>
      <c r="K1922" s="1">
        <v>37324</v>
      </c>
      <c r="L1922" s="1">
        <v>37324</v>
      </c>
      <c r="M1922" s="1">
        <v>37319</v>
      </c>
      <c r="N1922" s="1">
        <v>37325</v>
      </c>
      <c r="O1922" t="s">
        <v>1117</v>
      </c>
      <c r="P1922">
        <v>1</v>
      </c>
      <c r="Q1922" t="s">
        <v>2662</v>
      </c>
      <c r="R1922">
        <f t="shared" si="59"/>
        <v>11</v>
      </c>
      <c r="S1922">
        <f t="shared" si="60"/>
        <v>0</v>
      </c>
    </row>
    <row r="1923" spans="1:19" x14ac:dyDescent="0.25">
      <c r="A1923" t="s">
        <v>3048</v>
      </c>
      <c r="B1923" t="s">
        <v>4028</v>
      </c>
      <c r="C1923">
        <v>20</v>
      </c>
      <c r="D1923">
        <v>1250</v>
      </c>
      <c r="E1923">
        <v>2500</v>
      </c>
      <c r="F1923">
        <v>3</v>
      </c>
      <c r="G1923">
        <v>3</v>
      </c>
      <c r="H1923" t="s">
        <v>3027</v>
      </c>
      <c r="I1923" s="1">
        <v>37189</v>
      </c>
      <c r="J1923" s="1">
        <v>37323</v>
      </c>
      <c r="K1923" s="1">
        <v>37313</v>
      </c>
      <c r="L1923" s="1">
        <v>37323</v>
      </c>
      <c r="M1923" s="1">
        <v>37236</v>
      </c>
      <c r="N1923" s="1">
        <v>37280</v>
      </c>
      <c r="O1923" t="s">
        <v>1114</v>
      </c>
      <c r="P1923">
        <v>1</v>
      </c>
      <c r="Q1923" t="s">
        <v>2855</v>
      </c>
      <c r="R1923">
        <f t="shared" ref="R1923:R1986" si="61">WEEKNUM(N1923,1)</f>
        <v>4</v>
      </c>
      <c r="S1923">
        <f t="shared" ref="S1923:S1986" si="62">IF(AND(F1923=G1923, M1923&lt;=N1923), 1,0)</f>
        <v>1</v>
      </c>
    </row>
    <row r="1924" spans="1:19" x14ac:dyDescent="0.25">
      <c r="A1924" t="s">
        <v>3049</v>
      </c>
      <c r="B1924" t="s">
        <v>1199</v>
      </c>
      <c r="C1924">
        <v>4</v>
      </c>
      <c r="D1924">
        <v>1250</v>
      </c>
      <c r="E1924">
        <v>2500</v>
      </c>
      <c r="F1924">
        <v>7</v>
      </c>
      <c r="G1924">
        <v>7</v>
      </c>
      <c r="H1924" t="s">
        <v>2661</v>
      </c>
      <c r="I1924" s="1">
        <v>37122</v>
      </c>
      <c r="J1924" s="1">
        <v>37319</v>
      </c>
      <c r="K1924" s="1">
        <v>37363</v>
      </c>
      <c r="L1924" s="1">
        <v>37363</v>
      </c>
      <c r="M1924" s="1">
        <v>37351</v>
      </c>
      <c r="N1924" s="1">
        <v>37351</v>
      </c>
      <c r="O1924" t="s">
        <v>1117</v>
      </c>
      <c r="P1924">
        <v>2</v>
      </c>
      <c r="Q1924" t="s">
        <v>2662</v>
      </c>
      <c r="R1924">
        <f t="shared" si="61"/>
        <v>14</v>
      </c>
      <c r="S1924">
        <f t="shared" si="62"/>
        <v>1</v>
      </c>
    </row>
    <row r="1925" spans="1:19" x14ac:dyDescent="0.25">
      <c r="A1925" t="s">
        <v>3050</v>
      </c>
      <c r="B1925" t="s">
        <v>1199</v>
      </c>
      <c r="C1925">
        <v>3</v>
      </c>
      <c r="D1925">
        <v>1250</v>
      </c>
      <c r="E1925">
        <v>2500</v>
      </c>
      <c r="F1925">
        <v>8</v>
      </c>
      <c r="G1925">
        <v>8</v>
      </c>
      <c r="H1925" t="s">
        <v>2661</v>
      </c>
      <c r="I1925" s="1">
        <v>37159</v>
      </c>
      <c r="J1925" s="1">
        <v>37325</v>
      </c>
      <c r="K1925" s="1">
        <v>37375</v>
      </c>
      <c r="L1925" s="1">
        <v>37375</v>
      </c>
      <c r="M1925" s="1">
        <v>37359</v>
      </c>
      <c r="N1925" s="1">
        <v>37359</v>
      </c>
      <c r="O1925" t="s">
        <v>1117</v>
      </c>
      <c r="P1925">
        <v>1</v>
      </c>
      <c r="Q1925" t="s">
        <v>2662</v>
      </c>
      <c r="R1925">
        <f t="shared" si="61"/>
        <v>15</v>
      </c>
      <c r="S1925">
        <f t="shared" si="62"/>
        <v>1</v>
      </c>
    </row>
    <row r="1926" spans="1:19" x14ac:dyDescent="0.25">
      <c r="A1926" t="s">
        <v>3051</v>
      </c>
      <c r="B1926" t="s">
        <v>4028</v>
      </c>
      <c r="C1926">
        <v>3</v>
      </c>
      <c r="D1926">
        <v>1250</v>
      </c>
      <c r="E1926">
        <v>5000</v>
      </c>
      <c r="F1926">
        <v>10</v>
      </c>
      <c r="G1926">
        <v>10</v>
      </c>
      <c r="H1926" t="s">
        <v>2661</v>
      </c>
      <c r="I1926" s="1">
        <v>37159</v>
      </c>
      <c r="J1926" s="1">
        <v>37325</v>
      </c>
      <c r="K1926" s="1">
        <v>37375</v>
      </c>
      <c r="L1926" s="1">
        <v>37375</v>
      </c>
      <c r="M1926" s="1">
        <v>37359</v>
      </c>
      <c r="N1926" s="1">
        <v>37359</v>
      </c>
      <c r="O1926" t="s">
        <v>1117</v>
      </c>
      <c r="P1926">
        <v>5</v>
      </c>
      <c r="Q1926" t="s">
        <v>2662</v>
      </c>
      <c r="R1926">
        <f t="shared" si="61"/>
        <v>15</v>
      </c>
      <c r="S1926">
        <f t="shared" si="62"/>
        <v>1</v>
      </c>
    </row>
    <row r="1927" spans="1:19" x14ac:dyDescent="0.25">
      <c r="A1927" t="s">
        <v>3052</v>
      </c>
      <c r="B1927" t="s">
        <v>4027</v>
      </c>
      <c r="C1927">
        <v>4</v>
      </c>
      <c r="D1927">
        <v>1250</v>
      </c>
      <c r="E1927">
        <v>2500</v>
      </c>
      <c r="F1927">
        <v>15</v>
      </c>
      <c r="G1927">
        <v>15</v>
      </c>
      <c r="H1927" t="s">
        <v>2661</v>
      </c>
      <c r="I1927" s="1">
        <v>37159</v>
      </c>
      <c r="J1927" s="1">
        <v>37325</v>
      </c>
      <c r="K1927" s="1">
        <v>37347</v>
      </c>
      <c r="L1927" s="1">
        <v>37347</v>
      </c>
      <c r="M1927" s="1">
        <v>37347</v>
      </c>
      <c r="N1927" s="1">
        <v>37351</v>
      </c>
      <c r="O1927" t="s">
        <v>1117</v>
      </c>
      <c r="P1927">
        <v>2</v>
      </c>
      <c r="Q1927" t="s">
        <v>2662</v>
      </c>
      <c r="R1927">
        <f t="shared" si="61"/>
        <v>14</v>
      </c>
      <c r="S1927">
        <f t="shared" si="62"/>
        <v>1</v>
      </c>
    </row>
    <row r="1928" spans="1:19" x14ac:dyDescent="0.25">
      <c r="A1928" t="s">
        <v>3053</v>
      </c>
      <c r="B1928" t="s">
        <v>4026</v>
      </c>
      <c r="C1928">
        <v>4</v>
      </c>
      <c r="D1928">
        <v>1250</v>
      </c>
      <c r="E1928">
        <v>2500</v>
      </c>
      <c r="F1928">
        <v>21</v>
      </c>
      <c r="G1928">
        <v>21</v>
      </c>
      <c r="H1928" t="s">
        <v>2661</v>
      </c>
      <c r="I1928" s="1">
        <v>37159</v>
      </c>
      <c r="J1928" s="1">
        <v>37325</v>
      </c>
      <c r="K1928" s="1">
        <v>37347</v>
      </c>
      <c r="L1928" s="1">
        <v>37347</v>
      </c>
      <c r="M1928" s="1">
        <v>37347</v>
      </c>
      <c r="N1928" s="1">
        <v>37351</v>
      </c>
      <c r="O1928" t="s">
        <v>1117</v>
      </c>
      <c r="P1928">
        <v>6</v>
      </c>
      <c r="Q1928" t="s">
        <v>2662</v>
      </c>
      <c r="R1928">
        <f t="shared" si="61"/>
        <v>14</v>
      </c>
      <c r="S1928">
        <f t="shared" si="62"/>
        <v>1</v>
      </c>
    </row>
    <row r="1929" spans="1:19" x14ac:dyDescent="0.25">
      <c r="A1929" t="s">
        <v>3054</v>
      </c>
      <c r="B1929" t="s">
        <v>4028</v>
      </c>
      <c r="C1929">
        <v>5</v>
      </c>
      <c r="D1929">
        <v>1250</v>
      </c>
      <c r="E1929">
        <v>6000</v>
      </c>
      <c r="F1929">
        <v>10</v>
      </c>
      <c r="G1929">
        <v>10</v>
      </c>
      <c r="H1929" t="s">
        <v>2661</v>
      </c>
      <c r="I1929" s="1">
        <v>37159</v>
      </c>
      <c r="J1929" s="1">
        <v>37325</v>
      </c>
      <c r="K1929" t="s">
        <v>1124</v>
      </c>
      <c r="L1929" t="s">
        <v>1124</v>
      </c>
      <c r="M1929" s="1">
        <v>37287</v>
      </c>
      <c r="N1929" s="1">
        <v>37352</v>
      </c>
      <c r="O1929" t="s">
        <v>1117</v>
      </c>
      <c r="P1929">
        <v>2</v>
      </c>
      <c r="Q1929" t="s">
        <v>2662</v>
      </c>
      <c r="R1929">
        <f t="shared" si="61"/>
        <v>14</v>
      </c>
      <c r="S1929">
        <f t="shared" si="62"/>
        <v>1</v>
      </c>
    </row>
    <row r="1930" spans="1:19" x14ac:dyDescent="0.25">
      <c r="A1930" t="s">
        <v>3055</v>
      </c>
      <c r="B1930" t="s">
        <v>1199</v>
      </c>
      <c r="C1930">
        <v>6</v>
      </c>
      <c r="D1930">
        <v>1250</v>
      </c>
      <c r="E1930">
        <v>2500</v>
      </c>
      <c r="F1930">
        <v>5</v>
      </c>
      <c r="G1930">
        <v>5</v>
      </c>
      <c r="H1930" t="s">
        <v>2661</v>
      </c>
      <c r="I1930" s="1">
        <v>37159</v>
      </c>
      <c r="J1930" s="1">
        <v>37325</v>
      </c>
      <c r="K1930" s="1">
        <v>37353</v>
      </c>
      <c r="L1930" s="1">
        <v>37353</v>
      </c>
      <c r="M1930" s="1">
        <v>37351</v>
      </c>
      <c r="N1930" s="1">
        <v>37351</v>
      </c>
      <c r="O1930" t="s">
        <v>1117</v>
      </c>
      <c r="P1930">
        <v>8</v>
      </c>
      <c r="Q1930" t="s">
        <v>2662</v>
      </c>
      <c r="R1930">
        <f t="shared" si="61"/>
        <v>14</v>
      </c>
      <c r="S1930">
        <f t="shared" si="62"/>
        <v>1</v>
      </c>
    </row>
    <row r="1931" spans="1:19" x14ac:dyDescent="0.25">
      <c r="A1931" t="s">
        <v>3056</v>
      </c>
      <c r="B1931" t="s">
        <v>1199</v>
      </c>
      <c r="C1931">
        <v>6</v>
      </c>
      <c r="D1931">
        <v>1250</v>
      </c>
      <c r="E1931">
        <v>6000</v>
      </c>
      <c r="F1931">
        <v>10</v>
      </c>
      <c r="G1931">
        <v>10</v>
      </c>
      <c r="H1931" t="s">
        <v>2661</v>
      </c>
      <c r="I1931" s="1">
        <v>37159</v>
      </c>
      <c r="J1931" s="1">
        <v>37325</v>
      </c>
      <c r="K1931" s="1">
        <v>37353</v>
      </c>
      <c r="L1931" s="1">
        <v>37353</v>
      </c>
      <c r="M1931" s="1">
        <v>37351</v>
      </c>
      <c r="N1931" s="1">
        <v>37351</v>
      </c>
      <c r="O1931" t="s">
        <v>1117</v>
      </c>
      <c r="P1931">
        <v>3</v>
      </c>
      <c r="Q1931" t="s">
        <v>2662</v>
      </c>
      <c r="R1931">
        <f t="shared" si="61"/>
        <v>14</v>
      </c>
      <c r="S1931">
        <f t="shared" si="62"/>
        <v>1</v>
      </c>
    </row>
    <row r="1932" spans="1:19" x14ac:dyDescent="0.25">
      <c r="A1932" t="s">
        <v>3057</v>
      </c>
      <c r="B1932" t="s">
        <v>1199</v>
      </c>
      <c r="C1932">
        <v>5</v>
      </c>
      <c r="D1932">
        <v>1250</v>
      </c>
      <c r="E1932">
        <v>5000</v>
      </c>
      <c r="F1932">
        <v>5</v>
      </c>
      <c r="G1932">
        <v>5</v>
      </c>
      <c r="H1932" t="s">
        <v>2661</v>
      </c>
      <c r="I1932" s="1">
        <v>37159</v>
      </c>
      <c r="J1932" s="1">
        <v>37325</v>
      </c>
      <c r="K1932" s="1">
        <v>37352</v>
      </c>
      <c r="L1932" s="1">
        <v>37352</v>
      </c>
      <c r="M1932" s="1">
        <v>37352</v>
      </c>
      <c r="N1932" s="1">
        <v>37352</v>
      </c>
      <c r="O1932" t="s">
        <v>1117</v>
      </c>
      <c r="P1932">
        <v>5</v>
      </c>
      <c r="Q1932" t="s">
        <v>2662</v>
      </c>
      <c r="R1932">
        <f t="shared" si="61"/>
        <v>14</v>
      </c>
      <c r="S1932">
        <f t="shared" si="62"/>
        <v>1</v>
      </c>
    </row>
    <row r="1933" spans="1:19" x14ac:dyDescent="0.25">
      <c r="A1933" t="s">
        <v>3058</v>
      </c>
      <c r="B1933" t="s">
        <v>1199</v>
      </c>
      <c r="C1933">
        <v>5</v>
      </c>
      <c r="D1933">
        <v>1250</v>
      </c>
      <c r="E1933">
        <v>2500</v>
      </c>
      <c r="F1933">
        <v>6</v>
      </c>
      <c r="G1933">
        <v>6</v>
      </c>
      <c r="H1933" t="s">
        <v>2661</v>
      </c>
      <c r="I1933" s="1">
        <v>37159</v>
      </c>
      <c r="J1933" s="1">
        <v>37325</v>
      </c>
      <c r="K1933" s="1">
        <v>37352</v>
      </c>
      <c r="L1933" s="1">
        <v>37352</v>
      </c>
      <c r="M1933" s="1">
        <v>37352</v>
      </c>
      <c r="N1933" s="1">
        <v>37352</v>
      </c>
      <c r="O1933" t="s">
        <v>1117</v>
      </c>
      <c r="P1933">
        <v>7</v>
      </c>
      <c r="Q1933" t="s">
        <v>2662</v>
      </c>
      <c r="R1933">
        <f t="shared" si="61"/>
        <v>14</v>
      </c>
      <c r="S1933">
        <f t="shared" si="62"/>
        <v>1</v>
      </c>
    </row>
    <row r="1934" spans="1:19" x14ac:dyDescent="0.25">
      <c r="A1934" t="s">
        <v>3059</v>
      </c>
      <c r="B1934" t="s">
        <v>4028</v>
      </c>
      <c r="C1934">
        <v>3</v>
      </c>
      <c r="D1934">
        <v>1250</v>
      </c>
      <c r="E1934">
        <v>5000</v>
      </c>
      <c r="F1934">
        <v>5</v>
      </c>
      <c r="G1934">
        <v>5</v>
      </c>
      <c r="H1934" t="s">
        <v>2661</v>
      </c>
      <c r="I1934" s="1">
        <v>37110</v>
      </c>
      <c r="J1934" s="1">
        <v>37324</v>
      </c>
      <c r="K1934" s="1">
        <v>37375</v>
      </c>
      <c r="L1934" s="1">
        <v>37375</v>
      </c>
      <c r="M1934" s="1">
        <v>37359</v>
      </c>
      <c r="N1934" s="1">
        <v>37359</v>
      </c>
      <c r="O1934" t="s">
        <v>1117</v>
      </c>
      <c r="P1934">
        <v>5</v>
      </c>
      <c r="Q1934" t="s">
        <v>2662</v>
      </c>
      <c r="R1934">
        <f t="shared" si="61"/>
        <v>15</v>
      </c>
      <c r="S1934">
        <f t="shared" si="62"/>
        <v>1</v>
      </c>
    </row>
    <row r="1935" spans="1:19" x14ac:dyDescent="0.25">
      <c r="A1935" t="s">
        <v>3060</v>
      </c>
      <c r="B1935" t="s">
        <v>1199</v>
      </c>
      <c r="C1935">
        <v>12</v>
      </c>
      <c r="D1935">
        <v>1250</v>
      </c>
      <c r="E1935">
        <v>2500</v>
      </c>
      <c r="F1935">
        <v>5</v>
      </c>
      <c r="G1935">
        <v>5</v>
      </c>
      <c r="H1935" t="s">
        <v>3027</v>
      </c>
      <c r="I1935" s="1">
        <v>37343</v>
      </c>
      <c r="J1935" s="1">
        <v>37379</v>
      </c>
      <c r="K1935" t="s">
        <v>1124</v>
      </c>
      <c r="L1935" t="s">
        <v>1124</v>
      </c>
      <c r="M1935" t="s">
        <v>1124</v>
      </c>
      <c r="N1935" s="1">
        <v>37368</v>
      </c>
      <c r="O1935" t="s">
        <v>1117</v>
      </c>
      <c r="P1935">
        <v>1</v>
      </c>
      <c r="Q1935" t="s">
        <v>2855</v>
      </c>
      <c r="R1935">
        <f t="shared" si="61"/>
        <v>17</v>
      </c>
      <c r="S1935">
        <f t="shared" si="62"/>
        <v>0</v>
      </c>
    </row>
    <row r="1936" spans="1:19" x14ac:dyDescent="0.25">
      <c r="A1936" t="s">
        <v>3061</v>
      </c>
      <c r="B1936" t="s">
        <v>1199</v>
      </c>
      <c r="C1936">
        <v>20</v>
      </c>
      <c r="D1936">
        <v>1250</v>
      </c>
      <c r="E1936">
        <v>2500</v>
      </c>
      <c r="F1936">
        <v>3</v>
      </c>
      <c r="G1936">
        <v>3</v>
      </c>
      <c r="H1936" t="s">
        <v>3027</v>
      </c>
      <c r="I1936" s="1">
        <v>37189</v>
      </c>
      <c r="J1936" s="1">
        <v>37323</v>
      </c>
      <c r="K1936" s="1">
        <v>37313</v>
      </c>
      <c r="L1936" s="1">
        <v>37323</v>
      </c>
      <c r="M1936" s="1">
        <v>37236</v>
      </c>
      <c r="N1936" s="1">
        <v>37280</v>
      </c>
      <c r="O1936" t="s">
        <v>1114</v>
      </c>
      <c r="P1936">
        <v>1</v>
      </c>
      <c r="Q1936" t="s">
        <v>2855</v>
      </c>
      <c r="R1936">
        <f t="shared" si="61"/>
        <v>4</v>
      </c>
      <c r="S1936">
        <f t="shared" si="62"/>
        <v>1</v>
      </c>
    </row>
    <row r="1937" spans="1:19" x14ac:dyDescent="0.25">
      <c r="A1937" t="s">
        <v>3062</v>
      </c>
      <c r="B1937" t="s">
        <v>1199</v>
      </c>
      <c r="C1937">
        <v>20</v>
      </c>
      <c r="D1937">
        <v>1250</v>
      </c>
      <c r="E1937">
        <v>2500</v>
      </c>
      <c r="F1937">
        <v>3</v>
      </c>
      <c r="G1937">
        <v>3</v>
      </c>
      <c r="H1937" t="s">
        <v>3027</v>
      </c>
      <c r="I1937" s="1">
        <v>37189</v>
      </c>
      <c r="J1937" s="1">
        <v>37323</v>
      </c>
      <c r="K1937" s="1">
        <v>37312</v>
      </c>
      <c r="L1937" s="1">
        <v>37323</v>
      </c>
      <c r="M1937" s="1">
        <v>37236</v>
      </c>
      <c r="N1937" s="1">
        <v>37280</v>
      </c>
      <c r="O1937" t="s">
        <v>1114</v>
      </c>
      <c r="P1937">
        <v>1</v>
      </c>
      <c r="Q1937" t="s">
        <v>2855</v>
      </c>
      <c r="R1937">
        <f t="shared" si="61"/>
        <v>4</v>
      </c>
      <c r="S1937">
        <f t="shared" si="62"/>
        <v>1</v>
      </c>
    </row>
    <row r="1938" spans="1:19" x14ac:dyDescent="0.25">
      <c r="A1938" t="s">
        <v>3063</v>
      </c>
      <c r="B1938" t="s">
        <v>1199</v>
      </c>
      <c r="C1938">
        <v>8</v>
      </c>
      <c r="D1938">
        <v>1250</v>
      </c>
      <c r="E1938">
        <v>2500</v>
      </c>
      <c r="F1938">
        <v>39</v>
      </c>
      <c r="G1938">
        <v>36.909999999999997</v>
      </c>
      <c r="H1938" t="s">
        <v>3027</v>
      </c>
      <c r="I1938" s="1">
        <v>37104</v>
      </c>
      <c r="J1938" s="1">
        <v>37325</v>
      </c>
      <c r="K1938" s="1">
        <v>37336</v>
      </c>
      <c r="L1938" s="1">
        <v>37336</v>
      </c>
      <c r="M1938" s="1">
        <v>37334</v>
      </c>
      <c r="N1938" s="1">
        <v>37347</v>
      </c>
      <c r="O1938" t="s">
        <v>1117</v>
      </c>
      <c r="P1938">
        <v>18</v>
      </c>
      <c r="Q1938" t="s">
        <v>2855</v>
      </c>
      <c r="R1938">
        <f t="shared" si="61"/>
        <v>14</v>
      </c>
      <c r="S1938">
        <f t="shared" si="62"/>
        <v>0</v>
      </c>
    </row>
    <row r="1939" spans="1:19" x14ac:dyDescent="0.25">
      <c r="A1939" t="s">
        <v>3064</v>
      </c>
      <c r="B1939" t="s">
        <v>4028</v>
      </c>
      <c r="C1939">
        <v>12</v>
      </c>
      <c r="D1939">
        <v>1250</v>
      </c>
      <c r="E1939">
        <v>6000</v>
      </c>
      <c r="F1939">
        <v>31</v>
      </c>
      <c r="G1939">
        <v>23.571999999999999</v>
      </c>
      <c r="H1939" t="s">
        <v>3027</v>
      </c>
      <c r="I1939" s="1">
        <v>37104</v>
      </c>
      <c r="J1939" s="1">
        <v>37325</v>
      </c>
      <c r="K1939" s="1">
        <v>37349</v>
      </c>
      <c r="L1939" s="1">
        <v>37349</v>
      </c>
      <c r="M1939" s="1">
        <v>37347</v>
      </c>
      <c r="N1939" s="1">
        <v>37347</v>
      </c>
      <c r="O1939" t="s">
        <v>1117</v>
      </c>
      <c r="P1939">
        <v>4</v>
      </c>
      <c r="Q1939" t="s">
        <v>2855</v>
      </c>
      <c r="R1939">
        <f t="shared" si="61"/>
        <v>14</v>
      </c>
      <c r="S1939">
        <f t="shared" si="62"/>
        <v>0</v>
      </c>
    </row>
    <row r="1940" spans="1:19" x14ac:dyDescent="0.25">
      <c r="A1940" t="s">
        <v>3065</v>
      </c>
      <c r="B1940" t="s">
        <v>1199</v>
      </c>
      <c r="C1940">
        <v>8</v>
      </c>
      <c r="D1940">
        <v>1250</v>
      </c>
      <c r="E1940">
        <v>6000</v>
      </c>
      <c r="F1940">
        <v>40</v>
      </c>
      <c r="G1940">
        <v>38.994</v>
      </c>
      <c r="H1940" t="s">
        <v>3027</v>
      </c>
      <c r="I1940" s="1">
        <v>37104</v>
      </c>
      <c r="J1940" s="1">
        <v>37325</v>
      </c>
      <c r="K1940" s="1">
        <v>37326</v>
      </c>
      <c r="L1940" s="1">
        <v>37326</v>
      </c>
      <c r="M1940" s="1">
        <v>37327</v>
      </c>
      <c r="N1940" s="1">
        <v>37347</v>
      </c>
      <c r="O1940" t="s">
        <v>1117</v>
      </c>
      <c r="P1940">
        <v>11</v>
      </c>
      <c r="Q1940" t="s">
        <v>2855</v>
      </c>
      <c r="R1940">
        <f t="shared" si="61"/>
        <v>14</v>
      </c>
      <c r="S1940">
        <f t="shared" si="62"/>
        <v>0</v>
      </c>
    </row>
    <row r="1941" spans="1:19" x14ac:dyDescent="0.25">
      <c r="A1941" t="s">
        <v>3066</v>
      </c>
      <c r="B1941" t="s">
        <v>4028</v>
      </c>
      <c r="C1941">
        <v>10</v>
      </c>
      <c r="D1941">
        <v>1250</v>
      </c>
      <c r="E1941">
        <v>5000</v>
      </c>
      <c r="F1941">
        <v>5</v>
      </c>
      <c r="G1941">
        <v>4.4820000000000002</v>
      </c>
      <c r="H1941" t="s">
        <v>3027</v>
      </c>
      <c r="I1941" s="1">
        <v>37104</v>
      </c>
      <c r="J1941" s="1">
        <v>37325</v>
      </c>
      <c r="K1941" t="s">
        <v>1124</v>
      </c>
      <c r="L1941" t="s">
        <v>1124</v>
      </c>
      <c r="M1941" s="1">
        <v>37373</v>
      </c>
      <c r="N1941" s="1">
        <v>37373</v>
      </c>
      <c r="O1941" t="s">
        <v>1117</v>
      </c>
      <c r="P1941">
        <v>2</v>
      </c>
      <c r="Q1941" t="s">
        <v>2855</v>
      </c>
      <c r="R1941">
        <f t="shared" si="61"/>
        <v>17</v>
      </c>
      <c r="S1941">
        <f t="shared" si="62"/>
        <v>0</v>
      </c>
    </row>
    <row r="1942" spans="1:19" x14ac:dyDescent="0.25">
      <c r="A1942" t="s">
        <v>3067</v>
      </c>
      <c r="B1942" t="s">
        <v>4028</v>
      </c>
      <c r="C1942">
        <v>16</v>
      </c>
      <c r="D1942">
        <v>1250</v>
      </c>
      <c r="E1942">
        <v>6000</v>
      </c>
      <c r="F1942">
        <v>29</v>
      </c>
      <c r="G1942">
        <v>12.212</v>
      </c>
      <c r="H1942" t="s">
        <v>3027</v>
      </c>
      <c r="I1942" s="1">
        <v>37104</v>
      </c>
      <c r="J1942" s="1">
        <v>37325</v>
      </c>
      <c r="K1942" t="s">
        <v>1124</v>
      </c>
      <c r="L1942" t="s">
        <v>1124</v>
      </c>
      <c r="M1942" s="1">
        <v>37225</v>
      </c>
      <c r="N1942" s="1">
        <v>37367</v>
      </c>
      <c r="O1942" t="s">
        <v>1117</v>
      </c>
      <c r="P1942">
        <v>5</v>
      </c>
      <c r="Q1942" t="s">
        <v>2855</v>
      </c>
      <c r="R1942">
        <f t="shared" si="61"/>
        <v>17</v>
      </c>
      <c r="S1942">
        <f t="shared" si="62"/>
        <v>0</v>
      </c>
    </row>
    <row r="1943" spans="1:19" x14ac:dyDescent="0.25">
      <c r="A1943" t="s">
        <v>3068</v>
      </c>
      <c r="B1943" t="s">
        <v>4028</v>
      </c>
      <c r="C1943">
        <v>8</v>
      </c>
      <c r="D1943">
        <v>1250</v>
      </c>
      <c r="E1943">
        <v>5000</v>
      </c>
      <c r="F1943">
        <v>5</v>
      </c>
      <c r="G1943">
        <v>5</v>
      </c>
      <c r="H1943" t="s">
        <v>3027</v>
      </c>
      <c r="I1943" s="1">
        <v>37104</v>
      </c>
      <c r="J1943" s="1">
        <v>37325</v>
      </c>
      <c r="K1943" t="s">
        <v>1124</v>
      </c>
      <c r="L1943" t="s">
        <v>1124</v>
      </c>
      <c r="M1943" s="1">
        <v>37365</v>
      </c>
      <c r="N1943" s="1">
        <v>37365</v>
      </c>
      <c r="O1943" t="s">
        <v>1117</v>
      </c>
      <c r="P1943">
        <v>1</v>
      </c>
      <c r="Q1943" t="s">
        <v>2855</v>
      </c>
      <c r="R1943">
        <f t="shared" si="61"/>
        <v>16</v>
      </c>
      <c r="S1943">
        <f t="shared" si="62"/>
        <v>1</v>
      </c>
    </row>
    <row r="1944" spans="1:19" x14ac:dyDescent="0.25">
      <c r="A1944" t="s">
        <v>3069</v>
      </c>
      <c r="B1944" t="s">
        <v>4027</v>
      </c>
      <c r="C1944">
        <v>10</v>
      </c>
      <c r="D1944">
        <v>1250</v>
      </c>
      <c r="E1944">
        <v>2500</v>
      </c>
      <c r="F1944">
        <v>25</v>
      </c>
      <c r="G1944">
        <v>25</v>
      </c>
      <c r="H1944" t="s">
        <v>3027</v>
      </c>
      <c r="I1944" s="1">
        <v>37104</v>
      </c>
      <c r="J1944" s="1">
        <v>37325</v>
      </c>
      <c r="K1944" s="1">
        <v>37334</v>
      </c>
      <c r="L1944" s="1">
        <v>37334</v>
      </c>
      <c r="M1944" s="1">
        <v>37334</v>
      </c>
      <c r="N1944" s="1">
        <v>37334</v>
      </c>
      <c r="O1944" t="s">
        <v>1117</v>
      </c>
      <c r="P1944">
        <v>19</v>
      </c>
      <c r="Q1944" t="s">
        <v>2855</v>
      </c>
      <c r="R1944">
        <f t="shared" si="61"/>
        <v>12</v>
      </c>
      <c r="S1944">
        <f t="shared" si="62"/>
        <v>1</v>
      </c>
    </row>
    <row r="1945" spans="1:19" x14ac:dyDescent="0.25">
      <c r="A1945" t="s">
        <v>3070</v>
      </c>
      <c r="B1945" t="s">
        <v>1199</v>
      </c>
      <c r="C1945">
        <v>4</v>
      </c>
      <c r="D1945">
        <v>1250</v>
      </c>
      <c r="E1945">
        <v>2500</v>
      </c>
      <c r="F1945">
        <v>5</v>
      </c>
      <c r="G1945">
        <v>5</v>
      </c>
      <c r="H1945" t="s">
        <v>2661</v>
      </c>
      <c r="I1945" s="1">
        <v>37104</v>
      </c>
      <c r="J1945" s="1">
        <v>37325</v>
      </c>
      <c r="K1945" s="1">
        <v>37363</v>
      </c>
      <c r="L1945" s="1">
        <v>37363</v>
      </c>
      <c r="M1945" s="1">
        <v>37347</v>
      </c>
      <c r="N1945" s="1">
        <v>37351</v>
      </c>
      <c r="O1945" t="s">
        <v>1117</v>
      </c>
      <c r="P1945">
        <v>2</v>
      </c>
      <c r="Q1945" t="s">
        <v>2662</v>
      </c>
      <c r="R1945">
        <f t="shared" si="61"/>
        <v>14</v>
      </c>
      <c r="S1945">
        <f t="shared" si="62"/>
        <v>1</v>
      </c>
    </row>
    <row r="1946" spans="1:19" x14ac:dyDescent="0.25">
      <c r="A1946" t="s">
        <v>3071</v>
      </c>
      <c r="B1946" t="s">
        <v>4027</v>
      </c>
      <c r="C1946">
        <v>3</v>
      </c>
      <c r="D1946">
        <v>1250</v>
      </c>
      <c r="E1946">
        <v>2500</v>
      </c>
      <c r="F1946">
        <v>10</v>
      </c>
      <c r="G1946">
        <v>10</v>
      </c>
      <c r="H1946" t="s">
        <v>2661</v>
      </c>
      <c r="I1946" s="1">
        <v>37104</v>
      </c>
      <c r="J1946" s="1">
        <v>37325</v>
      </c>
      <c r="K1946" s="1">
        <v>37375</v>
      </c>
      <c r="L1946" s="1">
        <v>37375</v>
      </c>
      <c r="M1946" s="1">
        <v>37359</v>
      </c>
      <c r="N1946" s="1">
        <v>37359</v>
      </c>
      <c r="O1946" t="s">
        <v>1117</v>
      </c>
      <c r="P1946">
        <v>1</v>
      </c>
      <c r="Q1946" t="s">
        <v>2662</v>
      </c>
      <c r="R1946">
        <f t="shared" si="61"/>
        <v>15</v>
      </c>
      <c r="S1946">
        <f t="shared" si="62"/>
        <v>1</v>
      </c>
    </row>
    <row r="1947" spans="1:19" x14ac:dyDescent="0.25">
      <c r="A1947" t="s">
        <v>3072</v>
      </c>
      <c r="B1947" t="s">
        <v>4026</v>
      </c>
      <c r="C1947">
        <v>6</v>
      </c>
      <c r="D1947">
        <v>1250</v>
      </c>
      <c r="E1947">
        <v>2500</v>
      </c>
      <c r="F1947">
        <v>5</v>
      </c>
      <c r="G1947">
        <v>5</v>
      </c>
      <c r="H1947" t="s">
        <v>2661</v>
      </c>
      <c r="I1947" s="1">
        <v>37104</v>
      </c>
      <c r="J1947" s="1">
        <v>37325</v>
      </c>
      <c r="K1947" s="1">
        <v>37353</v>
      </c>
      <c r="L1947" s="1">
        <v>37353</v>
      </c>
      <c r="M1947" s="1">
        <v>37351</v>
      </c>
      <c r="N1947" s="1">
        <v>37351</v>
      </c>
      <c r="O1947" t="s">
        <v>1117</v>
      </c>
      <c r="P1947">
        <v>3</v>
      </c>
      <c r="Q1947" t="s">
        <v>2662</v>
      </c>
      <c r="R1947">
        <f t="shared" si="61"/>
        <v>14</v>
      </c>
      <c r="S1947">
        <f t="shared" si="62"/>
        <v>1</v>
      </c>
    </row>
    <row r="1948" spans="1:19" x14ac:dyDescent="0.25">
      <c r="A1948" t="s">
        <v>3073</v>
      </c>
      <c r="B1948" t="s">
        <v>1199</v>
      </c>
      <c r="C1948">
        <v>3</v>
      </c>
      <c r="D1948">
        <v>1250</v>
      </c>
      <c r="E1948">
        <v>5000</v>
      </c>
      <c r="F1948">
        <v>10</v>
      </c>
      <c r="G1948">
        <v>10</v>
      </c>
      <c r="H1948" t="s">
        <v>2661</v>
      </c>
      <c r="I1948" s="1">
        <v>37104</v>
      </c>
      <c r="J1948" s="1">
        <v>37324</v>
      </c>
      <c r="K1948" s="1">
        <v>37375</v>
      </c>
      <c r="L1948" s="1">
        <v>37375</v>
      </c>
      <c r="M1948" s="1">
        <v>37359</v>
      </c>
      <c r="N1948" s="1">
        <v>37359</v>
      </c>
      <c r="O1948" t="s">
        <v>1117</v>
      </c>
      <c r="P1948">
        <v>5</v>
      </c>
      <c r="Q1948" t="s">
        <v>2662</v>
      </c>
      <c r="R1948">
        <f t="shared" si="61"/>
        <v>15</v>
      </c>
      <c r="S1948">
        <f t="shared" si="62"/>
        <v>1</v>
      </c>
    </row>
    <row r="1949" spans="1:19" x14ac:dyDescent="0.25">
      <c r="A1949" t="s">
        <v>3074</v>
      </c>
      <c r="B1949" t="s">
        <v>1199</v>
      </c>
      <c r="C1949">
        <v>3</v>
      </c>
      <c r="D1949">
        <v>1250</v>
      </c>
      <c r="E1949">
        <v>2500</v>
      </c>
      <c r="F1949">
        <v>50</v>
      </c>
      <c r="G1949">
        <v>50</v>
      </c>
      <c r="H1949" t="s">
        <v>2661</v>
      </c>
      <c r="I1949" s="1">
        <v>37104</v>
      </c>
      <c r="J1949" s="1">
        <v>37324</v>
      </c>
      <c r="K1949" s="1">
        <v>37326</v>
      </c>
      <c r="L1949" s="1">
        <v>37326</v>
      </c>
      <c r="M1949" s="1">
        <v>37330</v>
      </c>
      <c r="N1949" s="1">
        <v>37359</v>
      </c>
      <c r="O1949" t="s">
        <v>1117</v>
      </c>
      <c r="P1949">
        <v>4</v>
      </c>
      <c r="Q1949" t="s">
        <v>2662</v>
      </c>
      <c r="R1949">
        <f t="shared" si="61"/>
        <v>15</v>
      </c>
      <c r="S1949">
        <f t="shared" si="62"/>
        <v>1</v>
      </c>
    </row>
    <row r="1950" spans="1:19" x14ac:dyDescent="0.25">
      <c r="A1950" t="s">
        <v>3075</v>
      </c>
      <c r="B1950" t="s">
        <v>1199</v>
      </c>
      <c r="C1950">
        <v>5</v>
      </c>
      <c r="D1950">
        <v>1250</v>
      </c>
      <c r="E1950">
        <v>6000</v>
      </c>
      <c r="F1950">
        <v>30</v>
      </c>
      <c r="G1950">
        <v>30</v>
      </c>
      <c r="H1950" t="s">
        <v>2661</v>
      </c>
      <c r="I1950" s="1">
        <v>37104</v>
      </c>
      <c r="J1950" s="1">
        <v>37325</v>
      </c>
      <c r="K1950" t="s">
        <v>1124</v>
      </c>
      <c r="L1950" t="s">
        <v>1124</v>
      </c>
      <c r="M1950" s="1">
        <v>37347</v>
      </c>
      <c r="N1950" s="1">
        <v>37352</v>
      </c>
      <c r="O1950" t="s">
        <v>1117</v>
      </c>
      <c r="P1950">
        <v>2</v>
      </c>
      <c r="Q1950" t="s">
        <v>2662</v>
      </c>
      <c r="R1950">
        <f t="shared" si="61"/>
        <v>14</v>
      </c>
      <c r="S1950">
        <f t="shared" si="62"/>
        <v>1</v>
      </c>
    </row>
    <row r="1951" spans="1:19" x14ac:dyDescent="0.25">
      <c r="A1951" t="s">
        <v>3076</v>
      </c>
      <c r="B1951" t="s">
        <v>1199</v>
      </c>
      <c r="C1951">
        <v>20</v>
      </c>
      <c r="D1951">
        <v>1250</v>
      </c>
      <c r="E1951">
        <v>2500</v>
      </c>
      <c r="F1951">
        <v>3</v>
      </c>
      <c r="G1951">
        <v>3</v>
      </c>
      <c r="H1951" t="s">
        <v>3027</v>
      </c>
      <c r="I1951" s="1">
        <v>37189</v>
      </c>
      <c r="J1951" s="1">
        <v>37323</v>
      </c>
      <c r="K1951" s="1">
        <v>37313</v>
      </c>
      <c r="L1951" s="1">
        <v>37323</v>
      </c>
      <c r="M1951" s="1">
        <v>37236</v>
      </c>
      <c r="N1951" s="1">
        <v>37280</v>
      </c>
      <c r="O1951" t="s">
        <v>1114</v>
      </c>
      <c r="P1951">
        <v>1</v>
      </c>
      <c r="Q1951" t="s">
        <v>2855</v>
      </c>
      <c r="R1951">
        <f t="shared" si="61"/>
        <v>4</v>
      </c>
      <c r="S1951">
        <f t="shared" si="62"/>
        <v>1</v>
      </c>
    </row>
    <row r="1952" spans="1:19" x14ac:dyDescent="0.25">
      <c r="A1952" t="s">
        <v>3077</v>
      </c>
      <c r="B1952" t="s">
        <v>4028</v>
      </c>
      <c r="C1952">
        <v>5</v>
      </c>
      <c r="D1952">
        <v>1250</v>
      </c>
      <c r="E1952">
        <v>2500</v>
      </c>
      <c r="F1952">
        <v>10</v>
      </c>
      <c r="G1952">
        <v>10</v>
      </c>
      <c r="H1952" t="s">
        <v>2661</v>
      </c>
      <c r="I1952" s="1">
        <v>37159</v>
      </c>
      <c r="J1952" s="1">
        <v>37325</v>
      </c>
      <c r="K1952" s="1">
        <v>37352</v>
      </c>
      <c r="L1952" s="1">
        <v>37352</v>
      </c>
      <c r="M1952" s="1">
        <v>37352</v>
      </c>
      <c r="N1952" s="1">
        <v>37352</v>
      </c>
      <c r="O1952" t="s">
        <v>1117</v>
      </c>
      <c r="P1952">
        <v>6</v>
      </c>
      <c r="Q1952" t="s">
        <v>2662</v>
      </c>
      <c r="R1952">
        <f t="shared" si="61"/>
        <v>14</v>
      </c>
      <c r="S1952">
        <f t="shared" si="62"/>
        <v>1</v>
      </c>
    </row>
    <row r="1953" spans="1:19" x14ac:dyDescent="0.25">
      <c r="A1953" t="s">
        <v>3078</v>
      </c>
      <c r="B1953" t="s">
        <v>4028</v>
      </c>
      <c r="C1953">
        <v>12</v>
      </c>
      <c r="D1953">
        <v>1250</v>
      </c>
      <c r="E1953">
        <v>2500</v>
      </c>
      <c r="F1953">
        <v>5</v>
      </c>
      <c r="G1953">
        <v>5</v>
      </c>
      <c r="H1953" t="s">
        <v>3027</v>
      </c>
      <c r="I1953" s="1">
        <v>37111</v>
      </c>
      <c r="J1953" s="1">
        <v>37321</v>
      </c>
      <c r="K1953" t="s">
        <v>1124</v>
      </c>
      <c r="L1953" t="s">
        <v>1124</v>
      </c>
      <c r="M1953" s="1">
        <v>37337</v>
      </c>
      <c r="N1953" s="1">
        <v>37368</v>
      </c>
      <c r="O1953" t="s">
        <v>1117</v>
      </c>
      <c r="P1953">
        <v>1</v>
      </c>
      <c r="Q1953" t="s">
        <v>2855</v>
      </c>
      <c r="R1953">
        <f t="shared" si="61"/>
        <v>17</v>
      </c>
      <c r="S1953">
        <f t="shared" si="62"/>
        <v>1</v>
      </c>
    </row>
    <row r="1954" spans="1:19" x14ac:dyDescent="0.25">
      <c r="A1954" t="s">
        <v>3079</v>
      </c>
      <c r="B1954" t="s">
        <v>4028</v>
      </c>
      <c r="C1954">
        <v>6</v>
      </c>
      <c r="D1954">
        <v>1250</v>
      </c>
      <c r="E1954">
        <v>6000</v>
      </c>
      <c r="F1954">
        <v>54</v>
      </c>
      <c r="G1954">
        <v>54</v>
      </c>
      <c r="H1954" t="s">
        <v>2661</v>
      </c>
      <c r="I1954" s="1">
        <v>37104</v>
      </c>
      <c r="J1954" s="1">
        <v>37325</v>
      </c>
      <c r="K1954" t="s">
        <v>1124</v>
      </c>
      <c r="L1954" t="s">
        <v>1124</v>
      </c>
      <c r="M1954" s="1">
        <v>37347</v>
      </c>
      <c r="N1954" s="1">
        <v>37351</v>
      </c>
      <c r="O1954" t="s">
        <v>1117</v>
      </c>
      <c r="P1954">
        <v>3</v>
      </c>
      <c r="Q1954" t="s">
        <v>2662</v>
      </c>
      <c r="R1954">
        <f t="shared" si="61"/>
        <v>14</v>
      </c>
      <c r="S1954">
        <f t="shared" si="62"/>
        <v>1</v>
      </c>
    </row>
    <row r="1955" spans="1:19" x14ac:dyDescent="0.25">
      <c r="A1955" t="s">
        <v>3080</v>
      </c>
      <c r="B1955" t="s">
        <v>4026</v>
      </c>
      <c r="C1955">
        <v>3</v>
      </c>
      <c r="D1955">
        <v>875</v>
      </c>
      <c r="E1955">
        <v>2096</v>
      </c>
      <c r="F1955">
        <v>8.8030000000000008</v>
      </c>
      <c r="G1955">
        <v>8.8030000000000008</v>
      </c>
      <c r="H1955" t="s">
        <v>2661</v>
      </c>
      <c r="I1955" s="1">
        <v>37122</v>
      </c>
      <c r="J1955" s="1">
        <v>37314</v>
      </c>
      <c r="K1955" s="1">
        <v>37318</v>
      </c>
      <c r="L1955" s="1">
        <v>37318</v>
      </c>
      <c r="M1955" s="1">
        <v>37319</v>
      </c>
      <c r="N1955" s="1">
        <v>37319</v>
      </c>
      <c r="O1955" t="s">
        <v>1117</v>
      </c>
      <c r="P1955">
        <v>1</v>
      </c>
      <c r="Q1955" t="s">
        <v>2662</v>
      </c>
      <c r="R1955">
        <f t="shared" si="61"/>
        <v>10</v>
      </c>
      <c r="S1955">
        <f t="shared" si="62"/>
        <v>1</v>
      </c>
    </row>
    <row r="1956" spans="1:19" x14ac:dyDescent="0.25">
      <c r="A1956" t="s">
        <v>3081</v>
      </c>
      <c r="B1956" t="s">
        <v>4028</v>
      </c>
      <c r="C1956">
        <v>5</v>
      </c>
      <c r="D1956">
        <v>1250</v>
      </c>
      <c r="E1956">
        <v>5000</v>
      </c>
      <c r="F1956">
        <v>7</v>
      </c>
      <c r="G1956">
        <v>7</v>
      </c>
      <c r="H1956" t="s">
        <v>2661</v>
      </c>
      <c r="I1956" s="1">
        <v>37104</v>
      </c>
      <c r="J1956" s="1">
        <v>37324</v>
      </c>
      <c r="K1956" s="1">
        <v>37352</v>
      </c>
      <c r="L1956" s="1">
        <v>37352</v>
      </c>
      <c r="M1956" s="1">
        <v>37352</v>
      </c>
      <c r="N1956" s="1">
        <v>37352</v>
      </c>
      <c r="O1956" t="s">
        <v>1117</v>
      </c>
      <c r="P1956">
        <v>6</v>
      </c>
      <c r="Q1956" t="s">
        <v>2662</v>
      </c>
      <c r="R1956">
        <f t="shared" si="61"/>
        <v>14</v>
      </c>
      <c r="S1956">
        <f t="shared" si="62"/>
        <v>1</v>
      </c>
    </row>
    <row r="1957" spans="1:19" x14ac:dyDescent="0.25">
      <c r="A1957" t="s">
        <v>3082</v>
      </c>
      <c r="B1957" t="s">
        <v>1199</v>
      </c>
      <c r="C1957">
        <v>20</v>
      </c>
      <c r="D1957">
        <v>1250</v>
      </c>
      <c r="E1957">
        <v>6000</v>
      </c>
      <c r="F1957">
        <v>5</v>
      </c>
      <c r="G1957">
        <v>5</v>
      </c>
      <c r="H1957" t="s">
        <v>3027</v>
      </c>
      <c r="I1957" s="1">
        <v>37343</v>
      </c>
      <c r="J1957" s="1">
        <v>37386</v>
      </c>
      <c r="K1957" t="s">
        <v>1124</v>
      </c>
      <c r="L1957" t="s">
        <v>1124</v>
      </c>
      <c r="M1957" t="s">
        <v>1124</v>
      </c>
      <c r="N1957" s="1">
        <v>37370</v>
      </c>
      <c r="O1957" t="s">
        <v>1117</v>
      </c>
      <c r="P1957">
        <v>1</v>
      </c>
      <c r="Q1957" t="s">
        <v>2855</v>
      </c>
      <c r="R1957">
        <f t="shared" si="61"/>
        <v>17</v>
      </c>
      <c r="S1957">
        <f t="shared" si="62"/>
        <v>0</v>
      </c>
    </row>
    <row r="1958" spans="1:19" x14ac:dyDescent="0.25">
      <c r="A1958" t="s">
        <v>3083</v>
      </c>
      <c r="B1958" t="s">
        <v>3631</v>
      </c>
      <c r="C1958">
        <v>3</v>
      </c>
      <c r="D1958">
        <v>1250</v>
      </c>
      <c r="E1958">
        <v>2500</v>
      </c>
      <c r="F1958">
        <v>10</v>
      </c>
      <c r="G1958">
        <v>10</v>
      </c>
      <c r="H1958" t="s">
        <v>2661</v>
      </c>
      <c r="I1958" s="1">
        <v>37159</v>
      </c>
      <c r="J1958" s="1">
        <v>37325</v>
      </c>
      <c r="K1958" s="1">
        <v>37375</v>
      </c>
      <c r="L1958" s="1">
        <v>37375</v>
      </c>
      <c r="M1958" s="1">
        <v>37359</v>
      </c>
      <c r="N1958" s="1">
        <v>37359</v>
      </c>
      <c r="O1958" t="s">
        <v>1117</v>
      </c>
      <c r="P1958">
        <v>1</v>
      </c>
      <c r="Q1958" t="s">
        <v>2662</v>
      </c>
      <c r="R1958">
        <f t="shared" si="61"/>
        <v>15</v>
      </c>
      <c r="S1958">
        <f t="shared" si="62"/>
        <v>1</v>
      </c>
    </row>
    <row r="1959" spans="1:19" x14ac:dyDescent="0.25">
      <c r="A1959" t="s">
        <v>3084</v>
      </c>
      <c r="B1959" t="s">
        <v>1199</v>
      </c>
      <c r="C1959">
        <v>12</v>
      </c>
      <c r="D1959">
        <v>1250</v>
      </c>
      <c r="E1959">
        <v>2500</v>
      </c>
      <c r="F1959">
        <v>5</v>
      </c>
      <c r="G1959">
        <v>5</v>
      </c>
      <c r="H1959" t="s">
        <v>3027</v>
      </c>
      <c r="I1959" s="1">
        <v>37343</v>
      </c>
      <c r="J1959" s="1">
        <v>37384</v>
      </c>
      <c r="K1959" t="s">
        <v>1124</v>
      </c>
      <c r="L1959" t="s">
        <v>1124</v>
      </c>
      <c r="M1959" t="s">
        <v>1124</v>
      </c>
      <c r="N1959" s="1">
        <v>37368</v>
      </c>
      <c r="O1959" t="s">
        <v>1117</v>
      </c>
      <c r="P1959">
        <v>1</v>
      </c>
      <c r="Q1959" t="s">
        <v>2855</v>
      </c>
      <c r="R1959">
        <f t="shared" si="61"/>
        <v>17</v>
      </c>
      <c r="S1959">
        <f t="shared" si="62"/>
        <v>0</v>
      </c>
    </row>
    <row r="1960" spans="1:19" x14ac:dyDescent="0.25">
      <c r="A1960" t="s">
        <v>3085</v>
      </c>
      <c r="B1960" t="s">
        <v>4028</v>
      </c>
      <c r="C1960">
        <v>4</v>
      </c>
      <c r="D1960">
        <v>1250</v>
      </c>
      <c r="E1960">
        <v>2500</v>
      </c>
      <c r="F1960">
        <v>50</v>
      </c>
      <c r="G1960">
        <v>50</v>
      </c>
      <c r="H1960" t="s">
        <v>2661</v>
      </c>
      <c r="I1960" s="1">
        <v>37104</v>
      </c>
      <c r="J1960" s="1">
        <v>37324</v>
      </c>
      <c r="K1960" s="1">
        <v>37326</v>
      </c>
      <c r="L1960" s="1">
        <v>37326</v>
      </c>
      <c r="M1960" s="1">
        <v>37326</v>
      </c>
      <c r="N1960" s="1">
        <v>37351</v>
      </c>
      <c r="O1960" t="s">
        <v>1117</v>
      </c>
      <c r="P1960">
        <v>7</v>
      </c>
      <c r="Q1960" t="s">
        <v>2662</v>
      </c>
      <c r="R1960">
        <f t="shared" si="61"/>
        <v>14</v>
      </c>
      <c r="S1960">
        <f t="shared" si="62"/>
        <v>1</v>
      </c>
    </row>
    <row r="1961" spans="1:19" x14ac:dyDescent="0.25">
      <c r="A1961" t="s">
        <v>3086</v>
      </c>
      <c r="B1961" t="s">
        <v>3521</v>
      </c>
      <c r="C1961">
        <v>12</v>
      </c>
      <c r="D1961">
        <v>1250</v>
      </c>
      <c r="E1961">
        <v>2500</v>
      </c>
      <c r="F1961">
        <v>4</v>
      </c>
      <c r="G1961">
        <v>4</v>
      </c>
      <c r="H1961" t="s">
        <v>3027</v>
      </c>
      <c r="I1961" s="1">
        <v>37159</v>
      </c>
      <c r="J1961" s="1">
        <v>37323</v>
      </c>
      <c r="K1961" t="s">
        <v>1124</v>
      </c>
      <c r="L1961" t="s">
        <v>1124</v>
      </c>
      <c r="M1961" s="1">
        <v>37337</v>
      </c>
      <c r="N1961" s="1">
        <v>37368</v>
      </c>
      <c r="O1961" t="s">
        <v>1117</v>
      </c>
      <c r="P1961">
        <v>1</v>
      </c>
      <c r="Q1961" t="s">
        <v>2855</v>
      </c>
      <c r="R1961">
        <f t="shared" si="61"/>
        <v>17</v>
      </c>
      <c r="S1961">
        <f t="shared" si="62"/>
        <v>1</v>
      </c>
    </row>
    <row r="1962" spans="1:19" x14ac:dyDescent="0.25">
      <c r="A1962" t="s">
        <v>3087</v>
      </c>
      <c r="B1962" t="s">
        <v>1199</v>
      </c>
      <c r="C1962">
        <v>6</v>
      </c>
      <c r="D1962">
        <v>1250</v>
      </c>
      <c r="E1962">
        <v>2500</v>
      </c>
      <c r="F1962">
        <v>40</v>
      </c>
      <c r="G1962">
        <v>40</v>
      </c>
      <c r="H1962" t="s">
        <v>2661</v>
      </c>
      <c r="I1962" s="1">
        <v>37104</v>
      </c>
      <c r="J1962" s="1">
        <v>37324</v>
      </c>
      <c r="K1962" t="s">
        <v>1124</v>
      </c>
      <c r="L1962" t="s">
        <v>1124</v>
      </c>
      <c r="M1962" s="1">
        <v>37347</v>
      </c>
      <c r="N1962" s="1">
        <v>37351</v>
      </c>
      <c r="O1962" t="s">
        <v>1117</v>
      </c>
      <c r="P1962">
        <v>9</v>
      </c>
      <c r="Q1962" t="s">
        <v>2662</v>
      </c>
      <c r="R1962">
        <f t="shared" si="61"/>
        <v>14</v>
      </c>
      <c r="S1962">
        <f t="shared" si="62"/>
        <v>1</v>
      </c>
    </row>
    <row r="1963" spans="1:19" x14ac:dyDescent="0.25">
      <c r="A1963" t="s">
        <v>3088</v>
      </c>
      <c r="B1963" t="s">
        <v>1199</v>
      </c>
      <c r="C1963">
        <v>5</v>
      </c>
      <c r="D1963">
        <v>1250</v>
      </c>
      <c r="E1963">
        <v>2500</v>
      </c>
      <c r="F1963">
        <v>39</v>
      </c>
      <c r="G1963">
        <v>39</v>
      </c>
      <c r="H1963" t="s">
        <v>2661</v>
      </c>
      <c r="I1963" s="1">
        <v>37104</v>
      </c>
      <c r="J1963" s="1">
        <v>37324</v>
      </c>
      <c r="K1963" s="1">
        <v>37324</v>
      </c>
      <c r="L1963" s="1">
        <v>37324</v>
      </c>
      <c r="M1963" s="1">
        <v>37327</v>
      </c>
      <c r="N1963" s="1">
        <v>37352</v>
      </c>
      <c r="O1963" t="s">
        <v>1114</v>
      </c>
      <c r="P1963">
        <v>8</v>
      </c>
      <c r="Q1963" t="s">
        <v>2662</v>
      </c>
      <c r="R1963">
        <f t="shared" si="61"/>
        <v>14</v>
      </c>
      <c r="S1963">
        <f t="shared" si="62"/>
        <v>1</v>
      </c>
    </row>
    <row r="1964" spans="1:19" x14ac:dyDescent="0.25">
      <c r="A1964" t="s">
        <v>3089</v>
      </c>
      <c r="B1964" t="s">
        <v>4026</v>
      </c>
      <c r="C1964">
        <v>16</v>
      </c>
      <c r="D1964">
        <v>1250</v>
      </c>
      <c r="E1964">
        <v>6000</v>
      </c>
      <c r="F1964">
        <v>5</v>
      </c>
      <c r="G1964">
        <v>5</v>
      </c>
      <c r="H1964" t="s">
        <v>3027</v>
      </c>
      <c r="I1964" s="1">
        <v>37343</v>
      </c>
      <c r="J1964" s="1">
        <v>37381</v>
      </c>
      <c r="K1964" t="s">
        <v>1124</v>
      </c>
      <c r="L1964" t="s">
        <v>1124</v>
      </c>
      <c r="M1964" t="s">
        <v>1124</v>
      </c>
      <c r="N1964" s="1">
        <v>37367</v>
      </c>
      <c r="O1964" t="s">
        <v>1117</v>
      </c>
      <c r="P1964">
        <v>1</v>
      </c>
      <c r="Q1964" t="s">
        <v>2855</v>
      </c>
      <c r="R1964">
        <f t="shared" si="61"/>
        <v>17</v>
      </c>
      <c r="S1964">
        <f t="shared" si="62"/>
        <v>0</v>
      </c>
    </row>
    <row r="1965" spans="1:19" x14ac:dyDescent="0.25">
      <c r="A1965" t="s">
        <v>3090</v>
      </c>
      <c r="B1965" t="s">
        <v>4026</v>
      </c>
      <c r="C1965">
        <v>6</v>
      </c>
      <c r="D1965">
        <v>1250</v>
      </c>
      <c r="E1965">
        <v>5000</v>
      </c>
      <c r="F1965">
        <v>7</v>
      </c>
      <c r="G1965">
        <v>7</v>
      </c>
      <c r="H1965" t="s">
        <v>2661</v>
      </c>
      <c r="I1965" s="1">
        <v>37126</v>
      </c>
      <c r="J1965" s="1">
        <v>37319</v>
      </c>
      <c r="K1965" s="1">
        <v>37353</v>
      </c>
      <c r="L1965" s="1">
        <v>37353</v>
      </c>
      <c r="M1965" s="1">
        <v>37351</v>
      </c>
      <c r="N1965" s="1">
        <v>37351</v>
      </c>
      <c r="O1965" t="s">
        <v>1117</v>
      </c>
      <c r="P1965">
        <v>1</v>
      </c>
      <c r="Q1965" t="s">
        <v>2662</v>
      </c>
      <c r="R1965">
        <f t="shared" si="61"/>
        <v>14</v>
      </c>
      <c r="S1965">
        <f t="shared" si="62"/>
        <v>1</v>
      </c>
    </row>
    <row r="1966" spans="1:19" x14ac:dyDescent="0.25">
      <c r="A1966" t="s">
        <v>3091</v>
      </c>
      <c r="B1966" t="s">
        <v>4028</v>
      </c>
      <c r="C1966">
        <v>6</v>
      </c>
      <c r="D1966">
        <v>1250</v>
      </c>
      <c r="E1966">
        <v>2500</v>
      </c>
      <c r="F1966">
        <v>5</v>
      </c>
      <c r="G1966">
        <v>5</v>
      </c>
      <c r="H1966" t="s">
        <v>2661</v>
      </c>
      <c r="I1966" s="1">
        <v>37159</v>
      </c>
      <c r="J1966" s="1">
        <v>37325</v>
      </c>
      <c r="K1966" s="1">
        <v>37353</v>
      </c>
      <c r="L1966" s="1">
        <v>37353</v>
      </c>
      <c r="M1966" s="1">
        <v>37351</v>
      </c>
      <c r="N1966" s="1">
        <v>37351</v>
      </c>
      <c r="O1966" t="s">
        <v>1117</v>
      </c>
      <c r="P1966">
        <v>7</v>
      </c>
      <c r="Q1966" t="s">
        <v>2662</v>
      </c>
      <c r="R1966">
        <f t="shared" si="61"/>
        <v>14</v>
      </c>
      <c r="S1966">
        <f t="shared" si="62"/>
        <v>1</v>
      </c>
    </row>
    <row r="1967" spans="1:19" x14ac:dyDescent="0.25">
      <c r="A1967" t="s">
        <v>3092</v>
      </c>
      <c r="B1967" t="s">
        <v>4028</v>
      </c>
      <c r="C1967">
        <v>6</v>
      </c>
      <c r="D1967">
        <v>1250</v>
      </c>
      <c r="E1967">
        <v>6000</v>
      </c>
      <c r="F1967">
        <v>9</v>
      </c>
      <c r="G1967">
        <v>9</v>
      </c>
      <c r="H1967" t="s">
        <v>2661</v>
      </c>
      <c r="I1967" s="1">
        <v>37159</v>
      </c>
      <c r="J1967" s="1">
        <v>37325</v>
      </c>
      <c r="K1967" s="1">
        <v>37353</v>
      </c>
      <c r="L1967" s="1">
        <v>37353</v>
      </c>
      <c r="M1967" s="1">
        <v>37351</v>
      </c>
      <c r="N1967" s="1">
        <v>37351</v>
      </c>
      <c r="O1967" t="s">
        <v>1117</v>
      </c>
      <c r="P1967">
        <v>3</v>
      </c>
      <c r="Q1967" t="s">
        <v>2662</v>
      </c>
      <c r="R1967">
        <f t="shared" si="61"/>
        <v>14</v>
      </c>
      <c r="S1967">
        <f t="shared" si="62"/>
        <v>1</v>
      </c>
    </row>
    <row r="1968" spans="1:19" x14ac:dyDescent="0.25">
      <c r="A1968" t="s">
        <v>3093</v>
      </c>
      <c r="B1968" t="s">
        <v>1199</v>
      </c>
      <c r="C1968">
        <v>18</v>
      </c>
      <c r="D1968">
        <v>1250</v>
      </c>
      <c r="E1968">
        <v>6000</v>
      </c>
      <c r="F1968">
        <v>5</v>
      </c>
      <c r="G1968">
        <v>5</v>
      </c>
      <c r="H1968" t="s">
        <v>3027</v>
      </c>
      <c r="I1968" s="1">
        <v>37127</v>
      </c>
      <c r="J1968" s="1">
        <v>37312</v>
      </c>
      <c r="K1968" s="1">
        <v>37312</v>
      </c>
      <c r="L1968" s="1">
        <v>37312</v>
      </c>
      <c r="M1968" s="1">
        <v>37263</v>
      </c>
      <c r="N1968" s="1">
        <v>37263</v>
      </c>
      <c r="O1968" t="s">
        <v>1117</v>
      </c>
      <c r="P1968">
        <v>9</v>
      </c>
      <c r="Q1968" t="s">
        <v>2855</v>
      </c>
      <c r="R1968">
        <f t="shared" si="61"/>
        <v>2</v>
      </c>
      <c r="S1968">
        <f t="shared" si="62"/>
        <v>1</v>
      </c>
    </row>
    <row r="1969" spans="1:19" x14ac:dyDescent="0.25">
      <c r="A1969" t="s">
        <v>3094</v>
      </c>
      <c r="B1969" t="s">
        <v>4028</v>
      </c>
      <c r="C1969">
        <v>3</v>
      </c>
      <c r="D1969">
        <v>1250</v>
      </c>
      <c r="E1969">
        <v>2500</v>
      </c>
      <c r="F1969">
        <v>33</v>
      </c>
      <c r="G1969">
        <v>33</v>
      </c>
      <c r="H1969" t="s">
        <v>2661</v>
      </c>
      <c r="I1969" s="1">
        <v>37159</v>
      </c>
      <c r="J1969" s="1">
        <v>37325</v>
      </c>
      <c r="K1969" t="s">
        <v>1124</v>
      </c>
      <c r="L1969" t="s">
        <v>1124</v>
      </c>
      <c r="M1969" s="1">
        <v>37340</v>
      </c>
      <c r="N1969" s="1">
        <v>37359</v>
      </c>
      <c r="O1969" t="s">
        <v>1117</v>
      </c>
      <c r="P1969">
        <v>2</v>
      </c>
      <c r="Q1969" t="s">
        <v>2662</v>
      </c>
      <c r="R1969">
        <f t="shared" si="61"/>
        <v>15</v>
      </c>
      <c r="S1969">
        <f t="shared" si="62"/>
        <v>1</v>
      </c>
    </row>
    <row r="1970" spans="1:19" x14ac:dyDescent="0.25">
      <c r="A1970" t="s">
        <v>3095</v>
      </c>
      <c r="B1970" t="s">
        <v>1199</v>
      </c>
      <c r="C1970">
        <v>6</v>
      </c>
      <c r="D1970">
        <v>1250</v>
      </c>
      <c r="E1970">
        <v>6000</v>
      </c>
      <c r="F1970">
        <v>5</v>
      </c>
      <c r="G1970">
        <v>5</v>
      </c>
      <c r="H1970" t="s">
        <v>2661</v>
      </c>
      <c r="I1970" s="1">
        <v>37159</v>
      </c>
      <c r="J1970" s="1">
        <v>37325</v>
      </c>
      <c r="K1970" s="1">
        <v>37353</v>
      </c>
      <c r="L1970" s="1">
        <v>37353</v>
      </c>
      <c r="M1970" s="1">
        <v>37351</v>
      </c>
      <c r="N1970" s="1">
        <v>37351</v>
      </c>
      <c r="O1970" t="s">
        <v>1117</v>
      </c>
      <c r="P1970">
        <v>2</v>
      </c>
      <c r="Q1970" t="s">
        <v>2662</v>
      </c>
      <c r="R1970">
        <f t="shared" si="61"/>
        <v>14</v>
      </c>
      <c r="S1970">
        <f t="shared" si="62"/>
        <v>1</v>
      </c>
    </row>
    <row r="1971" spans="1:19" x14ac:dyDescent="0.25">
      <c r="A1971" t="s">
        <v>3096</v>
      </c>
      <c r="B1971" t="s">
        <v>4028</v>
      </c>
      <c r="C1971">
        <v>16</v>
      </c>
      <c r="D1971">
        <v>1250</v>
      </c>
      <c r="E1971">
        <v>6000</v>
      </c>
      <c r="F1971">
        <v>37.012</v>
      </c>
      <c r="G1971">
        <v>37.012</v>
      </c>
      <c r="H1971" t="s">
        <v>3027</v>
      </c>
      <c r="I1971" s="1">
        <v>37257</v>
      </c>
      <c r="J1971" s="1">
        <v>37319</v>
      </c>
      <c r="K1971" t="s">
        <v>1124</v>
      </c>
      <c r="L1971" t="s">
        <v>1124</v>
      </c>
      <c r="M1971" s="1">
        <v>37335</v>
      </c>
      <c r="N1971" s="1">
        <v>37367</v>
      </c>
      <c r="O1971" t="s">
        <v>1117</v>
      </c>
      <c r="P1971">
        <v>1</v>
      </c>
      <c r="Q1971" t="s">
        <v>2855</v>
      </c>
      <c r="R1971">
        <f t="shared" si="61"/>
        <v>17</v>
      </c>
      <c r="S1971">
        <f t="shared" si="62"/>
        <v>1</v>
      </c>
    </row>
    <row r="1972" spans="1:19" x14ac:dyDescent="0.25">
      <c r="A1972" t="s">
        <v>3097</v>
      </c>
      <c r="B1972" t="s">
        <v>1199</v>
      </c>
      <c r="C1972">
        <v>3</v>
      </c>
      <c r="D1972">
        <v>1250</v>
      </c>
      <c r="E1972">
        <v>2500</v>
      </c>
      <c r="F1972">
        <v>5</v>
      </c>
      <c r="G1972">
        <v>5</v>
      </c>
      <c r="H1972" t="s">
        <v>2661</v>
      </c>
      <c r="I1972" s="1">
        <v>37159</v>
      </c>
      <c r="J1972" s="1">
        <v>37325</v>
      </c>
      <c r="K1972" s="1">
        <v>37375</v>
      </c>
      <c r="L1972" s="1">
        <v>37375</v>
      </c>
      <c r="M1972" s="1">
        <v>37359</v>
      </c>
      <c r="N1972" s="1">
        <v>37359</v>
      </c>
      <c r="O1972" t="s">
        <v>1117</v>
      </c>
      <c r="P1972">
        <v>3</v>
      </c>
      <c r="Q1972" t="s">
        <v>2662</v>
      </c>
      <c r="R1972">
        <f t="shared" si="61"/>
        <v>15</v>
      </c>
      <c r="S1972">
        <f t="shared" si="62"/>
        <v>1</v>
      </c>
    </row>
    <row r="1973" spans="1:19" x14ac:dyDescent="0.25">
      <c r="A1973" t="s">
        <v>3098</v>
      </c>
      <c r="B1973" t="s">
        <v>1199</v>
      </c>
      <c r="C1973">
        <v>5</v>
      </c>
      <c r="D1973">
        <v>1250</v>
      </c>
      <c r="E1973">
        <v>5000</v>
      </c>
      <c r="F1973">
        <v>5</v>
      </c>
      <c r="G1973">
        <v>5</v>
      </c>
      <c r="H1973" t="s">
        <v>2661</v>
      </c>
      <c r="I1973" s="1">
        <v>37159</v>
      </c>
      <c r="J1973" s="1">
        <v>37325</v>
      </c>
      <c r="K1973" s="1">
        <v>37352</v>
      </c>
      <c r="L1973" s="1">
        <v>37352</v>
      </c>
      <c r="M1973" s="1">
        <v>37352</v>
      </c>
      <c r="N1973" s="1">
        <v>37352</v>
      </c>
      <c r="O1973" t="s">
        <v>1117</v>
      </c>
      <c r="P1973">
        <v>4</v>
      </c>
      <c r="Q1973" t="s">
        <v>2662</v>
      </c>
      <c r="R1973">
        <f t="shared" si="61"/>
        <v>14</v>
      </c>
      <c r="S1973">
        <f t="shared" si="62"/>
        <v>1</v>
      </c>
    </row>
    <row r="1974" spans="1:19" x14ac:dyDescent="0.25">
      <c r="A1974" t="s">
        <v>3099</v>
      </c>
      <c r="B1974" t="s">
        <v>1199</v>
      </c>
      <c r="C1974">
        <v>32</v>
      </c>
      <c r="D1974">
        <v>1250</v>
      </c>
      <c r="E1974">
        <v>6000</v>
      </c>
      <c r="F1974">
        <v>80</v>
      </c>
      <c r="G1974">
        <v>80</v>
      </c>
      <c r="H1974" t="s">
        <v>3027</v>
      </c>
      <c r="I1974" s="1">
        <v>37352</v>
      </c>
      <c r="J1974" s="1">
        <v>37389</v>
      </c>
      <c r="K1974" t="s">
        <v>1124</v>
      </c>
      <c r="L1974" t="s">
        <v>1124</v>
      </c>
      <c r="M1974" s="1">
        <v>37389</v>
      </c>
      <c r="N1974" s="1">
        <v>37389</v>
      </c>
      <c r="O1974" t="s">
        <v>1117</v>
      </c>
      <c r="P1974">
        <v>2</v>
      </c>
      <c r="Q1974" t="s">
        <v>2855</v>
      </c>
      <c r="R1974">
        <f t="shared" si="61"/>
        <v>20</v>
      </c>
      <c r="S1974">
        <f t="shared" si="62"/>
        <v>1</v>
      </c>
    </row>
    <row r="1975" spans="1:19" x14ac:dyDescent="0.25">
      <c r="A1975" t="s">
        <v>3100</v>
      </c>
      <c r="B1975" t="s">
        <v>4028</v>
      </c>
      <c r="C1975">
        <v>30</v>
      </c>
      <c r="D1975">
        <v>1250</v>
      </c>
      <c r="E1975">
        <v>6000</v>
      </c>
      <c r="F1975">
        <v>80</v>
      </c>
      <c r="G1975">
        <v>80</v>
      </c>
      <c r="H1975" t="s">
        <v>3027</v>
      </c>
      <c r="I1975" s="1">
        <v>37299</v>
      </c>
      <c r="J1975" s="1">
        <v>37308</v>
      </c>
      <c r="K1975" s="1">
        <v>37314</v>
      </c>
      <c r="L1975" s="1">
        <v>37314</v>
      </c>
      <c r="M1975" s="1">
        <v>37315</v>
      </c>
      <c r="N1975" s="1">
        <v>37389</v>
      </c>
      <c r="O1975" t="s">
        <v>1117</v>
      </c>
      <c r="P1975">
        <v>5</v>
      </c>
      <c r="Q1975" t="s">
        <v>2855</v>
      </c>
      <c r="R1975">
        <f t="shared" si="61"/>
        <v>20</v>
      </c>
      <c r="S1975">
        <f t="shared" si="62"/>
        <v>1</v>
      </c>
    </row>
    <row r="1976" spans="1:19" x14ac:dyDescent="0.25">
      <c r="A1976" t="s">
        <v>3101</v>
      </c>
      <c r="B1976" t="s">
        <v>4026</v>
      </c>
      <c r="C1976">
        <v>10</v>
      </c>
      <c r="D1976">
        <v>1250</v>
      </c>
      <c r="E1976">
        <v>6000</v>
      </c>
      <c r="F1976">
        <v>15</v>
      </c>
      <c r="G1976">
        <v>15</v>
      </c>
      <c r="H1976" t="s">
        <v>3027</v>
      </c>
      <c r="I1976" s="1">
        <v>37257</v>
      </c>
      <c r="J1976" s="1">
        <v>37319</v>
      </c>
      <c r="K1976" t="s">
        <v>1124</v>
      </c>
      <c r="L1976" t="s">
        <v>1124</v>
      </c>
      <c r="M1976" s="1">
        <v>37335</v>
      </c>
      <c r="N1976" s="1">
        <v>37339</v>
      </c>
      <c r="O1976" t="s">
        <v>1117</v>
      </c>
      <c r="P1976">
        <v>1</v>
      </c>
      <c r="Q1976" t="s">
        <v>2855</v>
      </c>
      <c r="R1976">
        <f t="shared" si="61"/>
        <v>13</v>
      </c>
      <c r="S1976">
        <f t="shared" si="62"/>
        <v>1</v>
      </c>
    </row>
    <row r="1977" spans="1:19" x14ac:dyDescent="0.25">
      <c r="A1977" t="s">
        <v>3102</v>
      </c>
      <c r="B1977" t="s">
        <v>3631</v>
      </c>
      <c r="C1977">
        <v>30</v>
      </c>
      <c r="D1977">
        <v>1250</v>
      </c>
      <c r="E1977">
        <v>6000</v>
      </c>
      <c r="F1977">
        <v>80</v>
      </c>
      <c r="G1977">
        <v>80</v>
      </c>
      <c r="H1977" t="s">
        <v>3027</v>
      </c>
      <c r="I1977" s="1">
        <v>37352</v>
      </c>
      <c r="J1977" s="1">
        <v>37389</v>
      </c>
      <c r="K1977" t="s">
        <v>1124</v>
      </c>
      <c r="L1977" t="s">
        <v>1124</v>
      </c>
      <c r="M1977" s="1">
        <v>37389</v>
      </c>
      <c r="N1977" s="1">
        <v>37389</v>
      </c>
      <c r="O1977" t="s">
        <v>1117</v>
      </c>
      <c r="P1977">
        <v>5</v>
      </c>
      <c r="Q1977" t="s">
        <v>2855</v>
      </c>
      <c r="R1977">
        <f t="shared" si="61"/>
        <v>20</v>
      </c>
      <c r="S1977">
        <f t="shared" si="62"/>
        <v>1</v>
      </c>
    </row>
    <row r="1978" spans="1:19" x14ac:dyDescent="0.25">
      <c r="A1978" t="s">
        <v>3103</v>
      </c>
      <c r="B1978" t="s">
        <v>1199</v>
      </c>
      <c r="C1978">
        <v>22</v>
      </c>
      <c r="D1978">
        <v>1250</v>
      </c>
      <c r="E1978">
        <v>6000</v>
      </c>
      <c r="F1978">
        <v>80</v>
      </c>
      <c r="G1978">
        <v>80</v>
      </c>
      <c r="H1978" t="s">
        <v>3027</v>
      </c>
      <c r="I1978" s="1">
        <v>37299</v>
      </c>
      <c r="J1978" s="1">
        <v>37308</v>
      </c>
      <c r="K1978" s="1">
        <v>37315</v>
      </c>
      <c r="L1978" s="1">
        <v>37315</v>
      </c>
      <c r="M1978" s="1">
        <v>37315</v>
      </c>
      <c r="N1978" s="1">
        <v>37315</v>
      </c>
      <c r="O1978" t="s">
        <v>1117</v>
      </c>
      <c r="P1978">
        <v>3</v>
      </c>
      <c r="Q1978" t="s">
        <v>2855</v>
      </c>
      <c r="R1978">
        <f t="shared" si="61"/>
        <v>9</v>
      </c>
      <c r="S1978">
        <f t="shared" si="62"/>
        <v>1</v>
      </c>
    </row>
    <row r="1979" spans="1:19" x14ac:dyDescent="0.25">
      <c r="A1979" t="s">
        <v>3104</v>
      </c>
      <c r="B1979" t="s">
        <v>1199</v>
      </c>
      <c r="C1979">
        <v>32</v>
      </c>
      <c r="D1979">
        <v>1250</v>
      </c>
      <c r="E1979">
        <v>6000</v>
      </c>
      <c r="F1979">
        <v>80</v>
      </c>
      <c r="G1979">
        <v>80</v>
      </c>
      <c r="H1979" t="s">
        <v>3027</v>
      </c>
      <c r="I1979" s="1">
        <v>37299</v>
      </c>
      <c r="J1979" s="1">
        <v>37308</v>
      </c>
      <c r="K1979" s="1">
        <v>37310</v>
      </c>
      <c r="L1979" s="1">
        <v>37310</v>
      </c>
      <c r="M1979" s="1">
        <v>37314</v>
      </c>
      <c r="N1979" s="1">
        <v>37389</v>
      </c>
      <c r="O1979" t="s">
        <v>1117</v>
      </c>
      <c r="P1979">
        <v>2</v>
      </c>
      <c r="Q1979" t="s">
        <v>2855</v>
      </c>
      <c r="R1979">
        <f t="shared" si="61"/>
        <v>20</v>
      </c>
      <c r="S1979">
        <f t="shared" si="62"/>
        <v>1</v>
      </c>
    </row>
    <row r="1980" spans="1:19" x14ac:dyDescent="0.25">
      <c r="A1980" t="s">
        <v>3105</v>
      </c>
      <c r="B1980" t="s">
        <v>1199</v>
      </c>
      <c r="C1980">
        <v>40</v>
      </c>
      <c r="D1980">
        <v>1250</v>
      </c>
      <c r="E1980">
        <v>6000</v>
      </c>
      <c r="F1980">
        <v>80</v>
      </c>
      <c r="G1980">
        <v>80</v>
      </c>
      <c r="H1980" t="s">
        <v>3027</v>
      </c>
      <c r="I1980" s="1">
        <v>37299</v>
      </c>
      <c r="J1980" s="1">
        <v>37308</v>
      </c>
      <c r="K1980" s="1">
        <v>37316</v>
      </c>
      <c r="L1980" s="1">
        <v>37316</v>
      </c>
      <c r="M1980" s="1">
        <v>37317</v>
      </c>
      <c r="N1980" s="1">
        <v>37389</v>
      </c>
      <c r="O1980" t="s">
        <v>1117</v>
      </c>
      <c r="P1980">
        <v>4</v>
      </c>
      <c r="Q1980" t="s">
        <v>2855</v>
      </c>
      <c r="R1980">
        <f t="shared" si="61"/>
        <v>20</v>
      </c>
      <c r="S1980">
        <f t="shared" si="62"/>
        <v>1</v>
      </c>
    </row>
    <row r="1981" spans="1:19" x14ac:dyDescent="0.25">
      <c r="A1981" t="s">
        <v>3106</v>
      </c>
      <c r="B1981" t="s">
        <v>1199</v>
      </c>
      <c r="C1981">
        <v>8</v>
      </c>
      <c r="D1981">
        <v>1250</v>
      </c>
      <c r="E1981">
        <v>6000</v>
      </c>
      <c r="F1981">
        <v>30</v>
      </c>
      <c r="G1981">
        <v>30</v>
      </c>
      <c r="H1981" t="s">
        <v>3027</v>
      </c>
      <c r="I1981" s="1">
        <v>37335</v>
      </c>
      <c r="J1981" s="1">
        <v>37370</v>
      </c>
      <c r="K1981" s="1">
        <v>37370</v>
      </c>
      <c r="L1981" s="1">
        <v>37370</v>
      </c>
      <c r="M1981" s="1">
        <v>37370</v>
      </c>
      <c r="N1981" s="1">
        <v>37370</v>
      </c>
      <c r="O1981" t="s">
        <v>1114</v>
      </c>
      <c r="P1981">
        <v>5</v>
      </c>
      <c r="Q1981" t="s">
        <v>2855</v>
      </c>
      <c r="R1981">
        <f t="shared" si="61"/>
        <v>17</v>
      </c>
      <c r="S1981">
        <f t="shared" si="62"/>
        <v>1</v>
      </c>
    </row>
    <row r="1982" spans="1:19" x14ac:dyDescent="0.25">
      <c r="A1982" t="s">
        <v>3107</v>
      </c>
      <c r="B1982" t="s">
        <v>1199</v>
      </c>
      <c r="C1982">
        <v>8</v>
      </c>
      <c r="D1982">
        <v>1250</v>
      </c>
      <c r="E1982">
        <v>6000</v>
      </c>
      <c r="F1982">
        <v>30</v>
      </c>
      <c r="G1982">
        <v>30</v>
      </c>
      <c r="H1982" t="s">
        <v>3027</v>
      </c>
      <c r="I1982" s="1">
        <v>37343</v>
      </c>
      <c r="J1982" s="1">
        <v>37386</v>
      </c>
      <c r="K1982" t="s">
        <v>1124</v>
      </c>
      <c r="L1982" t="s">
        <v>1124</v>
      </c>
      <c r="M1982" t="s">
        <v>1124</v>
      </c>
      <c r="N1982" s="1">
        <v>37370</v>
      </c>
      <c r="O1982" t="s">
        <v>1117</v>
      </c>
      <c r="P1982">
        <v>5</v>
      </c>
      <c r="Q1982" t="s">
        <v>2855</v>
      </c>
      <c r="R1982">
        <f t="shared" si="61"/>
        <v>17</v>
      </c>
      <c r="S1982">
        <f t="shared" si="62"/>
        <v>0</v>
      </c>
    </row>
    <row r="1983" spans="1:19" x14ac:dyDescent="0.25">
      <c r="A1983" t="s">
        <v>3108</v>
      </c>
      <c r="B1983" t="s">
        <v>4028</v>
      </c>
      <c r="C1983">
        <v>14</v>
      </c>
      <c r="D1983">
        <v>1250</v>
      </c>
      <c r="E1983">
        <v>6000</v>
      </c>
      <c r="F1983">
        <v>30.73</v>
      </c>
      <c r="G1983">
        <v>30.73</v>
      </c>
      <c r="H1983" t="s">
        <v>3027</v>
      </c>
      <c r="I1983" s="1">
        <v>37257</v>
      </c>
      <c r="J1983" s="1">
        <v>37319</v>
      </c>
      <c r="K1983" t="s">
        <v>1124</v>
      </c>
      <c r="L1983" t="s">
        <v>1124</v>
      </c>
      <c r="M1983" s="1">
        <v>37335</v>
      </c>
      <c r="N1983" s="1">
        <v>37335</v>
      </c>
      <c r="O1983" t="s">
        <v>1117</v>
      </c>
      <c r="P1983">
        <v>5</v>
      </c>
      <c r="Q1983" t="s">
        <v>2855</v>
      </c>
      <c r="R1983">
        <f t="shared" si="61"/>
        <v>12</v>
      </c>
      <c r="S1983">
        <f t="shared" si="62"/>
        <v>1</v>
      </c>
    </row>
    <row r="1984" spans="1:19" x14ac:dyDescent="0.25">
      <c r="A1984" t="s">
        <v>3109</v>
      </c>
      <c r="B1984" t="s">
        <v>3631</v>
      </c>
      <c r="C1984">
        <v>12</v>
      </c>
      <c r="D1984">
        <v>1250</v>
      </c>
      <c r="E1984">
        <v>6000</v>
      </c>
      <c r="F1984">
        <v>16.567</v>
      </c>
      <c r="G1984">
        <v>16.567</v>
      </c>
      <c r="H1984" t="s">
        <v>3027</v>
      </c>
      <c r="I1984" s="1">
        <v>37257</v>
      </c>
      <c r="J1984" s="1">
        <v>37317</v>
      </c>
      <c r="K1984" s="1">
        <v>37331</v>
      </c>
      <c r="L1984" s="1">
        <v>37347</v>
      </c>
      <c r="M1984" s="1">
        <v>37338</v>
      </c>
      <c r="N1984" s="1">
        <v>37370</v>
      </c>
      <c r="O1984" t="s">
        <v>1117</v>
      </c>
      <c r="P1984">
        <v>6</v>
      </c>
      <c r="Q1984" t="s">
        <v>2855</v>
      </c>
      <c r="R1984">
        <f t="shared" si="61"/>
        <v>17</v>
      </c>
      <c r="S1984">
        <f t="shared" si="62"/>
        <v>1</v>
      </c>
    </row>
    <row r="1985" spans="1:19" x14ac:dyDescent="0.25">
      <c r="A1985" t="s">
        <v>3110</v>
      </c>
      <c r="B1985" t="s">
        <v>4028</v>
      </c>
      <c r="C1985">
        <v>10</v>
      </c>
      <c r="D1985">
        <v>1250</v>
      </c>
      <c r="E1985">
        <v>6000</v>
      </c>
      <c r="F1985">
        <v>20</v>
      </c>
      <c r="G1985">
        <v>13.118</v>
      </c>
      <c r="H1985" t="s">
        <v>3027</v>
      </c>
      <c r="I1985" s="1">
        <v>37110</v>
      </c>
      <c r="J1985" s="1">
        <v>37324</v>
      </c>
      <c r="K1985" s="1">
        <v>37339</v>
      </c>
      <c r="L1985" s="1">
        <v>37347</v>
      </c>
      <c r="M1985" s="1">
        <v>37339</v>
      </c>
      <c r="N1985" s="1">
        <v>37339</v>
      </c>
      <c r="O1985" t="s">
        <v>1117</v>
      </c>
      <c r="P1985">
        <v>11</v>
      </c>
      <c r="Q1985" t="s">
        <v>2855</v>
      </c>
      <c r="R1985">
        <f t="shared" si="61"/>
        <v>13</v>
      </c>
      <c r="S1985">
        <f t="shared" si="62"/>
        <v>0</v>
      </c>
    </row>
    <row r="1986" spans="1:19" x14ac:dyDescent="0.25">
      <c r="A1986" t="s">
        <v>3111</v>
      </c>
      <c r="B1986" t="s">
        <v>3521</v>
      </c>
      <c r="C1986">
        <v>12</v>
      </c>
      <c r="D1986">
        <v>1250</v>
      </c>
      <c r="E1986">
        <v>6000</v>
      </c>
      <c r="F1986">
        <v>16.567</v>
      </c>
      <c r="G1986">
        <v>16.567</v>
      </c>
      <c r="H1986" t="s">
        <v>3027</v>
      </c>
      <c r="I1986" s="1">
        <v>37258</v>
      </c>
      <c r="J1986" s="1">
        <v>37314</v>
      </c>
      <c r="K1986" s="1">
        <v>37338</v>
      </c>
      <c r="L1986" s="1">
        <v>37347</v>
      </c>
      <c r="M1986" s="1">
        <v>37338</v>
      </c>
      <c r="N1986" s="1">
        <v>37370</v>
      </c>
      <c r="O1986" t="s">
        <v>1117</v>
      </c>
      <c r="P1986">
        <v>6</v>
      </c>
      <c r="Q1986" t="s">
        <v>2855</v>
      </c>
      <c r="R1986">
        <f t="shared" si="61"/>
        <v>17</v>
      </c>
      <c r="S1986">
        <f t="shared" si="62"/>
        <v>1</v>
      </c>
    </row>
    <row r="1987" spans="1:19" x14ac:dyDescent="0.25">
      <c r="A1987" t="s">
        <v>3112</v>
      </c>
      <c r="B1987" t="s">
        <v>1199</v>
      </c>
      <c r="C1987">
        <v>22</v>
      </c>
      <c r="D1987">
        <v>1250</v>
      </c>
      <c r="E1987">
        <v>6000</v>
      </c>
      <c r="F1987">
        <v>80</v>
      </c>
      <c r="G1987">
        <v>80</v>
      </c>
      <c r="H1987" t="s">
        <v>3027</v>
      </c>
      <c r="I1987" s="1">
        <v>37304</v>
      </c>
      <c r="J1987" s="1">
        <v>37314</v>
      </c>
      <c r="K1987" s="1">
        <v>37313</v>
      </c>
      <c r="L1987" s="1">
        <v>37314</v>
      </c>
      <c r="M1987" s="1">
        <v>37314</v>
      </c>
      <c r="N1987" s="1">
        <v>37315</v>
      </c>
      <c r="O1987" t="s">
        <v>1114</v>
      </c>
      <c r="P1987">
        <v>3</v>
      </c>
      <c r="Q1987" t="s">
        <v>2855</v>
      </c>
      <c r="R1987">
        <f t="shared" ref="R1987:R2050" si="63">WEEKNUM(N1987,1)</f>
        <v>9</v>
      </c>
      <c r="S1987">
        <f t="shared" ref="S1987:S2050" si="64">IF(AND(F1987=G1987, M1987&lt;=N1987), 1,0)</f>
        <v>1</v>
      </c>
    </row>
    <row r="1988" spans="1:19" x14ac:dyDescent="0.25">
      <c r="A1988" t="s">
        <v>3113</v>
      </c>
      <c r="B1988" t="s">
        <v>4029</v>
      </c>
      <c r="C1988">
        <v>8</v>
      </c>
      <c r="D1988">
        <v>1250</v>
      </c>
      <c r="E1988">
        <v>6000</v>
      </c>
      <c r="F1988">
        <v>15</v>
      </c>
      <c r="G1988">
        <v>15</v>
      </c>
      <c r="H1988" t="s">
        <v>3027</v>
      </c>
      <c r="I1988" s="1">
        <v>37104</v>
      </c>
      <c r="J1988" s="1">
        <v>37325</v>
      </c>
      <c r="K1988" t="s">
        <v>1124</v>
      </c>
      <c r="L1988" t="s">
        <v>1124</v>
      </c>
      <c r="M1988" s="1">
        <v>37335</v>
      </c>
      <c r="N1988" s="1">
        <v>37370</v>
      </c>
      <c r="O1988" t="s">
        <v>1117</v>
      </c>
      <c r="P1988">
        <v>13</v>
      </c>
      <c r="Q1988" t="s">
        <v>2855</v>
      </c>
      <c r="R1988">
        <f t="shared" si="63"/>
        <v>17</v>
      </c>
      <c r="S1988">
        <f t="shared" si="64"/>
        <v>1</v>
      </c>
    </row>
    <row r="1989" spans="1:19" x14ac:dyDescent="0.25">
      <c r="A1989" t="s">
        <v>3114</v>
      </c>
      <c r="B1989" t="s">
        <v>4026</v>
      </c>
      <c r="C1989">
        <v>12</v>
      </c>
      <c r="D1989">
        <v>1250</v>
      </c>
      <c r="E1989">
        <v>6000</v>
      </c>
      <c r="F1989">
        <v>20</v>
      </c>
      <c r="G1989">
        <v>20</v>
      </c>
      <c r="H1989" t="s">
        <v>3027</v>
      </c>
      <c r="I1989" s="1">
        <v>37335</v>
      </c>
      <c r="J1989" s="1">
        <v>37370</v>
      </c>
      <c r="K1989" s="1">
        <v>37370</v>
      </c>
      <c r="L1989" s="1">
        <v>37370</v>
      </c>
      <c r="M1989" s="1">
        <v>37370</v>
      </c>
      <c r="N1989" s="1">
        <v>37370</v>
      </c>
      <c r="O1989" t="s">
        <v>1114</v>
      </c>
      <c r="P1989">
        <v>4</v>
      </c>
      <c r="Q1989" t="s">
        <v>2855</v>
      </c>
      <c r="R1989">
        <f t="shared" si="63"/>
        <v>17</v>
      </c>
      <c r="S1989">
        <f t="shared" si="64"/>
        <v>1</v>
      </c>
    </row>
    <row r="1990" spans="1:19" x14ac:dyDescent="0.25">
      <c r="A1990" t="s">
        <v>3115</v>
      </c>
      <c r="B1990" t="s">
        <v>1199</v>
      </c>
      <c r="C1990">
        <v>10</v>
      </c>
      <c r="D1990">
        <v>1250</v>
      </c>
      <c r="E1990">
        <v>5000</v>
      </c>
      <c r="F1990">
        <v>15</v>
      </c>
      <c r="G1990">
        <v>15</v>
      </c>
      <c r="H1990" t="s">
        <v>3027</v>
      </c>
      <c r="I1990" s="1">
        <v>37302</v>
      </c>
      <c r="J1990" s="1">
        <v>37308</v>
      </c>
      <c r="K1990" s="1">
        <v>37326</v>
      </c>
      <c r="L1990" s="1">
        <v>37326</v>
      </c>
      <c r="M1990" s="1">
        <v>37326</v>
      </c>
      <c r="N1990" s="1">
        <v>37334</v>
      </c>
      <c r="O1990" t="s">
        <v>1117</v>
      </c>
      <c r="P1990">
        <v>3</v>
      </c>
      <c r="Q1990" t="s">
        <v>2855</v>
      </c>
      <c r="R1990">
        <f t="shared" si="63"/>
        <v>12</v>
      </c>
      <c r="S1990">
        <f t="shared" si="64"/>
        <v>1</v>
      </c>
    </row>
    <row r="1991" spans="1:19" x14ac:dyDescent="0.25">
      <c r="A1991" t="s">
        <v>3116</v>
      </c>
      <c r="B1991" t="s">
        <v>4027</v>
      </c>
      <c r="C1991">
        <v>10</v>
      </c>
      <c r="D1991">
        <v>1250</v>
      </c>
      <c r="E1991">
        <v>5000</v>
      </c>
      <c r="F1991">
        <v>15</v>
      </c>
      <c r="G1991">
        <v>15</v>
      </c>
      <c r="H1991" t="s">
        <v>3027</v>
      </c>
      <c r="I1991" s="1">
        <v>37293</v>
      </c>
      <c r="J1991" s="1">
        <v>37308</v>
      </c>
      <c r="K1991" s="1">
        <v>37354</v>
      </c>
      <c r="L1991" s="1">
        <v>37354</v>
      </c>
      <c r="M1991" s="1">
        <v>37334</v>
      </c>
      <c r="N1991" s="1">
        <v>37334</v>
      </c>
      <c r="O1991" t="s">
        <v>1117</v>
      </c>
      <c r="P1991">
        <v>3</v>
      </c>
      <c r="Q1991" t="s">
        <v>2855</v>
      </c>
      <c r="R1991">
        <f t="shared" si="63"/>
        <v>12</v>
      </c>
      <c r="S1991">
        <f t="shared" si="64"/>
        <v>1</v>
      </c>
    </row>
    <row r="1992" spans="1:19" x14ac:dyDescent="0.25">
      <c r="A1992" t="s">
        <v>3117</v>
      </c>
      <c r="B1992" t="s">
        <v>1199</v>
      </c>
      <c r="C1992">
        <v>12</v>
      </c>
      <c r="D1992">
        <v>1250</v>
      </c>
      <c r="E1992">
        <v>6000</v>
      </c>
      <c r="F1992">
        <v>15</v>
      </c>
      <c r="G1992">
        <v>15</v>
      </c>
      <c r="H1992" t="s">
        <v>3027</v>
      </c>
      <c r="I1992" s="1">
        <v>37133</v>
      </c>
      <c r="J1992" s="1">
        <v>37319</v>
      </c>
      <c r="K1992" s="1">
        <v>37327</v>
      </c>
      <c r="L1992" s="1">
        <v>37327</v>
      </c>
      <c r="M1992" s="1">
        <v>37328</v>
      </c>
      <c r="N1992" s="1">
        <v>37370</v>
      </c>
      <c r="O1992" t="s">
        <v>1117</v>
      </c>
      <c r="P1992">
        <v>4</v>
      </c>
      <c r="Q1992" t="s">
        <v>2855</v>
      </c>
      <c r="R1992">
        <f t="shared" si="63"/>
        <v>17</v>
      </c>
      <c r="S1992">
        <f t="shared" si="64"/>
        <v>1</v>
      </c>
    </row>
    <row r="1993" spans="1:19" x14ac:dyDescent="0.25">
      <c r="A1993" t="s">
        <v>3118</v>
      </c>
      <c r="B1993" t="s">
        <v>4027</v>
      </c>
      <c r="C1993">
        <v>16</v>
      </c>
      <c r="D1993">
        <v>1250</v>
      </c>
      <c r="E1993">
        <v>6000</v>
      </c>
      <c r="F1993">
        <v>15</v>
      </c>
      <c r="G1993">
        <v>15</v>
      </c>
      <c r="H1993" t="s">
        <v>3027</v>
      </c>
      <c r="I1993" s="1">
        <v>37258</v>
      </c>
      <c r="J1993" s="1">
        <v>37314</v>
      </c>
      <c r="K1993" s="1">
        <v>37314</v>
      </c>
      <c r="L1993" s="1">
        <v>37314</v>
      </c>
      <c r="M1993" s="1">
        <v>37315</v>
      </c>
      <c r="N1993" s="1">
        <v>37335</v>
      </c>
      <c r="O1993" t="s">
        <v>1117</v>
      </c>
      <c r="P1993">
        <v>1</v>
      </c>
      <c r="Q1993" t="s">
        <v>2855</v>
      </c>
      <c r="R1993">
        <f t="shared" si="63"/>
        <v>12</v>
      </c>
      <c r="S1993">
        <f t="shared" si="64"/>
        <v>1</v>
      </c>
    </row>
    <row r="1994" spans="1:19" x14ac:dyDescent="0.25">
      <c r="A1994" t="s">
        <v>3119</v>
      </c>
      <c r="B1994" t="s">
        <v>3631</v>
      </c>
      <c r="C1994">
        <v>12</v>
      </c>
      <c r="D1994">
        <v>1250</v>
      </c>
      <c r="E1994">
        <v>6000</v>
      </c>
      <c r="F1994">
        <v>20</v>
      </c>
      <c r="G1994">
        <v>20</v>
      </c>
      <c r="H1994" t="s">
        <v>3027</v>
      </c>
      <c r="I1994" s="1">
        <v>37343</v>
      </c>
      <c r="J1994" s="1">
        <v>37386</v>
      </c>
      <c r="K1994" t="s">
        <v>1124</v>
      </c>
      <c r="L1994" t="s">
        <v>1124</v>
      </c>
      <c r="M1994" t="s">
        <v>1124</v>
      </c>
      <c r="N1994" s="1">
        <v>37370</v>
      </c>
      <c r="O1994" t="s">
        <v>1117</v>
      </c>
      <c r="P1994">
        <v>4</v>
      </c>
      <c r="Q1994" t="s">
        <v>2855</v>
      </c>
      <c r="R1994">
        <f t="shared" si="63"/>
        <v>17</v>
      </c>
      <c r="S1994">
        <f t="shared" si="64"/>
        <v>0</v>
      </c>
    </row>
    <row r="1995" spans="1:19" x14ac:dyDescent="0.25">
      <c r="A1995" t="s">
        <v>3120</v>
      </c>
      <c r="B1995" t="s">
        <v>4026</v>
      </c>
      <c r="C1995">
        <v>8</v>
      </c>
      <c r="D1995">
        <v>1250</v>
      </c>
      <c r="E1995">
        <v>6000</v>
      </c>
      <c r="F1995">
        <v>30</v>
      </c>
      <c r="G1995">
        <v>30</v>
      </c>
      <c r="H1995" t="s">
        <v>3027</v>
      </c>
      <c r="I1995" s="1">
        <v>37343</v>
      </c>
      <c r="J1995" s="1">
        <v>37386</v>
      </c>
      <c r="K1995" t="s">
        <v>1124</v>
      </c>
      <c r="L1995" t="s">
        <v>1124</v>
      </c>
      <c r="M1995" t="s">
        <v>1124</v>
      </c>
      <c r="N1995" s="1">
        <v>37370</v>
      </c>
      <c r="O1995" t="s">
        <v>1117</v>
      </c>
      <c r="P1995">
        <v>5</v>
      </c>
      <c r="Q1995" t="s">
        <v>2855</v>
      </c>
      <c r="R1995">
        <f t="shared" si="63"/>
        <v>17</v>
      </c>
      <c r="S1995">
        <f t="shared" si="64"/>
        <v>0</v>
      </c>
    </row>
    <row r="1996" spans="1:19" x14ac:dyDescent="0.25">
      <c r="A1996" t="s">
        <v>3121</v>
      </c>
      <c r="B1996" t="s">
        <v>1199</v>
      </c>
      <c r="C1996">
        <v>12</v>
      </c>
      <c r="D1996">
        <v>1250</v>
      </c>
      <c r="E1996">
        <v>6000</v>
      </c>
      <c r="F1996">
        <v>20</v>
      </c>
      <c r="G1996">
        <v>20</v>
      </c>
      <c r="H1996" t="s">
        <v>3027</v>
      </c>
      <c r="I1996" s="1">
        <v>37343</v>
      </c>
      <c r="J1996" s="1">
        <v>37386</v>
      </c>
      <c r="K1996" t="s">
        <v>1124</v>
      </c>
      <c r="L1996" t="s">
        <v>1124</v>
      </c>
      <c r="M1996" t="s">
        <v>1124</v>
      </c>
      <c r="N1996" s="1">
        <v>37370</v>
      </c>
      <c r="O1996" t="s">
        <v>1117</v>
      </c>
      <c r="P1996">
        <v>4</v>
      </c>
      <c r="Q1996" t="s">
        <v>2855</v>
      </c>
      <c r="R1996">
        <f t="shared" si="63"/>
        <v>17</v>
      </c>
      <c r="S1996">
        <f t="shared" si="64"/>
        <v>0</v>
      </c>
    </row>
    <row r="1997" spans="1:19" x14ac:dyDescent="0.25">
      <c r="A1997" t="s">
        <v>3122</v>
      </c>
      <c r="B1997" t="s">
        <v>1199</v>
      </c>
      <c r="C1997">
        <v>12</v>
      </c>
      <c r="D1997">
        <v>1250</v>
      </c>
      <c r="E1997">
        <v>6000</v>
      </c>
      <c r="F1997">
        <v>20</v>
      </c>
      <c r="G1997">
        <v>20</v>
      </c>
      <c r="H1997" t="s">
        <v>3027</v>
      </c>
      <c r="I1997" s="1">
        <v>37343</v>
      </c>
      <c r="J1997" s="1">
        <v>37386</v>
      </c>
      <c r="K1997" t="s">
        <v>1124</v>
      </c>
      <c r="L1997" t="s">
        <v>1124</v>
      </c>
      <c r="M1997" t="s">
        <v>1124</v>
      </c>
      <c r="N1997" s="1">
        <v>37370</v>
      </c>
      <c r="O1997" t="s">
        <v>1117</v>
      </c>
      <c r="P1997">
        <v>4</v>
      </c>
      <c r="Q1997" t="s">
        <v>2855</v>
      </c>
      <c r="R1997">
        <f t="shared" si="63"/>
        <v>17</v>
      </c>
      <c r="S1997">
        <f t="shared" si="64"/>
        <v>0</v>
      </c>
    </row>
    <row r="1998" spans="1:19" x14ac:dyDescent="0.25">
      <c r="A1998" t="s">
        <v>3123</v>
      </c>
      <c r="B1998" t="s">
        <v>1199</v>
      </c>
      <c r="C1998">
        <v>40</v>
      </c>
      <c r="D1998">
        <v>1250</v>
      </c>
      <c r="E1998">
        <v>6000</v>
      </c>
      <c r="F1998">
        <v>80</v>
      </c>
      <c r="G1998">
        <v>80</v>
      </c>
      <c r="H1998" t="s">
        <v>3027</v>
      </c>
      <c r="I1998" s="1">
        <v>37352</v>
      </c>
      <c r="J1998" s="1">
        <v>37389</v>
      </c>
      <c r="K1998" t="s">
        <v>1124</v>
      </c>
      <c r="L1998" t="s">
        <v>1124</v>
      </c>
      <c r="M1998" s="1">
        <v>37389</v>
      </c>
      <c r="N1998" s="1">
        <v>37389</v>
      </c>
      <c r="O1998" t="s">
        <v>1117</v>
      </c>
      <c r="P1998">
        <v>4</v>
      </c>
      <c r="Q1998" t="s">
        <v>2855</v>
      </c>
      <c r="R1998">
        <f t="shared" si="63"/>
        <v>20</v>
      </c>
      <c r="S1998">
        <f t="shared" si="64"/>
        <v>1</v>
      </c>
    </row>
    <row r="1999" spans="1:19" x14ac:dyDescent="0.25">
      <c r="A1999" t="s">
        <v>3124</v>
      </c>
      <c r="B1999" t="s">
        <v>4027</v>
      </c>
      <c r="C1999">
        <v>20</v>
      </c>
      <c r="D1999">
        <v>1250</v>
      </c>
      <c r="E1999">
        <v>2500</v>
      </c>
      <c r="F1999">
        <v>45</v>
      </c>
      <c r="G1999">
        <v>45</v>
      </c>
      <c r="H1999" t="s">
        <v>3027</v>
      </c>
      <c r="I1999" s="1">
        <v>37159</v>
      </c>
      <c r="J1999" s="1">
        <v>37323</v>
      </c>
      <c r="K1999" s="1">
        <v>37300</v>
      </c>
      <c r="L1999" s="1">
        <v>37323</v>
      </c>
      <c r="M1999" s="1">
        <v>37271</v>
      </c>
      <c r="N1999" s="1">
        <v>37271</v>
      </c>
      <c r="O1999" t="s">
        <v>1114</v>
      </c>
      <c r="P1999">
        <v>1</v>
      </c>
      <c r="Q1999" t="s">
        <v>2855</v>
      </c>
      <c r="R1999">
        <f t="shared" si="63"/>
        <v>3</v>
      </c>
      <c r="S1999">
        <f t="shared" si="64"/>
        <v>1</v>
      </c>
    </row>
    <row r="2000" spans="1:19" x14ac:dyDescent="0.25">
      <c r="A2000" t="s">
        <v>3125</v>
      </c>
      <c r="B2000" t="s">
        <v>1199</v>
      </c>
      <c r="C2000">
        <v>8</v>
      </c>
      <c r="D2000">
        <v>1250</v>
      </c>
      <c r="E2000">
        <v>6000</v>
      </c>
      <c r="F2000">
        <v>41</v>
      </c>
      <c r="G2000">
        <v>41</v>
      </c>
      <c r="H2000" t="s">
        <v>3027</v>
      </c>
      <c r="I2000" s="1">
        <v>37133</v>
      </c>
      <c r="J2000" s="1">
        <v>37319</v>
      </c>
      <c r="K2000" s="1">
        <v>37327</v>
      </c>
      <c r="L2000" s="1">
        <v>37327</v>
      </c>
      <c r="M2000" s="1">
        <v>37328</v>
      </c>
      <c r="N2000" s="1">
        <v>37370</v>
      </c>
      <c r="O2000" t="s">
        <v>1117</v>
      </c>
      <c r="P2000">
        <v>9</v>
      </c>
      <c r="Q2000" t="s">
        <v>2855</v>
      </c>
      <c r="R2000">
        <f t="shared" si="63"/>
        <v>17</v>
      </c>
      <c r="S2000">
        <f t="shared" si="64"/>
        <v>1</v>
      </c>
    </row>
    <row r="2001" spans="1:19" x14ac:dyDescent="0.25">
      <c r="A2001" t="s">
        <v>3126</v>
      </c>
      <c r="B2001" t="s">
        <v>1199</v>
      </c>
      <c r="C2001">
        <v>12</v>
      </c>
      <c r="D2001">
        <v>1250</v>
      </c>
      <c r="E2001">
        <v>6000</v>
      </c>
      <c r="F2001">
        <v>20</v>
      </c>
      <c r="G2001">
        <v>20</v>
      </c>
      <c r="H2001" t="s">
        <v>3027</v>
      </c>
      <c r="I2001" s="1">
        <v>37335</v>
      </c>
      <c r="J2001" s="1">
        <v>37370</v>
      </c>
      <c r="K2001" s="1">
        <v>37370</v>
      </c>
      <c r="L2001" s="1">
        <v>37370</v>
      </c>
      <c r="M2001" s="1">
        <v>37370</v>
      </c>
      <c r="N2001" s="1">
        <v>37370</v>
      </c>
      <c r="O2001" t="s">
        <v>1114</v>
      </c>
      <c r="P2001">
        <v>4</v>
      </c>
      <c r="Q2001" t="s">
        <v>2855</v>
      </c>
      <c r="R2001">
        <f t="shared" si="63"/>
        <v>17</v>
      </c>
      <c r="S2001">
        <f t="shared" si="64"/>
        <v>1</v>
      </c>
    </row>
    <row r="2002" spans="1:19" x14ac:dyDescent="0.25">
      <c r="A2002" t="s">
        <v>3127</v>
      </c>
      <c r="B2002" t="s">
        <v>3631</v>
      </c>
      <c r="C2002">
        <v>10</v>
      </c>
      <c r="D2002">
        <v>1250</v>
      </c>
      <c r="E2002">
        <v>6000</v>
      </c>
      <c r="F2002">
        <v>16</v>
      </c>
      <c r="G2002">
        <v>16</v>
      </c>
      <c r="H2002" t="s">
        <v>3027</v>
      </c>
      <c r="I2002" s="1">
        <v>37133</v>
      </c>
      <c r="J2002" s="1">
        <v>37319</v>
      </c>
      <c r="K2002" s="1">
        <v>37327</v>
      </c>
      <c r="L2002" s="1">
        <v>37327</v>
      </c>
      <c r="M2002" s="1">
        <v>37328</v>
      </c>
      <c r="N2002" s="1">
        <v>37339</v>
      </c>
      <c r="O2002" t="s">
        <v>1117</v>
      </c>
      <c r="P2002">
        <v>8</v>
      </c>
      <c r="Q2002" t="s">
        <v>2855</v>
      </c>
      <c r="R2002">
        <f t="shared" si="63"/>
        <v>13</v>
      </c>
      <c r="S2002">
        <f t="shared" si="64"/>
        <v>1</v>
      </c>
    </row>
    <row r="2003" spans="1:19" x14ac:dyDescent="0.25">
      <c r="A2003" t="s">
        <v>3128</v>
      </c>
      <c r="B2003" t="s">
        <v>4028</v>
      </c>
      <c r="C2003">
        <v>25</v>
      </c>
      <c r="D2003">
        <v>1250</v>
      </c>
      <c r="E2003">
        <v>6000</v>
      </c>
      <c r="F2003">
        <v>18</v>
      </c>
      <c r="G2003">
        <v>18</v>
      </c>
      <c r="H2003" t="s">
        <v>3027</v>
      </c>
      <c r="I2003" s="1">
        <v>37258</v>
      </c>
      <c r="J2003" s="1">
        <v>37317</v>
      </c>
      <c r="K2003" t="s">
        <v>1124</v>
      </c>
      <c r="L2003" t="s">
        <v>1124</v>
      </c>
      <c r="M2003" s="1">
        <v>37335</v>
      </c>
      <c r="N2003" s="1">
        <v>37335</v>
      </c>
      <c r="O2003" t="s">
        <v>1117</v>
      </c>
      <c r="P2003">
        <v>1</v>
      </c>
      <c r="Q2003" t="s">
        <v>2855</v>
      </c>
      <c r="R2003">
        <f t="shared" si="63"/>
        <v>12</v>
      </c>
      <c r="S2003">
        <f t="shared" si="64"/>
        <v>1</v>
      </c>
    </row>
    <row r="2004" spans="1:19" x14ac:dyDescent="0.25">
      <c r="A2004" t="s">
        <v>3129</v>
      </c>
      <c r="B2004" t="s">
        <v>4028</v>
      </c>
      <c r="C2004">
        <v>8</v>
      </c>
      <c r="D2004">
        <v>1250</v>
      </c>
      <c r="E2004">
        <v>6000</v>
      </c>
      <c r="F2004">
        <v>14</v>
      </c>
      <c r="G2004">
        <v>14</v>
      </c>
      <c r="H2004" t="s">
        <v>3027</v>
      </c>
      <c r="I2004" s="1">
        <v>37122</v>
      </c>
      <c r="J2004" s="1">
        <v>37324</v>
      </c>
      <c r="K2004" s="1">
        <v>37338</v>
      </c>
      <c r="L2004" s="1">
        <v>37347</v>
      </c>
      <c r="M2004" s="1">
        <v>37338</v>
      </c>
      <c r="N2004" s="1">
        <v>37370</v>
      </c>
      <c r="O2004" t="s">
        <v>1117</v>
      </c>
      <c r="P2004">
        <v>1</v>
      </c>
      <c r="Q2004" t="s">
        <v>2855</v>
      </c>
      <c r="R2004">
        <f t="shared" si="63"/>
        <v>17</v>
      </c>
      <c r="S2004">
        <f t="shared" si="64"/>
        <v>1</v>
      </c>
    </row>
    <row r="2005" spans="1:19" x14ac:dyDescent="0.25">
      <c r="A2005" t="s">
        <v>3130</v>
      </c>
      <c r="B2005" t="s">
        <v>1199</v>
      </c>
      <c r="C2005">
        <v>30</v>
      </c>
      <c r="D2005">
        <v>1250</v>
      </c>
      <c r="E2005">
        <v>6000</v>
      </c>
      <c r="F2005">
        <v>80</v>
      </c>
      <c r="G2005">
        <v>80</v>
      </c>
      <c r="H2005" t="s">
        <v>3027</v>
      </c>
      <c r="I2005" s="1">
        <v>37304</v>
      </c>
      <c r="J2005" s="1">
        <v>37314</v>
      </c>
      <c r="K2005" s="1">
        <v>37314</v>
      </c>
      <c r="L2005" s="1">
        <v>37314</v>
      </c>
      <c r="M2005" s="1">
        <v>37314</v>
      </c>
      <c r="N2005" s="1">
        <v>37389</v>
      </c>
      <c r="O2005" t="s">
        <v>1114</v>
      </c>
      <c r="P2005">
        <v>5</v>
      </c>
      <c r="Q2005" t="s">
        <v>2855</v>
      </c>
      <c r="R2005">
        <f t="shared" si="63"/>
        <v>20</v>
      </c>
      <c r="S2005">
        <f t="shared" si="64"/>
        <v>1</v>
      </c>
    </row>
    <row r="2006" spans="1:19" x14ac:dyDescent="0.25">
      <c r="A2006" t="s">
        <v>3131</v>
      </c>
      <c r="B2006" t="s">
        <v>1199</v>
      </c>
      <c r="C2006">
        <v>12</v>
      </c>
      <c r="D2006">
        <v>1250</v>
      </c>
      <c r="E2006">
        <v>6000</v>
      </c>
      <c r="F2006">
        <v>21</v>
      </c>
      <c r="G2006">
        <v>21</v>
      </c>
      <c r="H2006" t="s">
        <v>3027</v>
      </c>
      <c r="I2006" s="1">
        <v>37257</v>
      </c>
      <c r="J2006" s="1">
        <v>37317</v>
      </c>
      <c r="K2006" s="1">
        <v>37368</v>
      </c>
      <c r="L2006" s="1">
        <v>37368</v>
      </c>
      <c r="M2006" s="1">
        <v>37337</v>
      </c>
      <c r="N2006" s="1">
        <v>37370</v>
      </c>
      <c r="O2006" t="s">
        <v>1117</v>
      </c>
      <c r="P2006">
        <v>2</v>
      </c>
      <c r="Q2006" t="s">
        <v>2855</v>
      </c>
      <c r="R2006">
        <f t="shared" si="63"/>
        <v>17</v>
      </c>
      <c r="S2006">
        <f t="shared" si="64"/>
        <v>1</v>
      </c>
    </row>
    <row r="2007" spans="1:19" x14ac:dyDescent="0.25">
      <c r="A2007" t="s">
        <v>3132</v>
      </c>
      <c r="B2007" t="s">
        <v>1199</v>
      </c>
      <c r="C2007">
        <v>14</v>
      </c>
      <c r="D2007">
        <v>1250</v>
      </c>
      <c r="E2007">
        <v>6000</v>
      </c>
      <c r="F2007">
        <v>22</v>
      </c>
      <c r="G2007">
        <v>22</v>
      </c>
      <c r="H2007" t="s">
        <v>3027</v>
      </c>
      <c r="I2007" s="1">
        <v>37257</v>
      </c>
      <c r="J2007" s="1">
        <v>37317</v>
      </c>
      <c r="K2007" s="1">
        <v>37367</v>
      </c>
      <c r="L2007" s="1">
        <v>37367</v>
      </c>
      <c r="M2007" s="1">
        <v>37276</v>
      </c>
      <c r="N2007" s="1">
        <v>37335</v>
      </c>
      <c r="O2007" t="s">
        <v>1117</v>
      </c>
      <c r="P2007">
        <v>6</v>
      </c>
      <c r="Q2007" t="s">
        <v>2855</v>
      </c>
      <c r="R2007">
        <f t="shared" si="63"/>
        <v>12</v>
      </c>
      <c r="S2007">
        <f t="shared" si="64"/>
        <v>1</v>
      </c>
    </row>
    <row r="2008" spans="1:19" x14ac:dyDescent="0.25">
      <c r="A2008" t="s">
        <v>3133</v>
      </c>
      <c r="B2008" t="s">
        <v>4027</v>
      </c>
      <c r="C2008">
        <v>40</v>
      </c>
      <c r="D2008">
        <v>1250</v>
      </c>
      <c r="E2008">
        <v>6000</v>
      </c>
      <c r="F2008">
        <v>80</v>
      </c>
      <c r="G2008">
        <v>80</v>
      </c>
      <c r="H2008" t="s">
        <v>3027</v>
      </c>
      <c r="I2008" s="1">
        <v>37304</v>
      </c>
      <c r="J2008" s="1">
        <v>37314</v>
      </c>
      <c r="K2008" s="1">
        <v>37314</v>
      </c>
      <c r="L2008" s="1">
        <v>37314</v>
      </c>
      <c r="M2008" s="1">
        <v>37314</v>
      </c>
      <c r="N2008" s="1">
        <v>37389</v>
      </c>
      <c r="O2008" t="s">
        <v>1114</v>
      </c>
      <c r="P2008">
        <v>4</v>
      </c>
      <c r="Q2008" t="s">
        <v>2855</v>
      </c>
      <c r="R2008">
        <f t="shared" si="63"/>
        <v>20</v>
      </c>
      <c r="S2008">
        <f t="shared" si="64"/>
        <v>1</v>
      </c>
    </row>
    <row r="2009" spans="1:19" x14ac:dyDescent="0.25">
      <c r="A2009" t="s">
        <v>3134</v>
      </c>
      <c r="B2009" t="s">
        <v>4026</v>
      </c>
      <c r="C2009">
        <v>16</v>
      </c>
      <c r="D2009">
        <v>1250</v>
      </c>
      <c r="E2009">
        <v>6000</v>
      </c>
      <c r="F2009">
        <v>15</v>
      </c>
      <c r="G2009">
        <v>15</v>
      </c>
      <c r="H2009" t="s">
        <v>3027</v>
      </c>
      <c r="I2009" s="1">
        <v>37257</v>
      </c>
      <c r="J2009" s="1">
        <v>37317</v>
      </c>
      <c r="K2009" t="s">
        <v>1124</v>
      </c>
      <c r="L2009" t="s">
        <v>1124</v>
      </c>
      <c r="M2009" s="1">
        <v>37335</v>
      </c>
      <c r="N2009" s="1">
        <v>37335</v>
      </c>
      <c r="O2009" t="s">
        <v>1117</v>
      </c>
      <c r="P2009">
        <v>1</v>
      </c>
      <c r="Q2009" t="s">
        <v>2855</v>
      </c>
      <c r="R2009">
        <f t="shared" si="63"/>
        <v>12</v>
      </c>
      <c r="S2009">
        <f t="shared" si="64"/>
        <v>1</v>
      </c>
    </row>
    <row r="2010" spans="1:19" x14ac:dyDescent="0.25">
      <c r="A2010" t="s">
        <v>3135</v>
      </c>
      <c r="B2010" t="s">
        <v>4027</v>
      </c>
      <c r="C2010">
        <v>12</v>
      </c>
      <c r="D2010">
        <v>1250</v>
      </c>
      <c r="E2010">
        <v>6000</v>
      </c>
      <c r="F2010">
        <v>48</v>
      </c>
      <c r="G2010">
        <v>48</v>
      </c>
      <c r="H2010" t="s">
        <v>3027</v>
      </c>
      <c r="I2010" s="1">
        <v>37257</v>
      </c>
      <c r="J2010" s="1">
        <v>37317</v>
      </c>
      <c r="K2010" s="1">
        <v>37337</v>
      </c>
      <c r="L2010" s="1">
        <v>37347</v>
      </c>
      <c r="M2010" s="1">
        <v>37337</v>
      </c>
      <c r="N2010" s="1">
        <v>37370</v>
      </c>
      <c r="O2010" t="s">
        <v>1117</v>
      </c>
      <c r="P2010">
        <v>7</v>
      </c>
      <c r="Q2010" t="s">
        <v>2855</v>
      </c>
      <c r="R2010">
        <f t="shared" si="63"/>
        <v>17</v>
      </c>
      <c r="S2010">
        <f t="shared" si="64"/>
        <v>1</v>
      </c>
    </row>
    <row r="2011" spans="1:19" x14ac:dyDescent="0.25">
      <c r="A2011" t="s">
        <v>3136</v>
      </c>
      <c r="B2011" t="s">
        <v>4027</v>
      </c>
      <c r="C2011">
        <v>25</v>
      </c>
      <c r="D2011">
        <v>1250</v>
      </c>
      <c r="E2011">
        <v>6000</v>
      </c>
      <c r="F2011">
        <v>18</v>
      </c>
      <c r="G2011">
        <v>18</v>
      </c>
      <c r="H2011" t="s">
        <v>3027</v>
      </c>
      <c r="I2011" s="1">
        <v>37257</v>
      </c>
      <c r="J2011" s="1">
        <v>37317</v>
      </c>
      <c r="K2011" t="s">
        <v>1124</v>
      </c>
      <c r="L2011" t="s">
        <v>1124</v>
      </c>
      <c r="M2011" s="1">
        <v>37335</v>
      </c>
      <c r="N2011" s="1">
        <v>37335</v>
      </c>
      <c r="O2011" t="s">
        <v>1117</v>
      </c>
      <c r="P2011">
        <v>1</v>
      </c>
      <c r="Q2011" t="s">
        <v>2855</v>
      </c>
      <c r="R2011">
        <f t="shared" si="63"/>
        <v>12</v>
      </c>
      <c r="S2011">
        <f t="shared" si="64"/>
        <v>1</v>
      </c>
    </row>
    <row r="2012" spans="1:19" x14ac:dyDescent="0.25">
      <c r="A2012" t="s">
        <v>3137</v>
      </c>
      <c r="B2012" t="s">
        <v>4026</v>
      </c>
      <c r="C2012">
        <v>14</v>
      </c>
      <c r="D2012">
        <v>1250</v>
      </c>
      <c r="E2012">
        <v>6000</v>
      </c>
      <c r="F2012">
        <v>22</v>
      </c>
      <c r="G2012">
        <v>22</v>
      </c>
      <c r="H2012" t="s">
        <v>3027</v>
      </c>
      <c r="I2012" s="1">
        <v>37258</v>
      </c>
      <c r="J2012" s="1">
        <v>37317</v>
      </c>
      <c r="K2012" s="1">
        <v>37346</v>
      </c>
      <c r="L2012" s="1">
        <v>37346</v>
      </c>
      <c r="M2012" s="1">
        <v>37276</v>
      </c>
      <c r="N2012" s="1">
        <v>37335</v>
      </c>
      <c r="O2012" t="s">
        <v>1117</v>
      </c>
      <c r="P2012">
        <v>6</v>
      </c>
      <c r="Q2012" t="s">
        <v>2855</v>
      </c>
      <c r="R2012">
        <f t="shared" si="63"/>
        <v>12</v>
      </c>
      <c r="S2012">
        <f t="shared" si="64"/>
        <v>1</v>
      </c>
    </row>
    <row r="2013" spans="1:19" x14ac:dyDescent="0.25">
      <c r="A2013" t="s">
        <v>3138</v>
      </c>
      <c r="B2013" t="s">
        <v>1199</v>
      </c>
      <c r="C2013">
        <v>12</v>
      </c>
      <c r="D2013">
        <v>1250</v>
      </c>
      <c r="E2013">
        <v>6000</v>
      </c>
      <c r="F2013">
        <v>16.712</v>
      </c>
      <c r="G2013">
        <v>16.712</v>
      </c>
      <c r="H2013" t="s">
        <v>3027</v>
      </c>
      <c r="I2013" s="1">
        <v>37257</v>
      </c>
      <c r="J2013" s="1">
        <v>37319</v>
      </c>
      <c r="K2013" s="1">
        <v>37329</v>
      </c>
      <c r="L2013" s="1">
        <v>37329</v>
      </c>
      <c r="M2013" s="1">
        <v>37333</v>
      </c>
      <c r="N2013" s="1">
        <v>37370</v>
      </c>
      <c r="O2013" t="s">
        <v>1117</v>
      </c>
      <c r="P2013">
        <v>4</v>
      </c>
      <c r="Q2013" t="s">
        <v>2855</v>
      </c>
      <c r="R2013">
        <f t="shared" si="63"/>
        <v>17</v>
      </c>
      <c r="S2013">
        <f t="shared" si="64"/>
        <v>1</v>
      </c>
    </row>
    <row r="2014" spans="1:19" x14ac:dyDescent="0.25">
      <c r="A2014" t="s">
        <v>3139</v>
      </c>
      <c r="B2014" t="s">
        <v>4026</v>
      </c>
      <c r="C2014">
        <v>12</v>
      </c>
      <c r="D2014">
        <v>1250</v>
      </c>
      <c r="E2014">
        <v>6000</v>
      </c>
      <c r="F2014">
        <v>48</v>
      </c>
      <c r="G2014">
        <v>48</v>
      </c>
      <c r="H2014" t="s">
        <v>3027</v>
      </c>
      <c r="I2014" s="1">
        <v>37258</v>
      </c>
      <c r="J2014" s="1">
        <v>37317</v>
      </c>
      <c r="K2014" s="1">
        <v>37321</v>
      </c>
      <c r="L2014" s="1">
        <v>37321</v>
      </c>
      <c r="M2014" s="1">
        <v>37323</v>
      </c>
      <c r="N2014" s="1">
        <v>37370</v>
      </c>
      <c r="O2014" t="s">
        <v>1117</v>
      </c>
      <c r="P2014">
        <v>7</v>
      </c>
      <c r="Q2014" t="s">
        <v>2855</v>
      </c>
      <c r="R2014">
        <f t="shared" si="63"/>
        <v>17</v>
      </c>
      <c r="S2014">
        <f t="shared" si="64"/>
        <v>1</v>
      </c>
    </row>
    <row r="2015" spans="1:19" x14ac:dyDescent="0.25">
      <c r="A2015" t="s">
        <v>3140</v>
      </c>
      <c r="B2015" t="s">
        <v>1199</v>
      </c>
      <c r="C2015">
        <v>6</v>
      </c>
      <c r="D2015">
        <v>1250</v>
      </c>
      <c r="E2015">
        <v>5000</v>
      </c>
      <c r="F2015">
        <v>5</v>
      </c>
      <c r="G2015">
        <v>5</v>
      </c>
      <c r="H2015" t="s">
        <v>2661</v>
      </c>
      <c r="I2015" s="1">
        <v>37159</v>
      </c>
      <c r="J2015" s="1">
        <v>37325</v>
      </c>
      <c r="K2015" s="1">
        <v>37353</v>
      </c>
      <c r="L2015" s="1">
        <v>37353</v>
      </c>
      <c r="M2015" s="1">
        <v>37351</v>
      </c>
      <c r="N2015" s="1">
        <v>37351</v>
      </c>
      <c r="O2015" t="s">
        <v>1117</v>
      </c>
      <c r="P2015">
        <v>1</v>
      </c>
      <c r="Q2015" t="s">
        <v>2662</v>
      </c>
      <c r="R2015">
        <f t="shared" si="63"/>
        <v>14</v>
      </c>
      <c r="S2015">
        <f t="shared" si="64"/>
        <v>1</v>
      </c>
    </row>
    <row r="2016" spans="1:19" x14ac:dyDescent="0.25">
      <c r="A2016" t="s">
        <v>3141</v>
      </c>
      <c r="B2016" t="s">
        <v>4028</v>
      </c>
      <c r="C2016">
        <v>6</v>
      </c>
      <c r="D2016">
        <v>1250</v>
      </c>
      <c r="E2016">
        <v>2500</v>
      </c>
      <c r="F2016">
        <v>10</v>
      </c>
      <c r="G2016">
        <v>10</v>
      </c>
      <c r="H2016" t="s">
        <v>2661</v>
      </c>
      <c r="I2016" s="1">
        <v>37159</v>
      </c>
      <c r="J2016" s="1">
        <v>37325</v>
      </c>
      <c r="K2016" s="1">
        <v>37353</v>
      </c>
      <c r="L2016" s="1">
        <v>37353</v>
      </c>
      <c r="M2016" s="1">
        <v>37351</v>
      </c>
      <c r="N2016" s="1">
        <v>37351</v>
      </c>
      <c r="O2016" t="s">
        <v>1117</v>
      </c>
      <c r="P2016">
        <v>2</v>
      </c>
      <c r="Q2016" t="s">
        <v>2662</v>
      </c>
      <c r="R2016">
        <f t="shared" si="63"/>
        <v>14</v>
      </c>
      <c r="S2016">
        <f t="shared" si="64"/>
        <v>1</v>
      </c>
    </row>
    <row r="2017" spans="1:19" x14ac:dyDescent="0.25">
      <c r="A2017" t="s">
        <v>3142</v>
      </c>
      <c r="B2017" t="s">
        <v>4027</v>
      </c>
      <c r="C2017">
        <v>16</v>
      </c>
      <c r="D2017">
        <v>1250</v>
      </c>
      <c r="E2017">
        <v>6000</v>
      </c>
      <c r="F2017">
        <v>5</v>
      </c>
      <c r="G2017">
        <v>5</v>
      </c>
      <c r="H2017" t="s">
        <v>3027</v>
      </c>
      <c r="I2017" s="1">
        <v>37335</v>
      </c>
      <c r="J2017" s="1">
        <v>37367</v>
      </c>
      <c r="K2017" t="s">
        <v>1124</v>
      </c>
      <c r="L2017" t="s">
        <v>1124</v>
      </c>
      <c r="M2017" s="1">
        <v>37367</v>
      </c>
      <c r="N2017" s="1">
        <v>37367</v>
      </c>
      <c r="O2017" t="s">
        <v>1117</v>
      </c>
      <c r="P2017">
        <v>1</v>
      </c>
      <c r="Q2017" t="s">
        <v>2855</v>
      </c>
      <c r="R2017">
        <f t="shared" si="63"/>
        <v>17</v>
      </c>
      <c r="S2017">
        <f t="shared" si="64"/>
        <v>1</v>
      </c>
    </row>
    <row r="2018" spans="1:19" x14ac:dyDescent="0.25">
      <c r="A2018" t="s">
        <v>3143</v>
      </c>
      <c r="B2018" t="s">
        <v>4027</v>
      </c>
      <c r="C2018">
        <v>8</v>
      </c>
      <c r="D2018">
        <v>1250</v>
      </c>
      <c r="E2018">
        <v>5000</v>
      </c>
      <c r="F2018">
        <v>7.9859999999999998</v>
      </c>
      <c r="G2018">
        <v>7.9859999999999998</v>
      </c>
      <c r="H2018" t="s">
        <v>3027</v>
      </c>
      <c r="I2018" s="1">
        <v>37257</v>
      </c>
      <c r="J2018" s="1">
        <v>37319</v>
      </c>
      <c r="K2018" t="s">
        <v>1124</v>
      </c>
      <c r="L2018" t="s">
        <v>1124</v>
      </c>
      <c r="M2018" s="1">
        <v>37347</v>
      </c>
      <c r="N2018" s="1">
        <v>37365</v>
      </c>
      <c r="O2018" t="s">
        <v>1117</v>
      </c>
      <c r="P2018">
        <v>1</v>
      </c>
      <c r="Q2018" t="s">
        <v>2855</v>
      </c>
      <c r="R2018">
        <f t="shared" si="63"/>
        <v>16</v>
      </c>
      <c r="S2018">
        <f t="shared" si="64"/>
        <v>1</v>
      </c>
    </row>
    <row r="2019" spans="1:19" x14ac:dyDescent="0.25">
      <c r="A2019" t="s">
        <v>3144</v>
      </c>
      <c r="B2019" t="s">
        <v>4028</v>
      </c>
      <c r="C2019">
        <v>12</v>
      </c>
      <c r="D2019">
        <v>1250</v>
      </c>
      <c r="E2019">
        <v>5000</v>
      </c>
      <c r="F2019">
        <v>5</v>
      </c>
      <c r="G2019">
        <v>5</v>
      </c>
      <c r="H2019" t="s">
        <v>3027</v>
      </c>
      <c r="I2019" s="1">
        <v>37343</v>
      </c>
      <c r="J2019" s="1">
        <v>37387</v>
      </c>
      <c r="K2019" t="s">
        <v>1124</v>
      </c>
      <c r="L2019" t="s">
        <v>1124</v>
      </c>
      <c r="M2019" t="s">
        <v>1124</v>
      </c>
      <c r="N2019" s="1">
        <v>37368</v>
      </c>
      <c r="O2019" t="s">
        <v>1117</v>
      </c>
      <c r="P2019">
        <v>1</v>
      </c>
      <c r="Q2019" t="s">
        <v>2855</v>
      </c>
      <c r="R2019">
        <f t="shared" si="63"/>
        <v>17</v>
      </c>
      <c r="S2019">
        <f t="shared" si="64"/>
        <v>0</v>
      </c>
    </row>
    <row r="2020" spans="1:19" x14ac:dyDescent="0.25">
      <c r="A2020" t="s">
        <v>3145</v>
      </c>
      <c r="B2020" t="s">
        <v>4028</v>
      </c>
      <c r="C2020">
        <v>5</v>
      </c>
      <c r="D2020">
        <v>1250</v>
      </c>
      <c r="E2020">
        <v>2500</v>
      </c>
      <c r="F2020">
        <v>10</v>
      </c>
      <c r="G2020">
        <v>10</v>
      </c>
      <c r="H2020" t="s">
        <v>2661</v>
      </c>
      <c r="I2020" s="1">
        <v>37159</v>
      </c>
      <c r="J2020" s="1">
        <v>37325</v>
      </c>
      <c r="K2020" s="1">
        <v>37352</v>
      </c>
      <c r="L2020" s="1">
        <v>37352</v>
      </c>
      <c r="M2020" s="1">
        <v>37352</v>
      </c>
      <c r="N2020" s="1">
        <v>37352</v>
      </c>
      <c r="O2020" t="s">
        <v>1117</v>
      </c>
      <c r="P2020">
        <v>6</v>
      </c>
      <c r="Q2020" t="s">
        <v>2662</v>
      </c>
      <c r="R2020">
        <f t="shared" si="63"/>
        <v>14</v>
      </c>
      <c r="S2020">
        <f t="shared" si="64"/>
        <v>1</v>
      </c>
    </row>
    <row r="2021" spans="1:19" x14ac:dyDescent="0.25">
      <c r="A2021" t="s">
        <v>3146</v>
      </c>
      <c r="B2021" t="s">
        <v>1199</v>
      </c>
      <c r="C2021">
        <v>4</v>
      </c>
      <c r="D2021">
        <v>1250</v>
      </c>
      <c r="E2021">
        <v>2500</v>
      </c>
      <c r="F2021">
        <v>5</v>
      </c>
      <c r="G2021">
        <v>5</v>
      </c>
      <c r="H2021" t="s">
        <v>2661</v>
      </c>
      <c r="I2021" s="1">
        <v>37159</v>
      </c>
      <c r="J2021" s="1">
        <v>37325</v>
      </c>
      <c r="K2021" s="1">
        <v>37363</v>
      </c>
      <c r="L2021" s="1">
        <v>37363</v>
      </c>
      <c r="M2021" s="1">
        <v>37347</v>
      </c>
      <c r="N2021" s="1">
        <v>37351</v>
      </c>
      <c r="O2021" t="s">
        <v>1117</v>
      </c>
      <c r="P2021">
        <v>1</v>
      </c>
      <c r="Q2021" t="s">
        <v>2662</v>
      </c>
      <c r="R2021">
        <f t="shared" si="63"/>
        <v>14</v>
      </c>
      <c r="S2021">
        <f t="shared" si="64"/>
        <v>1</v>
      </c>
    </row>
    <row r="2022" spans="1:19" x14ac:dyDescent="0.25">
      <c r="A2022" t="s">
        <v>3147</v>
      </c>
      <c r="B2022" t="s">
        <v>4027</v>
      </c>
      <c r="C2022">
        <v>6</v>
      </c>
      <c r="D2022">
        <v>1250</v>
      </c>
      <c r="E2022">
        <v>6000</v>
      </c>
      <c r="F2022">
        <v>5</v>
      </c>
      <c r="G2022">
        <v>5</v>
      </c>
      <c r="H2022" t="s">
        <v>2661</v>
      </c>
      <c r="I2022" s="1">
        <v>37159</v>
      </c>
      <c r="J2022" s="1">
        <v>37325</v>
      </c>
      <c r="K2022" s="1">
        <v>37353</v>
      </c>
      <c r="L2022" s="1">
        <v>37353</v>
      </c>
      <c r="M2022" s="1">
        <v>37351</v>
      </c>
      <c r="N2022" s="1">
        <v>37351</v>
      </c>
      <c r="O2022" t="s">
        <v>1117</v>
      </c>
      <c r="P2022">
        <v>1</v>
      </c>
      <c r="Q2022" t="s">
        <v>2662</v>
      </c>
      <c r="R2022">
        <f t="shared" si="63"/>
        <v>14</v>
      </c>
      <c r="S2022">
        <f t="shared" si="64"/>
        <v>1</v>
      </c>
    </row>
    <row r="2023" spans="1:19" x14ac:dyDescent="0.25">
      <c r="A2023" t="s">
        <v>3148</v>
      </c>
      <c r="B2023" t="s">
        <v>1199</v>
      </c>
      <c r="C2023">
        <v>3</v>
      </c>
      <c r="D2023">
        <v>1250</v>
      </c>
      <c r="E2023">
        <v>2500</v>
      </c>
      <c r="F2023">
        <v>9</v>
      </c>
      <c r="G2023">
        <v>9</v>
      </c>
      <c r="H2023" t="s">
        <v>2661</v>
      </c>
      <c r="I2023" s="1">
        <v>37159</v>
      </c>
      <c r="J2023" s="1">
        <v>37325</v>
      </c>
      <c r="K2023" s="1">
        <v>37375</v>
      </c>
      <c r="L2023" s="1">
        <v>37375</v>
      </c>
      <c r="M2023" s="1">
        <v>37359</v>
      </c>
      <c r="N2023" s="1">
        <v>37359</v>
      </c>
      <c r="O2023" t="s">
        <v>1117</v>
      </c>
      <c r="P2023">
        <v>2</v>
      </c>
      <c r="Q2023" t="s">
        <v>2662</v>
      </c>
      <c r="R2023">
        <f t="shared" si="63"/>
        <v>15</v>
      </c>
      <c r="S2023">
        <f t="shared" si="64"/>
        <v>1</v>
      </c>
    </row>
    <row r="2024" spans="1:19" x14ac:dyDescent="0.25">
      <c r="A2024" t="s">
        <v>3149</v>
      </c>
      <c r="B2024" t="s">
        <v>1199</v>
      </c>
      <c r="C2024">
        <v>5</v>
      </c>
      <c r="D2024">
        <v>1250</v>
      </c>
      <c r="E2024">
        <v>2500</v>
      </c>
      <c r="F2024">
        <v>5</v>
      </c>
      <c r="G2024">
        <v>5</v>
      </c>
      <c r="H2024" t="s">
        <v>2661</v>
      </c>
      <c r="I2024" s="1">
        <v>37159</v>
      </c>
      <c r="J2024" s="1">
        <v>37325</v>
      </c>
      <c r="K2024" s="1">
        <v>37352</v>
      </c>
      <c r="L2024" s="1">
        <v>37352</v>
      </c>
      <c r="M2024" s="1">
        <v>37352</v>
      </c>
      <c r="N2024" s="1">
        <v>37352</v>
      </c>
      <c r="O2024" t="s">
        <v>1117</v>
      </c>
      <c r="P2024">
        <v>4</v>
      </c>
      <c r="Q2024" t="s">
        <v>2662</v>
      </c>
      <c r="R2024">
        <f t="shared" si="63"/>
        <v>14</v>
      </c>
      <c r="S2024">
        <f t="shared" si="64"/>
        <v>1</v>
      </c>
    </row>
    <row r="2025" spans="1:19" x14ac:dyDescent="0.25">
      <c r="A2025" t="s">
        <v>3150</v>
      </c>
      <c r="B2025" t="s">
        <v>1199</v>
      </c>
      <c r="C2025">
        <v>5</v>
      </c>
      <c r="D2025">
        <v>1250</v>
      </c>
      <c r="E2025">
        <v>2500</v>
      </c>
      <c r="F2025">
        <v>5</v>
      </c>
      <c r="G2025">
        <v>5</v>
      </c>
      <c r="H2025" t="s">
        <v>2661</v>
      </c>
      <c r="I2025" s="1">
        <v>37159</v>
      </c>
      <c r="J2025" s="1">
        <v>37325</v>
      </c>
      <c r="K2025" s="1">
        <v>37352</v>
      </c>
      <c r="L2025" s="1">
        <v>37352</v>
      </c>
      <c r="M2025" s="1">
        <v>37352</v>
      </c>
      <c r="N2025" s="1">
        <v>37352</v>
      </c>
      <c r="O2025" t="s">
        <v>1117</v>
      </c>
      <c r="P2025">
        <v>4</v>
      </c>
      <c r="Q2025" t="s">
        <v>2662</v>
      </c>
      <c r="R2025">
        <f t="shared" si="63"/>
        <v>14</v>
      </c>
      <c r="S2025">
        <f t="shared" si="64"/>
        <v>1</v>
      </c>
    </row>
    <row r="2026" spans="1:19" x14ac:dyDescent="0.25">
      <c r="A2026" t="s">
        <v>3151</v>
      </c>
      <c r="B2026" t="s">
        <v>1199</v>
      </c>
      <c r="C2026">
        <v>5</v>
      </c>
      <c r="D2026">
        <v>1250</v>
      </c>
      <c r="E2026">
        <v>6000</v>
      </c>
      <c r="F2026">
        <v>15</v>
      </c>
      <c r="G2026">
        <v>15</v>
      </c>
      <c r="H2026" t="s">
        <v>2661</v>
      </c>
      <c r="I2026" s="1">
        <v>37159</v>
      </c>
      <c r="J2026" s="1">
        <v>37325</v>
      </c>
      <c r="K2026" s="1">
        <v>37324</v>
      </c>
      <c r="L2026" s="1">
        <v>37325</v>
      </c>
      <c r="M2026" s="1">
        <v>37326</v>
      </c>
      <c r="N2026" s="1">
        <v>37352</v>
      </c>
      <c r="O2026" t="s">
        <v>1114</v>
      </c>
      <c r="P2026">
        <v>2</v>
      </c>
      <c r="Q2026" t="s">
        <v>2662</v>
      </c>
      <c r="R2026">
        <f t="shared" si="63"/>
        <v>14</v>
      </c>
      <c r="S2026">
        <f t="shared" si="64"/>
        <v>1</v>
      </c>
    </row>
    <row r="2027" spans="1:19" x14ac:dyDescent="0.25">
      <c r="A2027" t="s">
        <v>3152</v>
      </c>
      <c r="B2027" t="s">
        <v>1199</v>
      </c>
      <c r="C2027">
        <v>5</v>
      </c>
      <c r="D2027">
        <v>1250</v>
      </c>
      <c r="E2027">
        <v>2500</v>
      </c>
      <c r="F2027">
        <v>5</v>
      </c>
      <c r="G2027">
        <v>5</v>
      </c>
      <c r="H2027" t="s">
        <v>2661</v>
      </c>
      <c r="I2027" s="1">
        <v>37159</v>
      </c>
      <c r="J2027" s="1">
        <v>37325</v>
      </c>
      <c r="K2027" s="1">
        <v>37352</v>
      </c>
      <c r="L2027" s="1">
        <v>37352</v>
      </c>
      <c r="M2027" s="1">
        <v>37352</v>
      </c>
      <c r="N2027" s="1">
        <v>37352</v>
      </c>
      <c r="O2027" t="s">
        <v>1117</v>
      </c>
      <c r="P2027">
        <v>7</v>
      </c>
      <c r="Q2027" t="s">
        <v>2662</v>
      </c>
      <c r="R2027">
        <f t="shared" si="63"/>
        <v>14</v>
      </c>
      <c r="S2027">
        <f t="shared" si="64"/>
        <v>1</v>
      </c>
    </row>
    <row r="2028" spans="1:19" x14ac:dyDescent="0.25">
      <c r="A2028" t="s">
        <v>3153</v>
      </c>
      <c r="B2028" t="s">
        <v>4028</v>
      </c>
      <c r="C2028">
        <v>10</v>
      </c>
      <c r="D2028">
        <v>1250</v>
      </c>
      <c r="E2028">
        <v>6000</v>
      </c>
      <c r="F2028">
        <v>8</v>
      </c>
      <c r="G2028">
        <v>8</v>
      </c>
      <c r="H2028" t="s">
        <v>3027</v>
      </c>
      <c r="I2028" s="1">
        <v>37131</v>
      </c>
      <c r="J2028" s="1">
        <v>37321</v>
      </c>
      <c r="K2028" s="1">
        <v>37326</v>
      </c>
      <c r="L2028" s="1">
        <v>37326</v>
      </c>
      <c r="M2028" s="1">
        <v>37324</v>
      </c>
      <c r="N2028" s="1">
        <v>37324</v>
      </c>
      <c r="O2028" t="s">
        <v>1117</v>
      </c>
      <c r="P2028">
        <v>4</v>
      </c>
      <c r="Q2028" t="s">
        <v>2855</v>
      </c>
      <c r="R2028">
        <f t="shared" si="63"/>
        <v>10</v>
      </c>
      <c r="S2028">
        <f t="shared" si="64"/>
        <v>1</v>
      </c>
    </row>
    <row r="2029" spans="1:19" x14ac:dyDescent="0.25">
      <c r="A2029" t="s">
        <v>3154</v>
      </c>
      <c r="B2029" t="s">
        <v>4026</v>
      </c>
      <c r="C2029">
        <v>12</v>
      </c>
      <c r="D2029">
        <v>1250</v>
      </c>
      <c r="E2029">
        <v>5000</v>
      </c>
      <c r="F2029">
        <v>4</v>
      </c>
      <c r="G2029">
        <v>4</v>
      </c>
      <c r="H2029" t="s">
        <v>3027</v>
      </c>
      <c r="I2029" s="1">
        <v>37159</v>
      </c>
      <c r="J2029" s="1">
        <v>37321</v>
      </c>
      <c r="K2029" s="1">
        <v>37330</v>
      </c>
      <c r="L2029" s="1">
        <v>37330</v>
      </c>
      <c r="M2029" s="1">
        <v>37330</v>
      </c>
      <c r="N2029" s="1">
        <v>37330</v>
      </c>
      <c r="O2029" t="s">
        <v>1117</v>
      </c>
      <c r="P2029">
        <v>7</v>
      </c>
      <c r="Q2029" t="s">
        <v>2855</v>
      </c>
      <c r="R2029">
        <f t="shared" si="63"/>
        <v>11</v>
      </c>
      <c r="S2029">
        <f t="shared" si="64"/>
        <v>1</v>
      </c>
    </row>
    <row r="2030" spans="1:19" x14ac:dyDescent="0.25">
      <c r="A2030" t="s">
        <v>3155</v>
      </c>
      <c r="B2030" t="s">
        <v>4026</v>
      </c>
      <c r="C2030">
        <v>12</v>
      </c>
      <c r="D2030">
        <v>1250</v>
      </c>
      <c r="E2030">
        <v>6000</v>
      </c>
      <c r="F2030">
        <v>8</v>
      </c>
      <c r="G2030">
        <v>8</v>
      </c>
      <c r="H2030" t="s">
        <v>3027</v>
      </c>
      <c r="I2030" s="1">
        <v>37131</v>
      </c>
      <c r="J2030" s="1">
        <v>37307</v>
      </c>
      <c r="K2030" s="1">
        <v>37329</v>
      </c>
      <c r="L2030" s="1">
        <v>37329</v>
      </c>
      <c r="M2030" s="1">
        <v>37329</v>
      </c>
      <c r="N2030" s="1">
        <v>37329</v>
      </c>
      <c r="O2030" t="s">
        <v>1117</v>
      </c>
      <c r="P2030">
        <v>5</v>
      </c>
      <c r="Q2030" t="s">
        <v>2855</v>
      </c>
      <c r="R2030">
        <f t="shared" si="63"/>
        <v>11</v>
      </c>
      <c r="S2030">
        <f t="shared" si="64"/>
        <v>1</v>
      </c>
    </row>
    <row r="2031" spans="1:19" x14ac:dyDescent="0.25">
      <c r="A2031" t="s">
        <v>3156</v>
      </c>
      <c r="B2031" t="s">
        <v>1199</v>
      </c>
      <c r="C2031">
        <v>8</v>
      </c>
      <c r="D2031">
        <v>1250</v>
      </c>
      <c r="E2031">
        <v>5000</v>
      </c>
      <c r="F2031">
        <v>4</v>
      </c>
      <c r="G2031">
        <v>4</v>
      </c>
      <c r="H2031" t="s">
        <v>3027</v>
      </c>
      <c r="I2031" s="1">
        <v>37159</v>
      </c>
      <c r="J2031" s="1">
        <v>37321</v>
      </c>
      <c r="K2031" s="1">
        <v>37332</v>
      </c>
      <c r="L2031" s="1">
        <v>37332</v>
      </c>
      <c r="M2031" s="1">
        <v>37332</v>
      </c>
      <c r="N2031" s="1">
        <v>37332</v>
      </c>
      <c r="O2031" t="s">
        <v>1117</v>
      </c>
      <c r="P2031">
        <v>3</v>
      </c>
      <c r="Q2031" t="s">
        <v>2855</v>
      </c>
      <c r="R2031">
        <f t="shared" si="63"/>
        <v>12</v>
      </c>
      <c r="S2031">
        <f t="shared" si="64"/>
        <v>1</v>
      </c>
    </row>
    <row r="2032" spans="1:19" x14ac:dyDescent="0.25">
      <c r="A2032" t="s">
        <v>3157</v>
      </c>
      <c r="B2032" t="s">
        <v>1199</v>
      </c>
      <c r="C2032">
        <v>8</v>
      </c>
      <c r="D2032">
        <v>1250</v>
      </c>
      <c r="E2032">
        <v>6000</v>
      </c>
      <c r="F2032">
        <v>8</v>
      </c>
      <c r="G2032">
        <v>1.0349999999999999</v>
      </c>
      <c r="H2032" t="s">
        <v>3027</v>
      </c>
      <c r="I2032" s="1">
        <v>37131</v>
      </c>
      <c r="J2032" s="1">
        <v>37308</v>
      </c>
      <c r="K2032" s="1">
        <v>37332</v>
      </c>
      <c r="L2032" s="1">
        <v>37332</v>
      </c>
      <c r="M2032" s="1">
        <v>37332</v>
      </c>
      <c r="N2032" s="1">
        <v>37332</v>
      </c>
      <c r="O2032" t="s">
        <v>1117</v>
      </c>
      <c r="P2032">
        <v>3</v>
      </c>
      <c r="Q2032" t="s">
        <v>2855</v>
      </c>
      <c r="R2032">
        <f t="shared" si="63"/>
        <v>12</v>
      </c>
      <c r="S2032">
        <f t="shared" si="64"/>
        <v>0</v>
      </c>
    </row>
    <row r="2033" spans="1:19" x14ac:dyDescent="0.25">
      <c r="A2033" t="s">
        <v>3158</v>
      </c>
      <c r="B2033" t="s">
        <v>1199</v>
      </c>
      <c r="C2033">
        <v>6</v>
      </c>
      <c r="D2033">
        <v>1250</v>
      </c>
      <c r="E2033">
        <v>6000</v>
      </c>
      <c r="F2033">
        <v>4</v>
      </c>
      <c r="G2033">
        <v>4</v>
      </c>
      <c r="H2033" t="s">
        <v>2661</v>
      </c>
      <c r="I2033" s="1">
        <v>37159</v>
      </c>
      <c r="J2033" s="1">
        <v>37321</v>
      </c>
      <c r="K2033" s="1">
        <v>37331</v>
      </c>
      <c r="L2033" s="1">
        <v>37331</v>
      </c>
      <c r="M2033" s="1">
        <v>37331</v>
      </c>
      <c r="N2033" s="1">
        <v>37331</v>
      </c>
      <c r="O2033" t="s">
        <v>1117</v>
      </c>
      <c r="P2033">
        <v>2</v>
      </c>
      <c r="Q2033" t="s">
        <v>2662</v>
      </c>
      <c r="R2033">
        <f t="shared" si="63"/>
        <v>11</v>
      </c>
      <c r="S2033">
        <f t="shared" si="64"/>
        <v>1</v>
      </c>
    </row>
    <row r="2034" spans="1:19" x14ac:dyDescent="0.25">
      <c r="A2034" t="s">
        <v>3159</v>
      </c>
      <c r="B2034" t="s">
        <v>1199</v>
      </c>
      <c r="C2034">
        <v>12</v>
      </c>
      <c r="D2034">
        <v>1250</v>
      </c>
      <c r="E2034">
        <v>6000</v>
      </c>
      <c r="F2034">
        <v>4</v>
      </c>
      <c r="G2034">
        <v>4</v>
      </c>
      <c r="H2034" t="s">
        <v>3027</v>
      </c>
      <c r="I2034" s="1">
        <v>37159</v>
      </c>
      <c r="J2034" s="1">
        <v>37325</v>
      </c>
      <c r="K2034" s="1">
        <v>37330</v>
      </c>
      <c r="L2034" s="1">
        <v>37330</v>
      </c>
      <c r="M2034" s="1">
        <v>37330</v>
      </c>
      <c r="N2034" s="1">
        <v>37330</v>
      </c>
      <c r="O2034" t="s">
        <v>1117</v>
      </c>
      <c r="P2034">
        <v>8</v>
      </c>
      <c r="Q2034" t="s">
        <v>2855</v>
      </c>
      <c r="R2034">
        <f t="shared" si="63"/>
        <v>11</v>
      </c>
      <c r="S2034">
        <f t="shared" si="64"/>
        <v>1</v>
      </c>
    </row>
    <row r="2035" spans="1:19" x14ac:dyDescent="0.25">
      <c r="A2035" t="s">
        <v>3160</v>
      </c>
      <c r="B2035" t="s">
        <v>4027</v>
      </c>
      <c r="C2035">
        <v>8</v>
      </c>
      <c r="D2035">
        <v>1250</v>
      </c>
      <c r="E2035">
        <v>6000</v>
      </c>
      <c r="F2035">
        <v>4</v>
      </c>
      <c r="G2035">
        <v>4</v>
      </c>
      <c r="H2035" t="s">
        <v>3027</v>
      </c>
      <c r="I2035" s="1">
        <v>37159</v>
      </c>
      <c r="J2035" s="1">
        <v>37321</v>
      </c>
      <c r="K2035" s="1">
        <v>37332</v>
      </c>
      <c r="L2035" s="1">
        <v>37332</v>
      </c>
      <c r="M2035" s="1">
        <v>37332</v>
      </c>
      <c r="N2035" s="1">
        <v>37332</v>
      </c>
      <c r="O2035" t="s">
        <v>1117</v>
      </c>
      <c r="P2035">
        <v>4</v>
      </c>
      <c r="Q2035" t="s">
        <v>2855</v>
      </c>
      <c r="R2035">
        <f t="shared" si="63"/>
        <v>12</v>
      </c>
      <c r="S2035">
        <f t="shared" si="64"/>
        <v>1</v>
      </c>
    </row>
    <row r="2036" spans="1:19" x14ac:dyDescent="0.25">
      <c r="A2036" t="s">
        <v>3161</v>
      </c>
      <c r="B2036" t="s">
        <v>1199</v>
      </c>
      <c r="C2036">
        <v>6</v>
      </c>
      <c r="D2036">
        <v>1250</v>
      </c>
      <c r="E2036">
        <v>5000</v>
      </c>
      <c r="F2036">
        <v>4</v>
      </c>
      <c r="G2036">
        <v>4</v>
      </c>
      <c r="H2036" t="s">
        <v>2661</v>
      </c>
      <c r="I2036" s="1">
        <v>37159</v>
      </c>
      <c r="J2036" s="1">
        <v>37321</v>
      </c>
      <c r="K2036" s="1">
        <v>37331</v>
      </c>
      <c r="L2036" s="1">
        <v>37331</v>
      </c>
      <c r="M2036" s="1">
        <v>37331</v>
      </c>
      <c r="N2036" s="1">
        <v>37331</v>
      </c>
      <c r="O2036" t="s">
        <v>1117</v>
      </c>
      <c r="P2036">
        <v>1</v>
      </c>
      <c r="Q2036" t="s">
        <v>2662</v>
      </c>
      <c r="R2036">
        <f t="shared" si="63"/>
        <v>11</v>
      </c>
      <c r="S2036">
        <f t="shared" si="64"/>
        <v>1</v>
      </c>
    </row>
    <row r="2037" spans="1:19" x14ac:dyDescent="0.25">
      <c r="A2037" t="s">
        <v>3162</v>
      </c>
      <c r="B2037" t="s">
        <v>1199</v>
      </c>
      <c r="C2037">
        <v>4</v>
      </c>
      <c r="D2037">
        <v>1250</v>
      </c>
      <c r="E2037">
        <v>2500</v>
      </c>
      <c r="F2037">
        <v>5</v>
      </c>
      <c r="G2037">
        <v>5</v>
      </c>
      <c r="H2037" t="s">
        <v>2661</v>
      </c>
      <c r="I2037" s="1">
        <v>37159</v>
      </c>
      <c r="J2037" s="1">
        <v>37325</v>
      </c>
      <c r="K2037" s="1">
        <v>37363</v>
      </c>
      <c r="L2037" s="1">
        <v>37363</v>
      </c>
      <c r="M2037" s="1">
        <v>37347</v>
      </c>
      <c r="N2037" s="1">
        <v>37351</v>
      </c>
      <c r="O2037" t="s">
        <v>1117</v>
      </c>
      <c r="P2037">
        <v>1</v>
      </c>
      <c r="Q2037" t="s">
        <v>2662</v>
      </c>
      <c r="R2037">
        <f t="shared" si="63"/>
        <v>14</v>
      </c>
      <c r="S2037">
        <f t="shared" si="64"/>
        <v>1</v>
      </c>
    </row>
    <row r="2038" spans="1:19" x14ac:dyDescent="0.25">
      <c r="A2038" t="s">
        <v>3163</v>
      </c>
      <c r="B2038" t="s">
        <v>4027</v>
      </c>
      <c r="C2038">
        <v>10</v>
      </c>
      <c r="D2038">
        <v>1250</v>
      </c>
      <c r="E2038">
        <v>6000</v>
      </c>
      <c r="F2038">
        <v>4</v>
      </c>
      <c r="G2038">
        <v>4</v>
      </c>
      <c r="H2038" t="s">
        <v>3027</v>
      </c>
      <c r="I2038" s="1">
        <v>37159</v>
      </c>
      <c r="J2038" s="1">
        <v>37325</v>
      </c>
      <c r="K2038" s="1">
        <v>37324</v>
      </c>
      <c r="L2038" s="1">
        <v>37325</v>
      </c>
      <c r="M2038" s="1">
        <v>37325</v>
      </c>
      <c r="N2038" s="1">
        <v>37325</v>
      </c>
      <c r="O2038" t="s">
        <v>1114</v>
      </c>
      <c r="P2038">
        <v>6</v>
      </c>
      <c r="Q2038" t="s">
        <v>2855</v>
      </c>
      <c r="R2038">
        <f t="shared" si="63"/>
        <v>11</v>
      </c>
      <c r="S2038">
        <f t="shared" si="64"/>
        <v>1</v>
      </c>
    </row>
    <row r="2039" spans="1:19" x14ac:dyDescent="0.25">
      <c r="A2039" t="s">
        <v>3164</v>
      </c>
      <c r="B2039" t="s">
        <v>4028</v>
      </c>
      <c r="C2039">
        <v>10</v>
      </c>
      <c r="D2039">
        <v>1250</v>
      </c>
      <c r="E2039">
        <v>5000</v>
      </c>
      <c r="F2039">
        <v>4</v>
      </c>
      <c r="G2039">
        <v>4</v>
      </c>
      <c r="H2039" t="s">
        <v>3027</v>
      </c>
      <c r="I2039" s="1">
        <v>37159</v>
      </c>
      <c r="J2039" s="1">
        <v>37321</v>
      </c>
      <c r="K2039" s="1">
        <v>37327</v>
      </c>
      <c r="L2039" s="1">
        <v>37327</v>
      </c>
      <c r="M2039" s="1">
        <v>37324</v>
      </c>
      <c r="N2039" s="1">
        <v>37324</v>
      </c>
      <c r="O2039" t="s">
        <v>1117</v>
      </c>
      <c r="P2039">
        <v>5</v>
      </c>
      <c r="Q2039" t="s">
        <v>2855</v>
      </c>
      <c r="R2039">
        <f t="shared" si="63"/>
        <v>10</v>
      </c>
      <c r="S2039">
        <f t="shared" si="64"/>
        <v>1</v>
      </c>
    </row>
    <row r="2040" spans="1:19" x14ac:dyDescent="0.25">
      <c r="A2040" t="s">
        <v>3165</v>
      </c>
      <c r="B2040" t="s">
        <v>1199</v>
      </c>
      <c r="C2040">
        <v>6</v>
      </c>
      <c r="D2040">
        <v>1250</v>
      </c>
      <c r="E2040">
        <v>5000</v>
      </c>
      <c r="F2040">
        <v>30</v>
      </c>
      <c r="G2040">
        <v>17.739999999999998</v>
      </c>
      <c r="H2040" t="s">
        <v>2661</v>
      </c>
      <c r="I2040" s="1">
        <v>37159</v>
      </c>
      <c r="J2040" s="1">
        <v>37325</v>
      </c>
      <c r="K2040" s="1">
        <v>37324</v>
      </c>
      <c r="L2040" s="1">
        <v>37325</v>
      </c>
      <c r="M2040" s="1">
        <v>37327</v>
      </c>
      <c r="N2040" s="1">
        <v>37351</v>
      </c>
      <c r="O2040" t="s">
        <v>1114</v>
      </c>
      <c r="P2040">
        <v>1</v>
      </c>
      <c r="Q2040" t="s">
        <v>2662</v>
      </c>
      <c r="R2040">
        <f t="shared" si="63"/>
        <v>14</v>
      </c>
      <c r="S2040">
        <f t="shared" si="64"/>
        <v>0</v>
      </c>
    </row>
    <row r="2041" spans="1:19" x14ac:dyDescent="0.25">
      <c r="A2041" t="s">
        <v>3166</v>
      </c>
      <c r="B2041" t="s">
        <v>1199</v>
      </c>
      <c r="C2041">
        <v>63</v>
      </c>
      <c r="D2041">
        <v>1250</v>
      </c>
      <c r="E2041">
        <v>5000</v>
      </c>
      <c r="F2041">
        <v>9.3000000000000007</v>
      </c>
      <c r="G2041">
        <v>9.3000000000000007</v>
      </c>
      <c r="H2041" t="s">
        <v>3027</v>
      </c>
      <c r="I2041" s="1">
        <v>37159</v>
      </c>
      <c r="J2041" s="1">
        <v>37314</v>
      </c>
      <c r="K2041" s="1">
        <v>37323</v>
      </c>
      <c r="L2041" s="1">
        <v>37323</v>
      </c>
      <c r="M2041" s="1">
        <v>37322</v>
      </c>
      <c r="N2041" s="1">
        <v>37322</v>
      </c>
      <c r="O2041" t="s">
        <v>1117</v>
      </c>
      <c r="P2041">
        <v>1</v>
      </c>
      <c r="Q2041" t="s">
        <v>2855</v>
      </c>
      <c r="R2041">
        <f t="shared" si="63"/>
        <v>10</v>
      </c>
      <c r="S2041">
        <f t="shared" si="64"/>
        <v>1</v>
      </c>
    </row>
    <row r="2042" spans="1:19" x14ac:dyDescent="0.25">
      <c r="A2042" t="s">
        <v>3167</v>
      </c>
      <c r="B2042" t="s">
        <v>1199</v>
      </c>
      <c r="C2042">
        <v>20</v>
      </c>
      <c r="D2042">
        <v>1000</v>
      </c>
      <c r="E2042">
        <v>2000</v>
      </c>
      <c r="F2042">
        <v>14.525</v>
      </c>
      <c r="G2042">
        <v>14.525</v>
      </c>
      <c r="H2042" t="s">
        <v>3027</v>
      </c>
      <c r="I2042" s="1">
        <v>37116</v>
      </c>
      <c r="J2042" s="1">
        <v>37314</v>
      </c>
      <c r="K2042" s="1">
        <v>37316</v>
      </c>
      <c r="L2042" s="1">
        <v>37316</v>
      </c>
      <c r="M2042" s="1">
        <v>37318</v>
      </c>
      <c r="N2042" s="1">
        <v>37318</v>
      </c>
      <c r="O2042" t="s">
        <v>1117</v>
      </c>
      <c r="P2042">
        <v>2</v>
      </c>
      <c r="Q2042" t="s">
        <v>2855</v>
      </c>
      <c r="R2042">
        <f t="shared" si="63"/>
        <v>10</v>
      </c>
      <c r="S2042">
        <f t="shared" si="64"/>
        <v>1</v>
      </c>
    </row>
    <row r="2043" spans="1:19" x14ac:dyDescent="0.25">
      <c r="A2043" t="s">
        <v>3168</v>
      </c>
      <c r="B2043" t="s">
        <v>1199</v>
      </c>
      <c r="C2043">
        <v>25</v>
      </c>
      <c r="D2043">
        <v>1000</v>
      </c>
      <c r="E2043">
        <v>2000</v>
      </c>
      <c r="F2043">
        <v>14.443</v>
      </c>
      <c r="G2043">
        <v>14.443</v>
      </c>
      <c r="H2043" t="s">
        <v>3027</v>
      </c>
      <c r="I2043" s="1">
        <v>37116</v>
      </c>
      <c r="J2043" s="1">
        <v>37314</v>
      </c>
      <c r="K2043" s="1">
        <v>37321</v>
      </c>
      <c r="L2043" s="1">
        <v>37321</v>
      </c>
      <c r="M2043" s="1">
        <v>37318</v>
      </c>
      <c r="N2043" s="1">
        <v>37318</v>
      </c>
      <c r="O2043" t="s">
        <v>1117</v>
      </c>
      <c r="P2043">
        <v>3</v>
      </c>
      <c r="Q2043" t="s">
        <v>2855</v>
      </c>
      <c r="R2043">
        <f t="shared" si="63"/>
        <v>10</v>
      </c>
      <c r="S2043">
        <f t="shared" si="64"/>
        <v>1</v>
      </c>
    </row>
    <row r="2044" spans="1:19" x14ac:dyDescent="0.25">
      <c r="A2044" t="s">
        <v>3169</v>
      </c>
      <c r="B2044" t="s">
        <v>1199</v>
      </c>
      <c r="C2044">
        <v>5</v>
      </c>
      <c r="D2044">
        <v>1250</v>
      </c>
      <c r="E2044">
        <v>2500</v>
      </c>
      <c r="F2044">
        <v>20</v>
      </c>
      <c r="G2044">
        <v>20</v>
      </c>
      <c r="H2044" t="s">
        <v>2661</v>
      </c>
      <c r="I2044" s="1">
        <v>37159</v>
      </c>
      <c r="J2044" s="1">
        <v>37325</v>
      </c>
      <c r="K2044" s="1">
        <v>37325</v>
      </c>
      <c r="L2044" s="1">
        <v>37325</v>
      </c>
      <c r="M2044" s="1">
        <v>37328</v>
      </c>
      <c r="N2044" s="1">
        <v>37352</v>
      </c>
      <c r="O2044" t="s">
        <v>1114</v>
      </c>
      <c r="P2044">
        <v>8</v>
      </c>
      <c r="Q2044" t="s">
        <v>2662</v>
      </c>
      <c r="R2044">
        <f t="shared" si="63"/>
        <v>14</v>
      </c>
      <c r="S2044">
        <f t="shared" si="64"/>
        <v>1</v>
      </c>
    </row>
    <row r="2045" spans="1:19" x14ac:dyDescent="0.25">
      <c r="A2045" t="s">
        <v>3170</v>
      </c>
      <c r="B2045" t="s">
        <v>1199</v>
      </c>
      <c r="C2045">
        <v>10</v>
      </c>
      <c r="D2045">
        <v>1250</v>
      </c>
      <c r="E2045">
        <v>2500</v>
      </c>
      <c r="F2045">
        <v>7.226</v>
      </c>
      <c r="G2045">
        <v>7.226</v>
      </c>
      <c r="H2045" t="s">
        <v>3027</v>
      </c>
      <c r="I2045" s="1">
        <v>37258</v>
      </c>
      <c r="J2045" s="1">
        <v>37317</v>
      </c>
      <c r="K2045" t="s">
        <v>1124</v>
      </c>
      <c r="L2045" t="s">
        <v>1124</v>
      </c>
      <c r="M2045" s="1">
        <v>37333</v>
      </c>
      <c r="N2045" s="1">
        <v>37334</v>
      </c>
      <c r="O2045" t="s">
        <v>1117</v>
      </c>
      <c r="P2045">
        <v>1</v>
      </c>
      <c r="Q2045" t="s">
        <v>2855</v>
      </c>
      <c r="R2045">
        <f t="shared" si="63"/>
        <v>12</v>
      </c>
      <c r="S2045">
        <f t="shared" si="64"/>
        <v>1</v>
      </c>
    </row>
    <row r="2046" spans="1:19" x14ac:dyDescent="0.25">
      <c r="A2046" t="s">
        <v>3171</v>
      </c>
      <c r="B2046" t="s">
        <v>1199</v>
      </c>
      <c r="C2046">
        <v>6</v>
      </c>
      <c r="D2046">
        <v>1250</v>
      </c>
      <c r="E2046">
        <v>6000</v>
      </c>
      <c r="F2046">
        <v>35</v>
      </c>
      <c r="G2046">
        <v>35</v>
      </c>
      <c r="H2046" t="s">
        <v>2661</v>
      </c>
      <c r="I2046" s="1">
        <v>37159</v>
      </c>
      <c r="J2046" s="1">
        <v>37325</v>
      </c>
      <c r="K2046" s="1">
        <v>37324</v>
      </c>
      <c r="L2046" s="1">
        <v>37325</v>
      </c>
      <c r="M2046" s="1">
        <v>37328</v>
      </c>
      <c r="N2046" s="1">
        <v>37351</v>
      </c>
      <c r="O2046" t="s">
        <v>1114</v>
      </c>
      <c r="P2046">
        <v>3</v>
      </c>
      <c r="Q2046" t="s">
        <v>2662</v>
      </c>
      <c r="R2046">
        <f t="shared" si="63"/>
        <v>14</v>
      </c>
      <c r="S2046">
        <f t="shared" si="64"/>
        <v>1</v>
      </c>
    </row>
    <row r="2047" spans="1:19" x14ac:dyDescent="0.25">
      <c r="A2047" t="s">
        <v>3172</v>
      </c>
      <c r="B2047" t="s">
        <v>4028</v>
      </c>
      <c r="C2047">
        <v>5</v>
      </c>
      <c r="D2047">
        <v>1250</v>
      </c>
      <c r="E2047">
        <v>6000</v>
      </c>
      <c r="F2047">
        <v>25</v>
      </c>
      <c r="G2047">
        <v>25</v>
      </c>
      <c r="H2047" t="s">
        <v>2661</v>
      </c>
      <c r="I2047" s="1">
        <v>37159</v>
      </c>
      <c r="J2047" s="1">
        <v>37325</v>
      </c>
      <c r="K2047" s="1">
        <v>37347</v>
      </c>
      <c r="L2047" s="1">
        <v>37347</v>
      </c>
      <c r="M2047" s="1">
        <v>37347</v>
      </c>
      <c r="N2047" s="1">
        <v>37352</v>
      </c>
      <c r="O2047" t="s">
        <v>1117</v>
      </c>
      <c r="P2047">
        <v>2</v>
      </c>
      <c r="Q2047" t="s">
        <v>2662</v>
      </c>
      <c r="R2047">
        <f t="shared" si="63"/>
        <v>14</v>
      </c>
      <c r="S2047">
        <f t="shared" si="64"/>
        <v>1</v>
      </c>
    </row>
    <row r="2048" spans="1:19" x14ac:dyDescent="0.25">
      <c r="A2048" t="s">
        <v>3173</v>
      </c>
      <c r="B2048" t="s">
        <v>1199</v>
      </c>
      <c r="C2048">
        <v>4</v>
      </c>
      <c r="D2048">
        <v>1250</v>
      </c>
      <c r="E2048">
        <v>2500</v>
      </c>
      <c r="F2048">
        <v>20</v>
      </c>
      <c r="G2048">
        <v>20</v>
      </c>
      <c r="H2048" t="s">
        <v>2661</v>
      </c>
      <c r="I2048" s="1">
        <v>37159</v>
      </c>
      <c r="J2048" s="1">
        <v>37325</v>
      </c>
      <c r="K2048" s="1">
        <v>37325</v>
      </c>
      <c r="L2048" s="1">
        <v>37325</v>
      </c>
      <c r="M2048" s="1">
        <v>37327</v>
      </c>
      <c r="N2048" s="1">
        <v>37351</v>
      </c>
      <c r="O2048" t="s">
        <v>1114</v>
      </c>
      <c r="P2048">
        <v>7</v>
      </c>
      <c r="Q2048" t="s">
        <v>2662</v>
      </c>
      <c r="R2048">
        <f t="shared" si="63"/>
        <v>14</v>
      </c>
      <c r="S2048">
        <f t="shared" si="64"/>
        <v>1</v>
      </c>
    </row>
    <row r="2049" spans="1:19" x14ac:dyDescent="0.25">
      <c r="A2049" t="s">
        <v>3174</v>
      </c>
      <c r="B2049" t="s">
        <v>1199</v>
      </c>
      <c r="C2049">
        <v>4</v>
      </c>
      <c r="D2049">
        <v>1250</v>
      </c>
      <c r="E2049">
        <v>2500</v>
      </c>
      <c r="F2049">
        <v>5</v>
      </c>
      <c r="G2049">
        <v>5</v>
      </c>
      <c r="H2049" t="s">
        <v>2661</v>
      </c>
      <c r="I2049" s="1">
        <v>37159</v>
      </c>
      <c r="J2049" s="1">
        <v>37325</v>
      </c>
      <c r="K2049" s="1">
        <v>37363</v>
      </c>
      <c r="L2049" s="1">
        <v>37363</v>
      </c>
      <c r="M2049" s="1">
        <v>37347</v>
      </c>
      <c r="N2049" s="1">
        <v>37351</v>
      </c>
      <c r="O2049" t="s">
        <v>1117</v>
      </c>
      <c r="P2049">
        <v>5</v>
      </c>
      <c r="Q2049" t="s">
        <v>2662</v>
      </c>
      <c r="R2049">
        <f t="shared" si="63"/>
        <v>14</v>
      </c>
      <c r="S2049">
        <f t="shared" si="64"/>
        <v>1</v>
      </c>
    </row>
    <row r="2050" spans="1:19" x14ac:dyDescent="0.25">
      <c r="A2050" t="s">
        <v>3175</v>
      </c>
      <c r="B2050" t="s">
        <v>1199</v>
      </c>
      <c r="C2050">
        <v>6</v>
      </c>
      <c r="D2050">
        <v>1250</v>
      </c>
      <c r="E2050">
        <v>2500</v>
      </c>
      <c r="F2050">
        <v>10</v>
      </c>
      <c r="G2050">
        <v>10</v>
      </c>
      <c r="H2050" t="s">
        <v>2661</v>
      </c>
      <c r="I2050" s="1">
        <v>37159</v>
      </c>
      <c r="J2050" s="1">
        <v>37325</v>
      </c>
      <c r="K2050" s="1">
        <v>37353</v>
      </c>
      <c r="L2050" s="1">
        <v>37353</v>
      </c>
      <c r="M2050" s="1">
        <v>37351</v>
      </c>
      <c r="N2050" s="1">
        <v>37351</v>
      </c>
      <c r="O2050" t="s">
        <v>1117</v>
      </c>
      <c r="P2050">
        <v>9</v>
      </c>
      <c r="Q2050" t="s">
        <v>2662</v>
      </c>
      <c r="R2050">
        <f t="shared" si="63"/>
        <v>14</v>
      </c>
      <c r="S2050">
        <f t="shared" si="64"/>
        <v>1</v>
      </c>
    </row>
    <row r="2051" spans="1:19" x14ac:dyDescent="0.25">
      <c r="A2051" t="s">
        <v>3176</v>
      </c>
      <c r="B2051" t="s">
        <v>4028</v>
      </c>
      <c r="C2051">
        <v>3</v>
      </c>
      <c r="D2051">
        <v>1250</v>
      </c>
      <c r="E2051">
        <v>2500</v>
      </c>
      <c r="F2051">
        <v>21</v>
      </c>
      <c r="G2051">
        <v>21</v>
      </c>
      <c r="H2051" t="s">
        <v>2661</v>
      </c>
      <c r="I2051" s="1">
        <v>37159</v>
      </c>
      <c r="J2051" s="1">
        <v>37325</v>
      </c>
      <c r="K2051" s="1">
        <v>37335</v>
      </c>
      <c r="L2051" s="1">
        <v>37335</v>
      </c>
      <c r="M2051" s="1">
        <v>37340</v>
      </c>
      <c r="N2051" s="1">
        <v>37359</v>
      </c>
      <c r="O2051" t="s">
        <v>1117</v>
      </c>
      <c r="P2051">
        <v>4</v>
      </c>
      <c r="Q2051" t="s">
        <v>2662</v>
      </c>
      <c r="R2051">
        <f t="shared" ref="R2051:R2114" si="65">WEEKNUM(N2051,1)</f>
        <v>15</v>
      </c>
      <c r="S2051">
        <f t="shared" ref="S2051:S2114" si="66">IF(AND(F2051=G2051, M2051&lt;=N2051), 1,0)</f>
        <v>1</v>
      </c>
    </row>
    <row r="2052" spans="1:19" x14ac:dyDescent="0.25">
      <c r="A2052" t="s">
        <v>3177</v>
      </c>
      <c r="B2052" t="s">
        <v>4026</v>
      </c>
      <c r="C2052">
        <v>10</v>
      </c>
      <c r="D2052">
        <v>1250</v>
      </c>
      <c r="E2052">
        <v>2500</v>
      </c>
      <c r="F2052">
        <v>7.226</v>
      </c>
      <c r="G2052">
        <v>7.226</v>
      </c>
      <c r="H2052" t="s">
        <v>3027</v>
      </c>
      <c r="I2052" s="1">
        <v>37257</v>
      </c>
      <c r="J2052" s="1">
        <v>37319</v>
      </c>
      <c r="K2052" s="1">
        <v>37333</v>
      </c>
      <c r="L2052" s="1">
        <v>37333</v>
      </c>
      <c r="M2052" s="1">
        <v>37333</v>
      </c>
      <c r="N2052" s="1">
        <v>37334</v>
      </c>
      <c r="O2052" t="s">
        <v>1117</v>
      </c>
      <c r="P2052">
        <v>1</v>
      </c>
      <c r="Q2052" t="s">
        <v>2855</v>
      </c>
      <c r="R2052">
        <f t="shared" si="65"/>
        <v>12</v>
      </c>
      <c r="S2052">
        <f t="shared" si="66"/>
        <v>1</v>
      </c>
    </row>
    <row r="2053" spans="1:19" x14ac:dyDescent="0.25">
      <c r="A2053" t="s">
        <v>3178</v>
      </c>
      <c r="B2053" t="s">
        <v>1199</v>
      </c>
      <c r="C2053">
        <v>6</v>
      </c>
      <c r="D2053">
        <v>1250</v>
      </c>
      <c r="E2053">
        <v>2500</v>
      </c>
      <c r="F2053">
        <v>10</v>
      </c>
      <c r="G2053">
        <v>10</v>
      </c>
      <c r="H2053" t="s">
        <v>2661</v>
      </c>
      <c r="I2053" s="1">
        <v>37159</v>
      </c>
      <c r="J2053" s="1">
        <v>37325</v>
      </c>
      <c r="K2053" s="1">
        <v>37353</v>
      </c>
      <c r="L2053" s="1">
        <v>37353</v>
      </c>
      <c r="M2053" s="1">
        <v>37351</v>
      </c>
      <c r="N2053" s="1">
        <v>37351</v>
      </c>
      <c r="O2053" t="s">
        <v>1117</v>
      </c>
      <c r="P2053">
        <v>1</v>
      </c>
      <c r="Q2053" t="s">
        <v>2662</v>
      </c>
      <c r="R2053">
        <f t="shared" si="65"/>
        <v>14</v>
      </c>
      <c r="S2053">
        <f t="shared" si="66"/>
        <v>1</v>
      </c>
    </row>
    <row r="2054" spans="1:19" x14ac:dyDescent="0.25">
      <c r="A2054" t="s">
        <v>3179</v>
      </c>
      <c r="B2054" t="s">
        <v>1199</v>
      </c>
      <c r="C2054">
        <v>3</v>
      </c>
      <c r="D2054">
        <v>1250</v>
      </c>
      <c r="E2054">
        <v>5000</v>
      </c>
      <c r="F2054">
        <v>5</v>
      </c>
      <c r="G2054">
        <v>5</v>
      </c>
      <c r="H2054" t="s">
        <v>2661</v>
      </c>
      <c r="I2054" s="1">
        <v>37159</v>
      </c>
      <c r="J2054" s="1">
        <v>37325</v>
      </c>
      <c r="K2054" s="1">
        <v>37375</v>
      </c>
      <c r="L2054" s="1">
        <v>37375</v>
      </c>
      <c r="M2054" s="1">
        <v>37359</v>
      </c>
      <c r="N2054" s="1">
        <v>37359</v>
      </c>
      <c r="O2054" t="s">
        <v>1117</v>
      </c>
      <c r="P2054">
        <v>3</v>
      </c>
      <c r="Q2054" t="s">
        <v>2662</v>
      </c>
      <c r="R2054">
        <f t="shared" si="65"/>
        <v>15</v>
      </c>
      <c r="S2054">
        <f t="shared" si="66"/>
        <v>1</v>
      </c>
    </row>
    <row r="2055" spans="1:19" x14ac:dyDescent="0.25">
      <c r="A2055" t="s">
        <v>3180</v>
      </c>
      <c r="B2055" t="s">
        <v>4026</v>
      </c>
      <c r="C2055">
        <v>6</v>
      </c>
      <c r="D2055">
        <v>1250</v>
      </c>
      <c r="E2055">
        <v>2500</v>
      </c>
      <c r="F2055">
        <v>7</v>
      </c>
      <c r="G2055">
        <v>7</v>
      </c>
      <c r="H2055" t="s">
        <v>2661</v>
      </c>
      <c r="I2055" s="1">
        <v>37159</v>
      </c>
      <c r="J2055" s="1">
        <v>37325</v>
      </c>
      <c r="K2055" s="1">
        <v>37353</v>
      </c>
      <c r="L2055" s="1">
        <v>37353</v>
      </c>
      <c r="M2055" s="1">
        <v>37351</v>
      </c>
      <c r="N2055" s="1">
        <v>37351</v>
      </c>
      <c r="O2055" t="s">
        <v>1117</v>
      </c>
      <c r="P2055">
        <v>7</v>
      </c>
      <c r="Q2055" t="s">
        <v>2662</v>
      </c>
      <c r="R2055">
        <f t="shared" si="65"/>
        <v>14</v>
      </c>
      <c r="S2055">
        <f t="shared" si="66"/>
        <v>1</v>
      </c>
    </row>
    <row r="2056" spans="1:19" x14ac:dyDescent="0.25">
      <c r="A2056" t="s">
        <v>3181</v>
      </c>
      <c r="B2056" t="s">
        <v>1199</v>
      </c>
      <c r="C2056">
        <v>4</v>
      </c>
      <c r="D2056">
        <v>1250</v>
      </c>
      <c r="E2056">
        <v>2500</v>
      </c>
      <c r="F2056">
        <v>10</v>
      </c>
      <c r="G2056">
        <v>10</v>
      </c>
      <c r="H2056" t="s">
        <v>2661</v>
      </c>
      <c r="I2056" s="1">
        <v>37159</v>
      </c>
      <c r="J2056" s="1">
        <v>37325</v>
      </c>
      <c r="K2056" s="1">
        <v>37363</v>
      </c>
      <c r="L2056" s="1">
        <v>37363</v>
      </c>
      <c r="M2056" s="1">
        <v>37351</v>
      </c>
      <c r="N2056" s="1">
        <v>37351</v>
      </c>
      <c r="O2056" t="s">
        <v>1117</v>
      </c>
      <c r="P2056">
        <v>5</v>
      </c>
      <c r="Q2056" t="s">
        <v>2662</v>
      </c>
      <c r="R2056">
        <f t="shared" si="65"/>
        <v>14</v>
      </c>
      <c r="S2056">
        <f t="shared" si="66"/>
        <v>1</v>
      </c>
    </row>
    <row r="2057" spans="1:19" x14ac:dyDescent="0.25">
      <c r="A2057" t="s">
        <v>3182</v>
      </c>
      <c r="B2057" t="s">
        <v>4026</v>
      </c>
      <c r="C2057">
        <v>6</v>
      </c>
      <c r="D2057">
        <v>1250</v>
      </c>
      <c r="E2057">
        <v>5000</v>
      </c>
      <c r="F2057">
        <v>5</v>
      </c>
      <c r="G2057">
        <v>5</v>
      </c>
      <c r="H2057" t="s">
        <v>2661</v>
      </c>
      <c r="I2057" s="1">
        <v>37159</v>
      </c>
      <c r="J2057" s="1">
        <v>37325</v>
      </c>
      <c r="K2057" s="1">
        <v>37353</v>
      </c>
      <c r="L2057" s="1">
        <v>37353</v>
      </c>
      <c r="M2057" s="1">
        <v>37351</v>
      </c>
      <c r="N2057" s="1">
        <v>37351</v>
      </c>
      <c r="O2057" t="s">
        <v>1117</v>
      </c>
      <c r="P2057">
        <v>1</v>
      </c>
      <c r="Q2057" t="s">
        <v>2662</v>
      </c>
      <c r="R2057">
        <f t="shared" si="65"/>
        <v>14</v>
      </c>
      <c r="S2057">
        <f t="shared" si="66"/>
        <v>1</v>
      </c>
    </row>
    <row r="2058" spans="1:19" x14ac:dyDescent="0.25">
      <c r="A2058" t="s">
        <v>3183</v>
      </c>
      <c r="B2058" t="s">
        <v>1199</v>
      </c>
      <c r="C2058">
        <v>8</v>
      </c>
      <c r="D2058">
        <v>1250</v>
      </c>
      <c r="E2058">
        <v>5000</v>
      </c>
      <c r="F2058">
        <v>14</v>
      </c>
      <c r="G2058">
        <v>14</v>
      </c>
      <c r="H2058" t="s">
        <v>3027</v>
      </c>
      <c r="I2058" s="1">
        <v>37110</v>
      </c>
      <c r="J2058" s="1">
        <v>37324</v>
      </c>
      <c r="K2058" s="1">
        <v>37332</v>
      </c>
      <c r="L2058" s="1">
        <v>37332</v>
      </c>
      <c r="M2058" s="1">
        <v>37332</v>
      </c>
      <c r="N2058" s="1">
        <v>37365</v>
      </c>
      <c r="O2058" t="s">
        <v>1117</v>
      </c>
      <c r="P2058">
        <v>1</v>
      </c>
      <c r="Q2058" t="s">
        <v>2855</v>
      </c>
      <c r="R2058">
        <f t="shared" si="65"/>
        <v>16</v>
      </c>
      <c r="S2058">
        <f t="shared" si="66"/>
        <v>1</v>
      </c>
    </row>
    <row r="2059" spans="1:19" x14ac:dyDescent="0.25">
      <c r="A2059" t="s">
        <v>3184</v>
      </c>
      <c r="B2059" t="s">
        <v>4028</v>
      </c>
      <c r="C2059">
        <v>4</v>
      </c>
      <c r="D2059">
        <v>1250</v>
      </c>
      <c r="E2059">
        <v>2500</v>
      </c>
      <c r="F2059">
        <v>23</v>
      </c>
      <c r="G2059">
        <v>23</v>
      </c>
      <c r="H2059" t="s">
        <v>2661</v>
      </c>
      <c r="I2059" s="1">
        <v>37126</v>
      </c>
      <c r="J2059" s="1">
        <v>37319</v>
      </c>
      <c r="K2059" s="1">
        <v>37319</v>
      </c>
      <c r="L2059" s="1">
        <v>37319</v>
      </c>
      <c r="M2059" s="1">
        <v>37323</v>
      </c>
      <c r="N2059" s="1">
        <v>37351</v>
      </c>
      <c r="O2059" t="s">
        <v>1114</v>
      </c>
      <c r="P2059">
        <v>7</v>
      </c>
      <c r="Q2059" t="s">
        <v>2662</v>
      </c>
      <c r="R2059">
        <f t="shared" si="65"/>
        <v>14</v>
      </c>
      <c r="S2059">
        <f t="shared" si="66"/>
        <v>1</v>
      </c>
    </row>
    <row r="2060" spans="1:19" x14ac:dyDescent="0.25">
      <c r="A2060" t="s">
        <v>3185</v>
      </c>
      <c r="B2060" t="s">
        <v>4028</v>
      </c>
      <c r="C2060">
        <v>8</v>
      </c>
      <c r="D2060">
        <v>1250</v>
      </c>
      <c r="E2060">
        <v>5000</v>
      </c>
      <c r="F2060">
        <v>5</v>
      </c>
      <c r="G2060">
        <v>5</v>
      </c>
      <c r="H2060" t="s">
        <v>3027</v>
      </c>
      <c r="I2060" s="1">
        <v>37257</v>
      </c>
      <c r="J2060" s="1">
        <v>37317</v>
      </c>
      <c r="K2060" t="s">
        <v>1124</v>
      </c>
      <c r="L2060" t="s">
        <v>1124</v>
      </c>
      <c r="M2060" s="1">
        <v>37347</v>
      </c>
      <c r="N2060" s="1">
        <v>37365</v>
      </c>
      <c r="O2060" t="s">
        <v>1117</v>
      </c>
      <c r="P2060">
        <v>4</v>
      </c>
      <c r="Q2060" t="s">
        <v>2855</v>
      </c>
      <c r="R2060">
        <f t="shared" si="65"/>
        <v>16</v>
      </c>
      <c r="S2060">
        <f t="shared" si="66"/>
        <v>1</v>
      </c>
    </row>
    <row r="2061" spans="1:19" x14ac:dyDescent="0.25">
      <c r="A2061" t="s">
        <v>3186</v>
      </c>
      <c r="B2061" t="s">
        <v>4027</v>
      </c>
      <c r="C2061">
        <v>5</v>
      </c>
      <c r="D2061">
        <v>1250</v>
      </c>
      <c r="E2061">
        <v>2500</v>
      </c>
      <c r="F2061">
        <v>5</v>
      </c>
      <c r="G2061">
        <v>5</v>
      </c>
      <c r="H2061" t="s">
        <v>2661</v>
      </c>
      <c r="I2061" s="1">
        <v>37110</v>
      </c>
      <c r="J2061" s="1">
        <v>37324</v>
      </c>
      <c r="K2061" s="1">
        <v>37352</v>
      </c>
      <c r="L2061" s="1">
        <v>37352</v>
      </c>
      <c r="M2061" s="1">
        <v>37352</v>
      </c>
      <c r="N2061" s="1">
        <v>37352</v>
      </c>
      <c r="O2061" t="s">
        <v>1117</v>
      </c>
      <c r="P2061">
        <v>8</v>
      </c>
      <c r="Q2061" t="s">
        <v>2662</v>
      </c>
      <c r="R2061">
        <f t="shared" si="65"/>
        <v>14</v>
      </c>
      <c r="S2061">
        <f t="shared" si="66"/>
        <v>1</v>
      </c>
    </row>
    <row r="2062" spans="1:19" x14ac:dyDescent="0.25">
      <c r="A2062" t="s">
        <v>3187</v>
      </c>
      <c r="B2062" t="s">
        <v>4028</v>
      </c>
      <c r="C2062">
        <v>12</v>
      </c>
      <c r="D2062">
        <v>1250</v>
      </c>
      <c r="E2062">
        <v>6000</v>
      </c>
      <c r="F2062">
        <v>5</v>
      </c>
      <c r="G2062">
        <v>4.2530000000000001</v>
      </c>
      <c r="H2062" t="s">
        <v>3027</v>
      </c>
      <c r="I2062" s="1">
        <v>37159</v>
      </c>
      <c r="J2062" s="1">
        <v>37319</v>
      </c>
      <c r="K2062" t="s">
        <v>1124</v>
      </c>
      <c r="L2062" t="s">
        <v>1124</v>
      </c>
      <c r="M2062" s="1">
        <v>37337</v>
      </c>
      <c r="N2062" s="1">
        <v>37347</v>
      </c>
      <c r="O2062" t="s">
        <v>1117</v>
      </c>
      <c r="P2062">
        <v>4</v>
      </c>
      <c r="Q2062" t="s">
        <v>2855</v>
      </c>
      <c r="R2062">
        <f t="shared" si="65"/>
        <v>14</v>
      </c>
      <c r="S2062">
        <f t="shared" si="66"/>
        <v>0</v>
      </c>
    </row>
    <row r="2063" spans="1:19" x14ac:dyDescent="0.25">
      <c r="A2063" t="s">
        <v>3188</v>
      </c>
      <c r="B2063" t="s">
        <v>4028</v>
      </c>
      <c r="C2063">
        <v>4</v>
      </c>
      <c r="D2063">
        <v>1095</v>
      </c>
      <c r="E2063">
        <v>4970</v>
      </c>
      <c r="F2063">
        <v>67</v>
      </c>
      <c r="G2063">
        <v>67</v>
      </c>
      <c r="H2063" t="s">
        <v>2661</v>
      </c>
      <c r="I2063" s="1">
        <v>37159</v>
      </c>
      <c r="J2063" s="1">
        <v>37337</v>
      </c>
      <c r="K2063" s="1">
        <v>37338</v>
      </c>
      <c r="L2063" s="1">
        <v>37338</v>
      </c>
      <c r="M2063" s="1">
        <v>37338</v>
      </c>
      <c r="N2063" s="1">
        <v>37338</v>
      </c>
      <c r="O2063" t="s">
        <v>1117</v>
      </c>
      <c r="P2063">
        <v>12</v>
      </c>
      <c r="Q2063" t="s">
        <v>2662</v>
      </c>
      <c r="R2063">
        <f t="shared" si="65"/>
        <v>12</v>
      </c>
      <c r="S2063">
        <f t="shared" si="66"/>
        <v>1</v>
      </c>
    </row>
    <row r="2064" spans="1:19" x14ac:dyDescent="0.25">
      <c r="A2064" t="s">
        <v>3189</v>
      </c>
      <c r="B2064" t="s">
        <v>4028</v>
      </c>
      <c r="C2064">
        <v>8</v>
      </c>
      <c r="D2064">
        <v>1250</v>
      </c>
      <c r="E2064">
        <v>4890</v>
      </c>
      <c r="F2064">
        <v>150</v>
      </c>
      <c r="G2064">
        <v>150</v>
      </c>
      <c r="H2064" t="s">
        <v>3027</v>
      </c>
      <c r="I2064" s="1">
        <v>37343</v>
      </c>
      <c r="J2064" s="1">
        <v>37379</v>
      </c>
      <c r="K2064" s="1">
        <v>37379</v>
      </c>
      <c r="L2064" s="1">
        <v>37379</v>
      </c>
      <c r="M2064" t="s">
        <v>1124</v>
      </c>
      <c r="N2064" s="1">
        <v>37369</v>
      </c>
      <c r="O2064" t="s">
        <v>1114</v>
      </c>
      <c r="P2064">
        <v>1</v>
      </c>
      <c r="Q2064" t="s">
        <v>2855</v>
      </c>
      <c r="R2064">
        <f t="shared" si="65"/>
        <v>17</v>
      </c>
      <c r="S2064">
        <f t="shared" si="66"/>
        <v>0</v>
      </c>
    </row>
    <row r="2065" spans="1:19" x14ac:dyDescent="0.25">
      <c r="A2065" t="s">
        <v>3190</v>
      </c>
      <c r="B2065" t="s">
        <v>4027</v>
      </c>
      <c r="C2065">
        <v>6</v>
      </c>
      <c r="D2065">
        <v>1150</v>
      </c>
      <c r="E2065">
        <v>6450</v>
      </c>
      <c r="F2065">
        <v>11</v>
      </c>
      <c r="G2065">
        <v>11</v>
      </c>
      <c r="H2065" t="s">
        <v>2661</v>
      </c>
      <c r="I2065" s="1">
        <v>37105</v>
      </c>
      <c r="J2065" s="1">
        <v>37337</v>
      </c>
      <c r="K2065" s="1">
        <v>37351</v>
      </c>
      <c r="L2065" s="1">
        <v>37351</v>
      </c>
      <c r="M2065" s="1">
        <v>37351</v>
      </c>
      <c r="N2065" s="1">
        <v>37351</v>
      </c>
      <c r="O2065" t="s">
        <v>1117</v>
      </c>
      <c r="P2065">
        <v>15</v>
      </c>
      <c r="Q2065" t="s">
        <v>2662</v>
      </c>
      <c r="R2065">
        <f t="shared" si="65"/>
        <v>14</v>
      </c>
      <c r="S2065">
        <f t="shared" si="66"/>
        <v>1</v>
      </c>
    </row>
    <row r="2066" spans="1:19" x14ac:dyDescent="0.25">
      <c r="A2066" t="s">
        <v>3191</v>
      </c>
      <c r="B2066" t="s">
        <v>1199</v>
      </c>
      <c r="C2066">
        <v>4</v>
      </c>
      <c r="D2066">
        <v>1095</v>
      </c>
      <c r="E2066">
        <v>4970</v>
      </c>
      <c r="F2066">
        <v>67</v>
      </c>
      <c r="G2066">
        <v>20.609000000000002</v>
      </c>
      <c r="H2066" t="s">
        <v>2661</v>
      </c>
      <c r="I2066" s="1">
        <v>37159</v>
      </c>
      <c r="J2066" s="1">
        <v>37325</v>
      </c>
      <c r="K2066" s="1">
        <v>37327</v>
      </c>
      <c r="L2066" s="1">
        <v>37327</v>
      </c>
      <c r="M2066" s="1">
        <v>37332</v>
      </c>
      <c r="N2066" s="1">
        <v>37338</v>
      </c>
      <c r="O2066" t="s">
        <v>1117</v>
      </c>
      <c r="P2066">
        <v>12</v>
      </c>
      <c r="Q2066" t="s">
        <v>2662</v>
      </c>
      <c r="R2066">
        <f t="shared" si="65"/>
        <v>12</v>
      </c>
      <c r="S2066">
        <f t="shared" si="66"/>
        <v>0</v>
      </c>
    </row>
    <row r="2067" spans="1:19" x14ac:dyDescent="0.25">
      <c r="A2067" t="s">
        <v>3192</v>
      </c>
      <c r="B2067" t="s">
        <v>4026</v>
      </c>
      <c r="C2067">
        <v>4</v>
      </c>
      <c r="D2067">
        <v>1150</v>
      </c>
      <c r="E2067">
        <v>2150</v>
      </c>
      <c r="F2067">
        <v>11</v>
      </c>
      <c r="G2067">
        <v>6.657</v>
      </c>
      <c r="H2067" t="s">
        <v>2661</v>
      </c>
      <c r="I2067" s="1">
        <v>37105</v>
      </c>
      <c r="J2067" s="1">
        <v>37325</v>
      </c>
      <c r="K2067" t="s">
        <v>1124</v>
      </c>
      <c r="L2067" t="s">
        <v>1124</v>
      </c>
      <c r="M2067" s="1">
        <v>37352</v>
      </c>
      <c r="N2067" s="1">
        <v>37352</v>
      </c>
      <c r="O2067" t="s">
        <v>1117</v>
      </c>
      <c r="P2067">
        <v>6</v>
      </c>
      <c r="Q2067" t="s">
        <v>2662</v>
      </c>
      <c r="R2067">
        <f t="shared" si="65"/>
        <v>14</v>
      </c>
      <c r="S2067">
        <f t="shared" si="66"/>
        <v>0</v>
      </c>
    </row>
    <row r="2068" spans="1:19" x14ac:dyDescent="0.25">
      <c r="A2068" t="s">
        <v>3193</v>
      </c>
      <c r="B2068" t="s">
        <v>1199</v>
      </c>
      <c r="C2068">
        <v>5</v>
      </c>
      <c r="D2068">
        <v>1150</v>
      </c>
      <c r="E2068">
        <v>2940</v>
      </c>
      <c r="F2068">
        <v>27</v>
      </c>
      <c r="G2068">
        <v>27</v>
      </c>
      <c r="H2068" t="s">
        <v>2661</v>
      </c>
      <c r="I2068" s="1">
        <v>37133</v>
      </c>
      <c r="J2068" s="1">
        <v>37337</v>
      </c>
      <c r="K2068" s="1">
        <v>37340</v>
      </c>
      <c r="L2068" s="1">
        <v>37340</v>
      </c>
      <c r="M2068" s="1">
        <v>37347</v>
      </c>
      <c r="N2068" s="1">
        <v>37347</v>
      </c>
      <c r="O2068" t="s">
        <v>1117</v>
      </c>
      <c r="P2068">
        <v>11</v>
      </c>
      <c r="Q2068" t="s">
        <v>2662</v>
      </c>
      <c r="R2068">
        <f t="shared" si="65"/>
        <v>14</v>
      </c>
      <c r="S2068">
        <f t="shared" si="66"/>
        <v>1</v>
      </c>
    </row>
    <row r="2069" spans="1:19" x14ac:dyDescent="0.25">
      <c r="A2069" t="s">
        <v>3194</v>
      </c>
      <c r="B2069" t="s">
        <v>1199</v>
      </c>
      <c r="C2069">
        <v>22</v>
      </c>
      <c r="D2069">
        <v>1250</v>
      </c>
      <c r="E2069">
        <v>6400</v>
      </c>
      <c r="F2069">
        <v>2.2000000000000002</v>
      </c>
      <c r="G2069">
        <v>2.2000000000000002</v>
      </c>
      <c r="H2069" t="s">
        <v>3027</v>
      </c>
      <c r="I2069" s="1">
        <v>37159</v>
      </c>
      <c r="J2069" s="1">
        <v>37336</v>
      </c>
      <c r="K2069" s="1">
        <v>37338</v>
      </c>
      <c r="L2069" s="1">
        <v>37338</v>
      </c>
      <c r="M2069" s="1">
        <v>37338</v>
      </c>
      <c r="N2069" s="1">
        <v>37338</v>
      </c>
      <c r="O2069" t="s">
        <v>1117</v>
      </c>
      <c r="P2069">
        <v>5</v>
      </c>
      <c r="Q2069" t="s">
        <v>2855</v>
      </c>
      <c r="R2069">
        <f t="shared" si="65"/>
        <v>12</v>
      </c>
      <c r="S2069">
        <f t="shared" si="66"/>
        <v>1</v>
      </c>
    </row>
    <row r="2070" spans="1:19" x14ac:dyDescent="0.25">
      <c r="A2070" t="s">
        <v>3195</v>
      </c>
      <c r="B2070" t="s">
        <v>4026</v>
      </c>
      <c r="C2070">
        <v>4</v>
      </c>
      <c r="D2070">
        <v>1200</v>
      </c>
      <c r="E2070">
        <v>7065</v>
      </c>
      <c r="F2070">
        <v>10</v>
      </c>
      <c r="G2070">
        <v>10</v>
      </c>
      <c r="H2070" t="s">
        <v>2661</v>
      </c>
      <c r="I2070" s="1">
        <v>37133</v>
      </c>
      <c r="J2070" s="1">
        <v>37337</v>
      </c>
      <c r="K2070" s="1">
        <v>37352</v>
      </c>
      <c r="L2070" s="1">
        <v>37352</v>
      </c>
      <c r="M2070" s="1">
        <v>37352</v>
      </c>
      <c r="N2070" s="1">
        <v>37352</v>
      </c>
      <c r="O2070" t="s">
        <v>1117</v>
      </c>
      <c r="P2070">
        <v>7</v>
      </c>
      <c r="Q2070" t="s">
        <v>2662</v>
      </c>
      <c r="R2070">
        <f t="shared" si="65"/>
        <v>14</v>
      </c>
      <c r="S2070">
        <f t="shared" si="66"/>
        <v>1</v>
      </c>
    </row>
    <row r="2071" spans="1:19" x14ac:dyDescent="0.25">
      <c r="A2071" t="s">
        <v>3196</v>
      </c>
      <c r="B2071" t="s">
        <v>4027</v>
      </c>
      <c r="C2071">
        <v>8</v>
      </c>
      <c r="D2071">
        <v>1100</v>
      </c>
      <c r="E2071">
        <v>4500</v>
      </c>
      <c r="F2071">
        <v>6.0229999999999997</v>
      </c>
      <c r="G2071">
        <v>6.0229999999999997</v>
      </c>
      <c r="H2071" t="s">
        <v>3027</v>
      </c>
      <c r="I2071" s="1">
        <v>37258</v>
      </c>
      <c r="J2071" s="1">
        <v>37337</v>
      </c>
      <c r="K2071" t="s">
        <v>1124</v>
      </c>
      <c r="L2071" t="s">
        <v>1124</v>
      </c>
      <c r="M2071" s="1">
        <v>37337</v>
      </c>
      <c r="N2071" s="1">
        <v>37342</v>
      </c>
      <c r="O2071" t="s">
        <v>1117</v>
      </c>
      <c r="P2071">
        <v>1</v>
      </c>
      <c r="Q2071" t="s">
        <v>2855</v>
      </c>
      <c r="R2071">
        <f t="shared" si="65"/>
        <v>13</v>
      </c>
      <c r="S2071">
        <f t="shared" si="66"/>
        <v>1</v>
      </c>
    </row>
    <row r="2072" spans="1:19" x14ac:dyDescent="0.25">
      <c r="A2072" t="s">
        <v>3197</v>
      </c>
      <c r="B2072" t="s">
        <v>1199</v>
      </c>
      <c r="C2072">
        <v>8</v>
      </c>
      <c r="D2072">
        <v>1250</v>
      </c>
      <c r="E2072">
        <v>4890</v>
      </c>
      <c r="F2072">
        <v>150</v>
      </c>
      <c r="G2072">
        <v>150</v>
      </c>
      <c r="H2072" t="s">
        <v>3027</v>
      </c>
      <c r="I2072" s="1">
        <v>37343</v>
      </c>
      <c r="J2072" s="1">
        <v>37381</v>
      </c>
      <c r="K2072" s="1">
        <v>37381</v>
      </c>
      <c r="L2072" s="1">
        <v>37381</v>
      </c>
      <c r="M2072" t="s">
        <v>1124</v>
      </c>
      <c r="N2072" s="1">
        <v>37369</v>
      </c>
      <c r="O2072" t="s">
        <v>1114</v>
      </c>
      <c r="P2072">
        <v>1</v>
      </c>
      <c r="Q2072" t="s">
        <v>2855</v>
      </c>
      <c r="R2072">
        <f t="shared" si="65"/>
        <v>17</v>
      </c>
      <c r="S2072">
        <f t="shared" si="66"/>
        <v>0</v>
      </c>
    </row>
    <row r="2073" spans="1:19" x14ac:dyDescent="0.25">
      <c r="A2073" t="s">
        <v>3198</v>
      </c>
      <c r="B2073" t="s">
        <v>1199</v>
      </c>
      <c r="C2073">
        <v>4</v>
      </c>
      <c r="D2073">
        <v>1200</v>
      </c>
      <c r="E2073">
        <v>6000</v>
      </c>
      <c r="F2073">
        <v>105.215</v>
      </c>
      <c r="G2073">
        <v>25.548999999999999</v>
      </c>
      <c r="H2073" t="s">
        <v>2661</v>
      </c>
      <c r="I2073" s="1">
        <v>37105</v>
      </c>
      <c r="J2073" s="1">
        <v>37325</v>
      </c>
      <c r="K2073" s="1">
        <v>37330</v>
      </c>
      <c r="L2073" s="1">
        <v>37330</v>
      </c>
      <c r="M2073" s="1">
        <v>37330</v>
      </c>
      <c r="N2073" s="1">
        <v>37347</v>
      </c>
      <c r="O2073" t="s">
        <v>1117</v>
      </c>
      <c r="P2073">
        <v>1</v>
      </c>
      <c r="Q2073" t="s">
        <v>2662</v>
      </c>
      <c r="R2073">
        <f t="shared" si="65"/>
        <v>14</v>
      </c>
      <c r="S2073">
        <f t="shared" si="66"/>
        <v>0</v>
      </c>
    </row>
    <row r="2074" spans="1:19" x14ac:dyDescent="0.25">
      <c r="A2074" t="s">
        <v>3199</v>
      </c>
      <c r="B2074" t="s">
        <v>4026</v>
      </c>
      <c r="C2074">
        <v>4</v>
      </c>
      <c r="D2074">
        <v>1095</v>
      </c>
      <c r="E2074">
        <v>4970</v>
      </c>
      <c r="F2074">
        <v>53.335000000000001</v>
      </c>
      <c r="G2074">
        <v>53.335000000000001</v>
      </c>
      <c r="H2074" t="s">
        <v>2661</v>
      </c>
      <c r="I2074" s="1">
        <v>37105</v>
      </c>
      <c r="J2074" s="1">
        <v>37337</v>
      </c>
      <c r="K2074" s="1">
        <v>37337</v>
      </c>
      <c r="L2074" s="1">
        <v>37337</v>
      </c>
      <c r="M2074" s="1">
        <v>37337</v>
      </c>
      <c r="N2074" s="1">
        <v>37338</v>
      </c>
      <c r="O2074" t="s">
        <v>1114</v>
      </c>
      <c r="P2074">
        <v>3</v>
      </c>
      <c r="Q2074" t="s">
        <v>2662</v>
      </c>
      <c r="R2074">
        <f t="shared" si="65"/>
        <v>12</v>
      </c>
      <c r="S2074">
        <f t="shared" si="66"/>
        <v>1</v>
      </c>
    </row>
    <row r="2075" spans="1:19" x14ac:dyDescent="0.25">
      <c r="A2075" t="s">
        <v>3200</v>
      </c>
      <c r="B2075" t="s">
        <v>4028</v>
      </c>
      <c r="C2075">
        <v>4</v>
      </c>
      <c r="D2075">
        <v>1095</v>
      </c>
      <c r="E2075">
        <v>4970</v>
      </c>
      <c r="F2075">
        <v>66</v>
      </c>
      <c r="G2075">
        <v>66</v>
      </c>
      <c r="H2075" t="s">
        <v>2661</v>
      </c>
      <c r="I2075" s="1">
        <v>37133</v>
      </c>
      <c r="J2075" s="1">
        <v>37337</v>
      </c>
      <c r="K2075" s="1">
        <v>37337</v>
      </c>
      <c r="L2075" s="1">
        <v>37337</v>
      </c>
      <c r="M2075" s="1">
        <v>37337</v>
      </c>
      <c r="N2075" s="1">
        <v>37338</v>
      </c>
      <c r="O2075" t="s">
        <v>1114</v>
      </c>
      <c r="P2075">
        <v>12</v>
      </c>
      <c r="Q2075" t="s">
        <v>2662</v>
      </c>
      <c r="R2075">
        <f t="shared" si="65"/>
        <v>12</v>
      </c>
      <c r="S2075">
        <f t="shared" si="66"/>
        <v>1</v>
      </c>
    </row>
    <row r="2076" spans="1:19" x14ac:dyDescent="0.25">
      <c r="A2076" t="s">
        <v>3201</v>
      </c>
      <c r="B2076" t="s">
        <v>1199</v>
      </c>
      <c r="C2076">
        <v>4</v>
      </c>
      <c r="D2076">
        <v>883</v>
      </c>
      <c r="E2076">
        <v>2150</v>
      </c>
      <c r="F2076">
        <v>16</v>
      </c>
      <c r="G2076">
        <v>16</v>
      </c>
      <c r="H2076" t="s">
        <v>2661</v>
      </c>
      <c r="I2076" s="1">
        <v>37133</v>
      </c>
      <c r="J2076" s="1">
        <v>37337</v>
      </c>
      <c r="K2076" s="1">
        <v>37334</v>
      </c>
      <c r="L2076" s="1">
        <v>37337</v>
      </c>
      <c r="M2076" s="1">
        <v>37341</v>
      </c>
      <c r="N2076" s="1">
        <v>37341</v>
      </c>
      <c r="O2076" t="s">
        <v>1114</v>
      </c>
      <c r="P2076">
        <v>1</v>
      </c>
      <c r="Q2076" t="s">
        <v>2662</v>
      </c>
      <c r="R2076">
        <f t="shared" si="65"/>
        <v>13</v>
      </c>
      <c r="S2076">
        <f t="shared" si="66"/>
        <v>1</v>
      </c>
    </row>
    <row r="2077" spans="1:19" x14ac:dyDescent="0.25">
      <c r="A2077" t="s">
        <v>3202</v>
      </c>
      <c r="B2077" t="s">
        <v>4028</v>
      </c>
      <c r="C2077">
        <v>4</v>
      </c>
      <c r="D2077">
        <v>1200</v>
      </c>
      <c r="E2077">
        <v>6000</v>
      </c>
      <c r="F2077">
        <v>105</v>
      </c>
      <c r="G2077">
        <v>105</v>
      </c>
      <c r="H2077" t="s">
        <v>2661</v>
      </c>
      <c r="I2077" s="1">
        <v>37133</v>
      </c>
      <c r="J2077" s="1">
        <v>37337</v>
      </c>
      <c r="K2077" s="1">
        <v>37347</v>
      </c>
      <c r="L2077" s="1">
        <v>37347</v>
      </c>
      <c r="M2077" s="1">
        <v>37347</v>
      </c>
      <c r="N2077" s="1">
        <v>37347</v>
      </c>
      <c r="O2077" t="s">
        <v>1117</v>
      </c>
      <c r="P2077">
        <v>11</v>
      </c>
      <c r="Q2077" t="s">
        <v>2662</v>
      </c>
      <c r="R2077">
        <f t="shared" si="65"/>
        <v>14</v>
      </c>
      <c r="S2077">
        <f t="shared" si="66"/>
        <v>1</v>
      </c>
    </row>
    <row r="2078" spans="1:19" x14ac:dyDescent="0.25">
      <c r="A2078" t="s">
        <v>3203</v>
      </c>
      <c r="B2078" t="s">
        <v>4028</v>
      </c>
      <c r="C2078">
        <v>4</v>
      </c>
      <c r="D2078">
        <v>911</v>
      </c>
      <c r="E2078">
        <v>2150</v>
      </c>
      <c r="F2078">
        <v>10.779</v>
      </c>
      <c r="G2078">
        <v>10.779</v>
      </c>
      <c r="H2078" t="s">
        <v>2661</v>
      </c>
      <c r="I2078" s="1">
        <v>37133</v>
      </c>
      <c r="J2078" s="1">
        <v>37337</v>
      </c>
      <c r="K2078" s="1">
        <v>37340</v>
      </c>
      <c r="L2078" s="1">
        <v>37340</v>
      </c>
      <c r="M2078" s="1">
        <v>37347</v>
      </c>
      <c r="N2078" s="1">
        <v>37347</v>
      </c>
      <c r="O2078" t="s">
        <v>1117</v>
      </c>
      <c r="P2078">
        <v>5</v>
      </c>
      <c r="Q2078" t="s">
        <v>2662</v>
      </c>
      <c r="R2078">
        <f t="shared" si="65"/>
        <v>14</v>
      </c>
      <c r="S2078">
        <f t="shared" si="66"/>
        <v>1</v>
      </c>
    </row>
    <row r="2079" spans="1:19" x14ac:dyDescent="0.25">
      <c r="A2079" t="s">
        <v>3204</v>
      </c>
      <c r="B2079" t="s">
        <v>4028</v>
      </c>
      <c r="C2079">
        <v>4</v>
      </c>
      <c r="D2079">
        <v>908</v>
      </c>
      <c r="E2079">
        <v>4970</v>
      </c>
      <c r="F2079">
        <v>106</v>
      </c>
      <c r="G2079">
        <v>106</v>
      </c>
      <c r="H2079" t="s">
        <v>2661</v>
      </c>
      <c r="I2079" s="1">
        <v>37133</v>
      </c>
      <c r="J2079" s="1">
        <v>37337</v>
      </c>
      <c r="K2079" s="1">
        <v>37354</v>
      </c>
      <c r="L2079" s="1">
        <v>37354</v>
      </c>
      <c r="M2079" s="1">
        <v>37354</v>
      </c>
      <c r="N2079" s="1">
        <v>37354</v>
      </c>
      <c r="O2079" t="s">
        <v>1117</v>
      </c>
      <c r="P2079">
        <v>13</v>
      </c>
      <c r="Q2079" t="s">
        <v>2662</v>
      </c>
      <c r="R2079">
        <f t="shared" si="65"/>
        <v>15</v>
      </c>
      <c r="S2079">
        <f t="shared" si="66"/>
        <v>1</v>
      </c>
    </row>
    <row r="2080" spans="1:19" x14ac:dyDescent="0.25">
      <c r="A2080" t="s">
        <v>3205</v>
      </c>
      <c r="B2080" t="s">
        <v>4026</v>
      </c>
      <c r="C2080">
        <v>4</v>
      </c>
      <c r="D2080">
        <v>1200</v>
      </c>
      <c r="E2080">
        <v>2150</v>
      </c>
      <c r="F2080">
        <v>65</v>
      </c>
      <c r="G2080">
        <v>65</v>
      </c>
      <c r="H2080" t="s">
        <v>2661</v>
      </c>
      <c r="I2080" s="1">
        <v>37133</v>
      </c>
      <c r="J2080" s="1">
        <v>37337</v>
      </c>
      <c r="K2080" s="1">
        <v>37348</v>
      </c>
      <c r="L2080" s="1">
        <v>37348</v>
      </c>
      <c r="M2080" s="1">
        <v>37348</v>
      </c>
      <c r="N2080" s="1">
        <v>37348</v>
      </c>
      <c r="O2080" t="s">
        <v>1117</v>
      </c>
      <c r="P2080">
        <v>2</v>
      </c>
      <c r="Q2080" t="s">
        <v>2662</v>
      </c>
      <c r="R2080">
        <f t="shared" si="65"/>
        <v>14</v>
      </c>
      <c r="S2080">
        <f t="shared" si="66"/>
        <v>1</v>
      </c>
    </row>
    <row r="2081" spans="1:19" x14ac:dyDescent="0.25">
      <c r="A2081" t="s">
        <v>3206</v>
      </c>
      <c r="B2081" t="s">
        <v>4028</v>
      </c>
      <c r="C2081">
        <v>4</v>
      </c>
      <c r="D2081">
        <v>908</v>
      </c>
      <c r="E2081">
        <v>4970</v>
      </c>
      <c r="F2081">
        <v>92.438000000000002</v>
      </c>
      <c r="G2081">
        <v>80.638000000000005</v>
      </c>
      <c r="H2081" t="s">
        <v>2661</v>
      </c>
      <c r="I2081" s="1">
        <v>37105</v>
      </c>
      <c r="J2081" s="1">
        <v>37337</v>
      </c>
      <c r="K2081" s="1">
        <v>37354</v>
      </c>
      <c r="L2081" s="1">
        <v>37354</v>
      </c>
      <c r="M2081" s="1">
        <v>37354</v>
      </c>
      <c r="N2081" s="1">
        <v>37354</v>
      </c>
      <c r="O2081" t="s">
        <v>1117</v>
      </c>
      <c r="P2081">
        <v>2</v>
      </c>
      <c r="Q2081" t="s">
        <v>2662</v>
      </c>
      <c r="R2081">
        <f t="shared" si="65"/>
        <v>15</v>
      </c>
      <c r="S2081">
        <f t="shared" si="66"/>
        <v>0</v>
      </c>
    </row>
    <row r="2082" spans="1:19" x14ac:dyDescent="0.25">
      <c r="A2082" t="s">
        <v>3207</v>
      </c>
      <c r="B2082" t="s">
        <v>4028</v>
      </c>
      <c r="C2082">
        <v>5</v>
      </c>
      <c r="D2082">
        <v>1150</v>
      </c>
      <c r="E2082">
        <v>2940</v>
      </c>
      <c r="F2082">
        <v>27</v>
      </c>
      <c r="G2082">
        <v>27</v>
      </c>
      <c r="H2082" t="s">
        <v>2661</v>
      </c>
      <c r="I2082" s="1">
        <v>37105</v>
      </c>
      <c r="J2082" s="1">
        <v>37337</v>
      </c>
      <c r="K2082" s="1">
        <v>37340</v>
      </c>
      <c r="L2082" s="1">
        <v>37340</v>
      </c>
      <c r="M2082" s="1">
        <v>37347</v>
      </c>
      <c r="N2082" s="1">
        <v>37347</v>
      </c>
      <c r="O2082" t="s">
        <v>1117</v>
      </c>
      <c r="P2082">
        <v>11</v>
      </c>
      <c r="Q2082" t="s">
        <v>2662</v>
      </c>
      <c r="R2082">
        <f t="shared" si="65"/>
        <v>14</v>
      </c>
      <c r="S2082">
        <f t="shared" si="66"/>
        <v>1</v>
      </c>
    </row>
    <row r="2083" spans="1:19" x14ac:dyDescent="0.25">
      <c r="A2083" t="s">
        <v>3208</v>
      </c>
      <c r="B2083" t="s">
        <v>4028</v>
      </c>
      <c r="C2083">
        <v>4</v>
      </c>
      <c r="D2083">
        <v>1200</v>
      </c>
      <c r="E2083">
        <v>2150</v>
      </c>
      <c r="F2083">
        <v>66</v>
      </c>
      <c r="G2083">
        <v>29.324000000000002</v>
      </c>
      <c r="H2083" t="s">
        <v>2661</v>
      </c>
      <c r="I2083" s="1">
        <v>37105</v>
      </c>
      <c r="J2083" s="1">
        <v>37325</v>
      </c>
      <c r="K2083" s="1">
        <v>37326</v>
      </c>
      <c r="L2083" s="1">
        <v>37326</v>
      </c>
      <c r="M2083" s="1">
        <v>37327</v>
      </c>
      <c r="N2083" s="1">
        <v>37348</v>
      </c>
      <c r="O2083" t="s">
        <v>1117</v>
      </c>
      <c r="P2083">
        <v>2</v>
      </c>
      <c r="Q2083" t="s">
        <v>2662</v>
      </c>
      <c r="R2083">
        <f t="shared" si="65"/>
        <v>14</v>
      </c>
      <c r="S2083">
        <f t="shared" si="66"/>
        <v>0</v>
      </c>
    </row>
    <row r="2084" spans="1:19" x14ac:dyDescent="0.25">
      <c r="A2084" t="s">
        <v>3209</v>
      </c>
      <c r="B2084" t="s">
        <v>1199</v>
      </c>
      <c r="C2084">
        <v>8</v>
      </c>
      <c r="D2084">
        <v>1250</v>
      </c>
      <c r="E2084">
        <v>4890</v>
      </c>
      <c r="F2084">
        <v>150</v>
      </c>
      <c r="G2084">
        <v>150</v>
      </c>
      <c r="H2084" t="s">
        <v>3027</v>
      </c>
      <c r="I2084" s="1">
        <v>37335</v>
      </c>
      <c r="J2084" s="1">
        <v>37369</v>
      </c>
      <c r="K2084" s="1">
        <v>37369</v>
      </c>
      <c r="L2084" s="1">
        <v>37369</v>
      </c>
      <c r="M2084" s="1">
        <v>37369</v>
      </c>
      <c r="N2084" s="1">
        <v>37369</v>
      </c>
      <c r="O2084" t="s">
        <v>1114</v>
      </c>
      <c r="P2084">
        <v>1</v>
      </c>
      <c r="Q2084" t="s">
        <v>2855</v>
      </c>
      <c r="R2084">
        <f t="shared" si="65"/>
        <v>17</v>
      </c>
      <c r="S2084">
        <f t="shared" si="66"/>
        <v>1</v>
      </c>
    </row>
    <row r="2085" spans="1:19" x14ac:dyDescent="0.25">
      <c r="A2085" t="s">
        <v>3210</v>
      </c>
      <c r="B2085" t="s">
        <v>4028</v>
      </c>
      <c r="C2085">
        <v>4</v>
      </c>
      <c r="D2085">
        <v>1100</v>
      </c>
      <c r="E2085">
        <v>4600</v>
      </c>
      <c r="F2085">
        <v>70</v>
      </c>
      <c r="G2085">
        <v>70</v>
      </c>
      <c r="H2085" t="s">
        <v>2661</v>
      </c>
      <c r="I2085" s="1">
        <v>37159</v>
      </c>
      <c r="J2085" s="1">
        <v>37336</v>
      </c>
      <c r="K2085" s="1">
        <v>37341</v>
      </c>
      <c r="L2085" s="1">
        <v>37347</v>
      </c>
      <c r="M2085" s="1">
        <v>37348</v>
      </c>
      <c r="N2085" s="1">
        <v>37348</v>
      </c>
      <c r="O2085" t="s">
        <v>1117</v>
      </c>
      <c r="P2085">
        <v>3</v>
      </c>
      <c r="Q2085" t="s">
        <v>2662</v>
      </c>
      <c r="R2085">
        <f t="shared" si="65"/>
        <v>14</v>
      </c>
      <c r="S2085">
        <f t="shared" si="66"/>
        <v>1</v>
      </c>
    </row>
    <row r="2086" spans="1:19" x14ac:dyDescent="0.25">
      <c r="A2086" t="s">
        <v>3211</v>
      </c>
      <c r="B2086" t="s">
        <v>1199</v>
      </c>
      <c r="C2086">
        <v>4</v>
      </c>
      <c r="D2086">
        <v>1100</v>
      </c>
      <c r="E2086">
        <v>5600</v>
      </c>
      <c r="F2086">
        <v>50</v>
      </c>
      <c r="G2086">
        <v>50</v>
      </c>
      <c r="H2086" t="s">
        <v>2661</v>
      </c>
      <c r="I2086" s="1">
        <v>37159</v>
      </c>
      <c r="J2086" s="1">
        <v>37336</v>
      </c>
      <c r="K2086" s="1">
        <v>37341</v>
      </c>
      <c r="L2086" s="1">
        <v>37347</v>
      </c>
      <c r="M2086" s="1">
        <v>37348</v>
      </c>
      <c r="N2086" s="1">
        <v>37348</v>
      </c>
      <c r="O2086" t="s">
        <v>1117</v>
      </c>
      <c r="P2086">
        <v>4</v>
      </c>
      <c r="Q2086" t="s">
        <v>2662</v>
      </c>
      <c r="R2086">
        <f t="shared" si="65"/>
        <v>14</v>
      </c>
      <c r="S2086">
        <f t="shared" si="66"/>
        <v>1</v>
      </c>
    </row>
    <row r="2087" spans="1:19" x14ac:dyDescent="0.25">
      <c r="A2087" t="s">
        <v>3212</v>
      </c>
      <c r="B2087" t="s">
        <v>1199</v>
      </c>
      <c r="C2087">
        <v>4</v>
      </c>
      <c r="D2087">
        <v>883</v>
      </c>
      <c r="E2087">
        <v>2150</v>
      </c>
      <c r="F2087">
        <v>17</v>
      </c>
      <c r="G2087">
        <v>13.215</v>
      </c>
      <c r="H2087" t="s">
        <v>2661</v>
      </c>
      <c r="I2087" s="1">
        <v>37105</v>
      </c>
      <c r="J2087" s="1">
        <v>37325</v>
      </c>
      <c r="K2087" s="1">
        <v>37333</v>
      </c>
      <c r="L2087" s="1">
        <v>37333</v>
      </c>
      <c r="M2087" s="1">
        <v>37340</v>
      </c>
      <c r="N2087" s="1">
        <v>37341</v>
      </c>
      <c r="O2087" t="s">
        <v>1117</v>
      </c>
      <c r="P2087">
        <v>1</v>
      </c>
      <c r="Q2087" t="s">
        <v>2662</v>
      </c>
      <c r="R2087">
        <f t="shared" si="65"/>
        <v>13</v>
      </c>
      <c r="S2087">
        <f t="shared" si="66"/>
        <v>0</v>
      </c>
    </row>
    <row r="2088" spans="1:19" x14ac:dyDescent="0.25">
      <c r="A2088" t="s">
        <v>3213</v>
      </c>
      <c r="B2088" t="s">
        <v>4028</v>
      </c>
      <c r="C2088">
        <v>4</v>
      </c>
      <c r="D2088">
        <v>1100</v>
      </c>
      <c r="E2088">
        <v>4600</v>
      </c>
      <c r="F2088">
        <v>70</v>
      </c>
      <c r="G2088">
        <v>70</v>
      </c>
      <c r="H2088" t="s">
        <v>2661</v>
      </c>
      <c r="I2088" s="1">
        <v>37159</v>
      </c>
      <c r="J2088" s="1">
        <v>37336</v>
      </c>
      <c r="K2088" s="1">
        <v>37333</v>
      </c>
      <c r="L2088" s="1">
        <v>37336</v>
      </c>
      <c r="M2088" s="1">
        <v>37340</v>
      </c>
      <c r="N2088" s="1">
        <v>37348</v>
      </c>
      <c r="O2088" t="s">
        <v>1114</v>
      </c>
      <c r="P2088">
        <v>3</v>
      </c>
      <c r="Q2088" t="s">
        <v>2662</v>
      </c>
      <c r="R2088">
        <f t="shared" si="65"/>
        <v>14</v>
      </c>
      <c r="S2088">
        <f t="shared" si="66"/>
        <v>1</v>
      </c>
    </row>
    <row r="2089" spans="1:19" x14ac:dyDescent="0.25">
      <c r="A2089" t="s">
        <v>3214</v>
      </c>
      <c r="B2089" t="s">
        <v>4028</v>
      </c>
      <c r="C2089">
        <v>4</v>
      </c>
      <c r="D2089">
        <v>1150</v>
      </c>
      <c r="E2089">
        <v>2150</v>
      </c>
      <c r="F2089">
        <v>10</v>
      </c>
      <c r="G2089">
        <v>10</v>
      </c>
      <c r="H2089" t="s">
        <v>2661</v>
      </c>
      <c r="I2089" s="1">
        <v>37133</v>
      </c>
      <c r="J2089" s="1">
        <v>37337</v>
      </c>
      <c r="K2089" s="1">
        <v>37352</v>
      </c>
      <c r="L2089" s="1">
        <v>37352</v>
      </c>
      <c r="M2089" s="1">
        <v>37352</v>
      </c>
      <c r="N2089" s="1">
        <v>37352</v>
      </c>
      <c r="O2089" t="s">
        <v>1117</v>
      </c>
      <c r="P2089">
        <v>6</v>
      </c>
      <c r="Q2089" t="s">
        <v>2662</v>
      </c>
      <c r="R2089">
        <f t="shared" si="65"/>
        <v>14</v>
      </c>
      <c r="S2089">
        <f t="shared" si="66"/>
        <v>1</v>
      </c>
    </row>
    <row r="2090" spans="1:19" x14ac:dyDescent="0.25">
      <c r="A2090" t="s">
        <v>3215</v>
      </c>
      <c r="B2090" t="s">
        <v>4026</v>
      </c>
      <c r="C2090">
        <v>4</v>
      </c>
      <c r="D2090">
        <v>850</v>
      </c>
      <c r="E2090">
        <v>4850</v>
      </c>
      <c r="F2090">
        <v>40</v>
      </c>
      <c r="G2090">
        <v>40</v>
      </c>
      <c r="H2090" t="s">
        <v>2661</v>
      </c>
      <c r="I2090" s="1">
        <v>37159</v>
      </c>
      <c r="J2090" s="1">
        <v>37325</v>
      </c>
      <c r="K2090" s="1">
        <v>37325</v>
      </c>
      <c r="L2090" s="1">
        <v>37325</v>
      </c>
      <c r="M2090" s="1">
        <v>37325</v>
      </c>
      <c r="N2090" s="1">
        <v>37325</v>
      </c>
      <c r="O2090" t="s">
        <v>1114</v>
      </c>
      <c r="P2090">
        <v>2</v>
      </c>
      <c r="Q2090" t="s">
        <v>2662</v>
      </c>
      <c r="R2090">
        <f t="shared" si="65"/>
        <v>11</v>
      </c>
      <c r="S2090">
        <f t="shared" si="66"/>
        <v>1</v>
      </c>
    </row>
    <row r="2091" spans="1:19" x14ac:dyDescent="0.25">
      <c r="A2091" t="s">
        <v>3216</v>
      </c>
      <c r="B2091" t="s">
        <v>1199</v>
      </c>
      <c r="C2091">
        <v>4</v>
      </c>
      <c r="D2091">
        <v>1100</v>
      </c>
      <c r="E2091">
        <v>5600</v>
      </c>
      <c r="F2091">
        <v>30</v>
      </c>
      <c r="G2091">
        <v>30</v>
      </c>
      <c r="H2091" t="s">
        <v>2661</v>
      </c>
      <c r="I2091" s="1">
        <v>37159</v>
      </c>
      <c r="J2091" s="1">
        <v>37336</v>
      </c>
      <c r="K2091" s="1">
        <v>37334</v>
      </c>
      <c r="L2091" s="1">
        <v>37336</v>
      </c>
      <c r="M2091" s="1">
        <v>37341</v>
      </c>
      <c r="N2091" s="1">
        <v>37348</v>
      </c>
      <c r="O2091" t="s">
        <v>1114</v>
      </c>
      <c r="P2091">
        <v>4</v>
      </c>
      <c r="Q2091" t="s">
        <v>2662</v>
      </c>
      <c r="R2091">
        <f t="shared" si="65"/>
        <v>14</v>
      </c>
      <c r="S2091">
        <f t="shared" si="66"/>
        <v>1</v>
      </c>
    </row>
    <row r="2092" spans="1:19" x14ac:dyDescent="0.25">
      <c r="A2092" t="s">
        <v>3217</v>
      </c>
      <c r="B2092" t="s">
        <v>4028</v>
      </c>
      <c r="C2092">
        <v>4</v>
      </c>
      <c r="D2092">
        <v>1095</v>
      </c>
      <c r="E2092">
        <v>4970</v>
      </c>
      <c r="F2092">
        <v>46.12</v>
      </c>
      <c r="G2092">
        <v>46.12</v>
      </c>
      <c r="H2092" t="s">
        <v>2661</v>
      </c>
      <c r="I2092" s="1">
        <v>37159</v>
      </c>
      <c r="J2092" s="1">
        <v>37325</v>
      </c>
      <c r="K2092" s="1">
        <v>37327</v>
      </c>
      <c r="L2092" s="1">
        <v>37327</v>
      </c>
      <c r="M2092" s="1">
        <v>37334</v>
      </c>
      <c r="N2092" s="1">
        <v>37338</v>
      </c>
      <c r="O2092" t="s">
        <v>1117</v>
      </c>
      <c r="P2092">
        <v>3</v>
      </c>
      <c r="Q2092" t="s">
        <v>2662</v>
      </c>
      <c r="R2092">
        <f t="shared" si="65"/>
        <v>12</v>
      </c>
      <c r="S2092">
        <f t="shared" si="66"/>
        <v>1</v>
      </c>
    </row>
    <row r="2093" spans="1:19" x14ac:dyDescent="0.25">
      <c r="A2093" t="s">
        <v>3218</v>
      </c>
      <c r="B2093" t="s">
        <v>1199</v>
      </c>
      <c r="C2093">
        <v>6</v>
      </c>
      <c r="D2093">
        <v>1150</v>
      </c>
      <c r="E2093">
        <v>6450</v>
      </c>
      <c r="F2093">
        <v>18</v>
      </c>
      <c r="G2093">
        <v>18</v>
      </c>
      <c r="H2093" t="s">
        <v>2661</v>
      </c>
      <c r="I2093" s="1">
        <v>37133</v>
      </c>
      <c r="J2093" s="1">
        <v>37337</v>
      </c>
      <c r="K2093" s="1">
        <v>37348</v>
      </c>
      <c r="L2093" s="1">
        <v>37348</v>
      </c>
      <c r="M2093" s="1">
        <v>37348</v>
      </c>
      <c r="N2093" s="1">
        <v>37351</v>
      </c>
      <c r="O2093" t="s">
        <v>1117</v>
      </c>
      <c r="P2093">
        <v>15</v>
      </c>
      <c r="Q2093" t="s">
        <v>2662</v>
      </c>
      <c r="R2093">
        <f t="shared" si="65"/>
        <v>14</v>
      </c>
      <c r="S2093">
        <f t="shared" si="66"/>
        <v>1</v>
      </c>
    </row>
    <row r="2094" spans="1:19" x14ac:dyDescent="0.25">
      <c r="A2094" t="s">
        <v>3219</v>
      </c>
      <c r="B2094" t="s">
        <v>1199</v>
      </c>
      <c r="C2094">
        <v>8</v>
      </c>
      <c r="D2094">
        <v>1250</v>
      </c>
      <c r="E2094">
        <v>4890</v>
      </c>
      <c r="F2094">
        <v>150</v>
      </c>
      <c r="G2094">
        <v>150</v>
      </c>
      <c r="H2094" t="s">
        <v>3027</v>
      </c>
      <c r="I2094" s="1">
        <v>37335</v>
      </c>
      <c r="J2094" s="1">
        <v>37369</v>
      </c>
      <c r="K2094" t="s">
        <v>1124</v>
      </c>
      <c r="L2094" t="s">
        <v>1124</v>
      </c>
      <c r="M2094" s="1">
        <v>37369</v>
      </c>
      <c r="N2094" s="1">
        <v>37369</v>
      </c>
      <c r="O2094" t="s">
        <v>1117</v>
      </c>
      <c r="P2094">
        <v>1</v>
      </c>
      <c r="Q2094" t="s">
        <v>2855</v>
      </c>
      <c r="R2094">
        <f t="shared" si="65"/>
        <v>17</v>
      </c>
      <c r="S2094">
        <f t="shared" si="66"/>
        <v>1</v>
      </c>
    </row>
    <row r="2095" spans="1:19" x14ac:dyDescent="0.25">
      <c r="A2095" t="s">
        <v>3220</v>
      </c>
      <c r="B2095" t="s">
        <v>1199</v>
      </c>
      <c r="C2095">
        <v>6</v>
      </c>
      <c r="D2095">
        <v>800</v>
      </c>
      <c r="E2095">
        <v>5150</v>
      </c>
      <c r="F2095">
        <v>60</v>
      </c>
      <c r="G2095">
        <v>11.474</v>
      </c>
      <c r="H2095" t="s">
        <v>2661</v>
      </c>
      <c r="I2095" s="1">
        <v>37159</v>
      </c>
      <c r="J2095" s="1">
        <v>37325</v>
      </c>
      <c r="K2095" s="1">
        <v>37327</v>
      </c>
      <c r="L2095" s="1">
        <v>37327</v>
      </c>
      <c r="M2095" s="1">
        <v>37328</v>
      </c>
      <c r="N2095" s="1">
        <v>37328</v>
      </c>
      <c r="O2095" t="s">
        <v>1117</v>
      </c>
      <c r="P2095">
        <v>18</v>
      </c>
      <c r="Q2095" t="s">
        <v>2662</v>
      </c>
      <c r="R2095">
        <f t="shared" si="65"/>
        <v>11</v>
      </c>
      <c r="S2095">
        <f t="shared" si="66"/>
        <v>0</v>
      </c>
    </row>
    <row r="2096" spans="1:19" x14ac:dyDescent="0.25">
      <c r="A2096" t="s">
        <v>3221</v>
      </c>
      <c r="B2096" t="s">
        <v>1199</v>
      </c>
      <c r="C2096">
        <v>4</v>
      </c>
      <c r="D2096">
        <v>1050</v>
      </c>
      <c r="E2096">
        <v>2470</v>
      </c>
      <c r="F2096">
        <v>3</v>
      </c>
      <c r="G2096">
        <v>3</v>
      </c>
      <c r="H2096" t="s">
        <v>2661</v>
      </c>
      <c r="I2096" s="1">
        <v>37133</v>
      </c>
      <c r="J2096" s="1">
        <v>37337</v>
      </c>
      <c r="K2096" s="1">
        <v>37345</v>
      </c>
      <c r="L2096" s="1">
        <v>37345</v>
      </c>
      <c r="M2096" s="1">
        <v>37345</v>
      </c>
      <c r="N2096" s="1">
        <v>37345</v>
      </c>
      <c r="O2096" t="s">
        <v>1117</v>
      </c>
      <c r="P2096">
        <v>4</v>
      </c>
      <c r="Q2096" t="s">
        <v>2662</v>
      </c>
      <c r="R2096">
        <f t="shared" si="65"/>
        <v>13</v>
      </c>
      <c r="S2096">
        <f t="shared" si="66"/>
        <v>1</v>
      </c>
    </row>
    <row r="2097" spans="1:19" x14ac:dyDescent="0.25">
      <c r="A2097" t="s">
        <v>3222</v>
      </c>
      <c r="B2097" t="s">
        <v>1199</v>
      </c>
      <c r="C2097">
        <v>6</v>
      </c>
      <c r="D2097">
        <v>1250</v>
      </c>
      <c r="E2097">
        <v>5600</v>
      </c>
      <c r="F2097">
        <v>34.700000000000003</v>
      </c>
      <c r="G2097">
        <v>34.700000000000003</v>
      </c>
      <c r="H2097" t="s">
        <v>2661</v>
      </c>
      <c r="I2097" s="1">
        <v>37159</v>
      </c>
      <c r="J2097" s="1">
        <v>37336</v>
      </c>
      <c r="K2097" t="s">
        <v>1124</v>
      </c>
      <c r="L2097" t="s">
        <v>1124</v>
      </c>
      <c r="M2097" s="1">
        <v>37336</v>
      </c>
      <c r="N2097" s="1">
        <v>37336</v>
      </c>
      <c r="O2097" t="s">
        <v>1117</v>
      </c>
      <c r="P2097">
        <v>1</v>
      </c>
      <c r="Q2097" t="s">
        <v>2662</v>
      </c>
      <c r="R2097">
        <f t="shared" si="65"/>
        <v>12</v>
      </c>
      <c r="S2097">
        <f t="shared" si="66"/>
        <v>1</v>
      </c>
    </row>
    <row r="2098" spans="1:19" x14ac:dyDescent="0.25">
      <c r="A2098" t="s">
        <v>3223</v>
      </c>
      <c r="B2098" t="s">
        <v>1199</v>
      </c>
      <c r="C2098">
        <v>4</v>
      </c>
      <c r="D2098">
        <v>908</v>
      </c>
      <c r="E2098">
        <v>4970</v>
      </c>
      <c r="F2098">
        <v>73.436000000000007</v>
      </c>
      <c r="G2098">
        <v>39.829000000000001</v>
      </c>
      <c r="H2098" t="s">
        <v>2661</v>
      </c>
      <c r="I2098" s="1">
        <v>37159</v>
      </c>
      <c r="J2098" s="1">
        <v>37336</v>
      </c>
      <c r="K2098" s="1">
        <v>37338</v>
      </c>
      <c r="L2098" s="1">
        <v>37338</v>
      </c>
      <c r="M2098" s="1">
        <v>37338</v>
      </c>
      <c r="N2098" s="1">
        <v>37354</v>
      </c>
      <c r="O2098" t="s">
        <v>1117</v>
      </c>
      <c r="P2098">
        <v>2</v>
      </c>
      <c r="Q2098" t="s">
        <v>2662</v>
      </c>
      <c r="R2098">
        <f t="shared" si="65"/>
        <v>15</v>
      </c>
      <c r="S2098">
        <f t="shared" si="66"/>
        <v>0</v>
      </c>
    </row>
    <row r="2099" spans="1:19" x14ac:dyDescent="0.25">
      <c r="A2099" t="s">
        <v>3224</v>
      </c>
      <c r="B2099" t="s">
        <v>1199</v>
      </c>
      <c r="C2099">
        <v>8</v>
      </c>
      <c r="D2099">
        <v>1100</v>
      </c>
      <c r="E2099">
        <v>4500</v>
      </c>
      <c r="F2099">
        <v>165.24299999999999</v>
      </c>
      <c r="G2099">
        <v>165.24299999999999</v>
      </c>
      <c r="H2099" t="s">
        <v>3027</v>
      </c>
      <c r="I2099" s="1">
        <v>37105</v>
      </c>
      <c r="J2099" s="1">
        <v>37337</v>
      </c>
      <c r="K2099" s="1">
        <v>37342</v>
      </c>
      <c r="L2099" s="1">
        <v>37342</v>
      </c>
      <c r="M2099" s="1">
        <v>37342</v>
      </c>
      <c r="N2099" s="1">
        <v>37342</v>
      </c>
      <c r="O2099" t="s">
        <v>1117</v>
      </c>
      <c r="P2099">
        <v>4</v>
      </c>
      <c r="Q2099" t="s">
        <v>2855</v>
      </c>
      <c r="R2099">
        <f t="shared" si="65"/>
        <v>13</v>
      </c>
      <c r="S2099">
        <f t="shared" si="66"/>
        <v>1</v>
      </c>
    </row>
    <row r="2100" spans="1:19" x14ac:dyDescent="0.25">
      <c r="A2100" t="s">
        <v>3225</v>
      </c>
      <c r="B2100" t="s">
        <v>1199</v>
      </c>
      <c r="C2100">
        <v>4</v>
      </c>
      <c r="D2100">
        <v>908</v>
      </c>
      <c r="E2100">
        <v>4970</v>
      </c>
      <c r="F2100">
        <v>107</v>
      </c>
      <c r="G2100">
        <v>107</v>
      </c>
      <c r="H2100" t="s">
        <v>2661</v>
      </c>
      <c r="I2100" s="1">
        <v>37159</v>
      </c>
      <c r="J2100" s="1">
        <v>37337</v>
      </c>
      <c r="K2100" s="1">
        <v>37354</v>
      </c>
      <c r="L2100" s="1">
        <v>37354</v>
      </c>
      <c r="M2100" s="1">
        <v>37354</v>
      </c>
      <c r="N2100" s="1">
        <v>37354</v>
      </c>
      <c r="O2100" t="s">
        <v>1117</v>
      </c>
      <c r="P2100">
        <v>13</v>
      </c>
      <c r="Q2100" t="s">
        <v>2662</v>
      </c>
      <c r="R2100">
        <f t="shared" si="65"/>
        <v>15</v>
      </c>
      <c r="S2100">
        <f t="shared" si="66"/>
        <v>1</v>
      </c>
    </row>
    <row r="2101" spans="1:19" x14ac:dyDescent="0.25">
      <c r="A2101" t="s">
        <v>3226</v>
      </c>
      <c r="B2101" t="s">
        <v>1199</v>
      </c>
      <c r="C2101">
        <v>8</v>
      </c>
      <c r="D2101">
        <v>1250</v>
      </c>
      <c r="E2101">
        <v>4890</v>
      </c>
      <c r="F2101">
        <v>150</v>
      </c>
      <c r="G2101">
        <v>150</v>
      </c>
      <c r="H2101" t="s">
        <v>3027</v>
      </c>
      <c r="I2101" s="1">
        <v>37343</v>
      </c>
      <c r="J2101" s="1">
        <v>37384</v>
      </c>
      <c r="K2101" t="s">
        <v>1124</v>
      </c>
      <c r="L2101" t="s">
        <v>1124</v>
      </c>
      <c r="M2101" t="s">
        <v>1124</v>
      </c>
      <c r="N2101" s="1">
        <v>37369</v>
      </c>
      <c r="O2101" t="s">
        <v>1117</v>
      </c>
      <c r="P2101">
        <v>1</v>
      </c>
      <c r="Q2101" t="s">
        <v>2855</v>
      </c>
      <c r="R2101">
        <f t="shared" si="65"/>
        <v>17</v>
      </c>
      <c r="S2101">
        <f t="shared" si="66"/>
        <v>0</v>
      </c>
    </row>
    <row r="2102" spans="1:19" x14ac:dyDescent="0.25">
      <c r="A2102" t="s">
        <v>3227</v>
      </c>
      <c r="B2102" t="s">
        <v>3521</v>
      </c>
      <c r="C2102">
        <v>8</v>
      </c>
      <c r="D2102">
        <v>1100</v>
      </c>
      <c r="E2102">
        <v>4500</v>
      </c>
      <c r="F2102">
        <v>191</v>
      </c>
      <c r="G2102">
        <v>191</v>
      </c>
      <c r="H2102" t="s">
        <v>3027</v>
      </c>
      <c r="I2102" s="1">
        <v>37133</v>
      </c>
      <c r="J2102" s="1">
        <v>37337</v>
      </c>
      <c r="K2102" s="1">
        <v>37339</v>
      </c>
      <c r="L2102" s="1">
        <v>37339</v>
      </c>
      <c r="M2102" s="1">
        <v>37339</v>
      </c>
      <c r="N2102" s="1">
        <v>37342</v>
      </c>
      <c r="O2102" t="s">
        <v>1117</v>
      </c>
      <c r="P2102">
        <v>16</v>
      </c>
      <c r="Q2102" t="s">
        <v>2855</v>
      </c>
      <c r="R2102">
        <f t="shared" si="65"/>
        <v>13</v>
      </c>
      <c r="S2102">
        <f t="shared" si="66"/>
        <v>1</v>
      </c>
    </row>
    <row r="2103" spans="1:19" x14ac:dyDescent="0.25">
      <c r="A2103" t="s">
        <v>3228</v>
      </c>
      <c r="B2103" t="s">
        <v>4028</v>
      </c>
      <c r="C2103">
        <v>4</v>
      </c>
      <c r="D2103">
        <v>908</v>
      </c>
      <c r="E2103">
        <v>4970</v>
      </c>
      <c r="F2103">
        <v>92.436999999999998</v>
      </c>
      <c r="G2103">
        <v>92.436999999999998</v>
      </c>
      <c r="H2103" t="s">
        <v>2661</v>
      </c>
      <c r="I2103" s="1">
        <v>37159</v>
      </c>
      <c r="J2103" s="1">
        <v>37337</v>
      </c>
      <c r="K2103" s="1">
        <v>37347</v>
      </c>
      <c r="L2103" s="1">
        <v>37347</v>
      </c>
      <c r="M2103" s="1">
        <v>37354</v>
      </c>
      <c r="N2103" s="1">
        <v>37354</v>
      </c>
      <c r="O2103" t="s">
        <v>1117</v>
      </c>
      <c r="P2103">
        <v>2</v>
      </c>
      <c r="Q2103" t="s">
        <v>2662</v>
      </c>
      <c r="R2103">
        <f t="shared" si="65"/>
        <v>15</v>
      </c>
      <c r="S2103">
        <f t="shared" si="66"/>
        <v>1</v>
      </c>
    </row>
    <row r="2104" spans="1:19" x14ac:dyDescent="0.25">
      <c r="A2104" t="s">
        <v>3229</v>
      </c>
      <c r="B2104" t="s">
        <v>1199</v>
      </c>
      <c r="C2104">
        <v>8</v>
      </c>
      <c r="D2104">
        <v>1100</v>
      </c>
      <c r="E2104">
        <v>4500</v>
      </c>
      <c r="F2104">
        <v>165.24299999999999</v>
      </c>
      <c r="G2104">
        <v>14.561999999999999</v>
      </c>
      <c r="H2104" t="s">
        <v>3027</v>
      </c>
      <c r="I2104" s="1">
        <v>37159</v>
      </c>
      <c r="J2104" s="1">
        <v>37337</v>
      </c>
      <c r="K2104" s="1">
        <v>37342</v>
      </c>
      <c r="L2104" s="1">
        <v>37342</v>
      </c>
      <c r="M2104" s="1">
        <v>37342</v>
      </c>
      <c r="N2104" s="1">
        <v>37342</v>
      </c>
      <c r="O2104" t="s">
        <v>1117</v>
      </c>
      <c r="P2104">
        <v>4</v>
      </c>
      <c r="Q2104" t="s">
        <v>2855</v>
      </c>
      <c r="R2104">
        <f t="shared" si="65"/>
        <v>13</v>
      </c>
      <c r="S2104">
        <f t="shared" si="66"/>
        <v>0</v>
      </c>
    </row>
    <row r="2105" spans="1:19" x14ac:dyDescent="0.25">
      <c r="A2105" t="s">
        <v>3230</v>
      </c>
      <c r="B2105" t="s">
        <v>4026</v>
      </c>
      <c r="C2105">
        <v>8</v>
      </c>
      <c r="D2105">
        <v>1100</v>
      </c>
      <c r="E2105">
        <v>4500</v>
      </c>
      <c r="F2105">
        <v>190</v>
      </c>
      <c r="G2105">
        <v>147.23599999999999</v>
      </c>
      <c r="H2105" t="s">
        <v>3027</v>
      </c>
      <c r="I2105" s="1">
        <v>37159</v>
      </c>
      <c r="J2105" s="1">
        <v>37325</v>
      </c>
      <c r="K2105" s="1">
        <v>37328</v>
      </c>
      <c r="L2105" s="1">
        <v>37328</v>
      </c>
      <c r="M2105" s="1">
        <v>37329</v>
      </c>
      <c r="N2105" s="1">
        <v>37342</v>
      </c>
      <c r="O2105" t="s">
        <v>1117</v>
      </c>
      <c r="P2105">
        <v>16</v>
      </c>
      <c r="Q2105" t="s">
        <v>2855</v>
      </c>
      <c r="R2105">
        <f t="shared" si="65"/>
        <v>13</v>
      </c>
      <c r="S2105">
        <f t="shared" si="66"/>
        <v>0</v>
      </c>
    </row>
    <row r="2106" spans="1:19" x14ac:dyDescent="0.25">
      <c r="A2106" t="s">
        <v>3231</v>
      </c>
      <c r="B2106" t="s">
        <v>1199</v>
      </c>
      <c r="C2106">
        <v>3</v>
      </c>
      <c r="D2106">
        <v>865</v>
      </c>
      <c r="E2106">
        <v>3500</v>
      </c>
      <c r="F2106">
        <v>3.6539999999999999</v>
      </c>
      <c r="G2106">
        <v>3.6539999999999999</v>
      </c>
      <c r="H2106" t="s">
        <v>2661</v>
      </c>
      <c r="I2106" s="1">
        <v>37122</v>
      </c>
      <c r="J2106" s="1">
        <v>37314</v>
      </c>
      <c r="K2106" s="1">
        <v>37335</v>
      </c>
      <c r="L2106" s="1">
        <v>37335</v>
      </c>
      <c r="M2106" s="1">
        <v>37335</v>
      </c>
      <c r="N2106" s="1">
        <v>37335</v>
      </c>
      <c r="O2106" t="s">
        <v>1117</v>
      </c>
      <c r="P2106">
        <v>2</v>
      </c>
      <c r="Q2106" t="s">
        <v>2662</v>
      </c>
      <c r="R2106">
        <f t="shared" si="65"/>
        <v>12</v>
      </c>
      <c r="S2106">
        <f t="shared" si="66"/>
        <v>1</v>
      </c>
    </row>
    <row r="2107" spans="1:19" x14ac:dyDescent="0.25">
      <c r="A2107" t="s">
        <v>3232</v>
      </c>
      <c r="B2107" t="s">
        <v>1199</v>
      </c>
      <c r="C2107">
        <v>3</v>
      </c>
      <c r="D2107">
        <v>1250</v>
      </c>
      <c r="E2107">
        <v>2500</v>
      </c>
      <c r="F2107">
        <v>5</v>
      </c>
      <c r="G2107">
        <v>5</v>
      </c>
      <c r="H2107" t="s">
        <v>2661</v>
      </c>
      <c r="I2107" s="1">
        <v>37159</v>
      </c>
      <c r="J2107" s="1">
        <v>37325</v>
      </c>
      <c r="K2107" s="1">
        <v>37375</v>
      </c>
      <c r="L2107" s="1">
        <v>37375</v>
      </c>
      <c r="M2107" s="1">
        <v>37359</v>
      </c>
      <c r="N2107" s="1">
        <v>37359</v>
      </c>
      <c r="O2107" t="s">
        <v>1117</v>
      </c>
      <c r="P2107">
        <v>4</v>
      </c>
      <c r="Q2107" t="s">
        <v>2662</v>
      </c>
      <c r="R2107">
        <f t="shared" si="65"/>
        <v>15</v>
      </c>
      <c r="S2107">
        <f t="shared" si="66"/>
        <v>1</v>
      </c>
    </row>
    <row r="2108" spans="1:19" x14ac:dyDescent="0.25">
      <c r="A2108" t="s">
        <v>3233</v>
      </c>
      <c r="B2108" t="s">
        <v>1199</v>
      </c>
      <c r="C2108">
        <v>6</v>
      </c>
      <c r="D2108">
        <v>1250</v>
      </c>
      <c r="E2108">
        <v>6000</v>
      </c>
      <c r="F2108">
        <v>25</v>
      </c>
      <c r="G2108">
        <v>25</v>
      </c>
      <c r="H2108" t="s">
        <v>2661</v>
      </c>
      <c r="I2108" s="1">
        <v>37159</v>
      </c>
      <c r="J2108" s="1">
        <v>37325</v>
      </c>
      <c r="K2108" s="1">
        <v>37347</v>
      </c>
      <c r="L2108" s="1">
        <v>37347</v>
      </c>
      <c r="M2108" s="1">
        <v>37347</v>
      </c>
      <c r="N2108" s="1">
        <v>37351</v>
      </c>
      <c r="O2108" t="s">
        <v>1117</v>
      </c>
      <c r="P2108">
        <v>2</v>
      </c>
      <c r="Q2108" t="s">
        <v>2662</v>
      </c>
      <c r="R2108">
        <f t="shared" si="65"/>
        <v>14</v>
      </c>
      <c r="S2108">
        <f t="shared" si="66"/>
        <v>1</v>
      </c>
    </row>
    <row r="2109" spans="1:19" x14ac:dyDescent="0.25">
      <c r="A2109" t="s">
        <v>3234</v>
      </c>
      <c r="B2109" t="s">
        <v>1199</v>
      </c>
      <c r="C2109">
        <v>4</v>
      </c>
      <c r="D2109">
        <v>1250</v>
      </c>
      <c r="E2109">
        <v>2500</v>
      </c>
      <c r="F2109">
        <v>13</v>
      </c>
      <c r="G2109">
        <v>13</v>
      </c>
      <c r="H2109" t="s">
        <v>2661</v>
      </c>
      <c r="I2109" s="1">
        <v>37110</v>
      </c>
      <c r="J2109" s="1">
        <v>37324</v>
      </c>
      <c r="K2109" s="1">
        <v>37331</v>
      </c>
      <c r="L2109" s="1">
        <v>37331</v>
      </c>
      <c r="M2109" s="1">
        <v>37331</v>
      </c>
      <c r="N2109" s="1">
        <v>37351</v>
      </c>
      <c r="O2109" t="s">
        <v>1117</v>
      </c>
      <c r="P2109">
        <v>7</v>
      </c>
      <c r="Q2109" t="s">
        <v>2662</v>
      </c>
      <c r="R2109">
        <f t="shared" si="65"/>
        <v>14</v>
      </c>
      <c r="S2109">
        <f t="shared" si="66"/>
        <v>1</v>
      </c>
    </row>
    <row r="2110" spans="1:19" x14ac:dyDescent="0.25">
      <c r="A2110" t="s">
        <v>3235</v>
      </c>
      <c r="B2110" t="s">
        <v>4027</v>
      </c>
      <c r="C2110">
        <v>3</v>
      </c>
      <c r="D2110">
        <v>1250</v>
      </c>
      <c r="E2110">
        <v>5000</v>
      </c>
      <c r="F2110">
        <v>8</v>
      </c>
      <c r="G2110">
        <v>4.0449999999999999</v>
      </c>
      <c r="H2110" t="s">
        <v>2661</v>
      </c>
      <c r="I2110" s="1">
        <v>37159</v>
      </c>
      <c r="J2110" s="1">
        <v>37325</v>
      </c>
      <c r="K2110" s="1">
        <v>37375</v>
      </c>
      <c r="L2110" s="1">
        <v>37375</v>
      </c>
      <c r="M2110" s="1">
        <v>37359</v>
      </c>
      <c r="N2110" s="1">
        <v>37359</v>
      </c>
      <c r="O2110" t="s">
        <v>1117</v>
      </c>
      <c r="P2110">
        <v>1</v>
      </c>
      <c r="Q2110" t="s">
        <v>2662</v>
      </c>
      <c r="R2110">
        <f t="shared" si="65"/>
        <v>15</v>
      </c>
      <c r="S2110">
        <f t="shared" si="66"/>
        <v>0</v>
      </c>
    </row>
    <row r="2111" spans="1:19" x14ac:dyDescent="0.25">
      <c r="A2111" t="s">
        <v>3236</v>
      </c>
      <c r="B2111" t="s">
        <v>1199</v>
      </c>
      <c r="C2111">
        <v>5</v>
      </c>
      <c r="D2111">
        <v>1250</v>
      </c>
      <c r="E2111">
        <v>5000</v>
      </c>
      <c r="F2111">
        <v>5</v>
      </c>
      <c r="G2111">
        <v>5</v>
      </c>
      <c r="H2111" t="s">
        <v>2661</v>
      </c>
      <c r="I2111" s="1">
        <v>37159</v>
      </c>
      <c r="J2111" s="1">
        <v>37325</v>
      </c>
      <c r="K2111" s="1">
        <v>37352</v>
      </c>
      <c r="L2111" s="1">
        <v>37352</v>
      </c>
      <c r="M2111" s="1">
        <v>37352</v>
      </c>
      <c r="N2111" s="1">
        <v>37352</v>
      </c>
      <c r="O2111" t="s">
        <v>1117</v>
      </c>
      <c r="P2111">
        <v>4</v>
      </c>
      <c r="Q2111" t="s">
        <v>2662</v>
      </c>
      <c r="R2111">
        <f t="shared" si="65"/>
        <v>14</v>
      </c>
      <c r="S2111">
        <f t="shared" si="66"/>
        <v>1</v>
      </c>
    </row>
    <row r="2112" spans="1:19" x14ac:dyDescent="0.25">
      <c r="A2112" t="s">
        <v>3237</v>
      </c>
      <c r="B2112" t="s">
        <v>4028</v>
      </c>
      <c r="C2112">
        <v>5</v>
      </c>
      <c r="D2112">
        <v>1250</v>
      </c>
      <c r="E2112">
        <v>6000</v>
      </c>
      <c r="F2112">
        <v>8</v>
      </c>
      <c r="G2112">
        <v>8</v>
      </c>
      <c r="H2112" t="s">
        <v>2661</v>
      </c>
      <c r="I2112" s="1">
        <v>37159</v>
      </c>
      <c r="J2112" s="1">
        <v>37325</v>
      </c>
      <c r="K2112" s="1">
        <v>37352</v>
      </c>
      <c r="L2112" s="1">
        <v>37352</v>
      </c>
      <c r="M2112" s="1">
        <v>37352</v>
      </c>
      <c r="N2112" s="1">
        <v>37352</v>
      </c>
      <c r="O2112" t="s">
        <v>1117</v>
      </c>
      <c r="P2112">
        <v>2</v>
      </c>
      <c r="Q2112" t="s">
        <v>2662</v>
      </c>
      <c r="R2112">
        <f t="shared" si="65"/>
        <v>14</v>
      </c>
      <c r="S2112">
        <f t="shared" si="66"/>
        <v>1</v>
      </c>
    </row>
    <row r="2113" spans="1:19" x14ac:dyDescent="0.25">
      <c r="A2113" t="s">
        <v>3238</v>
      </c>
      <c r="B2113" t="s">
        <v>4027</v>
      </c>
      <c r="C2113">
        <v>5</v>
      </c>
      <c r="D2113">
        <v>1250</v>
      </c>
      <c r="E2113">
        <v>2500</v>
      </c>
      <c r="F2113">
        <v>15</v>
      </c>
      <c r="G2113">
        <v>15</v>
      </c>
      <c r="H2113" t="s">
        <v>2661</v>
      </c>
      <c r="I2113" s="1">
        <v>37159</v>
      </c>
      <c r="J2113" s="1">
        <v>37325</v>
      </c>
      <c r="K2113" s="1">
        <v>37347</v>
      </c>
      <c r="L2113" s="1">
        <v>37347</v>
      </c>
      <c r="M2113" s="1">
        <v>37347</v>
      </c>
      <c r="N2113" s="1">
        <v>37352</v>
      </c>
      <c r="O2113" t="s">
        <v>1117</v>
      </c>
      <c r="P2113">
        <v>4</v>
      </c>
      <c r="Q2113" t="s">
        <v>2662</v>
      </c>
      <c r="R2113">
        <f t="shared" si="65"/>
        <v>14</v>
      </c>
      <c r="S2113">
        <f t="shared" si="66"/>
        <v>1</v>
      </c>
    </row>
    <row r="2114" spans="1:19" x14ac:dyDescent="0.25">
      <c r="A2114" t="s">
        <v>3239</v>
      </c>
      <c r="B2114" t="s">
        <v>1199</v>
      </c>
      <c r="C2114">
        <v>3</v>
      </c>
      <c r="D2114">
        <v>1250</v>
      </c>
      <c r="E2114">
        <v>5000</v>
      </c>
      <c r="F2114">
        <v>15</v>
      </c>
      <c r="G2114">
        <v>15</v>
      </c>
      <c r="H2114" t="s">
        <v>2661</v>
      </c>
      <c r="I2114" s="1">
        <v>37159</v>
      </c>
      <c r="J2114" s="1">
        <v>37325</v>
      </c>
      <c r="K2114" t="s">
        <v>1124</v>
      </c>
      <c r="L2114" t="s">
        <v>1124</v>
      </c>
      <c r="M2114" s="1">
        <v>37354</v>
      </c>
      <c r="N2114" s="1">
        <v>37359</v>
      </c>
      <c r="O2114" t="s">
        <v>1117</v>
      </c>
      <c r="P2114">
        <v>3</v>
      </c>
      <c r="Q2114" t="s">
        <v>2662</v>
      </c>
      <c r="R2114">
        <f t="shared" si="65"/>
        <v>15</v>
      </c>
      <c r="S2114">
        <f t="shared" si="66"/>
        <v>1</v>
      </c>
    </row>
    <row r="2115" spans="1:19" x14ac:dyDescent="0.25">
      <c r="A2115" t="s">
        <v>3240</v>
      </c>
      <c r="B2115" t="s">
        <v>4028</v>
      </c>
      <c r="C2115">
        <v>6</v>
      </c>
      <c r="D2115">
        <v>1250</v>
      </c>
      <c r="E2115">
        <v>6000</v>
      </c>
      <c r="F2115">
        <v>5</v>
      </c>
      <c r="G2115">
        <v>5</v>
      </c>
      <c r="H2115" t="s">
        <v>2661</v>
      </c>
      <c r="I2115" s="1">
        <v>37159</v>
      </c>
      <c r="J2115" s="1">
        <v>37325</v>
      </c>
      <c r="K2115" s="1">
        <v>37353</v>
      </c>
      <c r="L2115" s="1">
        <v>37353</v>
      </c>
      <c r="M2115" s="1">
        <v>37351</v>
      </c>
      <c r="N2115" s="1">
        <v>37351</v>
      </c>
      <c r="O2115" t="s">
        <v>1117</v>
      </c>
      <c r="P2115">
        <v>1</v>
      </c>
      <c r="Q2115" t="s">
        <v>2662</v>
      </c>
      <c r="R2115">
        <f t="shared" ref="R2115:R2178" si="67">WEEKNUM(N2115,1)</f>
        <v>14</v>
      </c>
      <c r="S2115">
        <f t="shared" ref="S2115:S2178" si="68">IF(AND(F2115=G2115, M2115&lt;=N2115), 1,0)</f>
        <v>1</v>
      </c>
    </row>
    <row r="2116" spans="1:19" x14ac:dyDescent="0.25">
      <c r="A2116" t="s">
        <v>3241</v>
      </c>
      <c r="B2116" t="s">
        <v>1199</v>
      </c>
      <c r="C2116">
        <v>3</v>
      </c>
      <c r="D2116">
        <v>1250</v>
      </c>
      <c r="E2116">
        <v>5000</v>
      </c>
      <c r="F2116">
        <v>22</v>
      </c>
      <c r="G2116">
        <v>22</v>
      </c>
      <c r="H2116" t="s">
        <v>2661</v>
      </c>
      <c r="I2116" s="1">
        <v>37159</v>
      </c>
      <c r="J2116" s="1">
        <v>37325</v>
      </c>
      <c r="K2116" s="1">
        <v>37327</v>
      </c>
      <c r="L2116" s="1">
        <v>37327</v>
      </c>
      <c r="M2116" s="1">
        <v>37332</v>
      </c>
      <c r="N2116" s="1">
        <v>37359</v>
      </c>
      <c r="O2116" t="s">
        <v>1117</v>
      </c>
      <c r="P2116">
        <v>3</v>
      </c>
      <c r="Q2116" t="s">
        <v>2662</v>
      </c>
      <c r="R2116">
        <f t="shared" si="67"/>
        <v>15</v>
      </c>
      <c r="S2116">
        <f t="shared" si="68"/>
        <v>1</v>
      </c>
    </row>
    <row r="2117" spans="1:19" x14ac:dyDescent="0.25">
      <c r="A2117" t="s">
        <v>3242</v>
      </c>
      <c r="B2117" t="s">
        <v>1199</v>
      </c>
      <c r="C2117">
        <v>5</v>
      </c>
      <c r="D2117">
        <v>1250</v>
      </c>
      <c r="E2117">
        <v>2500</v>
      </c>
      <c r="F2117">
        <v>22</v>
      </c>
      <c r="G2117">
        <v>3.6179999999999999</v>
      </c>
      <c r="H2117" t="s">
        <v>2661</v>
      </c>
      <c r="I2117" s="1">
        <v>37159</v>
      </c>
      <c r="J2117" s="1">
        <v>37325</v>
      </c>
      <c r="K2117" s="1">
        <v>37328</v>
      </c>
      <c r="L2117" s="1">
        <v>37328</v>
      </c>
      <c r="M2117" s="1">
        <v>37328</v>
      </c>
      <c r="N2117" s="1">
        <v>37352</v>
      </c>
      <c r="O2117" t="s">
        <v>1117</v>
      </c>
      <c r="P2117">
        <v>4</v>
      </c>
      <c r="Q2117" t="s">
        <v>2662</v>
      </c>
      <c r="R2117">
        <f t="shared" si="67"/>
        <v>14</v>
      </c>
      <c r="S2117">
        <f t="shared" si="68"/>
        <v>0</v>
      </c>
    </row>
    <row r="2118" spans="1:19" x14ac:dyDescent="0.25">
      <c r="A2118" t="s">
        <v>3243</v>
      </c>
      <c r="B2118" t="s">
        <v>1199</v>
      </c>
      <c r="C2118">
        <v>3</v>
      </c>
      <c r="D2118">
        <v>1250</v>
      </c>
      <c r="E2118">
        <v>5000</v>
      </c>
      <c r="F2118">
        <v>5</v>
      </c>
      <c r="G2118">
        <v>5</v>
      </c>
      <c r="H2118" t="s">
        <v>2661</v>
      </c>
      <c r="I2118" s="1">
        <v>37159</v>
      </c>
      <c r="J2118" s="1">
        <v>37325</v>
      </c>
      <c r="K2118" s="1">
        <v>37375</v>
      </c>
      <c r="L2118" s="1">
        <v>37375</v>
      </c>
      <c r="M2118" s="1">
        <v>37359</v>
      </c>
      <c r="N2118" s="1">
        <v>37359</v>
      </c>
      <c r="O2118" t="s">
        <v>1117</v>
      </c>
      <c r="P2118">
        <v>5</v>
      </c>
      <c r="Q2118" t="s">
        <v>2662</v>
      </c>
      <c r="R2118">
        <f t="shared" si="67"/>
        <v>15</v>
      </c>
      <c r="S2118">
        <f t="shared" si="68"/>
        <v>1</v>
      </c>
    </row>
    <row r="2119" spans="1:19" x14ac:dyDescent="0.25">
      <c r="A2119" t="s">
        <v>3244</v>
      </c>
      <c r="B2119" t="s">
        <v>4026</v>
      </c>
      <c r="C2119">
        <v>6</v>
      </c>
      <c r="D2119">
        <v>1250</v>
      </c>
      <c r="E2119">
        <v>6000</v>
      </c>
      <c r="F2119">
        <v>5</v>
      </c>
      <c r="G2119">
        <v>5</v>
      </c>
      <c r="H2119" t="s">
        <v>2661</v>
      </c>
      <c r="I2119" s="1">
        <v>37159</v>
      </c>
      <c r="J2119" s="1">
        <v>37325</v>
      </c>
      <c r="K2119" s="1">
        <v>37353</v>
      </c>
      <c r="L2119" s="1">
        <v>37353</v>
      </c>
      <c r="M2119" s="1">
        <v>37351</v>
      </c>
      <c r="N2119" s="1">
        <v>37351</v>
      </c>
      <c r="O2119" t="s">
        <v>1117</v>
      </c>
      <c r="P2119">
        <v>3</v>
      </c>
      <c r="Q2119" t="s">
        <v>2662</v>
      </c>
      <c r="R2119">
        <f t="shared" si="67"/>
        <v>14</v>
      </c>
      <c r="S2119">
        <f t="shared" si="68"/>
        <v>1</v>
      </c>
    </row>
    <row r="2120" spans="1:19" x14ac:dyDescent="0.25">
      <c r="A2120" t="s">
        <v>3245</v>
      </c>
      <c r="B2120" t="s">
        <v>1199</v>
      </c>
      <c r="C2120">
        <v>3</v>
      </c>
      <c r="D2120">
        <v>1250</v>
      </c>
      <c r="E2120">
        <v>2500</v>
      </c>
      <c r="F2120">
        <v>17</v>
      </c>
      <c r="G2120">
        <v>7.9509999999999996</v>
      </c>
      <c r="H2120" t="s">
        <v>2661</v>
      </c>
      <c r="I2120" s="1">
        <v>37159</v>
      </c>
      <c r="J2120" s="1">
        <v>37325</v>
      </c>
      <c r="K2120" s="1">
        <v>37375</v>
      </c>
      <c r="L2120" s="1">
        <v>37375</v>
      </c>
      <c r="M2120" s="1">
        <v>37359</v>
      </c>
      <c r="N2120" s="1">
        <v>37359</v>
      </c>
      <c r="O2120" t="s">
        <v>1117</v>
      </c>
      <c r="P2120">
        <v>1</v>
      </c>
      <c r="Q2120" t="s">
        <v>2662</v>
      </c>
      <c r="R2120">
        <f t="shared" si="67"/>
        <v>15</v>
      </c>
      <c r="S2120">
        <f t="shared" si="68"/>
        <v>0</v>
      </c>
    </row>
    <row r="2121" spans="1:19" x14ac:dyDescent="0.25">
      <c r="A2121" t="s">
        <v>3246</v>
      </c>
      <c r="B2121" t="s">
        <v>1199</v>
      </c>
      <c r="C2121">
        <v>5</v>
      </c>
      <c r="D2121">
        <v>1250</v>
      </c>
      <c r="E2121">
        <v>2500</v>
      </c>
      <c r="F2121">
        <v>5</v>
      </c>
      <c r="G2121">
        <v>5</v>
      </c>
      <c r="H2121" t="s">
        <v>2661</v>
      </c>
      <c r="I2121" s="1">
        <v>37159</v>
      </c>
      <c r="J2121" s="1">
        <v>37325</v>
      </c>
      <c r="K2121" s="1">
        <v>37352</v>
      </c>
      <c r="L2121" s="1">
        <v>37352</v>
      </c>
      <c r="M2121" s="1">
        <v>37352</v>
      </c>
      <c r="N2121" s="1">
        <v>37352</v>
      </c>
      <c r="O2121" t="s">
        <v>1117</v>
      </c>
      <c r="P2121">
        <v>4</v>
      </c>
      <c r="Q2121" t="s">
        <v>2662</v>
      </c>
      <c r="R2121">
        <f t="shared" si="67"/>
        <v>14</v>
      </c>
      <c r="S2121">
        <f t="shared" si="68"/>
        <v>1</v>
      </c>
    </row>
    <row r="2122" spans="1:19" x14ac:dyDescent="0.25">
      <c r="A2122" t="s">
        <v>3247</v>
      </c>
      <c r="B2122" t="s">
        <v>4028</v>
      </c>
      <c r="C2122">
        <v>5</v>
      </c>
      <c r="D2122">
        <v>1250</v>
      </c>
      <c r="E2122">
        <v>2500</v>
      </c>
      <c r="F2122">
        <v>5</v>
      </c>
      <c r="G2122">
        <v>5</v>
      </c>
      <c r="H2122" t="s">
        <v>2661</v>
      </c>
      <c r="I2122" s="1">
        <v>37159</v>
      </c>
      <c r="J2122" s="1">
        <v>37325</v>
      </c>
      <c r="K2122" s="1">
        <v>37352</v>
      </c>
      <c r="L2122" s="1">
        <v>37352</v>
      </c>
      <c r="M2122" s="1">
        <v>37352</v>
      </c>
      <c r="N2122" s="1">
        <v>37352</v>
      </c>
      <c r="O2122" t="s">
        <v>1117</v>
      </c>
      <c r="P2122">
        <v>5</v>
      </c>
      <c r="Q2122" t="s">
        <v>2662</v>
      </c>
      <c r="R2122">
        <f t="shared" si="67"/>
        <v>14</v>
      </c>
      <c r="S2122">
        <f t="shared" si="68"/>
        <v>1</v>
      </c>
    </row>
    <row r="2123" spans="1:19" x14ac:dyDescent="0.25">
      <c r="A2123" t="s">
        <v>3248</v>
      </c>
      <c r="B2123" t="s">
        <v>3521</v>
      </c>
      <c r="C2123">
        <v>3</v>
      </c>
      <c r="D2123">
        <v>1250</v>
      </c>
      <c r="E2123">
        <v>2500</v>
      </c>
      <c r="F2123">
        <v>41</v>
      </c>
      <c r="G2123">
        <v>41</v>
      </c>
      <c r="H2123" t="s">
        <v>2661</v>
      </c>
      <c r="I2123" s="1">
        <v>37159</v>
      </c>
      <c r="J2123" s="1">
        <v>37325</v>
      </c>
      <c r="K2123" s="1">
        <v>37327</v>
      </c>
      <c r="L2123" s="1">
        <v>37327</v>
      </c>
      <c r="M2123" s="1">
        <v>37330</v>
      </c>
      <c r="N2123" s="1">
        <v>37359</v>
      </c>
      <c r="O2123" t="s">
        <v>1117</v>
      </c>
      <c r="P2123">
        <v>1</v>
      </c>
      <c r="Q2123" t="s">
        <v>2662</v>
      </c>
      <c r="R2123">
        <f t="shared" si="67"/>
        <v>15</v>
      </c>
      <c r="S2123">
        <f t="shared" si="68"/>
        <v>1</v>
      </c>
    </row>
    <row r="2124" spans="1:19" x14ac:dyDescent="0.25">
      <c r="A2124" t="s">
        <v>3249</v>
      </c>
      <c r="B2124" t="s">
        <v>4027</v>
      </c>
      <c r="C2124">
        <v>4</v>
      </c>
      <c r="D2124">
        <v>1250</v>
      </c>
      <c r="E2124">
        <v>2500</v>
      </c>
      <c r="F2124">
        <v>43</v>
      </c>
      <c r="G2124">
        <v>35.848999999999997</v>
      </c>
      <c r="H2124" t="s">
        <v>2661</v>
      </c>
      <c r="I2124" s="1">
        <v>37159</v>
      </c>
      <c r="J2124" s="1">
        <v>37325</v>
      </c>
      <c r="K2124" s="1">
        <v>37349</v>
      </c>
      <c r="L2124" s="1">
        <v>37349</v>
      </c>
      <c r="M2124" s="1">
        <v>37347</v>
      </c>
      <c r="N2124" s="1">
        <v>37351</v>
      </c>
      <c r="O2124" t="s">
        <v>1117</v>
      </c>
      <c r="P2124">
        <v>2</v>
      </c>
      <c r="Q2124" t="s">
        <v>2662</v>
      </c>
      <c r="R2124">
        <f t="shared" si="67"/>
        <v>14</v>
      </c>
      <c r="S2124">
        <f t="shared" si="68"/>
        <v>0</v>
      </c>
    </row>
    <row r="2125" spans="1:19" x14ac:dyDescent="0.25">
      <c r="A2125" t="s">
        <v>3250</v>
      </c>
      <c r="B2125" t="s">
        <v>1199</v>
      </c>
      <c r="C2125">
        <v>6</v>
      </c>
      <c r="D2125">
        <v>1250</v>
      </c>
      <c r="E2125">
        <v>2500</v>
      </c>
      <c r="F2125">
        <v>35</v>
      </c>
      <c r="G2125">
        <v>35</v>
      </c>
      <c r="H2125" t="s">
        <v>2661</v>
      </c>
      <c r="I2125" s="1">
        <v>37159</v>
      </c>
      <c r="J2125" s="1">
        <v>37325</v>
      </c>
      <c r="K2125" s="1">
        <v>37324</v>
      </c>
      <c r="L2125" s="1">
        <v>37325</v>
      </c>
      <c r="M2125" s="1">
        <v>37327</v>
      </c>
      <c r="N2125" s="1">
        <v>37351</v>
      </c>
      <c r="O2125" t="s">
        <v>1114</v>
      </c>
      <c r="P2125">
        <v>3</v>
      </c>
      <c r="Q2125" t="s">
        <v>2662</v>
      </c>
      <c r="R2125">
        <f t="shared" si="67"/>
        <v>14</v>
      </c>
      <c r="S2125">
        <f t="shared" si="68"/>
        <v>1</v>
      </c>
    </row>
    <row r="2126" spans="1:19" x14ac:dyDescent="0.25">
      <c r="A2126" t="s">
        <v>3251</v>
      </c>
      <c r="B2126" t="s">
        <v>4027</v>
      </c>
      <c r="C2126">
        <v>5</v>
      </c>
      <c r="D2126">
        <v>1250</v>
      </c>
      <c r="E2126">
        <v>2500</v>
      </c>
      <c r="F2126">
        <v>91</v>
      </c>
      <c r="G2126">
        <v>91</v>
      </c>
      <c r="H2126" t="s">
        <v>2661</v>
      </c>
      <c r="I2126" s="1">
        <v>37159</v>
      </c>
      <c r="J2126" s="1">
        <v>37325</v>
      </c>
      <c r="K2126" s="1">
        <v>37347</v>
      </c>
      <c r="L2126" s="1">
        <v>37347</v>
      </c>
      <c r="M2126" s="1">
        <v>37347</v>
      </c>
      <c r="N2126" s="1">
        <v>37352</v>
      </c>
      <c r="O2126" t="s">
        <v>1117</v>
      </c>
      <c r="P2126">
        <v>8</v>
      </c>
      <c r="Q2126" t="s">
        <v>2662</v>
      </c>
      <c r="R2126">
        <f t="shared" si="67"/>
        <v>14</v>
      </c>
      <c r="S2126">
        <f t="shared" si="68"/>
        <v>1</v>
      </c>
    </row>
    <row r="2127" spans="1:19" x14ac:dyDescent="0.25">
      <c r="A2127" t="s">
        <v>3252</v>
      </c>
      <c r="B2127" t="s">
        <v>4027</v>
      </c>
      <c r="C2127">
        <v>8</v>
      </c>
      <c r="D2127">
        <v>1250</v>
      </c>
      <c r="E2127">
        <v>2500</v>
      </c>
      <c r="F2127">
        <v>5</v>
      </c>
      <c r="G2127">
        <v>5</v>
      </c>
      <c r="H2127" t="s">
        <v>3027</v>
      </c>
      <c r="I2127" s="1">
        <v>37126</v>
      </c>
      <c r="J2127" s="1">
        <v>37319</v>
      </c>
      <c r="K2127" t="s">
        <v>1124</v>
      </c>
      <c r="L2127" t="s">
        <v>1124</v>
      </c>
      <c r="M2127" s="1">
        <v>37347</v>
      </c>
      <c r="N2127" s="1">
        <v>37347</v>
      </c>
      <c r="O2127" t="s">
        <v>1117</v>
      </c>
      <c r="P2127">
        <v>12</v>
      </c>
      <c r="Q2127" t="s">
        <v>2855</v>
      </c>
      <c r="R2127">
        <f t="shared" si="67"/>
        <v>14</v>
      </c>
      <c r="S2127">
        <f t="shared" si="68"/>
        <v>1</v>
      </c>
    </row>
    <row r="2128" spans="1:19" x14ac:dyDescent="0.25">
      <c r="A2128" t="s">
        <v>3253</v>
      </c>
      <c r="B2128" t="s">
        <v>4028</v>
      </c>
      <c r="C2128">
        <v>20</v>
      </c>
      <c r="D2128">
        <v>1250</v>
      </c>
      <c r="E2128">
        <v>6000</v>
      </c>
      <c r="F2128">
        <v>5</v>
      </c>
      <c r="G2128">
        <v>5</v>
      </c>
      <c r="H2128" t="s">
        <v>3027</v>
      </c>
      <c r="I2128" s="1">
        <v>37335</v>
      </c>
      <c r="J2128" s="1">
        <v>37370</v>
      </c>
      <c r="K2128" s="1">
        <v>37370</v>
      </c>
      <c r="L2128" s="1">
        <v>37370</v>
      </c>
      <c r="M2128" s="1">
        <v>37370</v>
      </c>
      <c r="N2128" s="1">
        <v>37370</v>
      </c>
      <c r="O2128" t="s">
        <v>1114</v>
      </c>
      <c r="P2128">
        <v>1</v>
      </c>
      <c r="Q2128" t="s">
        <v>2855</v>
      </c>
      <c r="R2128">
        <f t="shared" si="67"/>
        <v>17</v>
      </c>
      <c r="S2128">
        <f t="shared" si="68"/>
        <v>1</v>
      </c>
    </row>
    <row r="2129" spans="1:19" x14ac:dyDescent="0.25">
      <c r="A2129" t="s">
        <v>3254</v>
      </c>
      <c r="B2129" t="s">
        <v>1199</v>
      </c>
      <c r="C2129">
        <v>12</v>
      </c>
      <c r="D2129">
        <v>1250</v>
      </c>
      <c r="E2129">
        <v>5000</v>
      </c>
      <c r="F2129">
        <v>19</v>
      </c>
      <c r="G2129">
        <v>8.5169999999999995</v>
      </c>
      <c r="H2129" t="s">
        <v>3027</v>
      </c>
      <c r="I2129" s="1">
        <v>37098</v>
      </c>
      <c r="J2129" s="1">
        <v>37325</v>
      </c>
      <c r="K2129" t="s">
        <v>1124</v>
      </c>
      <c r="L2129" t="s">
        <v>1124</v>
      </c>
      <c r="M2129" s="1">
        <v>37337</v>
      </c>
      <c r="N2129" s="1">
        <v>37337</v>
      </c>
      <c r="O2129" t="s">
        <v>1117</v>
      </c>
      <c r="P2129">
        <v>6</v>
      </c>
      <c r="Q2129" t="s">
        <v>2855</v>
      </c>
      <c r="R2129">
        <f t="shared" si="67"/>
        <v>12</v>
      </c>
      <c r="S2129">
        <f t="shared" si="68"/>
        <v>0</v>
      </c>
    </row>
    <row r="2130" spans="1:19" x14ac:dyDescent="0.25">
      <c r="A2130" t="s">
        <v>3255</v>
      </c>
      <c r="B2130" t="s">
        <v>4027</v>
      </c>
      <c r="C2130">
        <v>5</v>
      </c>
      <c r="D2130">
        <v>1250</v>
      </c>
      <c r="E2130">
        <v>2500</v>
      </c>
      <c r="F2130">
        <v>10</v>
      </c>
      <c r="G2130">
        <v>10</v>
      </c>
      <c r="H2130" t="s">
        <v>2661</v>
      </c>
      <c r="I2130" s="1">
        <v>37116</v>
      </c>
      <c r="J2130" s="1">
        <v>37324</v>
      </c>
      <c r="K2130" s="1">
        <v>37352</v>
      </c>
      <c r="L2130" s="1">
        <v>37352</v>
      </c>
      <c r="M2130" s="1">
        <v>37352</v>
      </c>
      <c r="N2130" s="1">
        <v>37352</v>
      </c>
      <c r="O2130" t="s">
        <v>1117</v>
      </c>
      <c r="P2130">
        <v>4</v>
      </c>
      <c r="Q2130" t="s">
        <v>2662</v>
      </c>
      <c r="R2130">
        <f t="shared" si="67"/>
        <v>14</v>
      </c>
      <c r="S2130">
        <f t="shared" si="68"/>
        <v>1</v>
      </c>
    </row>
    <row r="2131" spans="1:19" x14ac:dyDescent="0.25">
      <c r="A2131" t="s">
        <v>3256</v>
      </c>
      <c r="B2131" t="s">
        <v>1199</v>
      </c>
      <c r="C2131">
        <v>20</v>
      </c>
      <c r="D2131">
        <v>1250</v>
      </c>
      <c r="E2131">
        <v>6000</v>
      </c>
      <c r="F2131">
        <v>5</v>
      </c>
      <c r="G2131">
        <v>5</v>
      </c>
      <c r="H2131" t="s">
        <v>3027</v>
      </c>
      <c r="I2131" s="1">
        <v>37335</v>
      </c>
      <c r="J2131" s="1">
        <v>37370</v>
      </c>
      <c r="K2131" s="1">
        <v>37370</v>
      </c>
      <c r="L2131" s="1">
        <v>37370</v>
      </c>
      <c r="M2131" s="1">
        <v>37370</v>
      </c>
      <c r="N2131" s="1">
        <v>37370</v>
      </c>
      <c r="O2131" t="s">
        <v>1114</v>
      </c>
      <c r="P2131">
        <v>1</v>
      </c>
      <c r="Q2131" t="s">
        <v>2855</v>
      </c>
      <c r="R2131">
        <f t="shared" si="67"/>
        <v>17</v>
      </c>
      <c r="S2131">
        <f t="shared" si="68"/>
        <v>1</v>
      </c>
    </row>
    <row r="2132" spans="1:19" x14ac:dyDescent="0.25">
      <c r="A2132" t="s">
        <v>3257</v>
      </c>
      <c r="B2132" t="s">
        <v>4028</v>
      </c>
      <c r="C2132">
        <v>40</v>
      </c>
      <c r="D2132">
        <v>1250</v>
      </c>
      <c r="E2132">
        <v>5100</v>
      </c>
      <c r="F2132">
        <v>6.4340000000000002</v>
      </c>
      <c r="G2132">
        <v>6.4340000000000002</v>
      </c>
      <c r="H2132" t="s">
        <v>3027</v>
      </c>
      <c r="I2132" s="1">
        <v>37258</v>
      </c>
      <c r="J2132" s="1">
        <v>37314</v>
      </c>
      <c r="K2132" s="1">
        <v>37323</v>
      </c>
      <c r="L2132" s="1">
        <v>37323</v>
      </c>
      <c r="M2132" s="1">
        <v>37318</v>
      </c>
      <c r="N2132" s="1">
        <v>37318</v>
      </c>
      <c r="O2132" t="s">
        <v>1117</v>
      </c>
      <c r="P2132">
        <v>2</v>
      </c>
      <c r="Q2132" t="s">
        <v>2855</v>
      </c>
      <c r="R2132">
        <f t="shared" si="67"/>
        <v>10</v>
      </c>
      <c r="S2132">
        <f t="shared" si="68"/>
        <v>1</v>
      </c>
    </row>
    <row r="2133" spans="1:19" x14ac:dyDescent="0.25">
      <c r="A2133" t="s">
        <v>3258</v>
      </c>
      <c r="B2133" t="s">
        <v>4027</v>
      </c>
      <c r="C2133">
        <v>14</v>
      </c>
      <c r="D2133">
        <v>1250</v>
      </c>
      <c r="E2133">
        <v>2500</v>
      </c>
      <c r="F2133">
        <v>33</v>
      </c>
      <c r="G2133">
        <v>23.478999999999999</v>
      </c>
      <c r="H2133" t="s">
        <v>3027</v>
      </c>
      <c r="I2133" s="1">
        <v>37159</v>
      </c>
      <c r="J2133" s="1">
        <v>37323</v>
      </c>
      <c r="K2133" s="1">
        <v>37300</v>
      </c>
      <c r="L2133" s="1">
        <v>37323</v>
      </c>
      <c r="M2133" s="1">
        <v>37276</v>
      </c>
      <c r="N2133" s="1">
        <v>37276</v>
      </c>
      <c r="O2133" t="s">
        <v>1114</v>
      </c>
      <c r="P2133">
        <v>1</v>
      </c>
      <c r="Q2133" t="s">
        <v>2855</v>
      </c>
      <c r="R2133">
        <f t="shared" si="67"/>
        <v>4</v>
      </c>
      <c r="S2133">
        <f t="shared" si="68"/>
        <v>0</v>
      </c>
    </row>
    <row r="2134" spans="1:19" x14ac:dyDescent="0.25">
      <c r="A2134" t="s">
        <v>3259</v>
      </c>
      <c r="B2134" t="s">
        <v>4026</v>
      </c>
      <c r="C2134">
        <v>10</v>
      </c>
      <c r="D2134">
        <v>1250</v>
      </c>
      <c r="E2134">
        <v>6000</v>
      </c>
      <c r="F2134">
        <v>15</v>
      </c>
      <c r="G2134">
        <v>15</v>
      </c>
      <c r="H2134" t="s">
        <v>3027</v>
      </c>
      <c r="I2134" s="1">
        <v>37258</v>
      </c>
      <c r="J2134" s="1">
        <v>37317</v>
      </c>
      <c r="K2134" s="1">
        <v>37337</v>
      </c>
      <c r="L2134" s="1">
        <v>37337</v>
      </c>
      <c r="M2134" s="1">
        <v>37337</v>
      </c>
      <c r="N2134" s="1">
        <v>37339</v>
      </c>
      <c r="O2134" t="s">
        <v>1117</v>
      </c>
      <c r="P2134">
        <v>1</v>
      </c>
      <c r="Q2134" t="s">
        <v>2855</v>
      </c>
      <c r="R2134">
        <f t="shared" si="67"/>
        <v>13</v>
      </c>
      <c r="S2134">
        <f t="shared" si="68"/>
        <v>1</v>
      </c>
    </row>
    <row r="2135" spans="1:19" x14ac:dyDescent="0.25">
      <c r="A2135" t="s">
        <v>3260</v>
      </c>
      <c r="B2135" t="s">
        <v>1199</v>
      </c>
      <c r="C2135">
        <v>12</v>
      </c>
      <c r="D2135">
        <v>1250</v>
      </c>
      <c r="E2135">
        <v>6000</v>
      </c>
      <c r="F2135">
        <v>10.473000000000001</v>
      </c>
      <c r="G2135">
        <v>10.473000000000001</v>
      </c>
      <c r="H2135" t="s">
        <v>3027</v>
      </c>
      <c r="I2135" s="1">
        <v>37257</v>
      </c>
      <c r="J2135" s="1">
        <v>37317</v>
      </c>
      <c r="K2135" t="s">
        <v>1124</v>
      </c>
      <c r="L2135" t="s">
        <v>1124</v>
      </c>
      <c r="M2135" s="1">
        <v>37336</v>
      </c>
      <c r="N2135" s="1">
        <v>37347</v>
      </c>
      <c r="O2135" t="s">
        <v>1117</v>
      </c>
      <c r="P2135">
        <v>8</v>
      </c>
      <c r="Q2135" t="s">
        <v>2855</v>
      </c>
      <c r="R2135">
        <f t="shared" si="67"/>
        <v>14</v>
      </c>
      <c r="S2135">
        <f t="shared" si="68"/>
        <v>1</v>
      </c>
    </row>
    <row r="2136" spans="1:19" x14ac:dyDescent="0.25">
      <c r="A2136" t="s">
        <v>3261</v>
      </c>
      <c r="B2136" t="s">
        <v>4026</v>
      </c>
      <c r="C2136">
        <v>4</v>
      </c>
      <c r="D2136">
        <v>1250</v>
      </c>
      <c r="E2136">
        <v>2500</v>
      </c>
      <c r="F2136">
        <v>10</v>
      </c>
      <c r="G2136">
        <v>10</v>
      </c>
      <c r="H2136" t="s">
        <v>2661</v>
      </c>
      <c r="I2136" s="1">
        <v>37159</v>
      </c>
      <c r="J2136" s="1">
        <v>37325</v>
      </c>
      <c r="K2136" s="1">
        <v>37363</v>
      </c>
      <c r="L2136" s="1">
        <v>37363</v>
      </c>
      <c r="M2136" s="1">
        <v>37351</v>
      </c>
      <c r="N2136" s="1">
        <v>37351</v>
      </c>
      <c r="O2136" t="s">
        <v>1117</v>
      </c>
      <c r="P2136">
        <v>2</v>
      </c>
      <c r="Q2136" t="s">
        <v>2662</v>
      </c>
      <c r="R2136">
        <f t="shared" si="67"/>
        <v>14</v>
      </c>
      <c r="S2136">
        <f t="shared" si="68"/>
        <v>1</v>
      </c>
    </row>
    <row r="2137" spans="1:19" x14ac:dyDescent="0.25">
      <c r="A2137" t="s">
        <v>3262</v>
      </c>
      <c r="B2137" t="s">
        <v>1199</v>
      </c>
      <c r="C2137">
        <v>40</v>
      </c>
      <c r="D2137">
        <v>1250</v>
      </c>
      <c r="E2137">
        <v>7200</v>
      </c>
      <c r="F2137">
        <v>3.028</v>
      </c>
      <c r="G2137">
        <v>3.028</v>
      </c>
      <c r="H2137" t="s">
        <v>3027</v>
      </c>
      <c r="I2137" s="1">
        <v>37258</v>
      </c>
      <c r="J2137" s="1">
        <v>37314</v>
      </c>
      <c r="K2137" s="1">
        <v>37323</v>
      </c>
      <c r="L2137" s="1">
        <v>37323</v>
      </c>
      <c r="M2137" s="1">
        <v>37316</v>
      </c>
      <c r="N2137" s="1">
        <v>37316</v>
      </c>
      <c r="O2137" t="s">
        <v>1117</v>
      </c>
      <c r="P2137">
        <v>3</v>
      </c>
      <c r="Q2137" t="s">
        <v>2855</v>
      </c>
      <c r="R2137">
        <f t="shared" si="67"/>
        <v>9</v>
      </c>
      <c r="S2137">
        <f t="shared" si="68"/>
        <v>1</v>
      </c>
    </row>
    <row r="2138" spans="1:19" x14ac:dyDescent="0.25">
      <c r="A2138" t="s">
        <v>3263</v>
      </c>
      <c r="B2138" t="s">
        <v>1199</v>
      </c>
      <c r="C2138">
        <v>5</v>
      </c>
      <c r="D2138">
        <v>1250</v>
      </c>
      <c r="E2138">
        <v>6000</v>
      </c>
      <c r="F2138">
        <v>50</v>
      </c>
      <c r="G2138">
        <v>50</v>
      </c>
      <c r="H2138" t="s">
        <v>2661</v>
      </c>
      <c r="I2138" s="1">
        <v>37304</v>
      </c>
      <c r="J2138" s="1">
        <v>37314</v>
      </c>
      <c r="K2138" s="1">
        <v>37314</v>
      </c>
      <c r="L2138" s="1">
        <v>37314</v>
      </c>
      <c r="M2138" s="1">
        <v>37318</v>
      </c>
      <c r="N2138" s="1">
        <v>37352</v>
      </c>
      <c r="O2138" t="s">
        <v>1114</v>
      </c>
      <c r="P2138">
        <v>1</v>
      </c>
      <c r="Q2138" t="s">
        <v>2662</v>
      </c>
      <c r="R2138">
        <f t="shared" si="67"/>
        <v>14</v>
      </c>
      <c r="S2138">
        <f t="shared" si="68"/>
        <v>1</v>
      </c>
    </row>
    <row r="2139" spans="1:19" x14ac:dyDescent="0.25">
      <c r="A2139" t="s">
        <v>3264</v>
      </c>
      <c r="B2139" t="s">
        <v>1199</v>
      </c>
      <c r="C2139">
        <v>15</v>
      </c>
      <c r="D2139">
        <v>1250</v>
      </c>
      <c r="E2139">
        <v>6000</v>
      </c>
      <c r="F2139">
        <v>25.545999999999999</v>
      </c>
      <c r="G2139">
        <v>25.545999999999999</v>
      </c>
      <c r="H2139" t="s">
        <v>3027</v>
      </c>
      <c r="I2139" s="1">
        <v>37258</v>
      </c>
      <c r="J2139" s="1">
        <v>37314</v>
      </c>
      <c r="K2139" s="1">
        <v>37323</v>
      </c>
      <c r="L2139" s="1">
        <v>37323</v>
      </c>
      <c r="M2139" s="1">
        <v>37318</v>
      </c>
      <c r="N2139" s="1">
        <v>37318</v>
      </c>
      <c r="O2139" t="s">
        <v>1117</v>
      </c>
      <c r="P2139">
        <v>1</v>
      </c>
      <c r="Q2139" t="s">
        <v>2855</v>
      </c>
      <c r="R2139">
        <f t="shared" si="67"/>
        <v>10</v>
      </c>
      <c r="S2139">
        <f t="shared" si="68"/>
        <v>1</v>
      </c>
    </row>
    <row r="2140" spans="1:19" x14ac:dyDescent="0.25">
      <c r="A2140" t="s">
        <v>3265</v>
      </c>
      <c r="B2140" t="s">
        <v>1199</v>
      </c>
      <c r="C2140">
        <v>3</v>
      </c>
      <c r="D2140">
        <v>1250</v>
      </c>
      <c r="E2140">
        <v>2500</v>
      </c>
      <c r="F2140">
        <v>10</v>
      </c>
      <c r="G2140">
        <v>10</v>
      </c>
      <c r="H2140" t="s">
        <v>2661</v>
      </c>
      <c r="I2140" s="1">
        <v>37159</v>
      </c>
      <c r="J2140" s="1">
        <v>37325</v>
      </c>
      <c r="K2140" s="1">
        <v>37375</v>
      </c>
      <c r="L2140" s="1">
        <v>37375</v>
      </c>
      <c r="M2140" s="1">
        <v>37359</v>
      </c>
      <c r="N2140" s="1">
        <v>37359</v>
      </c>
      <c r="O2140" t="s">
        <v>1117</v>
      </c>
      <c r="P2140">
        <v>1</v>
      </c>
      <c r="Q2140" t="s">
        <v>2662</v>
      </c>
      <c r="R2140">
        <f t="shared" si="67"/>
        <v>15</v>
      </c>
      <c r="S2140">
        <f t="shared" si="68"/>
        <v>1</v>
      </c>
    </row>
    <row r="2141" spans="1:19" x14ac:dyDescent="0.25">
      <c r="A2141" t="s">
        <v>3266</v>
      </c>
      <c r="B2141" t="s">
        <v>4026</v>
      </c>
      <c r="C2141">
        <v>5</v>
      </c>
      <c r="D2141">
        <v>1250</v>
      </c>
      <c r="E2141">
        <v>2500</v>
      </c>
      <c r="F2141">
        <v>5</v>
      </c>
      <c r="G2141">
        <v>5</v>
      </c>
      <c r="H2141" t="s">
        <v>2661</v>
      </c>
      <c r="I2141" s="1">
        <v>37159</v>
      </c>
      <c r="J2141" s="1">
        <v>37323</v>
      </c>
      <c r="K2141" s="1">
        <v>37333</v>
      </c>
      <c r="L2141" s="1">
        <v>37333</v>
      </c>
      <c r="M2141" s="1">
        <v>37333</v>
      </c>
      <c r="N2141" s="1">
        <v>37333</v>
      </c>
      <c r="O2141" t="s">
        <v>1117</v>
      </c>
      <c r="P2141">
        <v>2</v>
      </c>
      <c r="Q2141" t="s">
        <v>2662</v>
      </c>
      <c r="R2141">
        <f t="shared" si="67"/>
        <v>12</v>
      </c>
      <c r="S2141">
        <f t="shared" si="68"/>
        <v>1</v>
      </c>
    </row>
    <row r="2142" spans="1:19" x14ac:dyDescent="0.25">
      <c r="A2142" t="s">
        <v>3267</v>
      </c>
      <c r="B2142" t="s">
        <v>4028</v>
      </c>
      <c r="C2142">
        <v>4</v>
      </c>
      <c r="D2142">
        <v>1250</v>
      </c>
      <c r="E2142">
        <v>2500</v>
      </c>
      <c r="F2142">
        <v>6</v>
      </c>
      <c r="G2142">
        <v>6</v>
      </c>
      <c r="H2142" t="s">
        <v>2661</v>
      </c>
      <c r="I2142" s="1">
        <v>37159</v>
      </c>
      <c r="J2142" s="1">
        <v>37314</v>
      </c>
      <c r="K2142" s="1">
        <v>37329</v>
      </c>
      <c r="L2142" s="1">
        <v>37329</v>
      </c>
      <c r="M2142" s="1">
        <v>37329</v>
      </c>
      <c r="N2142" s="1">
        <v>37329</v>
      </c>
      <c r="O2142" t="s">
        <v>1117</v>
      </c>
      <c r="P2142">
        <v>1</v>
      </c>
      <c r="Q2142" t="s">
        <v>2662</v>
      </c>
      <c r="R2142">
        <f t="shared" si="67"/>
        <v>11</v>
      </c>
      <c r="S2142">
        <f t="shared" si="68"/>
        <v>1</v>
      </c>
    </row>
    <row r="2143" spans="1:19" x14ac:dyDescent="0.25">
      <c r="A2143" t="s">
        <v>3268</v>
      </c>
      <c r="B2143" t="s">
        <v>4028</v>
      </c>
      <c r="C2143">
        <v>12</v>
      </c>
      <c r="D2143">
        <v>1250</v>
      </c>
      <c r="E2143">
        <v>6000</v>
      </c>
      <c r="F2143">
        <v>15</v>
      </c>
      <c r="G2143">
        <v>15</v>
      </c>
      <c r="H2143" t="s">
        <v>3027</v>
      </c>
      <c r="I2143" s="1">
        <v>37302</v>
      </c>
      <c r="J2143" s="1">
        <v>37308</v>
      </c>
      <c r="K2143" s="1">
        <v>37317</v>
      </c>
      <c r="L2143" s="1">
        <v>37317</v>
      </c>
      <c r="M2143" s="1">
        <v>37317</v>
      </c>
      <c r="N2143" s="1">
        <v>37347</v>
      </c>
      <c r="O2143" t="s">
        <v>1117</v>
      </c>
      <c r="P2143">
        <v>4</v>
      </c>
      <c r="Q2143" t="s">
        <v>2855</v>
      </c>
      <c r="R2143">
        <f t="shared" si="67"/>
        <v>14</v>
      </c>
      <c r="S2143">
        <f t="shared" si="68"/>
        <v>1</v>
      </c>
    </row>
    <row r="2144" spans="1:19" x14ac:dyDescent="0.25">
      <c r="A2144" t="s">
        <v>3269</v>
      </c>
      <c r="B2144" t="s">
        <v>1199</v>
      </c>
      <c r="C2144">
        <v>6</v>
      </c>
      <c r="D2144">
        <v>1250</v>
      </c>
      <c r="E2144">
        <v>2500</v>
      </c>
      <c r="F2144">
        <v>15</v>
      </c>
      <c r="G2144">
        <v>15</v>
      </c>
      <c r="H2144" t="s">
        <v>2661</v>
      </c>
      <c r="I2144" s="1">
        <v>37159</v>
      </c>
      <c r="J2144" s="1">
        <v>37325</v>
      </c>
      <c r="K2144" s="1">
        <v>37348</v>
      </c>
      <c r="L2144" s="1">
        <v>37348</v>
      </c>
      <c r="M2144" s="1">
        <v>37347</v>
      </c>
      <c r="N2144" s="1">
        <v>37351</v>
      </c>
      <c r="O2144" t="s">
        <v>1117</v>
      </c>
      <c r="P2144">
        <v>3</v>
      </c>
      <c r="Q2144" t="s">
        <v>2662</v>
      </c>
      <c r="R2144">
        <f t="shared" si="67"/>
        <v>14</v>
      </c>
      <c r="S2144">
        <f t="shared" si="68"/>
        <v>1</v>
      </c>
    </row>
    <row r="2145" spans="1:19" x14ac:dyDescent="0.25">
      <c r="A2145" t="s">
        <v>3270</v>
      </c>
      <c r="B2145" t="s">
        <v>4027</v>
      </c>
      <c r="C2145">
        <v>12</v>
      </c>
      <c r="D2145">
        <v>1250</v>
      </c>
      <c r="E2145">
        <v>2500</v>
      </c>
      <c r="F2145">
        <v>5</v>
      </c>
      <c r="G2145">
        <v>5</v>
      </c>
      <c r="H2145" t="s">
        <v>3027</v>
      </c>
      <c r="I2145" s="1">
        <v>37111</v>
      </c>
      <c r="J2145" s="1">
        <v>37321</v>
      </c>
      <c r="K2145" t="s">
        <v>1124</v>
      </c>
      <c r="L2145" t="s">
        <v>1124</v>
      </c>
      <c r="M2145" s="1">
        <v>37337</v>
      </c>
      <c r="N2145" s="1">
        <v>37368</v>
      </c>
      <c r="O2145" t="s">
        <v>1117</v>
      </c>
      <c r="P2145">
        <v>1</v>
      </c>
      <c r="Q2145" t="s">
        <v>2855</v>
      </c>
      <c r="R2145">
        <f t="shared" si="67"/>
        <v>17</v>
      </c>
      <c r="S2145">
        <f t="shared" si="68"/>
        <v>1</v>
      </c>
    </row>
    <row r="2146" spans="1:19" x14ac:dyDescent="0.25">
      <c r="A2146" t="s">
        <v>3271</v>
      </c>
      <c r="B2146" t="s">
        <v>1199</v>
      </c>
      <c r="C2146">
        <v>6</v>
      </c>
      <c r="D2146">
        <v>1250</v>
      </c>
      <c r="E2146">
        <v>6000</v>
      </c>
      <c r="F2146">
        <v>10</v>
      </c>
      <c r="G2146">
        <v>10</v>
      </c>
      <c r="H2146" t="s">
        <v>2661</v>
      </c>
      <c r="I2146" s="1">
        <v>37159</v>
      </c>
      <c r="J2146" s="1">
        <v>37322</v>
      </c>
      <c r="K2146" s="1">
        <v>37331</v>
      </c>
      <c r="L2146" s="1">
        <v>37331</v>
      </c>
      <c r="M2146" s="1">
        <v>37331</v>
      </c>
      <c r="N2146" s="1">
        <v>37331</v>
      </c>
      <c r="O2146" t="s">
        <v>1117</v>
      </c>
      <c r="P2146">
        <v>4</v>
      </c>
      <c r="Q2146" t="s">
        <v>2662</v>
      </c>
      <c r="R2146">
        <f t="shared" si="67"/>
        <v>11</v>
      </c>
      <c r="S2146">
        <f t="shared" si="68"/>
        <v>1</v>
      </c>
    </row>
    <row r="2147" spans="1:19" x14ac:dyDescent="0.25">
      <c r="A2147" t="s">
        <v>3272</v>
      </c>
      <c r="B2147" t="s">
        <v>4027</v>
      </c>
      <c r="C2147">
        <v>10</v>
      </c>
      <c r="D2147">
        <v>1250</v>
      </c>
      <c r="E2147">
        <v>6000</v>
      </c>
      <c r="F2147">
        <v>5</v>
      </c>
      <c r="G2147">
        <v>3.746</v>
      </c>
      <c r="H2147" t="s">
        <v>3027</v>
      </c>
      <c r="I2147" s="1">
        <v>37133</v>
      </c>
      <c r="J2147" s="1">
        <v>37319</v>
      </c>
      <c r="K2147" s="1">
        <v>37333</v>
      </c>
      <c r="L2147" s="1">
        <v>37333</v>
      </c>
      <c r="M2147" s="1">
        <v>37333</v>
      </c>
      <c r="N2147" s="1">
        <v>37333</v>
      </c>
      <c r="O2147" t="s">
        <v>1117</v>
      </c>
      <c r="P2147">
        <v>6</v>
      </c>
      <c r="Q2147" t="s">
        <v>2855</v>
      </c>
      <c r="R2147">
        <f t="shared" si="67"/>
        <v>12</v>
      </c>
      <c r="S2147">
        <f t="shared" si="68"/>
        <v>0</v>
      </c>
    </row>
    <row r="2148" spans="1:19" x14ac:dyDescent="0.25">
      <c r="A2148" t="s">
        <v>3273</v>
      </c>
      <c r="B2148" t="s">
        <v>1199</v>
      </c>
      <c r="C2148">
        <v>25</v>
      </c>
      <c r="D2148">
        <v>1250</v>
      </c>
      <c r="E2148">
        <v>2500</v>
      </c>
      <c r="F2148">
        <v>48</v>
      </c>
      <c r="G2148">
        <v>48</v>
      </c>
      <c r="H2148" t="s">
        <v>3027</v>
      </c>
      <c r="I2148" s="1">
        <v>37159</v>
      </c>
      <c r="J2148" s="1">
        <v>37325</v>
      </c>
      <c r="K2148" s="1">
        <v>37367</v>
      </c>
      <c r="L2148" s="1">
        <v>37367</v>
      </c>
      <c r="M2148" s="1">
        <v>37271</v>
      </c>
      <c r="N2148" s="1">
        <v>37271</v>
      </c>
      <c r="O2148" t="s">
        <v>1117</v>
      </c>
      <c r="P2148">
        <v>3</v>
      </c>
      <c r="Q2148" t="s">
        <v>2855</v>
      </c>
      <c r="R2148">
        <f t="shared" si="67"/>
        <v>3</v>
      </c>
      <c r="S2148">
        <f t="shared" si="68"/>
        <v>1</v>
      </c>
    </row>
    <row r="2149" spans="1:19" x14ac:dyDescent="0.25">
      <c r="A2149" t="s">
        <v>3274</v>
      </c>
      <c r="B2149" t="s">
        <v>4028</v>
      </c>
      <c r="C2149">
        <v>36</v>
      </c>
      <c r="D2149">
        <v>1250</v>
      </c>
      <c r="E2149">
        <v>6000</v>
      </c>
      <c r="F2149">
        <v>5</v>
      </c>
      <c r="G2149">
        <v>5</v>
      </c>
      <c r="H2149" t="s">
        <v>3027</v>
      </c>
      <c r="I2149" s="1">
        <v>37159</v>
      </c>
      <c r="J2149" s="1">
        <v>37319</v>
      </c>
      <c r="K2149" s="1">
        <v>37312</v>
      </c>
      <c r="L2149" s="1">
        <v>37319</v>
      </c>
      <c r="M2149" s="1">
        <v>37282</v>
      </c>
      <c r="N2149" s="1">
        <v>37282</v>
      </c>
      <c r="O2149" t="s">
        <v>1114</v>
      </c>
      <c r="P2149">
        <v>1</v>
      </c>
      <c r="Q2149" t="s">
        <v>2855</v>
      </c>
      <c r="R2149">
        <f t="shared" si="67"/>
        <v>4</v>
      </c>
      <c r="S2149">
        <f t="shared" si="68"/>
        <v>1</v>
      </c>
    </row>
    <row r="2150" spans="1:19" x14ac:dyDescent="0.25">
      <c r="A2150" t="s">
        <v>3275</v>
      </c>
      <c r="B2150" t="s">
        <v>4027</v>
      </c>
      <c r="C2150">
        <v>10</v>
      </c>
      <c r="D2150">
        <v>1250</v>
      </c>
      <c r="E2150">
        <v>5000</v>
      </c>
      <c r="F2150">
        <v>5</v>
      </c>
      <c r="G2150">
        <v>5</v>
      </c>
      <c r="H2150" t="s">
        <v>3027</v>
      </c>
      <c r="I2150" s="1">
        <v>37302</v>
      </c>
      <c r="J2150" s="1">
        <v>37308</v>
      </c>
      <c r="K2150" t="s">
        <v>1124</v>
      </c>
      <c r="L2150" t="s">
        <v>1124</v>
      </c>
      <c r="M2150" s="1">
        <v>37347</v>
      </c>
      <c r="N2150" s="1">
        <v>37373</v>
      </c>
      <c r="O2150" t="s">
        <v>1117</v>
      </c>
      <c r="P2150">
        <v>2</v>
      </c>
      <c r="Q2150" t="s">
        <v>2855</v>
      </c>
      <c r="R2150">
        <f t="shared" si="67"/>
        <v>17</v>
      </c>
      <c r="S2150">
        <f t="shared" si="68"/>
        <v>1</v>
      </c>
    </row>
    <row r="2151" spans="1:19" x14ac:dyDescent="0.25">
      <c r="A2151" t="s">
        <v>3276</v>
      </c>
      <c r="B2151" t="s">
        <v>1199</v>
      </c>
      <c r="C2151">
        <v>8</v>
      </c>
      <c r="D2151">
        <v>1250</v>
      </c>
      <c r="E2151">
        <v>6000</v>
      </c>
      <c r="F2151">
        <v>2</v>
      </c>
      <c r="G2151">
        <v>2</v>
      </c>
      <c r="H2151" t="s">
        <v>3027</v>
      </c>
      <c r="I2151" s="1">
        <v>37133</v>
      </c>
      <c r="J2151" s="1">
        <v>37319</v>
      </c>
      <c r="K2151" t="s">
        <v>1124</v>
      </c>
      <c r="L2151" t="s">
        <v>1124</v>
      </c>
      <c r="M2151" s="1">
        <v>37347</v>
      </c>
      <c r="N2151" s="1">
        <v>37347</v>
      </c>
      <c r="O2151" t="s">
        <v>1117</v>
      </c>
      <c r="P2151">
        <v>7</v>
      </c>
      <c r="Q2151" t="s">
        <v>2855</v>
      </c>
      <c r="R2151">
        <f t="shared" si="67"/>
        <v>14</v>
      </c>
      <c r="S2151">
        <f t="shared" si="68"/>
        <v>1</v>
      </c>
    </row>
    <row r="2152" spans="1:19" x14ac:dyDescent="0.25">
      <c r="A2152" t="s">
        <v>3277</v>
      </c>
      <c r="B2152" t="s">
        <v>4028</v>
      </c>
      <c r="C2152">
        <v>16</v>
      </c>
      <c r="D2152">
        <v>1250</v>
      </c>
      <c r="E2152">
        <v>2500</v>
      </c>
      <c r="F2152">
        <v>5</v>
      </c>
      <c r="G2152">
        <v>5</v>
      </c>
      <c r="H2152" t="s">
        <v>3027</v>
      </c>
      <c r="I2152" s="1">
        <v>37335</v>
      </c>
      <c r="J2152" s="1">
        <v>37368</v>
      </c>
      <c r="K2152" t="s">
        <v>1124</v>
      </c>
      <c r="L2152" t="s">
        <v>1124</v>
      </c>
      <c r="M2152" s="1">
        <v>37368</v>
      </c>
      <c r="N2152" s="1">
        <v>37379</v>
      </c>
      <c r="O2152" t="s">
        <v>1117</v>
      </c>
      <c r="P2152">
        <v>1</v>
      </c>
      <c r="Q2152" t="s">
        <v>2855</v>
      </c>
      <c r="R2152">
        <f t="shared" si="67"/>
        <v>18</v>
      </c>
      <c r="S2152">
        <f t="shared" si="68"/>
        <v>1</v>
      </c>
    </row>
    <row r="2153" spans="1:19" x14ac:dyDescent="0.25">
      <c r="A2153" t="s">
        <v>3278</v>
      </c>
      <c r="B2153" t="s">
        <v>1199</v>
      </c>
      <c r="C2153">
        <v>12</v>
      </c>
      <c r="D2153">
        <v>1250</v>
      </c>
      <c r="E2153">
        <v>5000</v>
      </c>
      <c r="F2153">
        <v>5</v>
      </c>
      <c r="G2153">
        <v>5</v>
      </c>
      <c r="H2153" t="s">
        <v>3027</v>
      </c>
      <c r="I2153" s="1">
        <v>37335</v>
      </c>
      <c r="J2153" s="1">
        <v>37368</v>
      </c>
      <c r="K2153" t="s">
        <v>1124</v>
      </c>
      <c r="L2153" t="s">
        <v>1124</v>
      </c>
      <c r="M2153" s="1">
        <v>37368</v>
      </c>
      <c r="N2153" s="1">
        <v>37368</v>
      </c>
      <c r="O2153" t="s">
        <v>1117</v>
      </c>
      <c r="P2153">
        <v>1</v>
      </c>
      <c r="Q2153" t="s">
        <v>2855</v>
      </c>
      <c r="R2153">
        <f t="shared" si="67"/>
        <v>17</v>
      </c>
      <c r="S2153">
        <f t="shared" si="68"/>
        <v>1</v>
      </c>
    </row>
    <row r="2154" spans="1:19" x14ac:dyDescent="0.25">
      <c r="A2154" t="s">
        <v>3279</v>
      </c>
      <c r="B2154" t="s">
        <v>1199</v>
      </c>
      <c r="C2154">
        <v>16</v>
      </c>
      <c r="D2154">
        <v>1250</v>
      </c>
      <c r="E2154">
        <v>5000</v>
      </c>
      <c r="F2154">
        <v>4</v>
      </c>
      <c r="G2154">
        <v>4</v>
      </c>
      <c r="H2154" t="s">
        <v>3027</v>
      </c>
      <c r="I2154" s="1">
        <v>37335</v>
      </c>
      <c r="J2154" s="1">
        <v>37368</v>
      </c>
      <c r="K2154" t="s">
        <v>1124</v>
      </c>
      <c r="L2154" t="s">
        <v>1124</v>
      </c>
      <c r="M2154" s="1">
        <v>37368</v>
      </c>
      <c r="N2154" s="1">
        <v>37368</v>
      </c>
      <c r="O2154" t="s">
        <v>1117</v>
      </c>
      <c r="P2154">
        <v>1</v>
      </c>
      <c r="Q2154" t="s">
        <v>2855</v>
      </c>
      <c r="R2154">
        <f t="shared" si="67"/>
        <v>17</v>
      </c>
      <c r="S2154">
        <f t="shared" si="68"/>
        <v>1</v>
      </c>
    </row>
    <row r="2155" spans="1:19" x14ac:dyDescent="0.25">
      <c r="A2155" t="s">
        <v>3280</v>
      </c>
      <c r="B2155" t="s">
        <v>1199</v>
      </c>
      <c r="C2155">
        <v>12</v>
      </c>
      <c r="D2155">
        <v>1250</v>
      </c>
      <c r="E2155">
        <v>2500</v>
      </c>
      <c r="F2155">
        <v>5</v>
      </c>
      <c r="G2155">
        <v>5</v>
      </c>
      <c r="H2155" t="s">
        <v>3027</v>
      </c>
      <c r="I2155" s="1">
        <v>37335</v>
      </c>
      <c r="J2155" s="1">
        <v>37368</v>
      </c>
      <c r="K2155" t="s">
        <v>1124</v>
      </c>
      <c r="L2155" t="s">
        <v>1124</v>
      </c>
      <c r="M2155" s="1">
        <v>37368</v>
      </c>
      <c r="N2155" s="1">
        <v>37368</v>
      </c>
      <c r="O2155" t="s">
        <v>1117</v>
      </c>
      <c r="P2155">
        <v>1</v>
      </c>
      <c r="Q2155" t="s">
        <v>2855</v>
      </c>
      <c r="R2155">
        <f t="shared" si="67"/>
        <v>17</v>
      </c>
      <c r="S2155">
        <f t="shared" si="68"/>
        <v>1</v>
      </c>
    </row>
    <row r="2156" spans="1:19" x14ac:dyDescent="0.25">
      <c r="A2156" t="s">
        <v>3281</v>
      </c>
      <c r="B2156" t="s">
        <v>4028</v>
      </c>
      <c r="C2156">
        <v>16</v>
      </c>
      <c r="D2156">
        <v>1250</v>
      </c>
      <c r="E2156">
        <v>6000</v>
      </c>
      <c r="F2156">
        <v>6.8129999999999997</v>
      </c>
      <c r="G2156">
        <v>6.8129999999999997</v>
      </c>
      <c r="H2156" t="s">
        <v>3027</v>
      </c>
      <c r="I2156" s="1">
        <v>37257</v>
      </c>
      <c r="J2156" s="1">
        <v>37317</v>
      </c>
      <c r="K2156" t="s">
        <v>1124</v>
      </c>
      <c r="L2156" t="s">
        <v>1124</v>
      </c>
      <c r="M2156" s="1">
        <v>37338</v>
      </c>
      <c r="N2156" s="1">
        <v>37367</v>
      </c>
      <c r="O2156" t="s">
        <v>1117</v>
      </c>
      <c r="P2156">
        <v>7</v>
      </c>
      <c r="Q2156" t="s">
        <v>2855</v>
      </c>
      <c r="R2156">
        <f t="shared" si="67"/>
        <v>17</v>
      </c>
      <c r="S2156">
        <f t="shared" si="68"/>
        <v>1</v>
      </c>
    </row>
    <row r="2157" spans="1:19" x14ac:dyDescent="0.25">
      <c r="A2157" t="s">
        <v>3282</v>
      </c>
      <c r="B2157" t="s">
        <v>4027</v>
      </c>
      <c r="C2157">
        <v>10</v>
      </c>
      <c r="D2157">
        <v>1250</v>
      </c>
      <c r="E2157">
        <v>5000</v>
      </c>
      <c r="F2157">
        <v>5</v>
      </c>
      <c r="G2157">
        <v>5</v>
      </c>
      <c r="H2157" t="s">
        <v>3027</v>
      </c>
      <c r="I2157" s="1">
        <v>37293</v>
      </c>
      <c r="J2157" s="1">
        <v>37308</v>
      </c>
      <c r="K2157" t="s">
        <v>1124</v>
      </c>
      <c r="L2157" t="s">
        <v>1124</v>
      </c>
      <c r="M2157" s="1">
        <v>37347</v>
      </c>
      <c r="N2157" s="1">
        <v>37373</v>
      </c>
      <c r="O2157" t="s">
        <v>1117</v>
      </c>
      <c r="P2157">
        <v>2</v>
      </c>
      <c r="Q2157" t="s">
        <v>2855</v>
      </c>
      <c r="R2157">
        <f t="shared" si="67"/>
        <v>17</v>
      </c>
      <c r="S2157">
        <f t="shared" si="68"/>
        <v>1</v>
      </c>
    </row>
    <row r="2158" spans="1:19" x14ac:dyDescent="0.25">
      <c r="A2158" t="s">
        <v>3283</v>
      </c>
      <c r="B2158" t="s">
        <v>1199</v>
      </c>
      <c r="C2158">
        <v>12</v>
      </c>
      <c r="D2158">
        <v>1250</v>
      </c>
      <c r="E2158">
        <v>6000</v>
      </c>
      <c r="F2158">
        <v>15</v>
      </c>
      <c r="G2158">
        <v>15</v>
      </c>
      <c r="H2158" t="s">
        <v>3027</v>
      </c>
      <c r="I2158" s="1">
        <v>37293</v>
      </c>
      <c r="J2158" s="1">
        <v>37308</v>
      </c>
      <c r="K2158" t="s">
        <v>1124</v>
      </c>
      <c r="L2158" t="s">
        <v>1124</v>
      </c>
      <c r="M2158" s="1">
        <v>37343</v>
      </c>
      <c r="N2158" s="1">
        <v>37347</v>
      </c>
      <c r="O2158" t="s">
        <v>1117</v>
      </c>
      <c r="P2158">
        <v>4</v>
      </c>
      <c r="Q2158" t="s">
        <v>2855</v>
      </c>
      <c r="R2158">
        <f t="shared" si="67"/>
        <v>14</v>
      </c>
      <c r="S2158">
        <f t="shared" si="68"/>
        <v>1</v>
      </c>
    </row>
    <row r="2159" spans="1:19" x14ac:dyDescent="0.25">
      <c r="A2159" t="s">
        <v>3284</v>
      </c>
      <c r="B2159" t="s">
        <v>1199</v>
      </c>
      <c r="C2159">
        <v>8</v>
      </c>
      <c r="D2159">
        <v>1250</v>
      </c>
      <c r="E2159">
        <v>6000</v>
      </c>
      <c r="F2159">
        <v>12</v>
      </c>
      <c r="G2159">
        <v>12</v>
      </c>
      <c r="H2159" t="s">
        <v>3027</v>
      </c>
      <c r="I2159" s="1">
        <v>37159</v>
      </c>
      <c r="J2159" s="1">
        <v>37322</v>
      </c>
      <c r="K2159" t="s">
        <v>1124</v>
      </c>
      <c r="L2159" t="s">
        <v>1124</v>
      </c>
      <c r="M2159" s="1">
        <v>37328</v>
      </c>
      <c r="N2159" s="1">
        <v>37328</v>
      </c>
      <c r="O2159" t="s">
        <v>1117</v>
      </c>
      <c r="P2159">
        <v>5</v>
      </c>
      <c r="Q2159" t="s">
        <v>2855</v>
      </c>
      <c r="R2159">
        <f t="shared" si="67"/>
        <v>11</v>
      </c>
      <c r="S2159">
        <f t="shared" si="68"/>
        <v>1</v>
      </c>
    </row>
    <row r="2160" spans="1:19" x14ac:dyDescent="0.25">
      <c r="A2160" t="s">
        <v>3285</v>
      </c>
      <c r="B2160" t="s">
        <v>4027</v>
      </c>
      <c r="C2160">
        <v>16</v>
      </c>
      <c r="D2160">
        <v>1250</v>
      </c>
      <c r="E2160">
        <v>6000</v>
      </c>
      <c r="F2160">
        <v>5</v>
      </c>
      <c r="G2160">
        <v>5</v>
      </c>
      <c r="H2160" t="s">
        <v>3027</v>
      </c>
      <c r="I2160" s="1">
        <v>37335</v>
      </c>
      <c r="J2160" s="1">
        <v>37367</v>
      </c>
      <c r="K2160" t="s">
        <v>1124</v>
      </c>
      <c r="L2160" t="s">
        <v>1124</v>
      </c>
      <c r="M2160" s="1">
        <v>37367</v>
      </c>
      <c r="N2160" s="1">
        <v>37367</v>
      </c>
      <c r="O2160" t="s">
        <v>1117</v>
      </c>
      <c r="P2160">
        <v>1</v>
      </c>
      <c r="Q2160" t="s">
        <v>2855</v>
      </c>
      <c r="R2160">
        <f t="shared" si="67"/>
        <v>17</v>
      </c>
      <c r="S2160">
        <f t="shared" si="68"/>
        <v>1</v>
      </c>
    </row>
    <row r="2161" spans="1:19" x14ac:dyDescent="0.25">
      <c r="A2161" t="s">
        <v>3286</v>
      </c>
      <c r="B2161" t="s">
        <v>1199</v>
      </c>
      <c r="C2161">
        <v>6</v>
      </c>
      <c r="D2161">
        <v>1250</v>
      </c>
      <c r="E2161">
        <v>2500</v>
      </c>
      <c r="F2161">
        <v>5</v>
      </c>
      <c r="G2161">
        <v>5</v>
      </c>
      <c r="H2161" t="s">
        <v>2661</v>
      </c>
      <c r="I2161" s="1">
        <v>37159</v>
      </c>
      <c r="J2161" s="1">
        <v>37325</v>
      </c>
      <c r="K2161" s="1">
        <v>37353</v>
      </c>
      <c r="L2161" s="1">
        <v>37353</v>
      </c>
      <c r="M2161" s="1">
        <v>37351</v>
      </c>
      <c r="N2161" s="1">
        <v>37351</v>
      </c>
      <c r="O2161" t="s">
        <v>1117</v>
      </c>
      <c r="P2161">
        <v>5</v>
      </c>
      <c r="Q2161" t="s">
        <v>2662</v>
      </c>
      <c r="R2161">
        <f t="shared" si="67"/>
        <v>14</v>
      </c>
      <c r="S2161">
        <f t="shared" si="68"/>
        <v>1</v>
      </c>
    </row>
    <row r="2162" spans="1:19" x14ac:dyDescent="0.25">
      <c r="A2162" t="s">
        <v>3287</v>
      </c>
      <c r="B2162" t="s">
        <v>4028</v>
      </c>
      <c r="C2162">
        <v>10</v>
      </c>
      <c r="D2162">
        <v>1250</v>
      </c>
      <c r="E2162">
        <v>6000</v>
      </c>
      <c r="F2162">
        <v>8</v>
      </c>
      <c r="G2162">
        <v>8</v>
      </c>
      <c r="H2162" t="s">
        <v>3027</v>
      </c>
      <c r="I2162" s="1">
        <v>37159</v>
      </c>
      <c r="J2162" s="1">
        <v>37325</v>
      </c>
      <c r="K2162" s="1">
        <v>37324</v>
      </c>
      <c r="L2162" s="1">
        <v>37325</v>
      </c>
      <c r="M2162" s="1">
        <v>37325</v>
      </c>
      <c r="N2162" s="1">
        <v>37325</v>
      </c>
      <c r="O2162" t="s">
        <v>1114</v>
      </c>
      <c r="P2162">
        <v>6</v>
      </c>
      <c r="Q2162" t="s">
        <v>2855</v>
      </c>
      <c r="R2162">
        <f t="shared" si="67"/>
        <v>11</v>
      </c>
      <c r="S2162">
        <f t="shared" si="68"/>
        <v>1</v>
      </c>
    </row>
    <row r="2163" spans="1:19" x14ac:dyDescent="0.25">
      <c r="A2163" t="s">
        <v>3288</v>
      </c>
      <c r="B2163" t="s">
        <v>3601</v>
      </c>
      <c r="C2163">
        <v>3</v>
      </c>
      <c r="D2163">
        <v>1250</v>
      </c>
      <c r="E2163">
        <v>2500</v>
      </c>
      <c r="F2163">
        <v>14</v>
      </c>
      <c r="G2163">
        <v>14</v>
      </c>
      <c r="H2163" t="s">
        <v>2661</v>
      </c>
      <c r="I2163" s="1">
        <v>37159</v>
      </c>
      <c r="J2163" s="1">
        <v>37325</v>
      </c>
      <c r="K2163" t="s">
        <v>1124</v>
      </c>
      <c r="L2163" t="s">
        <v>1124</v>
      </c>
      <c r="M2163" s="1">
        <v>37354</v>
      </c>
      <c r="N2163" s="1">
        <v>37359</v>
      </c>
      <c r="O2163" t="s">
        <v>1117</v>
      </c>
      <c r="P2163">
        <v>2</v>
      </c>
      <c r="Q2163" t="s">
        <v>2662</v>
      </c>
      <c r="R2163">
        <f t="shared" si="67"/>
        <v>15</v>
      </c>
      <c r="S2163">
        <f t="shared" si="68"/>
        <v>1</v>
      </c>
    </row>
    <row r="2164" spans="1:19" x14ac:dyDescent="0.25">
      <c r="A2164" t="s">
        <v>3289</v>
      </c>
      <c r="B2164" t="s">
        <v>4028</v>
      </c>
      <c r="C2164">
        <v>20</v>
      </c>
      <c r="D2164">
        <v>1250</v>
      </c>
      <c r="E2164">
        <v>5000</v>
      </c>
      <c r="F2164">
        <v>4</v>
      </c>
      <c r="G2164">
        <v>4</v>
      </c>
      <c r="H2164" t="s">
        <v>3027</v>
      </c>
      <c r="I2164" s="1">
        <v>37159</v>
      </c>
      <c r="J2164" s="1">
        <v>37323</v>
      </c>
      <c r="K2164" s="1">
        <v>37313</v>
      </c>
      <c r="L2164" s="1">
        <v>37323</v>
      </c>
      <c r="M2164" s="1">
        <v>37272</v>
      </c>
      <c r="N2164" s="1">
        <v>37272</v>
      </c>
      <c r="O2164" t="s">
        <v>1114</v>
      </c>
      <c r="P2164">
        <v>13</v>
      </c>
      <c r="Q2164" t="s">
        <v>2855</v>
      </c>
      <c r="R2164">
        <f t="shared" si="67"/>
        <v>3</v>
      </c>
      <c r="S2164">
        <f t="shared" si="68"/>
        <v>1</v>
      </c>
    </row>
    <row r="2165" spans="1:19" x14ac:dyDescent="0.25">
      <c r="A2165" t="s">
        <v>3290</v>
      </c>
      <c r="B2165" t="s">
        <v>1199</v>
      </c>
      <c r="C2165">
        <v>5</v>
      </c>
      <c r="D2165">
        <v>1250</v>
      </c>
      <c r="E2165">
        <v>6000</v>
      </c>
      <c r="F2165">
        <v>10</v>
      </c>
      <c r="G2165">
        <v>10</v>
      </c>
      <c r="H2165" t="s">
        <v>2661</v>
      </c>
      <c r="I2165" s="1">
        <v>37159</v>
      </c>
      <c r="J2165" s="1">
        <v>37325</v>
      </c>
      <c r="K2165" s="1">
        <v>37331</v>
      </c>
      <c r="L2165" s="1">
        <v>37331</v>
      </c>
      <c r="M2165" s="1">
        <v>37331</v>
      </c>
      <c r="N2165" s="1">
        <v>37331</v>
      </c>
      <c r="O2165" t="s">
        <v>1117</v>
      </c>
      <c r="P2165">
        <v>3</v>
      </c>
      <c r="Q2165" t="s">
        <v>2662</v>
      </c>
      <c r="R2165">
        <f t="shared" si="67"/>
        <v>11</v>
      </c>
      <c r="S2165">
        <f t="shared" si="68"/>
        <v>1</v>
      </c>
    </row>
    <row r="2166" spans="1:19" x14ac:dyDescent="0.25">
      <c r="A2166" t="s">
        <v>3291</v>
      </c>
      <c r="B2166" t="s">
        <v>4028</v>
      </c>
      <c r="C2166">
        <v>12</v>
      </c>
      <c r="D2166">
        <v>1250</v>
      </c>
      <c r="E2166">
        <v>6000</v>
      </c>
      <c r="F2166">
        <v>18</v>
      </c>
      <c r="G2166">
        <v>18</v>
      </c>
      <c r="H2166" t="s">
        <v>3027</v>
      </c>
      <c r="I2166" s="1">
        <v>37258</v>
      </c>
      <c r="J2166" s="1">
        <v>37314</v>
      </c>
      <c r="K2166" s="1">
        <v>37343</v>
      </c>
      <c r="L2166" s="1">
        <v>37347</v>
      </c>
      <c r="M2166" s="1">
        <v>37343</v>
      </c>
      <c r="N2166" s="1">
        <v>37347</v>
      </c>
      <c r="O2166" t="s">
        <v>1117</v>
      </c>
      <c r="P2166">
        <v>3</v>
      </c>
      <c r="Q2166" t="s">
        <v>2855</v>
      </c>
      <c r="R2166">
        <f t="shared" si="67"/>
        <v>14</v>
      </c>
      <c r="S2166">
        <f t="shared" si="68"/>
        <v>1</v>
      </c>
    </row>
    <row r="2167" spans="1:19" x14ac:dyDescent="0.25">
      <c r="A2167" t="s">
        <v>3292</v>
      </c>
      <c r="B2167" t="s">
        <v>4028</v>
      </c>
      <c r="C2167">
        <v>8</v>
      </c>
      <c r="D2167">
        <v>1250</v>
      </c>
      <c r="E2167">
        <v>6000</v>
      </c>
      <c r="F2167">
        <v>8</v>
      </c>
      <c r="G2167">
        <v>8</v>
      </c>
      <c r="H2167" t="s">
        <v>3027</v>
      </c>
      <c r="I2167" s="1">
        <v>37126</v>
      </c>
      <c r="J2167" s="1">
        <v>37322</v>
      </c>
      <c r="K2167" t="s">
        <v>1124</v>
      </c>
      <c r="L2167" t="s">
        <v>1124</v>
      </c>
      <c r="M2167" s="1">
        <v>37328</v>
      </c>
      <c r="N2167" s="1">
        <v>37328</v>
      </c>
      <c r="O2167" t="s">
        <v>1117</v>
      </c>
      <c r="P2167">
        <v>4</v>
      </c>
      <c r="Q2167" t="s">
        <v>2855</v>
      </c>
      <c r="R2167">
        <f t="shared" si="67"/>
        <v>11</v>
      </c>
      <c r="S2167">
        <f t="shared" si="68"/>
        <v>1</v>
      </c>
    </row>
    <row r="2168" spans="1:19" x14ac:dyDescent="0.25">
      <c r="A2168" t="s">
        <v>3293</v>
      </c>
      <c r="B2168" t="s">
        <v>4026</v>
      </c>
      <c r="C2168">
        <v>5</v>
      </c>
      <c r="D2168">
        <v>1250</v>
      </c>
      <c r="E2168">
        <v>5140</v>
      </c>
      <c r="F2168">
        <v>5.6740000000000004</v>
      </c>
      <c r="G2168">
        <v>5.6740000000000004</v>
      </c>
      <c r="H2168" t="s">
        <v>2661</v>
      </c>
      <c r="I2168" s="1">
        <v>37125</v>
      </c>
      <c r="J2168" s="1">
        <v>37311</v>
      </c>
      <c r="K2168" s="1">
        <v>37324</v>
      </c>
      <c r="L2168" s="1">
        <v>37324</v>
      </c>
      <c r="M2168" s="1">
        <v>37320</v>
      </c>
      <c r="N2168" s="1">
        <v>37320</v>
      </c>
      <c r="O2168" t="s">
        <v>1117</v>
      </c>
      <c r="P2168">
        <v>3</v>
      </c>
      <c r="Q2168" t="s">
        <v>2662</v>
      </c>
      <c r="R2168">
        <f t="shared" si="67"/>
        <v>10</v>
      </c>
      <c r="S2168">
        <f t="shared" si="68"/>
        <v>1</v>
      </c>
    </row>
    <row r="2169" spans="1:19" x14ac:dyDescent="0.25">
      <c r="A2169" t="s">
        <v>3294</v>
      </c>
      <c r="B2169" t="s">
        <v>4028</v>
      </c>
      <c r="C2169">
        <v>16</v>
      </c>
      <c r="D2169">
        <v>1250</v>
      </c>
      <c r="E2169">
        <v>6000</v>
      </c>
      <c r="F2169">
        <v>8</v>
      </c>
      <c r="G2169">
        <v>8</v>
      </c>
      <c r="H2169" t="s">
        <v>3027</v>
      </c>
      <c r="I2169" s="1">
        <v>37258</v>
      </c>
      <c r="J2169" s="1">
        <v>37314</v>
      </c>
      <c r="K2169" t="s">
        <v>1124</v>
      </c>
      <c r="L2169" t="s">
        <v>1124</v>
      </c>
      <c r="M2169" s="1">
        <v>37338</v>
      </c>
      <c r="N2169" s="1">
        <v>37367</v>
      </c>
      <c r="O2169" t="s">
        <v>1117</v>
      </c>
      <c r="P2169">
        <v>4</v>
      </c>
      <c r="Q2169" t="s">
        <v>2855</v>
      </c>
      <c r="R2169">
        <f t="shared" si="67"/>
        <v>17</v>
      </c>
      <c r="S2169">
        <f t="shared" si="68"/>
        <v>1</v>
      </c>
    </row>
    <row r="2170" spans="1:19" x14ac:dyDescent="0.25">
      <c r="A2170" t="s">
        <v>3295</v>
      </c>
      <c r="B2170" t="s">
        <v>4026</v>
      </c>
      <c r="C2170">
        <v>16</v>
      </c>
      <c r="D2170">
        <v>1250</v>
      </c>
      <c r="E2170">
        <v>2500</v>
      </c>
      <c r="F2170">
        <v>5</v>
      </c>
      <c r="G2170">
        <v>5</v>
      </c>
      <c r="H2170" t="s">
        <v>3027</v>
      </c>
      <c r="I2170" s="1">
        <v>37335</v>
      </c>
      <c r="J2170" s="1">
        <v>37368</v>
      </c>
      <c r="K2170" s="1">
        <v>37368</v>
      </c>
      <c r="L2170" s="1">
        <v>37368</v>
      </c>
      <c r="M2170" s="1">
        <v>37368</v>
      </c>
      <c r="N2170" s="1">
        <v>37379</v>
      </c>
      <c r="O2170" t="s">
        <v>1114</v>
      </c>
      <c r="P2170">
        <v>1</v>
      </c>
      <c r="Q2170" t="s">
        <v>2855</v>
      </c>
      <c r="R2170">
        <f t="shared" si="67"/>
        <v>18</v>
      </c>
      <c r="S2170">
        <f t="shared" si="68"/>
        <v>1</v>
      </c>
    </row>
    <row r="2171" spans="1:19" x14ac:dyDescent="0.25">
      <c r="A2171" t="s">
        <v>3296</v>
      </c>
      <c r="B2171" t="s">
        <v>4028</v>
      </c>
      <c r="C2171">
        <v>16</v>
      </c>
      <c r="D2171">
        <v>1250</v>
      </c>
      <c r="E2171">
        <v>2500</v>
      </c>
      <c r="F2171">
        <v>10</v>
      </c>
      <c r="G2171">
        <v>10</v>
      </c>
      <c r="H2171" t="s">
        <v>3027</v>
      </c>
      <c r="I2171" s="1">
        <v>37110</v>
      </c>
      <c r="J2171" s="1">
        <v>37321</v>
      </c>
      <c r="K2171" t="s">
        <v>1124</v>
      </c>
      <c r="L2171" t="s">
        <v>1124</v>
      </c>
      <c r="M2171" s="1">
        <v>37278</v>
      </c>
      <c r="N2171" s="1">
        <v>37379</v>
      </c>
      <c r="O2171" t="s">
        <v>1117</v>
      </c>
      <c r="P2171">
        <v>1</v>
      </c>
      <c r="Q2171" t="s">
        <v>2855</v>
      </c>
      <c r="R2171">
        <f t="shared" si="67"/>
        <v>18</v>
      </c>
      <c r="S2171">
        <f t="shared" si="68"/>
        <v>1</v>
      </c>
    </row>
    <row r="2172" spans="1:19" x14ac:dyDescent="0.25">
      <c r="A2172" t="s">
        <v>3297</v>
      </c>
      <c r="B2172" t="s">
        <v>1199</v>
      </c>
      <c r="C2172">
        <v>12</v>
      </c>
      <c r="D2172">
        <v>1250</v>
      </c>
      <c r="E2172">
        <v>5000</v>
      </c>
      <c r="F2172">
        <v>5</v>
      </c>
      <c r="G2172">
        <v>5</v>
      </c>
      <c r="H2172" t="s">
        <v>3027</v>
      </c>
      <c r="I2172" s="1">
        <v>37343</v>
      </c>
      <c r="J2172" s="1">
        <v>37377</v>
      </c>
      <c r="K2172" t="s">
        <v>1124</v>
      </c>
      <c r="L2172" t="s">
        <v>1124</v>
      </c>
      <c r="M2172" t="s">
        <v>1124</v>
      </c>
      <c r="N2172" s="1">
        <v>37368</v>
      </c>
      <c r="O2172" t="s">
        <v>1117</v>
      </c>
      <c r="P2172">
        <v>1</v>
      </c>
      <c r="Q2172" t="s">
        <v>2855</v>
      </c>
      <c r="R2172">
        <f t="shared" si="67"/>
        <v>17</v>
      </c>
      <c r="S2172">
        <f t="shared" si="68"/>
        <v>0</v>
      </c>
    </row>
    <row r="2173" spans="1:19" x14ac:dyDescent="0.25">
      <c r="A2173" t="s">
        <v>3298</v>
      </c>
      <c r="B2173" t="s">
        <v>1199</v>
      </c>
      <c r="C2173">
        <v>12</v>
      </c>
      <c r="D2173">
        <v>1250</v>
      </c>
      <c r="E2173">
        <v>6000</v>
      </c>
      <c r="F2173">
        <v>32</v>
      </c>
      <c r="G2173">
        <v>32</v>
      </c>
      <c r="H2173" t="s">
        <v>3027</v>
      </c>
      <c r="I2173" s="1">
        <v>37116</v>
      </c>
      <c r="J2173" s="1">
        <v>37324</v>
      </c>
      <c r="K2173" t="s">
        <v>1124</v>
      </c>
      <c r="L2173" t="s">
        <v>1124</v>
      </c>
      <c r="M2173" s="1">
        <v>37347</v>
      </c>
      <c r="N2173" s="1">
        <v>37347</v>
      </c>
      <c r="O2173" t="s">
        <v>1117</v>
      </c>
      <c r="P2173">
        <v>2</v>
      </c>
      <c r="Q2173" t="s">
        <v>2855</v>
      </c>
      <c r="R2173">
        <f t="shared" si="67"/>
        <v>14</v>
      </c>
      <c r="S2173">
        <f t="shared" si="68"/>
        <v>1</v>
      </c>
    </row>
    <row r="2174" spans="1:19" x14ac:dyDescent="0.25">
      <c r="A2174" t="s">
        <v>3299</v>
      </c>
      <c r="B2174" t="s">
        <v>4027</v>
      </c>
      <c r="C2174">
        <v>12</v>
      </c>
      <c r="D2174">
        <v>1250</v>
      </c>
      <c r="E2174">
        <v>5000</v>
      </c>
      <c r="F2174">
        <v>5</v>
      </c>
      <c r="G2174">
        <v>5</v>
      </c>
      <c r="H2174" t="s">
        <v>3027</v>
      </c>
      <c r="I2174" s="1">
        <v>37335</v>
      </c>
      <c r="J2174" s="1">
        <v>37368</v>
      </c>
      <c r="K2174" t="s">
        <v>1124</v>
      </c>
      <c r="L2174" t="s">
        <v>1124</v>
      </c>
      <c r="M2174" s="1">
        <v>37368</v>
      </c>
      <c r="N2174" s="1">
        <v>37368</v>
      </c>
      <c r="O2174" t="s">
        <v>1117</v>
      </c>
      <c r="P2174">
        <v>1</v>
      </c>
      <c r="Q2174" t="s">
        <v>2855</v>
      </c>
      <c r="R2174">
        <f t="shared" si="67"/>
        <v>17</v>
      </c>
      <c r="S2174">
        <f t="shared" si="68"/>
        <v>1</v>
      </c>
    </row>
    <row r="2175" spans="1:19" x14ac:dyDescent="0.25">
      <c r="A2175" t="s">
        <v>3300</v>
      </c>
      <c r="B2175" t="s">
        <v>4028</v>
      </c>
      <c r="C2175">
        <v>5</v>
      </c>
      <c r="D2175">
        <v>1250</v>
      </c>
      <c r="E2175">
        <v>2500</v>
      </c>
      <c r="F2175">
        <v>5</v>
      </c>
      <c r="G2175">
        <v>5</v>
      </c>
      <c r="H2175" t="s">
        <v>2661</v>
      </c>
      <c r="I2175" s="1">
        <v>37159</v>
      </c>
      <c r="J2175" s="1">
        <v>37325</v>
      </c>
      <c r="K2175" t="s">
        <v>1124</v>
      </c>
      <c r="L2175" t="s">
        <v>1124</v>
      </c>
      <c r="M2175" s="1">
        <v>37287</v>
      </c>
      <c r="N2175" s="1">
        <v>37352</v>
      </c>
      <c r="O2175" t="s">
        <v>1117</v>
      </c>
      <c r="P2175">
        <v>4</v>
      </c>
      <c r="Q2175" t="s">
        <v>2662</v>
      </c>
      <c r="R2175">
        <f t="shared" si="67"/>
        <v>14</v>
      </c>
      <c r="S2175">
        <f t="shared" si="68"/>
        <v>1</v>
      </c>
    </row>
    <row r="2176" spans="1:19" x14ac:dyDescent="0.25">
      <c r="A2176" t="s">
        <v>3301</v>
      </c>
      <c r="B2176" t="s">
        <v>4026</v>
      </c>
      <c r="C2176">
        <v>12</v>
      </c>
      <c r="D2176">
        <v>1250</v>
      </c>
      <c r="E2176">
        <v>6000</v>
      </c>
      <c r="F2176">
        <v>10.473000000000001</v>
      </c>
      <c r="G2176">
        <v>10.473000000000001</v>
      </c>
      <c r="H2176" t="s">
        <v>3027</v>
      </c>
      <c r="I2176" s="1">
        <v>37258</v>
      </c>
      <c r="J2176" s="1">
        <v>37314</v>
      </c>
      <c r="K2176" t="s">
        <v>1124</v>
      </c>
      <c r="L2176" t="s">
        <v>1124</v>
      </c>
      <c r="M2176" s="1">
        <v>37335</v>
      </c>
      <c r="N2176" s="1">
        <v>37347</v>
      </c>
      <c r="O2176" t="s">
        <v>1117</v>
      </c>
      <c r="P2176">
        <v>8</v>
      </c>
      <c r="Q2176" t="s">
        <v>2855</v>
      </c>
      <c r="R2176">
        <f t="shared" si="67"/>
        <v>14</v>
      </c>
      <c r="S2176">
        <f t="shared" si="68"/>
        <v>1</v>
      </c>
    </row>
    <row r="2177" spans="1:19" x14ac:dyDescent="0.25">
      <c r="A2177" t="s">
        <v>3302</v>
      </c>
      <c r="B2177" t="s">
        <v>4027</v>
      </c>
      <c r="C2177">
        <v>12</v>
      </c>
      <c r="D2177">
        <v>1250</v>
      </c>
      <c r="E2177">
        <v>6000</v>
      </c>
      <c r="F2177">
        <v>18</v>
      </c>
      <c r="G2177">
        <v>18</v>
      </c>
      <c r="H2177" t="s">
        <v>3027</v>
      </c>
      <c r="I2177" s="1">
        <v>37257</v>
      </c>
      <c r="J2177" s="1">
        <v>37317</v>
      </c>
      <c r="K2177" s="1">
        <v>37329</v>
      </c>
      <c r="L2177" s="1">
        <v>37329</v>
      </c>
      <c r="M2177" s="1">
        <v>37334</v>
      </c>
      <c r="N2177" s="1">
        <v>37347</v>
      </c>
      <c r="O2177" t="s">
        <v>1117</v>
      </c>
      <c r="P2177">
        <v>3</v>
      </c>
      <c r="Q2177" t="s">
        <v>2855</v>
      </c>
      <c r="R2177">
        <f t="shared" si="67"/>
        <v>14</v>
      </c>
      <c r="S2177">
        <f t="shared" si="68"/>
        <v>1</v>
      </c>
    </row>
    <row r="2178" spans="1:19" x14ac:dyDescent="0.25">
      <c r="A2178" t="s">
        <v>3303</v>
      </c>
      <c r="B2178" t="s">
        <v>1199</v>
      </c>
      <c r="C2178">
        <v>16</v>
      </c>
      <c r="D2178">
        <v>1250</v>
      </c>
      <c r="E2178">
        <v>5000</v>
      </c>
      <c r="F2178">
        <v>4</v>
      </c>
      <c r="G2178">
        <v>4</v>
      </c>
      <c r="H2178" t="s">
        <v>3027</v>
      </c>
      <c r="I2178" s="1">
        <v>37335</v>
      </c>
      <c r="J2178" s="1">
        <v>37368</v>
      </c>
      <c r="K2178" t="s">
        <v>1124</v>
      </c>
      <c r="L2178" t="s">
        <v>1124</v>
      </c>
      <c r="M2178" s="1">
        <v>37368</v>
      </c>
      <c r="N2178" s="1">
        <v>37368</v>
      </c>
      <c r="O2178" t="s">
        <v>1117</v>
      </c>
      <c r="P2178">
        <v>1</v>
      </c>
      <c r="Q2178" t="s">
        <v>2855</v>
      </c>
      <c r="R2178">
        <f t="shared" si="67"/>
        <v>17</v>
      </c>
      <c r="S2178">
        <f t="shared" si="68"/>
        <v>1</v>
      </c>
    </row>
    <row r="2179" spans="1:19" x14ac:dyDescent="0.25">
      <c r="A2179" t="s">
        <v>3304</v>
      </c>
      <c r="B2179" t="s">
        <v>1199</v>
      </c>
      <c r="C2179">
        <v>16</v>
      </c>
      <c r="D2179">
        <v>1250</v>
      </c>
      <c r="E2179">
        <v>6000</v>
      </c>
      <c r="F2179">
        <v>6.8129999999999997</v>
      </c>
      <c r="G2179">
        <v>6.8129999999999997</v>
      </c>
      <c r="H2179" t="s">
        <v>3027</v>
      </c>
      <c r="I2179" s="1">
        <v>37258</v>
      </c>
      <c r="J2179" s="1">
        <v>37314</v>
      </c>
      <c r="K2179" t="s">
        <v>1124</v>
      </c>
      <c r="L2179" t="s">
        <v>1124</v>
      </c>
      <c r="M2179" s="1">
        <v>37338</v>
      </c>
      <c r="N2179" s="1">
        <v>37367</v>
      </c>
      <c r="O2179" t="s">
        <v>1117</v>
      </c>
      <c r="P2179">
        <v>7</v>
      </c>
      <c r="Q2179" t="s">
        <v>2855</v>
      </c>
      <c r="R2179">
        <f t="shared" ref="R2179:R2242" si="69">WEEKNUM(N2179,1)</f>
        <v>17</v>
      </c>
      <c r="S2179">
        <f t="shared" ref="S2179:S2242" si="70">IF(AND(F2179=G2179, M2179&lt;=N2179), 1,0)</f>
        <v>1</v>
      </c>
    </row>
    <row r="2180" spans="1:19" x14ac:dyDescent="0.25">
      <c r="A2180" t="s">
        <v>3305</v>
      </c>
      <c r="B2180" t="s">
        <v>4028</v>
      </c>
      <c r="C2180">
        <v>12</v>
      </c>
      <c r="D2180">
        <v>1250</v>
      </c>
      <c r="E2180">
        <v>2500</v>
      </c>
      <c r="F2180">
        <v>5</v>
      </c>
      <c r="G2180">
        <v>5</v>
      </c>
      <c r="H2180" t="s">
        <v>3027</v>
      </c>
      <c r="I2180" s="1">
        <v>37335</v>
      </c>
      <c r="J2180" s="1">
        <v>37368</v>
      </c>
      <c r="K2180" t="s">
        <v>1124</v>
      </c>
      <c r="L2180" t="s">
        <v>1124</v>
      </c>
      <c r="M2180" s="1">
        <v>37368</v>
      </c>
      <c r="N2180" s="1">
        <v>37368</v>
      </c>
      <c r="O2180" t="s">
        <v>1117</v>
      </c>
      <c r="P2180">
        <v>1</v>
      </c>
      <c r="Q2180" t="s">
        <v>2855</v>
      </c>
      <c r="R2180">
        <f t="shared" si="69"/>
        <v>17</v>
      </c>
      <c r="S2180">
        <f t="shared" si="70"/>
        <v>1</v>
      </c>
    </row>
    <row r="2181" spans="1:19" x14ac:dyDescent="0.25">
      <c r="A2181" t="s">
        <v>3306</v>
      </c>
      <c r="B2181" t="s">
        <v>1199</v>
      </c>
      <c r="C2181">
        <v>3.9</v>
      </c>
      <c r="D2181">
        <v>1250</v>
      </c>
      <c r="E2181">
        <v>2600</v>
      </c>
      <c r="F2181">
        <v>30</v>
      </c>
      <c r="G2181">
        <v>20.600999999999999</v>
      </c>
      <c r="H2181" t="s">
        <v>2661</v>
      </c>
      <c r="I2181" s="1">
        <v>37125</v>
      </c>
      <c r="J2181" s="1">
        <v>37314</v>
      </c>
      <c r="K2181" s="1">
        <v>37315</v>
      </c>
      <c r="L2181" s="1">
        <v>37315</v>
      </c>
      <c r="M2181" s="1">
        <v>37319</v>
      </c>
      <c r="N2181" s="1">
        <v>37319</v>
      </c>
      <c r="O2181" t="s">
        <v>1117</v>
      </c>
      <c r="P2181">
        <v>1</v>
      </c>
      <c r="Q2181" t="s">
        <v>2662</v>
      </c>
      <c r="R2181">
        <f t="shared" si="69"/>
        <v>10</v>
      </c>
      <c r="S2181">
        <f t="shared" si="70"/>
        <v>0</v>
      </c>
    </row>
    <row r="2182" spans="1:19" x14ac:dyDescent="0.25">
      <c r="A2182" t="s">
        <v>3307</v>
      </c>
      <c r="B2182" t="s">
        <v>4026</v>
      </c>
      <c r="C2182">
        <v>14</v>
      </c>
      <c r="D2182">
        <v>1250</v>
      </c>
      <c r="E2182">
        <v>6000</v>
      </c>
      <c r="F2182">
        <v>6.5650000000000004</v>
      </c>
      <c r="G2182">
        <v>6.5650000000000004</v>
      </c>
      <c r="H2182" t="s">
        <v>3027</v>
      </c>
      <c r="I2182" s="1">
        <v>37258</v>
      </c>
      <c r="J2182" s="1">
        <v>37317</v>
      </c>
      <c r="K2182" s="1">
        <v>37338</v>
      </c>
      <c r="L2182" s="1">
        <v>37347</v>
      </c>
      <c r="M2182" s="1">
        <v>37338</v>
      </c>
      <c r="N2182" s="1">
        <v>37386</v>
      </c>
      <c r="O2182" t="s">
        <v>1117</v>
      </c>
      <c r="P2182">
        <v>3</v>
      </c>
      <c r="Q2182" t="s">
        <v>2855</v>
      </c>
      <c r="R2182">
        <f t="shared" si="69"/>
        <v>19</v>
      </c>
      <c r="S2182">
        <f t="shared" si="70"/>
        <v>1</v>
      </c>
    </row>
    <row r="2183" spans="1:19" x14ac:dyDescent="0.25">
      <c r="A2183" t="s">
        <v>3308</v>
      </c>
      <c r="B2183" t="s">
        <v>1199</v>
      </c>
      <c r="C2183">
        <v>10</v>
      </c>
      <c r="D2183">
        <v>1250</v>
      </c>
      <c r="E2183">
        <v>6000</v>
      </c>
      <c r="F2183">
        <v>34.677999999999997</v>
      </c>
      <c r="G2183">
        <v>34.677999999999997</v>
      </c>
      <c r="H2183" t="s">
        <v>3027</v>
      </c>
      <c r="I2183" s="1">
        <v>37258</v>
      </c>
      <c r="J2183" s="1">
        <v>37317</v>
      </c>
      <c r="K2183" s="1">
        <v>37341</v>
      </c>
      <c r="L2183" s="1">
        <v>37341</v>
      </c>
      <c r="M2183" s="1">
        <v>37333</v>
      </c>
      <c r="N2183" s="1">
        <v>37333</v>
      </c>
      <c r="O2183" t="s">
        <v>1117</v>
      </c>
      <c r="P2183">
        <v>4</v>
      </c>
      <c r="Q2183" t="s">
        <v>2855</v>
      </c>
      <c r="R2183">
        <f t="shared" si="69"/>
        <v>12</v>
      </c>
      <c r="S2183">
        <f t="shared" si="70"/>
        <v>1</v>
      </c>
    </row>
    <row r="2184" spans="1:19" x14ac:dyDescent="0.25">
      <c r="A2184" t="s">
        <v>3309</v>
      </c>
      <c r="B2184" t="s">
        <v>4026</v>
      </c>
      <c r="C2184">
        <v>16</v>
      </c>
      <c r="D2184">
        <v>1250</v>
      </c>
      <c r="E2184">
        <v>5000</v>
      </c>
      <c r="F2184">
        <v>4</v>
      </c>
      <c r="G2184">
        <v>4</v>
      </c>
      <c r="H2184" t="s">
        <v>3027</v>
      </c>
      <c r="I2184" s="1">
        <v>37124</v>
      </c>
      <c r="J2184" s="1">
        <v>37322</v>
      </c>
      <c r="K2184" t="s">
        <v>1124</v>
      </c>
      <c r="L2184" t="s">
        <v>1124</v>
      </c>
      <c r="M2184" s="1">
        <v>37261</v>
      </c>
      <c r="N2184" s="1">
        <v>37368</v>
      </c>
      <c r="O2184" t="s">
        <v>1117</v>
      </c>
      <c r="P2184">
        <v>2</v>
      </c>
      <c r="Q2184" t="s">
        <v>2855</v>
      </c>
      <c r="R2184">
        <f t="shared" si="69"/>
        <v>17</v>
      </c>
      <c r="S2184">
        <f t="shared" si="70"/>
        <v>1</v>
      </c>
    </row>
    <row r="2185" spans="1:19" x14ac:dyDescent="0.25">
      <c r="A2185" t="s">
        <v>3310</v>
      </c>
      <c r="B2185" t="s">
        <v>4027</v>
      </c>
      <c r="C2185">
        <v>12</v>
      </c>
      <c r="D2185">
        <v>1250</v>
      </c>
      <c r="E2185">
        <v>2500</v>
      </c>
      <c r="F2185">
        <v>5</v>
      </c>
      <c r="G2185">
        <v>4.6859999999999999</v>
      </c>
      <c r="H2185" t="s">
        <v>3027</v>
      </c>
      <c r="I2185" s="1">
        <v>37110</v>
      </c>
      <c r="J2185" s="1">
        <v>37321</v>
      </c>
      <c r="K2185" t="s">
        <v>1124</v>
      </c>
      <c r="L2185" t="s">
        <v>1124</v>
      </c>
      <c r="M2185" s="1">
        <v>37337</v>
      </c>
      <c r="N2185" s="1">
        <v>37368</v>
      </c>
      <c r="O2185" t="s">
        <v>1117</v>
      </c>
      <c r="P2185">
        <v>2</v>
      </c>
      <c r="Q2185" t="s">
        <v>2855</v>
      </c>
      <c r="R2185">
        <f t="shared" si="69"/>
        <v>17</v>
      </c>
      <c r="S2185">
        <f t="shared" si="70"/>
        <v>0</v>
      </c>
    </row>
    <row r="2186" spans="1:19" x14ac:dyDescent="0.25">
      <c r="A2186" t="s">
        <v>3311</v>
      </c>
      <c r="B2186" t="s">
        <v>1199</v>
      </c>
      <c r="C2186">
        <v>18</v>
      </c>
      <c r="D2186">
        <v>1250</v>
      </c>
      <c r="E2186">
        <v>6000</v>
      </c>
      <c r="F2186">
        <v>5</v>
      </c>
      <c r="G2186">
        <v>5</v>
      </c>
      <c r="H2186" t="s">
        <v>3027</v>
      </c>
      <c r="I2186" s="1">
        <v>37124</v>
      </c>
      <c r="J2186" s="1">
        <v>37322</v>
      </c>
      <c r="K2186" s="1">
        <v>37312</v>
      </c>
      <c r="L2186" s="1">
        <v>37322</v>
      </c>
      <c r="M2186" s="1">
        <v>37261</v>
      </c>
      <c r="N2186" s="1">
        <v>37261</v>
      </c>
      <c r="O2186" t="s">
        <v>1114</v>
      </c>
      <c r="P2186">
        <v>3</v>
      </c>
      <c r="Q2186" t="s">
        <v>2855</v>
      </c>
      <c r="R2186">
        <f t="shared" si="69"/>
        <v>1</v>
      </c>
      <c r="S2186">
        <f t="shared" si="70"/>
        <v>1</v>
      </c>
    </row>
    <row r="2187" spans="1:19" x14ac:dyDescent="0.25">
      <c r="A2187" t="s">
        <v>3312</v>
      </c>
      <c r="B2187" t="s">
        <v>1199</v>
      </c>
      <c r="C2187">
        <v>10</v>
      </c>
      <c r="D2187">
        <v>1250</v>
      </c>
      <c r="E2187">
        <v>2500</v>
      </c>
      <c r="F2187">
        <v>6.0860000000000003</v>
      </c>
      <c r="G2187">
        <v>6.0860000000000003</v>
      </c>
      <c r="H2187" t="s">
        <v>3027</v>
      </c>
      <c r="I2187" s="1">
        <v>37258</v>
      </c>
      <c r="J2187" s="1">
        <v>37317</v>
      </c>
      <c r="K2187" s="1">
        <v>37332</v>
      </c>
      <c r="L2187" s="1">
        <v>37332</v>
      </c>
      <c r="M2187" s="1">
        <v>37332</v>
      </c>
      <c r="N2187" s="1">
        <v>37334</v>
      </c>
      <c r="O2187" t="s">
        <v>1117</v>
      </c>
      <c r="P2187">
        <v>2</v>
      </c>
      <c r="Q2187" t="s">
        <v>2855</v>
      </c>
      <c r="R2187">
        <f t="shared" si="69"/>
        <v>12</v>
      </c>
      <c r="S2187">
        <f t="shared" si="70"/>
        <v>1</v>
      </c>
    </row>
    <row r="2188" spans="1:19" x14ac:dyDescent="0.25">
      <c r="A2188" t="s">
        <v>3313</v>
      </c>
      <c r="B2188" t="s">
        <v>1199</v>
      </c>
      <c r="C2188">
        <v>6</v>
      </c>
      <c r="D2188">
        <v>1250</v>
      </c>
      <c r="E2188">
        <v>6000</v>
      </c>
      <c r="F2188">
        <v>5</v>
      </c>
      <c r="G2188">
        <v>5</v>
      </c>
      <c r="H2188" t="s">
        <v>2661</v>
      </c>
      <c r="I2188" s="1">
        <v>37159</v>
      </c>
      <c r="J2188" s="1">
        <v>37325</v>
      </c>
      <c r="K2188" s="1">
        <v>37353</v>
      </c>
      <c r="L2188" s="1">
        <v>37353</v>
      </c>
      <c r="M2188" s="1">
        <v>37351</v>
      </c>
      <c r="N2188" s="1">
        <v>37351</v>
      </c>
      <c r="O2188" t="s">
        <v>1117</v>
      </c>
      <c r="P2188">
        <v>1</v>
      </c>
      <c r="Q2188" t="s">
        <v>2662</v>
      </c>
      <c r="R2188">
        <f t="shared" si="69"/>
        <v>14</v>
      </c>
      <c r="S2188">
        <f t="shared" si="70"/>
        <v>1</v>
      </c>
    </row>
    <row r="2189" spans="1:19" x14ac:dyDescent="0.25">
      <c r="A2189" t="s">
        <v>3314</v>
      </c>
      <c r="B2189" t="s">
        <v>4026</v>
      </c>
      <c r="C2189">
        <v>16</v>
      </c>
      <c r="D2189">
        <v>1250</v>
      </c>
      <c r="E2189">
        <v>2500</v>
      </c>
      <c r="F2189">
        <v>5</v>
      </c>
      <c r="G2189">
        <v>5</v>
      </c>
      <c r="H2189" t="s">
        <v>3027</v>
      </c>
      <c r="I2189" s="1">
        <v>37124</v>
      </c>
      <c r="J2189" s="1">
        <v>37322</v>
      </c>
      <c r="K2189" s="1">
        <v>37309</v>
      </c>
      <c r="L2189" s="1">
        <v>37322</v>
      </c>
      <c r="M2189" s="1">
        <v>37263</v>
      </c>
      <c r="N2189" s="1">
        <v>37379</v>
      </c>
      <c r="O2189" t="s">
        <v>1114</v>
      </c>
      <c r="P2189">
        <v>1</v>
      </c>
      <c r="Q2189" t="s">
        <v>2855</v>
      </c>
      <c r="R2189">
        <f t="shared" si="69"/>
        <v>18</v>
      </c>
      <c r="S2189">
        <f t="shared" si="70"/>
        <v>1</v>
      </c>
    </row>
    <row r="2190" spans="1:19" x14ac:dyDescent="0.25">
      <c r="A2190" t="s">
        <v>3315</v>
      </c>
      <c r="B2190" t="s">
        <v>4028</v>
      </c>
      <c r="C2190">
        <v>12</v>
      </c>
      <c r="D2190">
        <v>1250</v>
      </c>
      <c r="E2190">
        <v>2500</v>
      </c>
      <c r="F2190">
        <v>5</v>
      </c>
      <c r="G2190">
        <v>5</v>
      </c>
      <c r="H2190" t="s">
        <v>3027</v>
      </c>
      <c r="I2190" s="1">
        <v>37124</v>
      </c>
      <c r="J2190" s="1">
        <v>37322</v>
      </c>
      <c r="K2190" t="s">
        <v>1124</v>
      </c>
      <c r="L2190" t="s">
        <v>1124</v>
      </c>
      <c r="M2190" s="1">
        <v>37337</v>
      </c>
      <c r="N2190" s="1">
        <v>37368</v>
      </c>
      <c r="O2190" t="s">
        <v>1117</v>
      </c>
      <c r="P2190">
        <v>2</v>
      </c>
      <c r="Q2190" t="s">
        <v>2855</v>
      </c>
      <c r="R2190">
        <f t="shared" si="69"/>
        <v>17</v>
      </c>
      <c r="S2190">
        <f t="shared" si="70"/>
        <v>1</v>
      </c>
    </row>
    <row r="2191" spans="1:19" x14ac:dyDescent="0.25">
      <c r="A2191" t="s">
        <v>3316</v>
      </c>
      <c r="B2191" t="s">
        <v>1199</v>
      </c>
      <c r="C2191">
        <v>30</v>
      </c>
      <c r="D2191">
        <v>1250</v>
      </c>
      <c r="E2191">
        <v>6000</v>
      </c>
      <c r="F2191">
        <v>80</v>
      </c>
      <c r="G2191">
        <v>80</v>
      </c>
      <c r="H2191" t="s">
        <v>3027</v>
      </c>
      <c r="I2191" s="1">
        <v>37304</v>
      </c>
      <c r="J2191" s="1">
        <v>37314</v>
      </c>
      <c r="K2191" s="1">
        <v>37313</v>
      </c>
      <c r="L2191" s="1">
        <v>37314</v>
      </c>
      <c r="M2191" s="1">
        <v>37314</v>
      </c>
      <c r="N2191" s="1">
        <v>37389</v>
      </c>
      <c r="O2191" t="s">
        <v>1114</v>
      </c>
      <c r="P2191">
        <v>1</v>
      </c>
      <c r="Q2191" t="s">
        <v>2855</v>
      </c>
      <c r="R2191">
        <f t="shared" si="69"/>
        <v>20</v>
      </c>
      <c r="S2191">
        <f t="shared" si="70"/>
        <v>1</v>
      </c>
    </row>
    <row r="2192" spans="1:19" x14ac:dyDescent="0.25">
      <c r="A2192" t="s">
        <v>3317</v>
      </c>
      <c r="B2192" t="s">
        <v>1199</v>
      </c>
      <c r="C2192">
        <v>20</v>
      </c>
      <c r="D2192">
        <v>1250</v>
      </c>
      <c r="E2192">
        <v>6000</v>
      </c>
      <c r="F2192">
        <v>5</v>
      </c>
      <c r="G2192">
        <v>5</v>
      </c>
      <c r="H2192" t="s">
        <v>3027</v>
      </c>
      <c r="I2192" s="1">
        <v>37125</v>
      </c>
      <c r="J2192" s="1">
        <v>37322</v>
      </c>
      <c r="K2192" s="1">
        <v>37313</v>
      </c>
      <c r="L2192" s="1">
        <v>37322</v>
      </c>
      <c r="M2192" s="1">
        <v>37263</v>
      </c>
      <c r="N2192" s="1">
        <v>37370</v>
      </c>
      <c r="O2192" t="s">
        <v>1114</v>
      </c>
      <c r="P2192">
        <v>4</v>
      </c>
      <c r="Q2192" t="s">
        <v>2855</v>
      </c>
      <c r="R2192">
        <f t="shared" si="69"/>
        <v>17</v>
      </c>
      <c r="S2192">
        <f t="shared" si="70"/>
        <v>1</v>
      </c>
    </row>
    <row r="2193" spans="1:19" x14ac:dyDescent="0.25">
      <c r="A2193" t="s">
        <v>3318</v>
      </c>
      <c r="B2193" t="s">
        <v>4028</v>
      </c>
      <c r="C2193">
        <v>8</v>
      </c>
      <c r="D2193">
        <v>1250</v>
      </c>
      <c r="E2193">
        <v>6000</v>
      </c>
      <c r="F2193">
        <v>14.778</v>
      </c>
      <c r="G2193">
        <v>14.778</v>
      </c>
      <c r="H2193" t="s">
        <v>3027</v>
      </c>
      <c r="I2193" s="1">
        <v>37258</v>
      </c>
      <c r="J2193" s="1">
        <v>37317</v>
      </c>
      <c r="K2193" s="1">
        <v>37333</v>
      </c>
      <c r="L2193" s="1">
        <v>37333</v>
      </c>
      <c r="M2193" s="1">
        <v>37333</v>
      </c>
      <c r="N2193" s="1">
        <v>37347</v>
      </c>
      <c r="O2193" t="s">
        <v>1117</v>
      </c>
      <c r="P2193">
        <v>5</v>
      </c>
      <c r="Q2193" t="s">
        <v>2855</v>
      </c>
      <c r="R2193">
        <f t="shared" si="69"/>
        <v>14</v>
      </c>
      <c r="S2193">
        <f t="shared" si="70"/>
        <v>1</v>
      </c>
    </row>
    <row r="2194" spans="1:19" x14ac:dyDescent="0.25">
      <c r="A2194" t="s">
        <v>3319</v>
      </c>
      <c r="B2194" t="s">
        <v>1199</v>
      </c>
      <c r="C2194">
        <v>5</v>
      </c>
      <c r="D2194">
        <v>1250</v>
      </c>
      <c r="E2194">
        <v>5000</v>
      </c>
      <c r="F2194">
        <v>5</v>
      </c>
      <c r="G2194">
        <v>5</v>
      </c>
      <c r="H2194" t="s">
        <v>2661</v>
      </c>
      <c r="I2194" s="1">
        <v>37110</v>
      </c>
      <c r="J2194" s="1">
        <v>37324</v>
      </c>
      <c r="K2194" s="1">
        <v>37352</v>
      </c>
      <c r="L2194" s="1">
        <v>37352</v>
      </c>
      <c r="M2194" s="1">
        <v>37352</v>
      </c>
      <c r="N2194" s="1">
        <v>37352</v>
      </c>
      <c r="O2194" t="s">
        <v>1117</v>
      </c>
      <c r="P2194">
        <v>6</v>
      </c>
      <c r="Q2194" t="s">
        <v>2662</v>
      </c>
      <c r="R2194">
        <f t="shared" si="69"/>
        <v>14</v>
      </c>
      <c r="S2194">
        <f t="shared" si="70"/>
        <v>1</v>
      </c>
    </row>
    <row r="2195" spans="1:19" x14ac:dyDescent="0.25">
      <c r="A2195" t="s">
        <v>3320</v>
      </c>
      <c r="B2195" t="s">
        <v>1199</v>
      </c>
      <c r="C2195">
        <v>14</v>
      </c>
      <c r="D2195">
        <v>1250</v>
      </c>
      <c r="E2195">
        <v>5000</v>
      </c>
      <c r="F2195">
        <v>5</v>
      </c>
      <c r="G2195">
        <v>5</v>
      </c>
      <c r="H2195" t="s">
        <v>3027</v>
      </c>
      <c r="I2195" s="1">
        <v>37125</v>
      </c>
      <c r="J2195" s="1">
        <v>37322</v>
      </c>
      <c r="K2195" s="1">
        <v>37309</v>
      </c>
      <c r="L2195" s="1">
        <v>37322</v>
      </c>
      <c r="M2195" s="1">
        <v>37263</v>
      </c>
      <c r="N2195" s="1">
        <v>37263</v>
      </c>
      <c r="O2195" t="s">
        <v>1114</v>
      </c>
      <c r="P2195">
        <v>1</v>
      </c>
      <c r="Q2195" t="s">
        <v>2855</v>
      </c>
      <c r="R2195">
        <f t="shared" si="69"/>
        <v>2</v>
      </c>
      <c r="S2195">
        <f t="shared" si="70"/>
        <v>1</v>
      </c>
    </row>
    <row r="2196" spans="1:19" x14ac:dyDescent="0.25">
      <c r="A2196" t="s">
        <v>3321</v>
      </c>
      <c r="B2196" t="s">
        <v>4026</v>
      </c>
      <c r="C2196">
        <v>12</v>
      </c>
      <c r="D2196">
        <v>1250</v>
      </c>
      <c r="E2196">
        <v>2500</v>
      </c>
      <c r="F2196">
        <v>5</v>
      </c>
      <c r="G2196">
        <v>4.37</v>
      </c>
      <c r="H2196" t="s">
        <v>3027</v>
      </c>
      <c r="I2196" s="1">
        <v>37104</v>
      </c>
      <c r="J2196" s="1">
        <v>37325</v>
      </c>
      <c r="K2196" t="s">
        <v>1124</v>
      </c>
      <c r="L2196" t="s">
        <v>1124</v>
      </c>
      <c r="M2196" s="1">
        <v>37337</v>
      </c>
      <c r="N2196" s="1">
        <v>37368</v>
      </c>
      <c r="O2196" t="s">
        <v>1117</v>
      </c>
      <c r="P2196">
        <v>3</v>
      </c>
      <c r="Q2196" t="s">
        <v>2855</v>
      </c>
      <c r="R2196">
        <f t="shared" si="69"/>
        <v>17</v>
      </c>
      <c r="S2196">
        <f t="shared" si="70"/>
        <v>0</v>
      </c>
    </row>
    <row r="2197" spans="1:19" x14ac:dyDescent="0.25">
      <c r="A2197" t="s">
        <v>3322</v>
      </c>
      <c r="B2197" t="s">
        <v>4027</v>
      </c>
      <c r="C2197">
        <v>10</v>
      </c>
      <c r="D2197">
        <v>1250</v>
      </c>
      <c r="E2197">
        <v>6000</v>
      </c>
      <c r="F2197">
        <v>5</v>
      </c>
      <c r="G2197">
        <v>5</v>
      </c>
      <c r="H2197" t="s">
        <v>3027</v>
      </c>
      <c r="I2197" s="1">
        <v>37258</v>
      </c>
      <c r="J2197" s="1">
        <v>37317</v>
      </c>
      <c r="K2197" s="1">
        <v>37332</v>
      </c>
      <c r="L2197" s="1">
        <v>37332</v>
      </c>
      <c r="M2197" s="1">
        <v>37332</v>
      </c>
      <c r="N2197" s="1">
        <v>37333</v>
      </c>
      <c r="O2197" t="s">
        <v>1117</v>
      </c>
      <c r="P2197">
        <v>3</v>
      </c>
      <c r="Q2197" t="s">
        <v>2855</v>
      </c>
      <c r="R2197">
        <f t="shared" si="69"/>
        <v>12</v>
      </c>
      <c r="S2197">
        <f t="shared" si="70"/>
        <v>1</v>
      </c>
    </row>
    <row r="2198" spans="1:19" x14ac:dyDescent="0.25">
      <c r="A2198" t="s">
        <v>3323</v>
      </c>
      <c r="B2198" t="s">
        <v>4027</v>
      </c>
      <c r="C2198">
        <v>25</v>
      </c>
      <c r="D2198">
        <v>1250</v>
      </c>
      <c r="E2198">
        <v>6000</v>
      </c>
      <c r="F2198">
        <v>5</v>
      </c>
      <c r="G2198">
        <v>5</v>
      </c>
      <c r="H2198" t="s">
        <v>3027</v>
      </c>
      <c r="I2198" s="1">
        <v>37258</v>
      </c>
      <c r="J2198" s="1">
        <v>37317</v>
      </c>
      <c r="K2198" t="s">
        <v>1124</v>
      </c>
      <c r="L2198" t="s">
        <v>1124</v>
      </c>
      <c r="M2198" s="1">
        <v>37338</v>
      </c>
      <c r="N2198" s="1">
        <v>37338</v>
      </c>
      <c r="O2198" t="s">
        <v>1117</v>
      </c>
      <c r="P2198">
        <v>1</v>
      </c>
      <c r="Q2198" t="s">
        <v>2855</v>
      </c>
      <c r="R2198">
        <f t="shared" si="69"/>
        <v>12</v>
      </c>
      <c r="S2198">
        <f t="shared" si="70"/>
        <v>1</v>
      </c>
    </row>
    <row r="2199" spans="1:19" x14ac:dyDescent="0.25">
      <c r="A2199" t="s">
        <v>3324</v>
      </c>
      <c r="B2199" t="s">
        <v>1199</v>
      </c>
      <c r="C2199">
        <v>30</v>
      </c>
      <c r="D2199">
        <v>1250</v>
      </c>
      <c r="E2199">
        <v>6000</v>
      </c>
      <c r="F2199">
        <v>80</v>
      </c>
      <c r="G2199">
        <v>60</v>
      </c>
      <c r="H2199" t="s">
        <v>3027</v>
      </c>
      <c r="I2199" s="1">
        <v>37299</v>
      </c>
      <c r="J2199" s="1">
        <v>37308</v>
      </c>
      <c r="K2199" s="1">
        <v>37313</v>
      </c>
      <c r="L2199" s="1">
        <v>37313</v>
      </c>
      <c r="M2199" s="1">
        <v>37315</v>
      </c>
      <c r="N2199" s="1">
        <v>37389</v>
      </c>
      <c r="O2199" t="s">
        <v>1117</v>
      </c>
      <c r="P2199">
        <v>1</v>
      </c>
      <c r="Q2199" t="s">
        <v>2855</v>
      </c>
      <c r="R2199">
        <f t="shared" si="69"/>
        <v>20</v>
      </c>
      <c r="S2199">
        <f t="shared" si="70"/>
        <v>0</v>
      </c>
    </row>
    <row r="2200" spans="1:19" x14ac:dyDescent="0.25">
      <c r="A2200" t="s">
        <v>3325</v>
      </c>
      <c r="B2200" t="s">
        <v>4026</v>
      </c>
      <c r="C2200">
        <v>12</v>
      </c>
      <c r="D2200">
        <v>1250</v>
      </c>
      <c r="E2200">
        <v>5000</v>
      </c>
      <c r="F2200">
        <v>3.758</v>
      </c>
      <c r="G2200">
        <v>3.758</v>
      </c>
      <c r="H2200" t="s">
        <v>3027</v>
      </c>
      <c r="I2200" s="1">
        <v>37258</v>
      </c>
      <c r="J2200" s="1">
        <v>37317</v>
      </c>
      <c r="K2200" t="s">
        <v>1124</v>
      </c>
      <c r="L2200" t="s">
        <v>1124</v>
      </c>
      <c r="M2200" s="1">
        <v>37335</v>
      </c>
      <c r="N2200" s="1">
        <v>37337</v>
      </c>
      <c r="O2200" t="s">
        <v>1117</v>
      </c>
      <c r="P2200">
        <v>2</v>
      </c>
      <c r="Q2200" t="s">
        <v>2855</v>
      </c>
      <c r="R2200">
        <f t="shared" si="69"/>
        <v>12</v>
      </c>
      <c r="S2200">
        <f t="shared" si="70"/>
        <v>1</v>
      </c>
    </row>
    <row r="2201" spans="1:19" x14ac:dyDescent="0.25">
      <c r="A2201" t="s">
        <v>3326</v>
      </c>
      <c r="B2201" t="s">
        <v>1199</v>
      </c>
      <c r="C2201">
        <v>16</v>
      </c>
      <c r="D2201">
        <v>1250</v>
      </c>
      <c r="E2201">
        <v>2500</v>
      </c>
      <c r="F2201">
        <v>5</v>
      </c>
      <c r="G2201">
        <v>5</v>
      </c>
      <c r="H2201" t="s">
        <v>3027</v>
      </c>
      <c r="I2201" s="1">
        <v>37343</v>
      </c>
      <c r="J2201" s="1">
        <v>37387</v>
      </c>
      <c r="K2201" t="s">
        <v>1124</v>
      </c>
      <c r="L2201" t="s">
        <v>1124</v>
      </c>
      <c r="M2201" t="s">
        <v>1124</v>
      </c>
      <c r="N2201" s="1">
        <v>37379</v>
      </c>
      <c r="O2201" t="s">
        <v>1117</v>
      </c>
      <c r="P2201">
        <v>1</v>
      </c>
      <c r="Q2201" t="s">
        <v>2855</v>
      </c>
      <c r="R2201">
        <f t="shared" si="69"/>
        <v>18</v>
      </c>
      <c r="S2201">
        <f t="shared" si="70"/>
        <v>0</v>
      </c>
    </row>
    <row r="2202" spans="1:19" x14ac:dyDescent="0.25">
      <c r="A2202" t="s">
        <v>3327</v>
      </c>
      <c r="B2202" t="s">
        <v>3631</v>
      </c>
      <c r="C2202">
        <v>8</v>
      </c>
      <c r="D2202">
        <v>1250</v>
      </c>
      <c r="E2202">
        <v>7000</v>
      </c>
      <c r="F2202">
        <v>20</v>
      </c>
      <c r="G2202">
        <v>20</v>
      </c>
      <c r="H2202" t="s">
        <v>3027</v>
      </c>
      <c r="I2202" s="1">
        <v>37159</v>
      </c>
      <c r="J2202" s="1">
        <v>37314</v>
      </c>
      <c r="K2202" s="1">
        <v>37323</v>
      </c>
      <c r="L2202" s="1">
        <v>37323</v>
      </c>
      <c r="M2202" s="1">
        <v>37325</v>
      </c>
      <c r="N2202" s="1">
        <v>37325</v>
      </c>
      <c r="O2202" t="s">
        <v>1117</v>
      </c>
      <c r="P2202">
        <v>6</v>
      </c>
      <c r="Q2202" t="s">
        <v>2855</v>
      </c>
      <c r="R2202">
        <f t="shared" si="69"/>
        <v>11</v>
      </c>
      <c r="S2202">
        <f t="shared" si="70"/>
        <v>1</v>
      </c>
    </row>
    <row r="2203" spans="1:19" x14ac:dyDescent="0.25">
      <c r="A2203" t="s">
        <v>3328</v>
      </c>
      <c r="B2203" t="s">
        <v>1199</v>
      </c>
      <c r="C2203">
        <v>16</v>
      </c>
      <c r="D2203">
        <v>1250</v>
      </c>
      <c r="E2203">
        <v>6000</v>
      </c>
      <c r="F2203">
        <v>5</v>
      </c>
      <c r="G2203">
        <v>5</v>
      </c>
      <c r="H2203" t="s">
        <v>3027</v>
      </c>
      <c r="I2203" s="1">
        <v>37343</v>
      </c>
      <c r="J2203" s="1">
        <v>37379</v>
      </c>
      <c r="K2203" t="s">
        <v>1124</v>
      </c>
      <c r="L2203" t="s">
        <v>1124</v>
      </c>
      <c r="M2203" t="s">
        <v>1124</v>
      </c>
      <c r="N2203" s="1">
        <v>37367</v>
      </c>
      <c r="O2203" t="s">
        <v>1117</v>
      </c>
      <c r="P2203">
        <v>1</v>
      </c>
      <c r="Q2203" t="s">
        <v>2855</v>
      </c>
      <c r="R2203">
        <f t="shared" si="69"/>
        <v>17</v>
      </c>
      <c r="S2203">
        <f t="shared" si="70"/>
        <v>0</v>
      </c>
    </row>
    <row r="2204" spans="1:19" x14ac:dyDescent="0.25">
      <c r="A2204" t="s">
        <v>3329</v>
      </c>
      <c r="B2204" t="s">
        <v>1199</v>
      </c>
      <c r="C2204">
        <v>12</v>
      </c>
      <c r="D2204">
        <v>1250</v>
      </c>
      <c r="E2204">
        <v>2500</v>
      </c>
      <c r="F2204">
        <v>5</v>
      </c>
      <c r="G2204">
        <v>5</v>
      </c>
      <c r="H2204" t="s">
        <v>3027</v>
      </c>
      <c r="I2204" s="1">
        <v>37343</v>
      </c>
      <c r="J2204" s="1">
        <v>37379</v>
      </c>
      <c r="K2204" t="s">
        <v>1124</v>
      </c>
      <c r="L2204" t="s">
        <v>1124</v>
      </c>
      <c r="M2204" t="s">
        <v>1124</v>
      </c>
      <c r="N2204" s="1">
        <v>37368</v>
      </c>
      <c r="O2204" t="s">
        <v>1117</v>
      </c>
      <c r="P2204">
        <v>1</v>
      </c>
      <c r="Q2204" t="s">
        <v>2855</v>
      </c>
      <c r="R2204">
        <f t="shared" si="69"/>
        <v>17</v>
      </c>
      <c r="S2204">
        <f t="shared" si="70"/>
        <v>0</v>
      </c>
    </row>
    <row r="2205" spans="1:19" x14ac:dyDescent="0.25">
      <c r="A2205" t="s">
        <v>3330</v>
      </c>
      <c r="B2205" t="s">
        <v>4028</v>
      </c>
      <c r="C2205">
        <v>16</v>
      </c>
      <c r="D2205">
        <v>1250</v>
      </c>
      <c r="E2205">
        <v>5000</v>
      </c>
      <c r="F2205">
        <v>4</v>
      </c>
      <c r="G2205">
        <v>4</v>
      </c>
      <c r="H2205" t="s">
        <v>3027</v>
      </c>
      <c r="I2205" s="1">
        <v>37343</v>
      </c>
      <c r="J2205" s="1">
        <v>37379</v>
      </c>
      <c r="K2205" t="s">
        <v>1124</v>
      </c>
      <c r="L2205" t="s">
        <v>1124</v>
      </c>
      <c r="M2205" t="s">
        <v>1124</v>
      </c>
      <c r="N2205" s="1">
        <v>37368</v>
      </c>
      <c r="O2205" t="s">
        <v>1117</v>
      </c>
      <c r="P2205">
        <v>1</v>
      </c>
      <c r="Q2205" t="s">
        <v>2855</v>
      </c>
      <c r="R2205">
        <f t="shared" si="69"/>
        <v>17</v>
      </c>
      <c r="S2205">
        <f t="shared" si="70"/>
        <v>0</v>
      </c>
    </row>
    <row r="2206" spans="1:19" x14ac:dyDescent="0.25">
      <c r="A2206" t="s">
        <v>3331</v>
      </c>
      <c r="B2206" t="s">
        <v>4028</v>
      </c>
      <c r="C2206">
        <v>12</v>
      </c>
      <c r="D2206">
        <v>1250</v>
      </c>
      <c r="E2206">
        <v>5000</v>
      </c>
      <c r="F2206">
        <v>5</v>
      </c>
      <c r="G2206">
        <v>5</v>
      </c>
      <c r="H2206" t="s">
        <v>3027</v>
      </c>
      <c r="I2206" s="1">
        <v>37343</v>
      </c>
      <c r="J2206" s="1">
        <v>37383</v>
      </c>
      <c r="K2206" t="s">
        <v>1124</v>
      </c>
      <c r="L2206" t="s">
        <v>1124</v>
      </c>
      <c r="M2206" t="s">
        <v>1124</v>
      </c>
      <c r="N2206" s="1">
        <v>37368</v>
      </c>
      <c r="O2206" t="s">
        <v>1117</v>
      </c>
      <c r="P2206">
        <v>1</v>
      </c>
      <c r="Q2206" t="s">
        <v>2855</v>
      </c>
      <c r="R2206">
        <f t="shared" si="69"/>
        <v>17</v>
      </c>
      <c r="S2206">
        <f t="shared" si="70"/>
        <v>0</v>
      </c>
    </row>
    <row r="2207" spans="1:19" x14ac:dyDescent="0.25">
      <c r="A2207" t="s">
        <v>3332</v>
      </c>
      <c r="B2207" t="s">
        <v>3521</v>
      </c>
      <c r="C2207">
        <v>16</v>
      </c>
      <c r="D2207">
        <v>1250</v>
      </c>
      <c r="E2207">
        <v>2500</v>
      </c>
      <c r="F2207">
        <v>5</v>
      </c>
      <c r="G2207">
        <v>5</v>
      </c>
      <c r="H2207" t="s">
        <v>3027</v>
      </c>
      <c r="I2207" s="1">
        <v>37343</v>
      </c>
      <c r="J2207" s="1">
        <v>37383</v>
      </c>
      <c r="K2207" t="s">
        <v>1124</v>
      </c>
      <c r="L2207" t="s">
        <v>1124</v>
      </c>
      <c r="M2207" t="s">
        <v>1124</v>
      </c>
      <c r="N2207" s="1">
        <v>37379</v>
      </c>
      <c r="O2207" t="s">
        <v>1117</v>
      </c>
      <c r="P2207">
        <v>1</v>
      </c>
      <c r="Q2207" t="s">
        <v>2855</v>
      </c>
      <c r="R2207">
        <f t="shared" si="69"/>
        <v>18</v>
      </c>
      <c r="S2207">
        <f t="shared" si="70"/>
        <v>0</v>
      </c>
    </row>
    <row r="2208" spans="1:19" x14ac:dyDescent="0.25">
      <c r="A2208" t="s">
        <v>3333</v>
      </c>
      <c r="B2208" t="s">
        <v>1199</v>
      </c>
      <c r="C2208">
        <v>6</v>
      </c>
      <c r="D2208">
        <v>1250</v>
      </c>
      <c r="E2208">
        <v>2500</v>
      </c>
      <c r="F2208">
        <v>5</v>
      </c>
      <c r="G2208">
        <v>5</v>
      </c>
      <c r="H2208" t="s">
        <v>2661</v>
      </c>
      <c r="I2208" s="1">
        <v>37159</v>
      </c>
      <c r="J2208" s="1">
        <v>37325</v>
      </c>
      <c r="K2208" s="1">
        <v>37353</v>
      </c>
      <c r="L2208" s="1">
        <v>37353</v>
      </c>
      <c r="M2208" s="1">
        <v>37351</v>
      </c>
      <c r="N2208" s="1">
        <v>37351</v>
      </c>
      <c r="O2208" t="s">
        <v>1117</v>
      </c>
      <c r="P2208">
        <v>3</v>
      </c>
      <c r="Q2208" t="s">
        <v>2662</v>
      </c>
      <c r="R2208">
        <f t="shared" si="69"/>
        <v>14</v>
      </c>
      <c r="S2208">
        <f t="shared" si="70"/>
        <v>1</v>
      </c>
    </row>
    <row r="2209" spans="1:19" x14ac:dyDescent="0.25">
      <c r="A2209" t="s">
        <v>3334</v>
      </c>
      <c r="B2209" t="s">
        <v>4028</v>
      </c>
      <c r="C2209">
        <v>10</v>
      </c>
      <c r="D2209">
        <v>1250</v>
      </c>
      <c r="E2209">
        <v>6000</v>
      </c>
      <c r="F2209">
        <v>6.2839999999999998</v>
      </c>
      <c r="G2209">
        <v>6.2839999999999998</v>
      </c>
      <c r="H2209" t="s">
        <v>3027</v>
      </c>
      <c r="I2209" s="1">
        <v>37257</v>
      </c>
      <c r="J2209" s="1">
        <v>37319</v>
      </c>
      <c r="K2209" t="s">
        <v>1124</v>
      </c>
      <c r="L2209" t="s">
        <v>1124</v>
      </c>
      <c r="M2209" s="1">
        <v>37333</v>
      </c>
      <c r="N2209" s="1">
        <v>37333</v>
      </c>
      <c r="O2209" t="s">
        <v>1117</v>
      </c>
      <c r="P2209">
        <v>6</v>
      </c>
      <c r="Q2209" t="s">
        <v>2855</v>
      </c>
      <c r="R2209">
        <f t="shared" si="69"/>
        <v>12</v>
      </c>
      <c r="S2209">
        <f t="shared" si="70"/>
        <v>1</v>
      </c>
    </row>
    <row r="2210" spans="1:19" x14ac:dyDescent="0.25">
      <c r="A2210" t="s">
        <v>3335</v>
      </c>
      <c r="B2210" t="s">
        <v>4028</v>
      </c>
      <c r="C2210">
        <v>30</v>
      </c>
      <c r="D2210">
        <v>1250</v>
      </c>
      <c r="E2210">
        <v>6000</v>
      </c>
      <c r="F2210">
        <v>80</v>
      </c>
      <c r="G2210">
        <v>10.093999999999999</v>
      </c>
      <c r="H2210" t="s">
        <v>3027</v>
      </c>
      <c r="I2210" s="1">
        <v>37352</v>
      </c>
      <c r="J2210" s="1">
        <v>37389</v>
      </c>
      <c r="K2210" t="s">
        <v>1124</v>
      </c>
      <c r="L2210" t="s">
        <v>1124</v>
      </c>
      <c r="M2210" s="1">
        <v>37389</v>
      </c>
      <c r="N2210" s="1">
        <v>37389</v>
      </c>
      <c r="O2210" t="s">
        <v>1117</v>
      </c>
      <c r="P2210">
        <v>1</v>
      </c>
      <c r="Q2210" t="s">
        <v>2855</v>
      </c>
      <c r="R2210">
        <f t="shared" si="69"/>
        <v>20</v>
      </c>
      <c r="S2210">
        <f t="shared" si="70"/>
        <v>0</v>
      </c>
    </row>
    <row r="2211" spans="1:19" x14ac:dyDescent="0.25">
      <c r="A2211" t="s">
        <v>3336</v>
      </c>
      <c r="B2211" t="s">
        <v>4028</v>
      </c>
      <c r="C2211">
        <v>8</v>
      </c>
      <c r="D2211">
        <v>1250</v>
      </c>
      <c r="E2211">
        <v>5000</v>
      </c>
      <c r="F2211">
        <v>5</v>
      </c>
      <c r="G2211">
        <v>5</v>
      </c>
      <c r="H2211" t="s">
        <v>3027</v>
      </c>
      <c r="I2211" s="1">
        <v>37258</v>
      </c>
      <c r="J2211" s="1">
        <v>37317</v>
      </c>
      <c r="K2211" t="s">
        <v>1124</v>
      </c>
      <c r="L2211" t="s">
        <v>1124</v>
      </c>
      <c r="M2211" s="1">
        <v>37347</v>
      </c>
      <c r="N2211" s="1">
        <v>37365</v>
      </c>
      <c r="O2211" t="s">
        <v>1117</v>
      </c>
      <c r="P2211">
        <v>4</v>
      </c>
      <c r="Q2211" t="s">
        <v>2855</v>
      </c>
      <c r="R2211">
        <f t="shared" si="69"/>
        <v>16</v>
      </c>
      <c r="S2211">
        <f t="shared" si="70"/>
        <v>1</v>
      </c>
    </row>
    <row r="2212" spans="1:19" x14ac:dyDescent="0.25">
      <c r="A2212" t="s">
        <v>3337</v>
      </c>
      <c r="B2212" t="s">
        <v>1199</v>
      </c>
      <c r="C2212">
        <v>6</v>
      </c>
      <c r="D2212">
        <v>1250</v>
      </c>
      <c r="E2212">
        <v>2500</v>
      </c>
      <c r="F2212">
        <v>8</v>
      </c>
      <c r="G2212">
        <v>3.714</v>
      </c>
      <c r="H2212" t="s">
        <v>2661</v>
      </c>
      <c r="I2212" s="1">
        <v>37159</v>
      </c>
      <c r="J2212" s="1">
        <v>37325</v>
      </c>
      <c r="K2212" s="1">
        <v>37353</v>
      </c>
      <c r="L2212" s="1">
        <v>37353</v>
      </c>
      <c r="M2212" s="1">
        <v>37351</v>
      </c>
      <c r="N2212" s="1">
        <v>37351</v>
      </c>
      <c r="O2212" t="s">
        <v>1117</v>
      </c>
      <c r="P2212">
        <v>5</v>
      </c>
      <c r="Q2212" t="s">
        <v>2662</v>
      </c>
      <c r="R2212">
        <f t="shared" si="69"/>
        <v>14</v>
      </c>
      <c r="S2212">
        <f t="shared" si="70"/>
        <v>0</v>
      </c>
    </row>
    <row r="2213" spans="1:19" x14ac:dyDescent="0.25">
      <c r="A2213" t="s">
        <v>3338</v>
      </c>
      <c r="B2213" t="s">
        <v>1199</v>
      </c>
      <c r="C2213">
        <v>10</v>
      </c>
      <c r="D2213">
        <v>1250</v>
      </c>
      <c r="E2213">
        <v>2500</v>
      </c>
      <c r="F2213">
        <v>5</v>
      </c>
      <c r="G2213">
        <v>5</v>
      </c>
      <c r="H2213" t="s">
        <v>3027</v>
      </c>
      <c r="I2213" s="1">
        <v>37258</v>
      </c>
      <c r="J2213" s="1">
        <v>37317</v>
      </c>
      <c r="K2213" s="1">
        <v>37332</v>
      </c>
      <c r="L2213" s="1">
        <v>37332</v>
      </c>
      <c r="M2213" s="1">
        <v>37332</v>
      </c>
      <c r="N2213" s="1">
        <v>37334</v>
      </c>
      <c r="O2213" t="s">
        <v>1117</v>
      </c>
      <c r="P2213">
        <v>1</v>
      </c>
      <c r="Q2213" t="s">
        <v>2855</v>
      </c>
      <c r="R2213">
        <f t="shared" si="69"/>
        <v>12</v>
      </c>
      <c r="S2213">
        <f t="shared" si="70"/>
        <v>1</v>
      </c>
    </row>
    <row r="2214" spans="1:19" x14ac:dyDescent="0.25">
      <c r="A2214" t="s">
        <v>3339</v>
      </c>
      <c r="B2214" t="s">
        <v>1199</v>
      </c>
      <c r="C2214">
        <v>12</v>
      </c>
      <c r="D2214">
        <v>1250</v>
      </c>
      <c r="E2214">
        <v>6000</v>
      </c>
      <c r="F2214">
        <v>12.526</v>
      </c>
      <c r="G2214">
        <v>12.526</v>
      </c>
      <c r="H2214" t="s">
        <v>3027</v>
      </c>
      <c r="I2214" s="1">
        <v>37258</v>
      </c>
      <c r="J2214" s="1">
        <v>37317</v>
      </c>
      <c r="K2214" s="1">
        <v>37329</v>
      </c>
      <c r="L2214" s="1">
        <v>37329</v>
      </c>
      <c r="M2214" s="1">
        <v>37331</v>
      </c>
      <c r="N2214" s="1">
        <v>37347</v>
      </c>
      <c r="O2214" t="s">
        <v>1117</v>
      </c>
      <c r="P2214">
        <v>7</v>
      </c>
      <c r="Q2214" t="s">
        <v>2855</v>
      </c>
      <c r="R2214">
        <f t="shared" si="69"/>
        <v>14</v>
      </c>
      <c r="S2214">
        <f t="shared" si="70"/>
        <v>1</v>
      </c>
    </row>
    <row r="2215" spans="1:19" x14ac:dyDescent="0.25">
      <c r="A2215" t="s">
        <v>3340</v>
      </c>
      <c r="B2215" t="s">
        <v>4028</v>
      </c>
      <c r="C2215">
        <v>5</v>
      </c>
      <c r="D2215">
        <v>1250</v>
      </c>
      <c r="E2215">
        <v>2500</v>
      </c>
      <c r="F2215">
        <v>6</v>
      </c>
      <c r="G2215">
        <v>6</v>
      </c>
      <c r="H2215" t="s">
        <v>2661</v>
      </c>
      <c r="I2215" s="1">
        <v>37159</v>
      </c>
      <c r="J2215" s="1">
        <v>37337</v>
      </c>
      <c r="K2215" t="s">
        <v>1124</v>
      </c>
      <c r="L2215" t="s">
        <v>1124</v>
      </c>
      <c r="M2215" s="1">
        <v>37352</v>
      </c>
      <c r="N2215" s="1">
        <v>37352</v>
      </c>
      <c r="O2215" t="s">
        <v>1117</v>
      </c>
      <c r="P2215">
        <v>11</v>
      </c>
      <c r="Q2215" t="s">
        <v>2662</v>
      </c>
      <c r="R2215">
        <f t="shared" si="69"/>
        <v>14</v>
      </c>
      <c r="S2215">
        <f t="shared" si="70"/>
        <v>1</v>
      </c>
    </row>
    <row r="2216" spans="1:19" x14ac:dyDescent="0.25">
      <c r="A2216" t="s">
        <v>3341</v>
      </c>
      <c r="B2216" t="s">
        <v>4027</v>
      </c>
      <c r="C2216">
        <v>3</v>
      </c>
      <c r="D2216">
        <v>1250</v>
      </c>
      <c r="E2216">
        <v>2500</v>
      </c>
      <c r="F2216">
        <v>17</v>
      </c>
      <c r="G2216">
        <v>17</v>
      </c>
      <c r="H2216" t="s">
        <v>2661</v>
      </c>
      <c r="I2216" s="1">
        <v>37159</v>
      </c>
      <c r="J2216" s="1">
        <v>37325</v>
      </c>
      <c r="K2216" t="s">
        <v>1124</v>
      </c>
      <c r="L2216" t="s">
        <v>1124</v>
      </c>
      <c r="M2216" s="1">
        <v>37354</v>
      </c>
      <c r="N2216" s="1">
        <v>37359</v>
      </c>
      <c r="O2216" t="s">
        <v>1117</v>
      </c>
      <c r="P2216">
        <v>2</v>
      </c>
      <c r="Q2216" t="s">
        <v>2662</v>
      </c>
      <c r="R2216">
        <f t="shared" si="69"/>
        <v>15</v>
      </c>
      <c r="S2216">
        <f t="shared" si="70"/>
        <v>1</v>
      </c>
    </row>
    <row r="2217" spans="1:19" x14ac:dyDescent="0.25">
      <c r="A2217" t="s">
        <v>3342</v>
      </c>
      <c r="B2217" t="s">
        <v>1199</v>
      </c>
      <c r="C2217">
        <v>10</v>
      </c>
      <c r="D2217">
        <v>1250</v>
      </c>
      <c r="E2217">
        <v>6000</v>
      </c>
      <c r="F2217">
        <v>6.2839999999999998</v>
      </c>
      <c r="G2217">
        <v>6.2839999999999998</v>
      </c>
      <c r="H2217" t="s">
        <v>3027</v>
      </c>
      <c r="I2217" s="1">
        <v>37258</v>
      </c>
      <c r="J2217" s="1">
        <v>37317</v>
      </c>
      <c r="K2217" t="s">
        <v>1124</v>
      </c>
      <c r="L2217" t="s">
        <v>1124</v>
      </c>
      <c r="M2217" s="1">
        <v>37333</v>
      </c>
      <c r="N2217" s="1">
        <v>37333</v>
      </c>
      <c r="O2217" t="s">
        <v>1117</v>
      </c>
      <c r="P2217">
        <v>6</v>
      </c>
      <c r="Q2217" t="s">
        <v>2855</v>
      </c>
      <c r="R2217">
        <f t="shared" si="69"/>
        <v>12</v>
      </c>
      <c r="S2217">
        <f t="shared" si="70"/>
        <v>1</v>
      </c>
    </row>
    <row r="2218" spans="1:19" x14ac:dyDescent="0.25">
      <c r="A2218" t="s">
        <v>3343</v>
      </c>
      <c r="B2218" t="s">
        <v>4026</v>
      </c>
      <c r="C2218">
        <v>20</v>
      </c>
      <c r="D2218">
        <v>1250</v>
      </c>
      <c r="E2218">
        <v>6000</v>
      </c>
      <c r="F2218">
        <v>5</v>
      </c>
      <c r="G2218">
        <v>5</v>
      </c>
      <c r="H2218" t="s">
        <v>3027</v>
      </c>
      <c r="I2218" s="1">
        <v>37343</v>
      </c>
      <c r="J2218" s="1">
        <v>37386</v>
      </c>
      <c r="K2218" t="s">
        <v>1124</v>
      </c>
      <c r="L2218" t="s">
        <v>1124</v>
      </c>
      <c r="M2218" t="s">
        <v>1124</v>
      </c>
      <c r="N2218" s="1">
        <v>37370</v>
      </c>
      <c r="O2218" t="s">
        <v>1117</v>
      </c>
      <c r="P2218">
        <v>1</v>
      </c>
      <c r="Q2218" t="s">
        <v>2855</v>
      </c>
      <c r="R2218">
        <f t="shared" si="69"/>
        <v>17</v>
      </c>
      <c r="S2218">
        <f t="shared" si="70"/>
        <v>0</v>
      </c>
    </row>
    <row r="2219" spans="1:19" x14ac:dyDescent="0.25">
      <c r="A2219" t="s">
        <v>3344</v>
      </c>
      <c r="B2219" t="s">
        <v>4028</v>
      </c>
      <c r="C2219">
        <v>20</v>
      </c>
      <c r="D2219">
        <v>1250</v>
      </c>
      <c r="E2219">
        <v>6000</v>
      </c>
      <c r="F2219">
        <v>5</v>
      </c>
      <c r="G2219">
        <v>5</v>
      </c>
      <c r="H2219" t="s">
        <v>3027</v>
      </c>
      <c r="I2219" s="1">
        <v>37343</v>
      </c>
      <c r="J2219" s="1">
        <v>37386</v>
      </c>
      <c r="K2219" t="s">
        <v>1124</v>
      </c>
      <c r="L2219" t="s">
        <v>1124</v>
      </c>
      <c r="M2219" t="s">
        <v>1124</v>
      </c>
      <c r="N2219" s="1">
        <v>37370</v>
      </c>
      <c r="O2219" t="s">
        <v>1117</v>
      </c>
      <c r="P2219">
        <v>1</v>
      </c>
      <c r="Q2219" t="s">
        <v>2855</v>
      </c>
      <c r="R2219">
        <f t="shared" si="69"/>
        <v>17</v>
      </c>
      <c r="S2219">
        <f t="shared" si="70"/>
        <v>0</v>
      </c>
    </row>
    <row r="2220" spans="1:19" x14ac:dyDescent="0.25">
      <c r="A2220" t="s">
        <v>3345</v>
      </c>
      <c r="B2220" t="s">
        <v>1199</v>
      </c>
      <c r="C2220">
        <v>3</v>
      </c>
      <c r="D2220">
        <v>1250</v>
      </c>
      <c r="E2220">
        <v>5000</v>
      </c>
      <c r="F2220">
        <v>5</v>
      </c>
      <c r="G2220">
        <v>5</v>
      </c>
      <c r="H2220" t="s">
        <v>2661</v>
      </c>
      <c r="I2220" s="1">
        <v>37122</v>
      </c>
      <c r="J2220" s="1">
        <v>37319</v>
      </c>
      <c r="K2220" s="1">
        <v>37375</v>
      </c>
      <c r="L2220" s="1">
        <v>37375</v>
      </c>
      <c r="M2220" s="1">
        <v>37359</v>
      </c>
      <c r="N2220" s="1">
        <v>37359</v>
      </c>
      <c r="O2220" t="s">
        <v>1117</v>
      </c>
      <c r="P2220">
        <v>2</v>
      </c>
      <c r="Q2220" t="s">
        <v>2662</v>
      </c>
      <c r="R2220">
        <f t="shared" si="69"/>
        <v>15</v>
      </c>
      <c r="S2220">
        <f t="shared" si="70"/>
        <v>1</v>
      </c>
    </row>
    <row r="2221" spans="1:19" x14ac:dyDescent="0.25">
      <c r="A2221" t="s">
        <v>3346</v>
      </c>
      <c r="B2221" t="s">
        <v>4028</v>
      </c>
      <c r="C2221">
        <v>16</v>
      </c>
      <c r="D2221">
        <v>1250</v>
      </c>
      <c r="E2221">
        <v>5000</v>
      </c>
      <c r="F2221">
        <v>4</v>
      </c>
      <c r="G2221">
        <v>4</v>
      </c>
      <c r="H2221" t="s">
        <v>3027</v>
      </c>
      <c r="I2221" s="1">
        <v>37343</v>
      </c>
      <c r="J2221" s="1">
        <v>37379</v>
      </c>
      <c r="K2221" t="s">
        <v>1124</v>
      </c>
      <c r="L2221" t="s">
        <v>1124</v>
      </c>
      <c r="M2221" t="s">
        <v>1124</v>
      </c>
      <c r="N2221" s="1">
        <v>37368</v>
      </c>
      <c r="O2221" t="s">
        <v>1117</v>
      </c>
      <c r="P2221">
        <v>1</v>
      </c>
      <c r="Q2221" t="s">
        <v>2855</v>
      </c>
      <c r="R2221">
        <f t="shared" si="69"/>
        <v>17</v>
      </c>
      <c r="S2221">
        <f t="shared" si="70"/>
        <v>0</v>
      </c>
    </row>
    <row r="2222" spans="1:19" x14ac:dyDescent="0.25">
      <c r="A2222" t="s">
        <v>3347</v>
      </c>
      <c r="B2222" t="s">
        <v>1199</v>
      </c>
      <c r="C2222">
        <v>16</v>
      </c>
      <c r="D2222">
        <v>1250</v>
      </c>
      <c r="E2222">
        <v>2500</v>
      </c>
      <c r="F2222">
        <v>5</v>
      </c>
      <c r="G2222">
        <v>5</v>
      </c>
      <c r="H2222" t="s">
        <v>3027</v>
      </c>
      <c r="I2222" s="1">
        <v>37343</v>
      </c>
      <c r="J2222" s="1">
        <v>37377</v>
      </c>
      <c r="K2222" t="s">
        <v>1124</v>
      </c>
      <c r="L2222" t="s">
        <v>1124</v>
      </c>
      <c r="M2222" s="1">
        <v>37379</v>
      </c>
      <c r="N2222" s="1">
        <v>37379</v>
      </c>
      <c r="O2222" t="s">
        <v>1117</v>
      </c>
      <c r="P2222">
        <v>1</v>
      </c>
      <c r="Q2222" t="s">
        <v>2855</v>
      </c>
      <c r="R2222">
        <f t="shared" si="69"/>
        <v>18</v>
      </c>
      <c r="S2222">
        <f t="shared" si="70"/>
        <v>1</v>
      </c>
    </row>
    <row r="2223" spans="1:19" x14ac:dyDescent="0.25">
      <c r="A2223" t="s">
        <v>3348</v>
      </c>
      <c r="B2223" t="s">
        <v>4027</v>
      </c>
      <c r="C2223">
        <v>16</v>
      </c>
      <c r="D2223">
        <v>1250</v>
      </c>
      <c r="E2223">
        <v>6000</v>
      </c>
      <c r="F2223">
        <v>5</v>
      </c>
      <c r="G2223">
        <v>5</v>
      </c>
      <c r="H2223" t="s">
        <v>3027</v>
      </c>
      <c r="I2223" s="1">
        <v>37343</v>
      </c>
      <c r="J2223" s="1">
        <v>37384</v>
      </c>
      <c r="K2223" t="s">
        <v>1124</v>
      </c>
      <c r="L2223" t="s">
        <v>1124</v>
      </c>
      <c r="M2223" t="s">
        <v>1124</v>
      </c>
      <c r="N2223" s="1">
        <v>37367</v>
      </c>
      <c r="O2223" t="s">
        <v>1117</v>
      </c>
      <c r="P2223">
        <v>1</v>
      </c>
      <c r="Q2223" t="s">
        <v>2855</v>
      </c>
      <c r="R2223">
        <f t="shared" si="69"/>
        <v>17</v>
      </c>
      <c r="S2223">
        <f t="shared" si="70"/>
        <v>0</v>
      </c>
    </row>
    <row r="2224" spans="1:19" x14ac:dyDescent="0.25">
      <c r="A2224" t="s">
        <v>3349</v>
      </c>
      <c r="B2224" t="s">
        <v>4027</v>
      </c>
      <c r="C2224">
        <v>16</v>
      </c>
      <c r="D2224">
        <v>1250</v>
      </c>
      <c r="E2224">
        <v>6000</v>
      </c>
      <c r="F2224">
        <v>37.012</v>
      </c>
      <c r="G2224">
        <v>37.012</v>
      </c>
      <c r="H2224" t="s">
        <v>3027</v>
      </c>
      <c r="I2224" s="1">
        <v>37258</v>
      </c>
      <c r="J2224" s="1">
        <v>37317</v>
      </c>
      <c r="K2224" t="s">
        <v>1124</v>
      </c>
      <c r="L2224" t="s">
        <v>1124</v>
      </c>
      <c r="M2224" s="1">
        <v>37335</v>
      </c>
      <c r="N2224" s="1">
        <v>37367</v>
      </c>
      <c r="O2224" t="s">
        <v>1117</v>
      </c>
      <c r="P2224">
        <v>1</v>
      </c>
      <c r="Q2224" t="s">
        <v>2855</v>
      </c>
      <c r="R2224">
        <f t="shared" si="69"/>
        <v>17</v>
      </c>
      <c r="S2224">
        <f t="shared" si="70"/>
        <v>1</v>
      </c>
    </row>
    <row r="2225" spans="1:19" x14ac:dyDescent="0.25">
      <c r="A2225" t="s">
        <v>3350</v>
      </c>
      <c r="B2225" t="s">
        <v>1199</v>
      </c>
      <c r="C2225">
        <v>25</v>
      </c>
      <c r="D2225">
        <v>1250</v>
      </c>
      <c r="E2225">
        <v>6000</v>
      </c>
      <c r="F2225">
        <v>10</v>
      </c>
      <c r="G2225">
        <v>10</v>
      </c>
      <c r="H2225" t="s">
        <v>3027</v>
      </c>
      <c r="I2225" s="1">
        <v>37258</v>
      </c>
      <c r="J2225" s="1">
        <v>37317</v>
      </c>
      <c r="K2225" t="s">
        <v>1124</v>
      </c>
      <c r="L2225" t="s">
        <v>1124</v>
      </c>
      <c r="M2225" s="1">
        <v>37338</v>
      </c>
      <c r="N2225" s="1">
        <v>37338</v>
      </c>
      <c r="O2225" t="s">
        <v>1117</v>
      </c>
      <c r="P2225">
        <v>2</v>
      </c>
      <c r="Q2225" t="s">
        <v>2855</v>
      </c>
      <c r="R2225">
        <f t="shared" si="69"/>
        <v>12</v>
      </c>
      <c r="S2225">
        <f t="shared" si="70"/>
        <v>1</v>
      </c>
    </row>
    <row r="2226" spans="1:19" x14ac:dyDescent="0.25">
      <c r="A2226" t="s">
        <v>3351</v>
      </c>
      <c r="B2226" t="s">
        <v>4026</v>
      </c>
      <c r="C2226">
        <v>12</v>
      </c>
      <c r="D2226">
        <v>1250</v>
      </c>
      <c r="E2226">
        <v>6000</v>
      </c>
      <c r="F2226">
        <v>9</v>
      </c>
      <c r="G2226">
        <v>9</v>
      </c>
      <c r="H2226" t="s">
        <v>3027</v>
      </c>
      <c r="I2226" s="1">
        <v>37126</v>
      </c>
      <c r="J2226" s="1">
        <v>37319</v>
      </c>
      <c r="K2226" t="s">
        <v>1124</v>
      </c>
      <c r="L2226" t="s">
        <v>1124</v>
      </c>
      <c r="M2226" s="1">
        <v>37337</v>
      </c>
      <c r="N2226" s="1">
        <v>37347</v>
      </c>
      <c r="O2226" t="s">
        <v>1117</v>
      </c>
      <c r="P2226">
        <v>2</v>
      </c>
      <c r="Q2226" t="s">
        <v>2855</v>
      </c>
      <c r="R2226">
        <f t="shared" si="69"/>
        <v>14</v>
      </c>
      <c r="S2226">
        <f t="shared" si="70"/>
        <v>1</v>
      </c>
    </row>
    <row r="2227" spans="1:19" x14ac:dyDescent="0.25">
      <c r="A2227" t="s">
        <v>3352</v>
      </c>
      <c r="B2227" t="s">
        <v>1199</v>
      </c>
      <c r="C2227">
        <v>16</v>
      </c>
      <c r="D2227">
        <v>1250</v>
      </c>
      <c r="E2227">
        <v>5000</v>
      </c>
      <c r="F2227">
        <v>4</v>
      </c>
      <c r="G2227">
        <v>4</v>
      </c>
      <c r="H2227" t="s">
        <v>3027</v>
      </c>
      <c r="I2227" s="1">
        <v>37343</v>
      </c>
      <c r="J2227" s="1">
        <v>37384</v>
      </c>
      <c r="K2227" t="s">
        <v>1124</v>
      </c>
      <c r="L2227" t="s">
        <v>1124</v>
      </c>
      <c r="M2227" t="s">
        <v>1124</v>
      </c>
      <c r="N2227" s="1">
        <v>37368</v>
      </c>
      <c r="O2227" t="s">
        <v>1117</v>
      </c>
      <c r="P2227">
        <v>1</v>
      </c>
      <c r="Q2227" t="s">
        <v>2855</v>
      </c>
      <c r="R2227">
        <f t="shared" si="69"/>
        <v>17</v>
      </c>
      <c r="S2227">
        <f t="shared" si="70"/>
        <v>0</v>
      </c>
    </row>
    <row r="2228" spans="1:19" x14ac:dyDescent="0.25">
      <c r="A2228" t="s">
        <v>3353</v>
      </c>
      <c r="B2228" t="s">
        <v>4028</v>
      </c>
      <c r="C2228">
        <v>4</v>
      </c>
      <c r="D2228">
        <v>1250</v>
      </c>
      <c r="E2228">
        <v>2500</v>
      </c>
      <c r="F2228">
        <v>5</v>
      </c>
      <c r="G2228">
        <v>5</v>
      </c>
      <c r="H2228" t="s">
        <v>2661</v>
      </c>
      <c r="I2228" s="1">
        <v>37159</v>
      </c>
      <c r="J2228" s="1">
        <v>37325</v>
      </c>
      <c r="K2228" s="1">
        <v>37363</v>
      </c>
      <c r="L2228" s="1">
        <v>37363</v>
      </c>
      <c r="M2228" s="1">
        <v>37347</v>
      </c>
      <c r="N2228" s="1">
        <v>37351</v>
      </c>
      <c r="O2228" t="s">
        <v>1117</v>
      </c>
      <c r="P2228">
        <v>3</v>
      </c>
      <c r="Q2228" t="s">
        <v>2662</v>
      </c>
      <c r="R2228">
        <f t="shared" si="69"/>
        <v>14</v>
      </c>
      <c r="S2228">
        <f t="shared" si="70"/>
        <v>1</v>
      </c>
    </row>
    <row r="2229" spans="1:19" x14ac:dyDescent="0.25">
      <c r="A2229" t="s">
        <v>3354</v>
      </c>
      <c r="B2229" t="s">
        <v>4028</v>
      </c>
      <c r="C2229">
        <v>3</v>
      </c>
      <c r="D2229">
        <v>1250</v>
      </c>
      <c r="E2229">
        <v>2500</v>
      </c>
      <c r="F2229">
        <v>15</v>
      </c>
      <c r="G2229">
        <v>15</v>
      </c>
      <c r="H2229" t="s">
        <v>2661</v>
      </c>
      <c r="I2229" s="1">
        <v>37126</v>
      </c>
      <c r="J2229" s="1">
        <v>37319</v>
      </c>
      <c r="K2229" s="1">
        <v>37325</v>
      </c>
      <c r="L2229" s="1">
        <v>37325</v>
      </c>
      <c r="M2229" s="1">
        <v>37330</v>
      </c>
      <c r="N2229" s="1">
        <v>37359</v>
      </c>
      <c r="O2229" t="s">
        <v>1117</v>
      </c>
      <c r="P2229">
        <v>4</v>
      </c>
      <c r="Q2229" t="s">
        <v>2662</v>
      </c>
      <c r="R2229">
        <f t="shared" si="69"/>
        <v>15</v>
      </c>
      <c r="S2229">
        <f t="shared" si="70"/>
        <v>1</v>
      </c>
    </row>
    <row r="2230" spans="1:19" x14ac:dyDescent="0.25">
      <c r="A2230" t="s">
        <v>3355</v>
      </c>
      <c r="B2230" t="s">
        <v>1199</v>
      </c>
      <c r="C2230">
        <v>3</v>
      </c>
      <c r="D2230">
        <v>1250</v>
      </c>
      <c r="E2230">
        <v>2500</v>
      </c>
      <c r="F2230">
        <v>10</v>
      </c>
      <c r="G2230">
        <v>10</v>
      </c>
      <c r="H2230" t="s">
        <v>2661</v>
      </c>
      <c r="I2230" s="1">
        <v>37110</v>
      </c>
      <c r="J2230" s="1">
        <v>37324</v>
      </c>
      <c r="K2230" s="1">
        <v>37375</v>
      </c>
      <c r="L2230" s="1">
        <v>37375</v>
      </c>
      <c r="M2230" s="1">
        <v>37359</v>
      </c>
      <c r="N2230" s="1">
        <v>37359</v>
      </c>
      <c r="O2230" t="s">
        <v>1117</v>
      </c>
      <c r="P2230">
        <v>1</v>
      </c>
      <c r="Q2230" t="s">
        <v>2662</v>
      </c>
      <c r="R2230">
        <f t="shared" si="69"/>
        <v>15</v>
      </c>
      <c r="S2230">
        <f t="shared" si="70"/>
        <v>1</v>
      </c>
    </row>
    <row r="2231" spans="1:19" x14ac:dyDescent="0.25">
      <c r="A2231" t="s">
        <v>3356</v>
      </c>
      <c r="B2231" t="s">
        <v>4028</v>
      </c>
      <c r="C2231">
        <v>6</v>
      </c>
      <c r="D2231">
        <v>1250</v>
      </c>
      <c r="E2231">
        <v>2500</v>
      </c>
      <c r="F2231">
        <v>7</v>
      </c>
      <c r="G2231">
        <v>7</v>
      </c>
      <c r="H2231" t="s">
        <v>2661</v>
      </c>
      <c r="I2231" s="1">
        <v>37116</v>
      </c>
      <c r="J2231" s="1">
        <v>37324</v>
      </c>
      <c r="K2231" s="1">
        <v>37353</v>
      </c>
      <c r="L2231" s="1">
        <v>37353</v>
      </c>
      <c r="M2231" s="1">
        <v>37351</v>
      </c>
      <c r="N2231" s="1">
        <v>37351</v>
      </c>
      <c r="O2231" t="s">
        <v>1117</v>
      </c>
      <c r="P2231">
        <v>4</v>
      </c>
      <c r="Q2231" t="s">
        <v>2662</v>
      </c>
      <c r="R2231">
        <f t="shared" si="69"/>
        <v>14</v>
      </c>
      <c r="S2231">
        <f t="shared" si="70"/>
        <v>1</v>
      </c>
    </row>
    <row r="2232" spans="1:19" x14ac:dyDescent="0.25">
      <c r="A2232" t="s">
        <v>3357</v>
      </c>
      <c r="B2232" t="s">
        <v>4028</v>
      </c>
      <c r="C2232">
        <v>16</v>
      </c>
      <c r="D2232">
        <v>1250</v>
      </c>
      <c r="E2232">
        <v>2500</v>
      </c>
      <c r="F2232">
        <v>5</v>
      </c>
      <c r="G2232">
        <v>5</v>
      </c>
      <c r="H2232" t="s">
        <v>3027</v>
      </c>
      <c r="I2232" s="1">
        <v>37104</v>
      </c>
      <c r="J2232" s="1">
        <v>37320</v>
      </c>
      <c r="K2232" t="s">
        <v>1124</v>
      </c>
      <c r="L2232" t="s">
        <v>1124</v>
      </c>
      <c r="M2232" s="1">
        <v>37272</v>
      </c>
      <c r="N2232" s="1">
        <v>37379</v>
      </c>
      <c r="O2232" t="s">
        <v>1117</v>
      </c>
      <c r="P2232">
        <v>1</v>
      </c>
      <c r="Q2232" t="s">
        <v>2855</v>
      </c>
      <c r="R2232">
        <f t="shared" si="69"/>
        <v>18</v>
      </c>
      <c r="S2232">
        <f t="shared" si="70"/>
        <v>1</v>
      </c>
    </row>
    <row r="2233" spans="1:19" x14ac:dyDescent="0.25">
      <c r="A2233" t="s">
        <v>3358</v>
      </c>
      <c r="B2233" t="s">
        <v>4028</v>
      </c>
      <c r="C2233">
        <v>5</v>
      </c>
      <c r="D2233">
        <v>1250</v>
      </c>
      <c r="E2233">
        <v>2500</v>
      </c>
      <c r="F2233">
        <v>9</v>
      </c>
      <c r="G2233">
        <v>9</v>
      </c>
      <c r="H2233" t="s">
        <v>2661</v>
      </c>
      <c r="I2233" s="1">
        <v>37122</v>
      </c>
      <c r="J2233" s="1">
        <v>37319</v>
      </c>
      <c r="K2233" s="1">
        <v>37352</v>
      </c>
      <c r="L2233" s="1">
        <v>37352</v>
      </c>
      <c r="M2233" s="1">
        <v>37352</v>
      </c>
      <c r="N2233" s="1">
        <v>37352</v>
      </c>
      <c r="O2233" t="s">
        <v>1117</v>
      </c>
      <c r="P2233">
        <v>4</v>
      </c>
      <c r="Q2233" t="s">
        <v>2662</v>
      </c>
      <c r="R2233">
        <f t="shared" si="69"/>
        <v>14</v>
      </c>
      <c r="S2233">
        <f t="shared" si="70"/>
        <v>1</v>
      </c>
    </row>
    <row r="2234" spans="1:19" x14ac:dyDescent="0.25">
      <c r="A2234" t="s">
        <v>3359</v>
      </c>
      <c r="B2234" t="s">
        <v>4027</v>
      </c>
      <c r="C2234">
        <v>25</v>
      </c>
      <c r="D2234">
        <v>1250</v>
      </c>
      <c r="E2234">
        <v>6000</v>
      </c>
      <c r="F2234">
        <v>10</v>
      </c>
      <c r="G2234">
        <v>10</v>
      </c>
      <c r="H2234" t="s">
        <v>3027</v>
      </c>
      <c r="I2234" s="1">
        <v>37257</v>
      </c>
      <c r="J2234" s="1">
        <v>37319</v>
      </c>
      <c r="K2234" t="s">
        <v>1124</v>
      </c>
      <c r="L2234" t="s">
        <v>1124</v>
      </c>
      <c r="M2234" s="1">
        <v>37338</v>
      </c>
      <c r="N2234" s="1">
        <v>37338</v>
      </c>
      <c r="O2234" t="s">
        <v>1117</v>
      </c>
      <c r="P2234">
        <v>2</v>
      </c>
      <c r="Q2234" t="s">
        <v>2855</v>
      </c>
      <c r="R2234">
        <f t="shared" si="69"/>
        <v>12</v>
      </c>
      <c r="S2234">
        <f t="shared" si="70"/>
        <v>1</v>
      </c>
    </row>
    <row r="2235" spans="1:19" x14ac:dyDescent="0.25">
      <c r="A2235" t="s">
        <v>3360</v>
      </c>
      <c r="B2235" t="s">
        <v>1199</v>
      </c>
      <c r="C2235">
        <v>8</v>
      </c>
      <c r="D2235">
        <v>1250</v>
      </c>
      <c r="E2235">
        <v>6000</v>
      </c>
      <c r="F2235">
        <v>20</v>
      </c>
      <c r="G2235">
        <v>20</v>
      </c>
      <c r="H2235" t="s">
        <v>3027</v>
      </c>
      <c r="I2235" s="1">
        <v>37110</v>
      </c>
      <c r="J2235" s="1">
        <v>37324</v>
      </c>
      <c r="K2235" t="s">
        <v>1124</v>
      </c>
      <c r="L2235" t="s">
        <v>1124</v>
      </c>
      <c r="M2235" s="1">
        <v>37347</v>
      </c>
      <c r="N2235" s="1">
        <v>37347</v>
      </c>
      <c r="O2235" t="s">
        <v>1117</v>
      </c>
      <c r="P2235">
        <v>10</v>
      </c>
      <c r="Q2235" t="s">
        <v>2855</v>
      </c>
      <c r="R2235">
        <f t="shared" si="69"/>
        <v>14</v>
      </c>
      <c r="S2235">
        <f t="shared" si="70"/>
        <v>1</v>
      </c>
    </row>
    <row r="2236" spans="1:19" x14ac:dyDescent="0.25">
      <c r="A2236" t="s">
        <v>3361</v>
      </c>
      <c r="B2236" t="s">
        <v>1199</v>
      </c>
      <c r="C2236">
        <v>20</v>
      </c>
      <c r="D2236">
        <v>1250</v>
      </c>
      <c r="E2236">
        <v>6000</v>
      </c>
      <c r="F2236">
        <v>5</v>
      </c>
      <c r="G2236">
        <v>5</v>
      </c>
      <c r="H2236" t="s">
        <v>3027</v>
      </c>
      <c r="I2236" s="1">
        <v>37110</v>
      </c>
      <c r="J2236" s="1">
        <v>37324</v>
      </c>
      <c r="K2236" s="1">
        <v>37322</v>
      </c>
      <c r="L2236" s="1">
        <v>37324</v>
      </c>
      <c r="M2236" s="1">
        <v>37225</v>
      </c>
      <c r="N2236" s="1">
        <v>37370</v>
      </c>
      <c r="O2236" t="s">
        <v>1114</v>
      </c>
      <c r="P2236">
        <v>15</v>
      </c>
      <c r="Q2236" t="s">
        <v>2855</v>
      </c>
      <c r="R2236">
        <f t="shared" si="69"/>
        <v>17</v>
      </c>
      <c r="S2236">
        <f t="shared" si="70"/>
        <v>1</v>
      </c>
    </row>
    <row r="2237" spans="1:19" x14ac:dyDescent="0.25">
      <c r="A2237" t="s">
        <v>3362</v>
      </c>
      <c r="B2237" t="s">
        <v>1199</v>
      </c>
      <c r="C2237">
        <v>12</v>
      </c>
      <c r="D2237">
        <v>1250</v>
      </c>
      <c r="E2237">
        <v>5000</v>
      </c>
      <c r="F2237">
        <v>10</v>
      </c>
      <c r="G2237">
        <v>10</v>
      </c>
      <c r="H2237" t="s">
        <v>3027</v>
      </c>
      <c r="I2237" s="1">
        <v>37110</v>
      </c>
      <c r="J2237" s="1">
        <v>37324</v>
      </c>
      <c r="K2237" t="s">
        <v>1124</v>
      </c>
      <c r="L2237" t="s">
        <v>1124</v>
      </c>
      <c r="M2237" s="1">
        <v>37337</v>
      </c>
      <c r="N2237" s="1">
        <v>37337</v>
      </c>
      <c r="O2237" t="s">
        <v>1117</v>
      </c>
      <c r="P2237">
        <v>7</v>
      </c>
      <c r="Q2237" t="s">
        <v>2855</v>
      </c>
      <c r="R2237">
        <f t="shared" si="69"/>
        <v>12</v>
      </c>
      <c r="S2237">
        <f t="shared" si="70"/>
        <v>1</v>
      </c>
    </row>
    <row r="2238" spans="1:19" x14ac:dyDescent="0.25">
      <c r="A2238" t="s">
        <v>3363</v>
      </c>
      <c r="B2238" t="s">
        <v>1199</v>
      </c>
      <c r="C2238">
        <v>16</v>
      </c>
      <c r="D2238">
        <v>1250</v>
      </c>
      <c r="E2238">
        <v>6000</v>
      </c>
      <c r="F2238">
        <v>6</v>
      </c>
      <c r="G2238">
        <v>6</v>
      </c>
      <c r="H2238" t="s">
        <v>3027</v>
      </c>
      <c r="I2238" s="1">
        <v>37110</v>
      </c>
      <c r="J2238" s="1">
        <v>37324</v>
      </c>
      <c r="K2238" t="s">
        <v>1124</v>
      </c>
      <c r="L2238" t="s">
        <v>1124</v>
      </c>
      <c r="M2238" s="1">
        <v>37225</v>
      </c>
      <c r="N2238" s="1">
        <v>37367</v>
      </c>
      <c r="O2238" t="s">
        <v>1117</v>
      </c>
      <c r="P2238">
        <v>5</v>
      </c>
      <c r="Q2238" t="s">
        <v>2855</v>
      </c>
      <c r="R2238">
        <f t="shared" si="69"/>
        <v>17</v>
      </c>
      <c r="S2238">
        <f t="shared" si="70"/>
        <v>1</v>
      </c>
    </row>
    <row r="2239" spans="1:19" x14ac:dyDescent="0.25">
      <c r="A2239" t="s">
        <v>3364</v>
      </c>
      <c r="B2239" t="s">
        <v>1199</v>
      </c>
      <c r="C2239">
        <v>10</v>
      </c>
      <c r="D2239">
        <v>1250</v>
      </c>
      <c r="E2239">
        <v>5000</v>
      </c>
      <c r="F2239">
        <v>18</v>
      </c>
      <c r="G2239">
        <v>18</v>
      </c>
      <c r="H2239" t="s">
        <v>3027</v>
      </c>
      <c r="I2239" s="1">
        <v>37110</v>
      </c>
      <c r="J2239" s="1">
        <v>37324</v>
      </c>
      <c r="K2239" t="s">
        <v>1124</v>
      </c>
      <c r="L2239" t="s">
        <v>1124</v>
      </c>
      <c r="M2239" s="1">
        <v>37347</v>
      </c>
      <c r="N2239" s="1">
        <v>37373</v>
      </c>
      <c r="O2239" t="s">
        <v>1117</v>
      </c>
      <c r="P2239">
        <v>3</v>
      </c>
      <c r="Q2239" t="s">
        <v>2855</v>
      </c>
      <c r="R2239">
        <f t="shared" si="69"/>
        <v>17</v>
      </c>
      <c r="S2239">
        <f t="shared" si="70"/>
        <v>1</v>
      </c>
    </row>
    <row r="2240" spans="1:19" x14ac:dyDescent="0.25">
      <c r="A2240" t="s">
        <v>3365</v>
      </c>
      <c r="B2240" t="s">
        <v>4028</v>
      </c>
      <c r="C2240">
        <v>4</v>
      </c>
      <c r="D2240">
        <v>1250</v>
      </c>
      <c r="E2240">
        <v>2500</v>
      </c>
      <c r="F2240">
        <v>5</v>
      </c>
      <c r="G2240">
        <v>5</v>
      </c>
      <c r="H2240" t="s">
        <v>2661</v>
      </c>
      <c r="I2240" s="1">
        <v>37110</v>
      </c>
      <c r="J2240" s="1">
        <v>37324</v>
      </c>
      <c r="K2240" s="1">
        <v>37363</v>
      </c>
      <c r="L2240" s="1">
        <v>37363</v>
      </c>
      <c r="M2240" s="1">
        <v>37351</v>
      </c>
      <c r="N2240" s="1">
        <v>37351</v>
      </c>
      <c r="O2240" t="s">
        <v>1117</v>
      </c>
      <c r="P2240">
        <v>2</v>
      </c>
      <c r="Q2240" t="s">
        <v>2662</v>
      </c>
      <c r="R2240">
        <f t="shared" si="69"/>
        <v>14</v>
      </c>
      <c r="S2240">
        <f t="shared" si="70"/>
        <v>1</v>
      </c>
    </row>
    <row r="2241" spans="1:19" x14ac:dyDescent="0.25">
      <c r="A2241" t="s">
        <v>3366</v>
      </c>
      <c r="B2241" t="s">
        <v>4028</v>
      </c>
      <c r="C2241">
        <v>6</v>
      </c>
      <c r="D2241">
        <v>1250</v>
      </c>
      <c r="E2241">
        <v>5000</v>
      </c>
      <c r="F2241">
        <v>6</v>
      </c>
      <c r="G2241">
        <v>6</v>
      </c>
      <c r="H2241" t="s">
        <v>2661</v>
      </c>
      <c r="I2241" s="1">
        <v>37110</v>
      </c>
      <c r="J2241" s="1">
        <v>37324</v>
      </c>
      <c r="K2241" s="1">
        <v>37353</v>
      </c>
      <c r="L2241" s="1">
        <v>37353</v>
      </c>
      <c r="M2241" s="1">
        <v>37351</v>
      </c>
      <c r="N2241" s="1">
        <v>37351</v>
      </c>
      <c r="O2241" t="s">
        <v>1117</v>
      </c>
      <c r="P2241">
        <v>1</v>
      </c>
      <c r="Q2241" t="s">
        <v>2662</v>
      </c>
      <c r="R2241">
        <f t="shared" si="69"/>
        <v>14</v>
      </c>
      <c r="S2241">
        <f t="shared" si="70"/>
        <v>1</v>
      </c>
    </row>
    <row r="2242" spans="1:19" x14ac:dyDescent="0.25">
      <c r="A2242" t="s">
        <v>3367</v>
      </c>
      <c r="B2242" t="s">
        <v>4026</v>
      </c>
      <c r="C2242">
        <v>3</v>
      </c>
      <c r="D2242">
        <v>1250</v>
      </c>
      <c r="E2242">
        <v>2500</v>
      </c>
      <c r="F2242">
        <v>8</v>
      </c>
      <c r="G2242">
        <v>8</v>
      </c>
      <c r="H2242" t="s">
        <v>2661</v>
      </c>
      <c r="I2242" s="1">
        <v>37110</v>
      </c>
      <c r="J2242" s="1">
        <v>37324</v>
      </c>
      <c r="K2242" s="1">
        <v>37375</v>
      </c>
      <c r="L2242" s="1">
        <v>37375</v>
      </c>
      <c r="M2242" s="1">
        <v>37359</v>
      </c>
      <c r="N2242" s="1">
        <v>37359</v>
      </c>
      <c r="O2242" t="s">
        <v>1117</v>
      </c>
      <c r="P2242">
        <v>4</v>
      </c>
      <c r="Q2242" t="s">
        <v>2662</v>
      </c>
      <c r="R2242">
        <f t="shared" si="69"/>
        <v>15</v>
      </c>
      <c r="S2242">
        <f t="shared" si="70"/>
        <v>1</v>
      </c>
    </row>
    <row r="2243" spans="1:19" x14ac:dyDescent="0.25">
      <c r="A2243" t="s">
        <v>3368</v>
      </c>
      <c r="B2243" t="s">
        <v>1199</v>
      </c>
      <c r="C2243">
        <v>6</v>
      </c>
      <c r="D2243">
        <v>1250</v>
      </c>
      <c r="E2243">
        <v>6000</v>
      </c>
      <c r="F2243">
        <v>9</v>
      </c>
      <c r="G2243">
        <v>9</v>
      </c>
      <c r="H2243" t="s">
        <v>2661</v>
      </c>
      <c r="I2243" s="1">
        <v>37110</v>
      </c>
      <c r="J2243" s="1">
        <v>37324</v>
      </c>
      <c r="K2243" s="1">
        <v>37353</v>
      </c>
      <c r="L2243" s="1">
        <v>37353</v>
      </c>
      <c r="M2243" s="1">
        <v>37351</v>
      </c>
      <c r="N2243" s="1">
        <v>37351</v>
      </c>
      <c r="O2243" t="s">
        <v>1117</v>
      </c>
      <c r="P2243">
        <v>3</v>
      </c>
      <c r="Q2243" t="s">
        <v>2662</v>
      </c>
      <c r="R2243">
        <f t="shared" ref="R2243:R2306" si="71">WEEKNUM(N2243,1)</f>
        <v>14</v>
      </c>
      <c r="S2243">
        <f t="shared" ref="S2243:S2306" si="72">IF(AND(F2243=G2243, M2243&lt;=N2243), 1,0)</f>
        <v>1</v>
      </c>
    </row>
    <row r="2244" spans="1:19" x14ac:dyDescent="0.25">
      <c r="A2244" t="s">
        <v>3369</v>
      </c>
      <c r="B2244" t="s">
        <v>4026</v>
      </c>
      <c r="C2244">
        <v>5</v>
      </c>
      <c r="D2244">
        <v>1250</v>
      </c>
      <c r="E2244">
        <v>6000</v>
      </c>
      <c r="F2244">
        <v>5</v>
      </c>
      <c r="G2244">
        <v>5</v>
      </c>
      <c r="H2244" t="s">
        <v>2661</v>
      </c>
      <c r="I2244" s="1">
        <v>37110</v>
      </c>
      <c r="J2244" s="1">
        <v>37324</v>
      </c>
      <c r="K2244" s="1">
        <v>37352</v>
      </c>
      <c r="L2244" s="1">
        <v>37352</v>
      </c>
      <c r="M2244" s="1">
        <v>37352</v>
      </c>
      <c r="N2244" s="1">
        <v>37352</v>
      </c>
      <c r="O2244" t="s">
        <v>1117</v>
      </c>
      <c r="P2244">
        <v>2</v>
      </c>
      <c r="Q2244" t="s">
        <v>2662</v>
      </c>
      <c r="R2244">
        <f t="shared" si="71"/>
        <v>14</v>
      </c>
      <c r="S2244">
        <f t="shared" si="72"/>
        <v>1</v>
      </c>
    </row>
    <row r="2245" spans="1:19" x14ac:dyDescent="0.25">
      <c r="A2245" t="s">
        <v>3370</v>
      </c>
      <c r="B2245" t="s">
        <v>4028</v>
      </c>
      <c r="C2245">
        <v>12</v>
      </c>
      <c r="D2245">
        <v>1250</v>
      </c>
      <c r="E2245">
        <v>6000</v>
      </c>
      <c r="F2245">
        <v>34</v>
      </c>
      <c r="G2245">
        <v>29.512</v>
      </c>
      <c r="H2245" t="s">
        <v>3027</v>
      </c>
      <c r="I2245" s="1">
        <v>37110</v>
      </c>
      <c r="J2245" s="1">
        <v>37324</v>
      </c>
      <c r="K2245" s="1">
        <v>37349</v>
      </c>
      <c r="L2245" s="1">
        <v>37349</v>
      </c>
      <c r="M2245" s="1">
        <v>37347</v>
      </c>
      <c r="N2245" s="1">
        <v>37347</v>
      </c>
      <c r="O2245" t="s">
        <v>1117</v>
      </c>
      <c r="P2245">
        <v>4</v>
      </c>
      <c r="Q2245" t="s">
        <v>2855</v>
      </c>
      <c r="R2245">
        <f t="shared" si="71"/>
        <v>14</v>
      </c>
      <c r="S2245">
        <f t="shared" si="72"/>
        <v>0</v>
      </c>
    </row>
    <row r="2246" spans="1:19" x14ac:dyDescent="0.25">
      <c r="A2246" t="s">
        <v>3371</v>
      </c>
      <c r="B2246" t="s">
        <v>1199</v>
      </c>
      <c r="C2246">
        <v>8</v>
      </c>
      <c r="D2246">
        <v>1250</v>
      </c>
      <c r="E2246">
        <v>2500</v>
      </c>
      <c r="F2246">
        <v>6</v>
      </c>
      <c r="G2246">
        <v>6</v>
      </c>
      <c r="H2246" t="s">
        <v>3027</v>
      </c>
      <c r="I2246" s="1">
        <v>37116</v>
      </c>
      <c r="J2246" s="1">
        <v>37324</v>
      </c>
      <c r="K2246" t="s">
        <v>1124</v>
      </c>
      <c r="L2246" t="s">
        <v>1124</v>
      </c>
      <c r="M2246" s="1">
        <v>37347</v>
      </c>
      <c r="N2246" s="1">
        <v>37347</v>
      </c>
      <c r="O2246" t="s">
        <v>1117</v>
      </c>
      <c r="P2246">
        <v>6</v>
      </c>
      <c r="Q2246" t="s">
        <v>2855</v>
      </c>
      <c r="R2246">
        <f t="shared" si="71"/>
        <v>14</v>
      </c>
      <c r="S2246">
        <f t="shared" si="72"/>
        <v>1</v>
      </c>
    </row>
    <row r="2247" spans="1:19" x14ac:dyDescent="0.25">
      <c r="A2247" t="s">
        <v>3372</v>
      </c>
      <c r="B2247" t="s">
        <v>1199</v>
      </c>
      <c r="C2247">
        <v>5</v>
      </c>
      <c r="D2247">
        <v>1250</v>
      </c>
      <c r="E2247">
        <v>6000</v>
      </c>
      <c r="F2247">
        <v>9</v>
      </c>
      <c r="G2247">
        <v>9</v>
      </c>
      <c r="H2247" t="s">
        <v>2661</v>
      </c>
      <c r="I2247" s="1">
        <v>37116</v>
      </c>
      <c r="J2247" s="1">
        <v>37324</v>
      </c>
      <c r="K2247" s="1">
        <v>37333</v>
      </c>
      <c r="L2247" s="1">
        <v>37333</v>
      </c>
      <c r="M2247" s="1">
        <v>37333</v>
      </c>
      <c r="N2247" s="1">
        <v>37352</v>
      </c>
      <c r="O2247" t="s">
        <v>1117</v>
      </c>
      <c r="P2247">
        <v>1</v>
      </c>
      <c r="Q2247" t="s">
        <v>2662</v>
      </c>
      <c r="R2247">
        <f t="shared" si="71"/>
        <v>14</v>
      </c>
      <c r="S2247">
        <f t="shared" si="72"/>
        <v>1</v>
      </c>
    </row>
    <row r="2248" spans="1:19" x14ac:dyDescent="0.25">
      <c r="A2248" t="s">
        <v>3373</v>
      </c>
      <c r="B2248" t="s">
        <v>4028</v>
      </c>
      <c r="C2248">
        <v>5</v>
      </c>
      <c r="D2248">
        <v>1250</v>
      </c>
      <c r="E2248">
        <v>2500</v>
      </c>
      <c r="F2248">
        <v>9</v>
      </c>
      <c r="G2248">
        <v>9</v>
      </c>
      <c r="H2248" t="s">
        <v>2661</v>
      </c>
      <c r="I2248" s="1">
        <v>37116</v>
      </c>
      <c r="J2248" s="1">
        <v>37324</v>
      </c>
      <c r="K2248" s="1">
        <v>37352</v>
      </c>
      <c r="L2248" s="1">
        <v>37352</v>
      </c>
      <c r="M2248" s="1">
        <v>37352</v>
      </c>
      <c r="N2248" s="1">
        <v>37352</v>
      </c>
      <c r="O2248" t="s">
        <v>1117</v>
      </c>
      <c r="P2248">
        <v>3</v>
      </c>
      <c r="Q2248" t="s">
        <v>2662</v>
      </c>
      <c r="R2248">
        <f t="shared" si="71"/>
        <v>14</v>
      </c>
      <c r="S2248">
        <f t="shared" si="72"/>
        <v>1</v>
      </c>
    </row>
    <row r="2249" spans="1:19" x14ac:dyDescent="0.25">
      <c r="A2249" t="s">
        <v>3374</v>
      </c>
      <c r="B2249" t="s">
        <v>1199</v>
      </c>
      <c r="C2249">
        <v>6</v>
      </c>
      <c r="D2249">
        <v>1250</v>
      </c>
      <c r="E2249">
        <v>6000</v>
      </c>
      <c r="F2249">
        <v>5</v>
      </c>
      <c r="G2249">
        <v>5</v>
      </c>
      <c r="H2249" t="s">
        <v>2661</v>
      </c>
      <c r="I2249" s="1">
        <v>37116</v>
      </c>
      <c r="J2249" s="1">
        <v>37324</v>
      </c>
      <c r="K2249" s="1">
        <v>37353</v>
      </c>
      <c r="L2249" s="1">
        <v>37353</v>
      </c>
      <c r="M2249" s="1">
        <v>37351</v>
      </c>
      <c r="N2249" s="1">
        <v>37351</v>
      </c>
      <c r="O2249" t="s">
        <v>1117</v>
      </c>
      <c r="P2249">
        <v>2</v>
      </c>
      <c r="Q2249" t="s">
        <v>2662</v>
      </c>
      <c r="R2249">
        <f t="shared" si="71"/>
        <v>14</v>
      </c>
      <c r="S2249">
        <f t="shared" si="72"/>
        <v>1</v>
      </c>
    </row>
    <row r="2250" spans="1:19" x14ac:dyDescent="0.25">
      <c r="A2250" t="s">
        <v>3375</v>
      </c>
      <c r="B2250" t="s">
        <v>4028</v>
      </c>
      <c r="C2250">
        <v>5</v>
      </c>
      <c r="D2250">
        <v>1250</v>
      </c>
      <c r="E2250">
        <v>5000</v>
      </c>
      <c r="F2250">
        <v>13</v>
      </c>
      <c r="G2250">
        <v>13</v>
      </c>
      <c r="H2250" t="s">
        <v>2661</v>
      </c>
      <c r="I2250" s="1">
        <v>37159</v>
      </c>
      <c r="J2250" s="1">
        <v>37325</v>
      </c>
      <c r="K2250" s="1">
        <v>37324</v>
      </c>
      <c r="L2250" s="1">
        <v>37325</v>
      </c>
      <c r="M2250" s="1">
        <v>37326</v>
      </c>
      <c r="N2250" s="1">
        <v>37352</v>
      </c>
      <c r="O2250" t="s">
        <v>1114</v>
      </c>
      <c r="P2250">
        <v>6</v>
      </c>
      <c r="Q2250" t="s">
        <v>2662</v>
      </c>
      <c r="R2250">
        <f t="shared" si="71"/>
        <v>14</v>
      </c>
      <c r="S2250">
        <f t="shared" si="72"/>
        <v>1</v>
      </c>
    </row>
    <row r="2251" spans="1:19" x14ac:dyDescent="0.25">
      <c r="A2251" t="s">
        <v>3376</v>
      </c>
      <c r="B2251" t="s">
        <v>4028</v>
      </c>
      <c r="C2251">
        <v>10</v>
      </c>
      <c r="D2251">
        <v>1250</v>
      </c>
      <c r="E2251">
        <v>2500</v>
      </c>
      <c r="F2251">
        <v>5.2619999999999996</v>
      </c>
      <c r="G2251">
        <v>5.2619999999999996</v>
      </c>
      <c r="H2251" t="s">
        <v>3027</v>
      </c>
      <c r="I2251" s="1">
        <v>37258</v>
      </c>
      <c r="J2251" s="1">
        <v>37317</v>
      </c>
      <c r="K2251" s="1">
        <v>37332</v>
      </c>
      <c r="L2251" s="1">
        <v>37332</v>
      </c>
      <c r="M2251" s="1">
        <v>37332</v>
      </c>
      <c r="N2251" s="1">
        <v>37334</v>
      </c>
      <c r="O2251" t="s">
        <v>1117</v>
      </c>
      <c r="P2251">
        <v>3</v>
      </c>
      <c r="Q2251" t="s">
        <v>2855</v>
      </c>
      <c r="R2251">
        <f t="shared" si="71"/>
        <v>12</v>
      </c>
      <c r="S2251">
        <f t="shared" si="72"/>
        <v>1</v>
      </c>
    </row>
    <row r="2252" spans="1:19" x14ac:dyDescent="0.25">
      <c r="A2252" t="s">
        <v>3377</v>
      </c>
      <c r="B2252" t="s">
        <v>4026</v>
      </c>
      <c r="C2252">
        <v>8</v>
      </c>
      <c r="D2252">
        <v>1250</v>
      </c>
      <c r="E2252">
        <v>2500</v>
      </c>
      <c r="F2252">
        <v>7</v>
      </c>
      <c r="G2252">
        <v>7</v>
      </c>
      <c r="H2252" t="s">
        <v>3027</v>
      </c>
      <c r="I2252" s="1">
        <v>37122</v>
      </c>
      <c r="J2252" s="1">
        <v>37319</v>
      </c>
      <c r="K2252" s="1">
        <v>37347</v>
      </c>
      <c r="L2252" s="1">
        <v>37347</v>
      </c>
      <c r="M2252" s="1">
        <v>37347</v>
      </c>
      <c r="N2252" s="1">
        <v>37347</v>
      </c>
      <c r="O2252" t="s">
        <v>1117</v>
      </c>
      <c r="P2252">
        <v>5</v>
      </c>
      <c r="Q2252" t="s">
        <v>2855</v>
      </c>
      <c r="R2252">
        <f t="shared" si="71"/>
        <v>14</v>
      </c>
      <c r="S2252">
        <f t="shared" si="72"/>
        <v>1</v>
      </c>
    </row>
    <row r="2253" spans="1:19" x14ac:dyDescent="0.25">
      <c r="A2253" t="s">
        <v>3378</v>
      </c>
      <c r="B2253" t="s">
        <v>1199</v>
      </c>
      <c r="C2253">
        <v>3</v>
      </c>
      <c r="D2253">
        <v>1250</v>
      </c>
      <c r="E2253">
        <v>2500</v>
      </c>
      <c r="F2253">
        <v>5</v>
      </c>
      <c r="G2253">
        <v>5</v>
      </c>
      <c r="H2253" t="s">
        <v>2661</v>
      </c>
      <c r="I2253" s="1">
        <v>37122</v>
      </c>
      <c r="J2253" s="1">
        <v>37319</v>
      </c>
      <c r="K2253" s="1">
        <v>37375</v>
      </c>
      <c r="L2253" s="1">
        <v>37375</v>
      </c>
      <c r="M2253" s="1">
        <v>37359</v>
      </c>
      <c r="N2253" s="1">
        <v>37359</v>
      </c>
      <c r="O2253" t="s">
        <v>1117</v>
      </c>
      <c r="P2253">
        <v>1</v>
      </c>
      <c r="Q2253" t="s">
        <v>2662</v>
      </c>
      <c r="R2253">
        <f t="shared" si="71"/>
        <v>15</v>
      </c>
      <c r="S2253">
        <f t="shared" si="72"/>
        <v>1</v>
      </c>
    </row>
    <row r="2254" spans="1:19" x14ac:dyDescent="0.25">
      <c r="A2254" t="s">
        <v>3379</v>
      </c>
      <c r="B2254" t="s">
        <v>4027</v>
      </c>
      <c r="C2254">
        <v>6</v>
      </c>
      <c r="D2254">
        <v>1250</v>
      </c>
      <c r="E2254">
        <v>2500</v>
      </c>
      <c r="F2254">
        <v>5</v>
      </c>
      <c r="G2254">
        <v>5</v>
      </c>
      <c r="H2254" t="s">
        <v>2661</v>
      </c>
      <c r="I2254" s="1">
        <v>37122</v>
      </c>
      <c r="J2254" s="1">
        <v>37319</v>
      </c>
      <c r="K2254" s="1">
        <v>37353</v>
      </c>
      <c r="L2254" s="1">
        <v>37353</v>
      </c>
      <c r="M2254" s="1">
        <v>37351</v>
      </c>
      <c r="N2254" s="1">
        <v>37351</v>
      </c>
      <c r="O2254" t="s">
        <v>1117</v>
      </c>
      <c r="P2254">
        <v>3</v>
      </c>
      <c r="Q2254" t="s">
        <v>2662</v>
      </c>
      <c r="R2254">
        <f t="shared" si="71"/>
        <v>14</v>
      </c>
      <c r="S2254">
        <f t="shared" si="72"/>
        <v>1</v>
      </c>
    </row>
    <row r="2255" spans="1:19" x14ac:dyDescent="0.25">
      <c r="A2255" t="s">
        <v>3380</v>
      </c>
      <c r="B2255" t="s">
        <v>1199</v>
      </c>
      <c r="C2255">
        <v>10</v>
      </c>
      <c r="D2255">
        <v>1250</v>
      </c>
      <c r="E2255">
        <v>2500</v>
      </c>
      <c r="F2255">
        <v>5</v>
      </c>
      <c r="G2255">
        <v>5</v>
      </c>
      <c r="H2255" t="s">
        <v>3027</v>
      </c>
      <c r="I2255" s="1">
        <v>37110</v>
      </c>
      <c r="J2255" s="1">
        <v>37324</v>
      </c>
      <c r="K2255" s="1">
        <v>37334</v>
      </c>
      <c r="L2255" s="1">
        <v>37334</v>
      </c>
      <c r="M2255" s="1">
        <v>37334</v>
      </c>
      <c r="N2255" s="1">
        <v>37334</v>
      </c>
      <c r="O2255" t="s">
        <v>1117</v>
      </c>
      <c r="P2255">
        <v>17</v>
      </c>
      <c r="Q2255" t="s">
        <v>2855</v>
      </c>
      <c r="R2255">
        <f t="shared" si="71"/>
        <v>12</v>
      </c>
      <c r="S2255">
        <f t="shared" si="72"/>
        <v>1</v>
      </c>
    </row>
    <row r="2256" spans="1:19" x14ac:dyDescent="0.25">
      <c r="A2256" t="s">
        <v>3381</v>
      </c>
      <c r="B2256" t="s">
        <v>4028</v>
      </c>
      <c r="C2256">
        <v>5</v>
      </c>
      <c r="D2256">
        <v>1250</v>
      </c>
      <c r="E2256">
        <v>2500</v>
      </c>
      <c r="F2256">
        <v>10</v>
      </c>
      <c r="G2256">
        <v>10</v>
      </c>
      <c r="H2256" t="s">
        <v>2661</v>
      </c>
      <c r="I2256" s="1">
        <v>37122</v>
      </c>
      <c r="J2256" s="1">
        <v>37319</v>
      </c>
      <c r="K2256" s="1">
        <v>37352</v>
      </c>
      <c r="L2256" s="1">
        <v>37352</v>
      </c>
      <c r="M2256" s="1">
        <v>37352</v>
      </c>
      <c r="N2256" s="1">
        <v>37352</v>
      </c>
      <c r="O2256" t="s">
        <v>1117</v>
      </c>
      <c r="P2256">
        <v>6</v>
      </c>
      <c r="Q2256" t="s">
        <v>2662</v>
      </c>
      <c r="R2256">
        <f t="shared" si="71"/>
        <v>14</v>
      </c>
      <c r="S2256">
        <f t="shared" si="72"/>
        <v>1</v>
      </c>
    </row>
    <row r="2257" spans="1:19" x14ac:dyDescent="0.25">
      <c r="A2257" t="s">
        <v>3382</v>
      </c>
      <c r="B2257" t="s">
        <v>4028</v>
      </c>
      <c r="C2257">
        <v>4</v>
      </c>
      <c r="D2257">
        <v>1250</v>
      </c>
      <c r="E2257">
        <v>2500</v>
      </c>
      <c r="F2257">
        <v>9</v>
      </c>
      <c r="G2257">
        <v>9</v>
      </c>
      <c r="H2257" t="s">
        <v>2661</v>
      </c>
      <c r="I2257" s="1">
        <v>37122</v>
      </c>
      <c r="J2257" s="1">
        <v>37319</v>
      </c>
      <c r="K2257" s="1">
        <v>37363</v>
      </c>
      <c r="L2257" s="1">
        <v>37363</v>
      </c>
      <c r="M2257" s="1">
        <v>37351</v>
      </c>
      <c r="N2257" s="1">
        <v>37351</v>
      </c>
      <c r="O2257" t="s">
        <v>1117</v>
      </c>
      <c r="P2257">
        <v>3</v>
      </c>
      <c r="Q2257" t="s">
        <v>2662</v>
      </c>
      <c r="R2257">
        <f t="shared" si="71"/>
        <v>14</v>
      </c>
      <c r="S2257">
        <f t="shared" si="72"/>
        <v>1</v>
      </c>
    </row>
    <row r="2258" spans="1:19" x14ac:dyDescent="0.25">
      <c r="A2258" t="s">
        <v>3383</v>
      </c>
      <c r="B2258" t="s">
        <v>1199</v>
      </c>
      <c r="C2258">
        <v>6</v>
      </c>
      <c r="D2258">
        <v>1250</v>
      </c>
      <c r="E2258">
        <v>2500</v>
      </c>
      <c r="F2258">
        <v>17</v>
      </c>
      <c r="G2258">
        <v>17</v>
      </c>
      <c r="H2258" t="s">
        <v>2661</v>
      </c>
      <c r="I2258" s="1">
        <v>37122</v>
      </c>
      <c r="J2258" s="1">
        <v>37319</v>
      </c>
      <c r="K2258" s="1">
        <v>37327</v>
      </c>
      <c r="L2258" s="1">
        <v>37327</v>
      </c>
      <c r="M2258" s="1">
        <v>37333</v>
      </c>
      <c r="N2258" s="1">
        <v>37351</v>
      </c>
      <c r="O2258" t="s">
        <v>1117</v>
      </c>
      <c r="P2258">
        <v>5</v>
      </c>
      <c r="Q2258" t="s">
        <v>2662</v>
      </c>
      <c r="R2258">
        <f t="shared" si="71"/>
        <v>14</v>
      </c>
      <c r="S2258">
        <f t="shared" si="72"/>
        <v>1</v>
      </c>
    </row>
    <row r="2259" spans="1:19" x14ac:dyDescent="0.25">
      <c r="A2259" t="s">
        <v>3384</v>
      </c>
      <c r="B2259" t="s">
        <v>4027</v>
      </c>
      <c r="C2259">
        <v>3</v>
      </c>
      <c r="D2259">
        <v>1250</v>
      </c>
      <c r="E2259">
        <v>2500</v>
      </c>
      <c r="F2259">
        <v>22</v>
      </c>
      <c r="G2259">
        <v>22</v>
      </c>
      <c r="H2259" t="s">
        <v>2661</v>
      </c>
      <c r="I2259" s="1">
        <v>37122</v>
      </c>
      <c r="J2259" s="1">
        <v>37319</v>
      </c>
      <c r="K2259" s="1">
        <v>37326</v>
      </c>
      <c r="L2259" s="1">
        <v>37326</v>
      </c>
      <c r="M2259" s="1">
        <v>37330</v>
      </c>
      <c r="N2259" s="1">
        <v>37359</v>
      </c>
      <c r="O2259" t="s">
        <v>1117</v>
      </c>
      <c r="P2259">
        <v>1</v>
      </c>
      <c r="Q2259" t="s">
        <v>2662</v>
      </c>
      <c r="R2259">
        <f t="shared" si="71"/>
        <v>15</v>
      </c>
      <c r="S2259">
        <f t="shared" si="72"/>
        <v>1</v>
      </c>
    </row>
    <row r="2260" spans="1:19" x14ac:dyDescent="0.25">
      <c r="A2260" t="s">
        <v>3385</v>
      </c>
      <c r="B2260" t="s">
        <v>1199</v>
      </c>
      <c r="C2260">
        <v>5</v>
      </c>
      <c r="D2260">
        <v>1250</v>
      </c>
      <c r="E2260">
        <v>6000</v>
      </c>
      <c r="F2260">
        <v>25</v>
      </c>
      <c r="G2260">
        <v>25</v>
      </c>
      <c r="H2260" t="s">
        <v>2661</v>
      </c>
      <c r="I2260" s="1">
        <v>37126</v>
      </c>
      <c r="J2260" s="1">
        <v>37319</v>
      </c>
      <c r="K2260" s="1">
        <v>37333</v>
      </c>
      <c r="L2260" s="1">
        <v>37333</v>
      </c>
      <c r="M2260" s="1">
        <v>37333</v>
      </c>
      <c r="N2260" s="1">
        <v>37352</v>
      </c>
      <c r="O2260" t="s">
        <v>1117</v>
      </c>
      <c r="P2260">
        <v>2</v>
      </c>
      <c r="Q2260" t="s">
        <v>2662</v>
      </c>
      <c r="R2260">
        <f t="shared" si="71"/>
        <v>14</v>
      </c>
      <c r="S2260">
        <f t="shared" si="72"/>
        <v>1</v>
      </c>
    </row>
    <row r="2261" spans="1:19" x14ac:dyDescent="0.25">
      <c r="A2261" t="s">
        <v>3386</v>
      </c>
      <c r="B2261" t="s">
        <v>1199</v>
      </c>
      <c r="C2261">
        <v>20</v>
      </c>
      <c r="D2261">
        <v>1250</v>
      </c>
      <c r="E2261">
        <v>6000</v>
      </c>
      <c r="F2261">
        <v>24</v>
      </c>
      <c r="G2261">
        <v>0.38300000000000001</v>
      </c>
      <c r="H2261" t="s">
        <v>3027</v>
      </c>
      <c r="I2261" s="1">
        <v>37126</v>
      </c>
      <c r="J2261" s="1">
        <v>37319</v>
      </c>
      <c r="K2261" t="s">
        <v>1124</v>
      </c>
      <c r="L2261" t="s">
        <v>1124</v>
      </c>
      <c r="M2261" s="1">
        <v>37287</v>
      </c>
      <c r="N2261" s="1">
        <v>37370</v>
      </c>
      <c r="O2261" t="s">
        <v>1117</v>
      </c>
      <c r="P2261">
        <v>10</v>
      </c>
      <c r="Q2261" t="s">
        <v>2855</v>
      </c>
      <c r="R2261">
        <f t="shared" si="71"/>
        <v>17</v>
      </c>
      <c r="S2261">
        <f t="shared" si="72"/>
        <v>0</v>
      </c>
    </row>
    <row r="2262" spans="1:19" x14ac:dyDescent="0.25">
      <c r="A2262" t="s">
        <v>3387</v>
      </c>
      <c r="B2262" t="s">
        <v>4026</v>
      </c>
      <c r="C2262">
        <v>16</v>
      </c>
      <c r="D2262">
        <v>1250</v>
      </c>
      <c r="E2262">
        <v>6000</v>
      </c>
      <c r="F2262">
        <v>9</v>
      </c>
      <c r="G2262">
        <v>9</v>
      </c>
      <c r="H2262" t="s">
        <v>3027</v>
      </c>
      <c r="I2262" s="1">
        <v>37126</v>
      </c>
      <c r="J2262" s="1">
        <v>37307</v>
      </c>
      <c r="K2262" s="1">
        <v>37309</v>
      </c>
      <c r="L2262" s="1">
        <v>37309</v>
      </c>
      <c r="M2262" s="1">
        <v>37287</v>
      </c>
      <c r="N2262" s="1">
        <v>37367</v>
      </c>
      <c r="O2262" t="s">
        <v>1117</v>
      </c>
      <c r="P2262">
        <v>3</v>
      </c>
      <c r="Q2262" t="s">
        <v>2855</v>
      </c>
      <c r="R2262">
        <f t="shared" si="71"/>
        <v>17</v>
      </c>
      <c r="S2262">
        <f t="shared" si="72"/>
        <v>1</v>
      </c>
    </row>
    <row r="2263" spans="1:19" x14ac:dyDescent="0.25">
      <c r="A2263" t="s">
        <v>3388</v>
      </c>
      <c r="B2263" t="s">
        <v>4026</v>
      </c>
      <c r="C2263">
        <v>3</v>
      </c>
      <c r="D2263">
        <v>1250</v>
      </c>
      <c r="E2263">
        <v>2500</v>
      </c>
      <c r="F2263">
        <v>10</v>
      </c>
      <c r="G2263">
        <v>10</v>
      </c>
      <c r="H2263" t="s">
        <v>2661</v>
      </c>
      <c r="I2263" s="1">
        <v>37126</v>
      </c>
      <c r="J2263" s="1">
        <v>37311</v>
      </c>
      <c r="K2263" s="1">
        <v>37375</v>
      </c>
      <c r="L2263" s="1">
        <v>37375</v>
      </c>
      <c r="M2263" s="1">
        <v>37352</v>
      </c>
      <c r="N2263" s="1">
        <v>37359</v>
      </c>
      <c r="O2263" t="s">
        <v>1117</v>
      </c>
      <c r="P2263">
        <v>1</v>
      </c>
      <c r="Q2263" t="s">
        <v>2662</v>
      </c>
      <c r="R2263">
        <f t="shared" si="71"/>
        <v>15</v>
      </c>
      <c r="S2263">
        <f t="shared" si="72"/>
        <v>1</v>
      </c>
    </row>
    <row r="2264" spans="1:19" x14ac:dyDescent="0.25">
      <c r="A2264" t="s">
        <v>3389</v>
      </c>
      <c r="B2264" t="s">
        <v>4028</v>
      </c>
      <c r="C2264">
        <v>6</v>
      </c>
      <c r="D2264">
        <v>1250</v>
      </c>
      <c r="E2264">
        <v>6000</v>
      </c>
      <c r="F2264">
        <v>15</v>
      </c>
      <c r="G2264">
        <v>15</v>
      </c>
      <c r="H2264" t="s">
        <v>2661</v>
      </c>
      <c r="I2264" s="1">
        <v>37126</v>
      </c>
      <c r="J2264" s="1">
        <v>37319</v>
      </c>
      <c r="K2264" s="1">
        <v>37327</v>
      </c>
      <c r="L2264" s="1">
        <v>37327</v>
      </c>
      <c r="M2264" s="1">
        <v>37333</v>
      </c>
      <c r="N2264" s="1">
        <v>37351</v>
      </c>
      <c r="O2264" t="s">
        <v>1117</v>
      </c>
      <c r="P2264">
        <v>3</v>
      </c>
      <c r="Q2264" t="s">
        <v>2662</v>
      </c>
      <c r="R2264">
        <f t="shared" si="71"/>
        <v>14</v>
      </c>
      <c r="S2264">
        <f t="shared" si="72"/>
        <v>1</v>
      </c>
    </row>
    <row r="2265" spans="1:19" x14ac:dyDescent="0.25">
      <c r="A2265" t="s">
        <v>3390</v>
      </c>
      <c r="B2265" t="s">
        <v>1199</v>
      </c>
      <c r="C2265">
        <v>3</v>
      </c>
      <c r="D2265">
        <v>1250</v>
      </c>
      <c r="E2265">
        <v>5000</v>
      </c>
      <c r="F2265">
        <v>8</v>
      </c>
      <c r="G2265">
        <v>8</v>
      </c>
      <c r="H2265" t="s">
        <v>2661</v>
      </c>
      <c r="I2265" s="1">
        <v>37126</v>
      </c>
      <c r="J2265" s="1">
        <v>37319</v>
      </c>
      <c r="K2265" s="1">
        <v>37375</v>
      </c>
      <c r="L2265" s="1">
        <v>37375</v>
      </c>
      <c r="M2265" s="1">
        <v>37359</v>
      </c>
      <c r="N2265" s="1">
        <v>37359</v>
      </c>
      <c r="O2265" t="s">
        <v>1117</v>
      </c>
      <c r="P2265">
        <v>5</v>
      </c>
      <c r="Q2265" t="s">
        <v>2662</v>
      </c>
      <c r="R2265">
        <f t="shared" si="71"/>
        <v>15</v>
      </c>
      <c r="S2265">
        <f t="shared" si="72"/>
        <v>1</v>
      </c>
    </row>
    <row r="2266" spans="1:19" x14ac:dyDescent="0.25">
      <c r="A2266" t="s">
        <v>3391</v>
      </c>
      <c r="B2266" t="s">
        <v>4028</v>
      </c>
      <c r="C2266">
        <v>5</v>
      </c>
      <c r="D2266">
        <v>1250</v>
      </c>
      <c r="E2266">
        <v>5000</v>
      </c>
      <c r="F2266">
        <v>6</v>
      </c>
      <c r="G2266">
        <v>6</v>
      </c>
      <c r="H2266" t="s">
        <v>2661</v>
      </c>
      <c r="I2266" s="1">
        <v>37126</v>
      </c>
      <c r="J2266" s="1">
        <v>37313</v>
      </c>
      <c r="K2266" s="1">
        <v>37352</v>
      </c>
      <c r="L2266" s="1">
        <v>37352</v>
      </c>
      <c r="M2266" s="1">
        <v>37352</v>
      </c>
      <c r="N2266" s="1">
        <v>37352</v>
      </c>
      <c r="O2266" t="s">
        <v>1117</v>
      </c>
      <c r="P2266">
        <v>6</v>
      </c>
      <c r="Q2266" t="s">
        <v>2662</v>
      </c>
      <c r="R2266">
        <f t="shared" si="71"/>
        <v>14</v>
      </c>
      <c r="S2266">
        <f t="shared" si="72"/>
        <v>1</v>
      </c>
    </row>
    <row r="2267" spans="1:19" x14ac:dyDescent="0.25">
      <c r="A2267" t="s">
        <v>3392</v>
      </c>
      <c r="B2267" t="s">
        <v>1199</v>
      </c>
      <c r="C2267">
        <v>5</v>
      </c>
      <c r="D2267">
        <v>1250</v>
      </c>
      <c r="E2267">
        <v>2500</v>
      </c>
      <c r="F2267">
        <v>11</v>
      </c>
      <c r="G2267">
        <v>11</v>
      </c>
      <c r="H2267" t="s">
        <v>2661</v>
      </c>
      <c r="I2267" s="1">
        <v>37126</v>
      </c>
      <c r="J2267" s="1">
        <v>37319</v>
      </c>
      <c r="K2267" s="1">
        <v>37352</v>
      </c>
      <c r="L2267" s="1">
        <v>37352</v>
      </c>
      <c r="M2267" s="1">
        <v>37352</v>
      </c>
      <c r="N2267" s="1">
        <v>37352</v>
      </c>
      <c r="O2267" t="s">
        <v>1117</v>
      </c>
      <c r="P2267">
        <v>8</v>
      </c>
      <c r="Q2267" t="s">
        <v>2662</v>
      </c>
      <c r="R2267">
        <f t="shared" si="71"/>
        <v>14</v>
      </c>
      <c r="S2267">
        <f t="shared" si="72"/>
        <v>1</v>
      </c>
    </row>
    <row r="2268" spans="1:19" x14ac:dyDescent="0.25">
      <c r="A2268" t="s">
        <v>3393</v>
      </c>
      <c r="B2268" t="s">
        <v>4028</v>
      </c>
      <c r="C2268">
        <v>6</v>
      </c>
      <c r="D2268">
        <v>1250</v>
      </c>
      <c r="E2268">
        <v>2500</v>
      </c>
      <c r="F2268">
        <v>9</v>
      </c>
      <c r="G2268">
        <v>9</v>
      </c>
      <c r="H2268" t="s">
        <v>2661</v>
      </c>
      <c r="I2268" s="1">
        <v>37126</v>
      </c>
      <c r="J2268" s="1">
        <v>37319</v>
      </c>
      <c r="K2268" s="1">
        <v>37353</v>
      </c>
      <c r="L2268" s="1">
        <v>37353</v>
      </c>
      <c r="M2268" s="1">
        <v>37351</v>
      </c>
      <c r="N2268" s="1">
        <v>37351</v>
      </c>
      <c r="O2268" t="s">
        <v>1117</v>
      </c>
      <c r="P2268">
        <v>9</v>
      </c>
      <c r="Q2268" t="s">
        <v>2662</v>
      </c>
      <c r="R2268">
        <f t="shared" si="71"/>
        <v>14</v>
      </c>
      <c r="S2268">
        <f t="shared" si="72"/>
        <v>1</v>
      </c>
    </row>
    <row r="2269" spans="1:19" x14ac:dyDescent="0.25">
      <c r="A2269" t="s">
        <v>3394</v>
      </c>
      <c r="B2269" t="s">
        <v>4028</v>
      </c>
      <c r="C2269">
        <v>8</v>
      </c>
      <c r="D2269">
        <v>1250</v>
      </c>
      <c r="E2269">
        <v>2500</v>
      </c>
      <c r="F2269">
        <v>5</v>
      </c>
      <c r="G2269">
        <v>5</v>
      </c>
      <c r="H2269" t="s">
        <v>3027</v>
      </c>
      <c r="I2269" s="1">
        <v>37130</v>
      </c>
      <c r="J2269" s="1">
        <v>37315</v>
      </c>
      <c r="K2269" s="1">
        <v>37347</v>
      </c>
      <c r="L2269" s="1">
        <v>37347</v>
      </c>
      <c r="M2269" s="1">
        <v>37347</v>
      </c>
      <c r="N2269" s="1">
        <v>37347</v>
      </c>
      <c r="O2269" t="s">
        <v>1117</v>
      </c>
      <c r="P2269">
        <v>1</v>
      </c>
      <c r="Q2269" t="s">
        <v>2855</v>
      </c>
      <c r="R2269">
        <f t="shared" si="71"/>
        <v>14</v>
      </c>
      <c r="S2269">
        <f t="shared" si="72"/>
        <v>1</v>
      </c>
    </row>
    <row r="2270" spans="1:19" x14ac:dyDescent="0.25">
      <c r="A2270" t="s">
        <v>3395</v>
      </c>
      <c r="B2270" t="s">
        <v>1199</v>
      </c>
      <c r="C2270">
        <v>10</v>
      </c>
      <c r="D2270">
        <v>1250</v>
      </c>
      <c r="E2270">
        <v>2500</v>
      </c>
      <c r="F2270">
        <v>5</v>
      </c>
      <c r="G2270">
        <v>5</v>
      </c>
      <c r="H2270" t="s">
        <v>3027</v>
      </c>
      <c r="I2270" s="1">
        <v>37130</v>
      </c>
      <c r="J2270" s="1">
        <v>37309</v>
      </c>
      <c r="K2270" s="1">
        <v>37332</v>
      </c>
      <c r="L2270" s="1">
        <v>37332</v>
      </c>
      <c r="M2270" s="1">
        <v>37332</v>
      </c>
      <c r="N2270" s="1">
        <v>37334</v>
      </c>
      <c r="O2270" t="s">
        <v>1117</v>
      </c>
      <c r="P2270">
        <v>2</v>
      </c>
      <c r="Q2270" t="s">
        <v>2855</v>
      </c>
      <c r="R2270">
        <f t="shared" si="71"/>
        <v>12</v>
      </c>
      <c r="S2270">
        <f t="shared" si="72"/>
        <v>1</v>
      </c>
    </row>
    <row r="2271" spans="1:19" x14ac:dyDescent="0.25">
      <c r="A2271" t="s">
        <v>3396</v>
      </c>
      <c r="B2271" t="s">
        <v>4026</v>
      </c>
      <c r="C2271">
        <v>5</v>
      </c>
      <c r="D2271">
        <v>1250</v>
      </c>
      <c r="E2271">
        <v>2500</v>
      </c>
      <c r="F2271">
        <v>5</v>
      </c>
      <c r="G2271">
        <v>5</v>
      </c>
      <c r="H2271" t="s">
        <v>2661</v>
      </c>
      <c r="I2271" s="1">
        <v>37130</v>
      </c>
      <c r="J2271" s="1">
        <v>37314</v>
      </c>
      <c r="K2271" s="1">
        <v>37352</v>
      </c>
      <c r="L2271" s="1">
        <v>37352</v>
      </c>
      <c r="M2271" s="1">
        <v>37352</v>
      </c>
      <c r="N2271" s="1">
        <v>37352</v>
      </c>
      <c r="O2271" t="s">
        <v>1117</v>
      </c>
      <c r="P2271">
        <v>1</v>
      </c>
      <c r="Q2271" t="s">
        <v>2662</v>
      </c>
      <c r="R2271">
        <f t="shared" si="71"/>
        <v>14</v>
      </c>
      <c r="S2271">
        <f t="shared" si="72"/>
        <v>1</v>
      </c>
    </row>
    <row r="2272" spans="1:19" x14ac:dyDescent="0.25">
      <c r="A2272" t="s">
        <v>3397</v>
      </c>
      <c r="B2272" t="s">
        <v>1199</v>
      </c>
      <c r="C2272">
        <v>5</v>
      </c>
      <c r="D2272">
        <v>1250</v>
      </c>
      <c r="E2272">
        <v>5000</v>
      </c>
      <c r="F2272">
        <v>10</v>
      </c>
      <c r="G2272">
        <v>10</v>
      </c>
      <c r="H2272" t="s">
        <v>2661</v>
      </c>
      <c r="I2272" s="1">
        <v>37159</v>
      </c>
      <c r="J2272" s="1">
        <v>37325</v>
      </c>
      <c r="K2272" s="1">
        <v>37352</v>
      </c>
      <c r="L2272" s="1">
        <v>37352</v>
      </c>
      <c r="M2272" s="1">
        <v>37352</v>
      </c>
      <c r="N2272" s="1">
        <v>37352</v>
      </c>
      <c r="O2272" t="s">
        <v>1117</v>
      </c>
      <c r="P2272">
        <v>6</v>
      </c>
      <c r="Q2272" t="s">
        <v>2662</v>
      </c>
      <c r="R2272">
        <f t="shared" si="71"/>
        <v>14</v>
      </c>
      <c r="S2272">
        <f t="shared" si="72"/>
        <v>1</v>
      </c>
    </row>
    <row r="2273" spans="1:19" x14ac:dyDescent="0.25">
      <c r="A2273" t="s">
        <v>3398</v>
      </c>
      <c r="B2273" t="s">
        <v>1199</v>
      </c>
      <c r="C2273">
        <v>8</v>
      </c>
      <c r="D2273">
        <v>1250</v>
      </c>
      <c r="E2273">
        <v>2500</v>
      </c>
      <c r="F2273">
        <v>8</v>
      </c>
      <c r="G2273">
        <v>8</v>
      </c>
      <c r="H2273" t="s">
        <v>3027</v>
      </c>
      <c r="I2273" s="1">
        <v>37133</v>
      </c>
      <c r="J2273" s="1">
        <v>37319</v>
      </c>
      <c r="K2273" t="s">
        <v>1124</v>
      </c>
      <c r="L2273" t="s">
        <v>1124</v>
      </c>
      <c r="M2273" s="1">
        <v>37347</v>
      </c>
      <c r="N2273" s="1">
        <v>37347</v>
      </c>
      <c r="O2273" t="s">
        <v>1117</v>
      </c>
      <c r="P2273">
        <v>13</v>
      </c>
      <c r="Q2273" t="s">
        <v>2855</v>
      </c>
      <c r="R2273">
        <f t="shared" si="71"/>
        <v>14</v>
      </c>
      <c r="S2273">
        <f t="shared" si="72"/>
        <v>1</v>
      </c>
    </row>
    <row r="2274" spans="1:19" x14ac:dyDescent="0.25">
      <c r="A2274" t="s">
        <v>3399</v>
      </c>
      <c r="B2274" t="s">
        <v>4026</v>
      </c>
      <c r="C2274">
        <v>5</v>
      </c>
      <c r="D2274">
        <v>1250</v>
      </c>
      <c r="E2274">
        <v>2500</v>
      </c>
      <c r="F2274">
        <v>15</v>
      </c>
      <c r="G2274">
        <v>15</v>
      </c>
      <c r="H2274" t="s">
        <v>2661</v>
      </c>
      <c r="I2274" s="1">
        <v>37159</v>
      </c>
      <c r="J2274" s="1">
        <v>37325</v>
      </c>
      <c r="K2274" s="1">
        <v>37347</v>
      </c>
      <c r="L2274" s="1">
        <v>37347</v>
      </c>
      <c r="M2274" s="1">
        <v>37347</v>
      </c>
      <c r="N2274" s="1">
        <v>37352</v>
      </c>
      <c r="O2274" t="s">
        <v>1117</v>
      </c>
      <c r="P2274">
        <v>6</v>
      </c>
      <c r="Q2274" t="s">
        <v>2662</v>
      </c>
      <c r="R2274">
        <f t="shared" si="71"/>
        <v>14</v>
      </c>
      <c r="S2274">
        <f t="shared" si="72"/>
        <v>1</v>
      </c>
    </row>
    <row r="2275" spans="1:19" x14ac:dyDescent="0.25">
      <c r="A2275" t="s">
        <v>3400</v>
      </c>
      <c r="B2275" t="s">
        <v>4028</v>
      </c>
      <c r="C2275">
        <v>20</v>
      </c>
      <c r="D2275">
        <v>1250</v>
      </c>
      <c r="E2275">
        <v>6000</v>
      </c>
      <c r="F2275">
        <v>8</v>
      </c>
      <c r="G2275">
        <v>8</v>
      </c>
      <c r="H2275" t="s">
        <v>3027</v>
      </c>
      <c r="I2275" s="1">
        <v>37133</v>
      </c>
      <c r="J2275" s="1">
        <v>37319</v>
      </c>
      <c r="K2275" t="s">
        <v>1124</v>
      </c>
      <c r="L2275" t="s">
        <v>1124</v>
      </c>
      <c r="M2275" s="1">
        <v>37287</v>
      </c>
      <c r="N2275" s="1">
        <v>37370</v>
      </c>
      <c r="O2275" t="s">
        <v>1117</v>
      </c>
      <c r="P2275">
        <v>11</v>
      </c>
      <c r="Q2275" t="s">
        <v>2855</v>
      </c>
      <c r="R2275">
        <f t="shared" si="71"/>
        <v>17</v>
      </c>
      <c r="S2275">
        <f t="shared" si="72"/>
        <v>1</v>
      </c>
    </row>
    <row r="2276" spans="1:19" x14ac:dyDescent="0.25">
      <c r="A2276" t="s">
        <v>3401</v>
      </c>
      <c r="B2276" t="s">
        <v>4028</v>
      </c>
      <c r="C2276">
        <v>10</v>
      </c>
      <c r="D2276">
        <v>1250</v>
      </c>
      <c r="E2276">
        <v>2500</v>
      </c>
      <c r="F2276">
        <v>5</v>
      </c>
      <c r="G2276">
        <v>5</v>
      </c>
      <c r="H2276" t="s">
        <v>3027</v>
      </c>
      <c r="I2276" s="1">
        <v>37133</v>
      </c>
      <c r="J2276" s="1">
        <v>37319</v>
      </c>
      <c r="K2276" s="1">
        <v>37333</v>
      </c>
      <c r="L2276" s="1">
        <v>37333</v>
      </c>
      <c r="M2276" s="1">
        <v>37333</v>
      </c>
      <c r="N2276" s="1">
        <v>37334</v>
      </c>
      <c r="O2276" t="s">
        <v>1117</v>
      </c>
      <c r="P2276">
        <v>14</v>
      </c>
      <c r="Q2276" t="s">
        <v>2855</v>
      </c>
      <c r="R2276">
        <f t="shared" si="71"/>
        <v>12</v>
      </c>
      <c r="S2276">
        <f t="shared" si="72"/>
        <v>1</v>
      </c>
    </row>
    <row r="2277" spans="1:19" x14ac:dyDescent="0.25">
      <c r="A2277" t="s">
        <v>3402</v>
      </c>
      <c r="B2277" t="s">
        <v>4028</v>
      </c>
      <c r="C2277">
        <v>12</v>
      </c>
      <c r="D2277">
        <v>1250</v>
      </c>
      <c r="E2277">
        <v>6000</v>
      </c>
      <c r="F2277">
        <v>8</v>
      </c>
      <c r="G2277">
        <v>8</v>
      </c>
      <c r="H2277" t="s">
        <v>3027</v>
      </c>
      <c r="I2277" s="1">
        <v>37133</v>
      </c>
      <c r="J2277" s="1">
        <v>37319</v>
      </c>
      <c r="K2277" t="s">
        <v>1124</v>
      </c>
      <c r="L2277" t="s">
        <v>1124</v>
      </c>
      <c r="M2277" s="1">
        <v>37337</v>
      </c>
      <c r="N2277" s="1">
        <v>37347</v>
      </c>
      <c r="O2277" t="s">
        <v>1117</v>
      </c>
      <c r="P2277">
        <v>2</v>
      </c>
      <c r="Q2277" t="s">
        <v>2855</v>
      </c>
      <c r="R2277">
        <f t="shared" si="71"/>
        <v>14</v>
      </c>
      <c r="S2277">
        <f t="shared" si="72"/>
        <v>1</v>
      </c>
    </row>
    <row r="2278" spans="1:19" x14ac:dyDescent="0.25">
      <c r="A2278" t="s">
        <v>3403</v>
      </c>
      <c r="B2278" t="s">
        <v>1199</v>
      </c>
      <c r="C2278">
        <v>25</v>
      </c>
      <c r="D2278">
        <v>1250</v>
      </c>
      <c r="E2278">
        <v>6000</v>
      </c>
      <c r="F2278">
        <v>10</v>
      </c>
      <c r="G2278">
        <v>10</v>
      </c>
      <c r="H2278" t="s">
        <v>3027</v>
      </c>
      <c r="I2278" s="1">
        <v>37133</v>
      </c>
      <c r="J2278" s="1">
        <v>37319</v>
      </c>
      <c r="K2278" t="s">
        <v>1124</v>
      </c>
      <c r="L2278" t="s">
        <v>1124</v>
      </c>
      <c r="M2278" s="1">
        <v>37287</v>
      </c>
      <c r="N2278" s="1">
        <v>37338</v>
      </c>
      <c r="O2278" t="s">
        <v>1117</v>
      </c>
      <c r="P2278">
        <v>12</v>
      </c>
      <c r="Q2278" t="s">
        <v>2855</v>
      </c>
      <c r="R2278">
        <f t="shared" si="71"/>
        <v>12</v>
      </c>
      <c r="S2278">
        <f t="shared" si="72"/>
        <v>1</v>
      </c>
    </row>
    <row r="2279" spans="1:19" x14ac:dyDescent="0.25">
      <c r="A2279" t="s">
        <v>3404</v>
      </c>
      <c r="B2279" t="s">
        <v>4026</v>
      </c>
      <c r="C2279">
        <v>5</v>
      </c>
      <c r="D2279">
        <v>1250</v>
      </c>
      <c r="E2279">
        <v>2500</v>
      </c>
      <c r="F2279">
        <v>10</v>
      </c>
      <c r="G2279">
        <v>10</v>
      </c>
      <c r="H2279" t="s">
        <v>2661</v>
      </c>
      <c r="I2279" s="1">
        <v>37159</v>
      </c>
      <c r="J2279" s="1">
        <v>37325</v>
      </c>
      <c r="K2279" s="1">
        <v>37352</v>
      </c>
      <c r="L2279" s="1">
        <v>37352</v>
      </c>
      <c r="M2279" s="1">
        <v>37352</v>
      </c>
      <c r="N2279" s="1">
        <v>37352</v>
      </c>
      <c r="O2279" t="s">
        <v>1117</v>
      </c>
      <c r="P2279">
        <v>6</v>
      </c>
      <c r="Q2279" t="s">
        <v>2662</v>
      </c>
      <c r="R2279">
        <f t="shared" si="71"/>
        <v>14</v>
      </c>
      <c r="S2279">
        <f t="shared" si="72"/>
        <v>1</v>
      </c>
    </row>
    <row r="2280" spans="1:19" x14ac:dyDescent="0.25">
      <c r="A2280" t="s">
        <v>3405</v>
      </c>
      <c r="B2280" t="s">
        <v>1199</v>
      </c>
      <c r="C2280">
        <v>16</v>
      </c>
      <c r="D2280">
        <v>1250</v>
      </c>
      <c r="E2280">
        <v>6000</v>
      </c>
      <c r="F2280">
        <v>2</v>
      </c>
      <c r="G2280">
        <v>2</v>
      </c>
      <c r="H2280" t="s">
        <v>3027</v>
      </c>
      <c r="I2280" s="1">
        <v>37133</v>
      </c>
      <c r="J2280" s="1">
        <v>37319</v>
      </c>
      <c r="K2280" t="s">
        <v>1124</v>
      </c>
      <c r="L2280" t="s">
        <v>1124</v>
      </c>
      <c r="M2280" s="1">
        <v>37287</v>
      </c>
      <c r="N2280" s="1">
        <v>37367</v>
      </c>
      <c r="O2280" t="s">
        <v>1117</v>
      </c>
      <c r="P2280">
        <v>3</v>
      </c>
      <c r="Q2280" t="s">
        <v>2855</v>
      </c>
      <c r="R2280">
        <f t="shared" si="71"/>
        <v>17</v>
      </c>
      <c r="S2280">
        <f t="shared" si="72"/>
        <v>1</v>
      </c>
    </row>
    <row r="2281" spans="1:19" x14ac:dyDescent="0.25">
      <c r="A2281" t="s">
        <v>3406</v>
      </c>
      <c r="B2281" t="s">
        <v>1199</v>
      </c>
      <c r="C2281">
        <v>5</v>
      </c>
      <c r="D2281">
        <v>1250</v>
      </c>
      <c r="E2281">
        <v>6000</v>
      </c>
      <c r="F2281">
        <v>10</v>
      </c>
      <c r="G2281">
        <v>10</v>
      </c>
      <c r="H2281" t="s">
        <v>2661</v>
      </c>
      <c r="I2281" s="1">
        <v>37133</v>
      </c>
      <c r="J2281" s="1">
        <v>37319</v>
      </c>
      <c r="K2281" s="1">
        <v>37352</v>
      </c>
      <c r="L2281" s="1">
        <v>37352</v>
      </c>
      <c r="M2281" s="1">
        <v>37352</v>
      </c>
      <c r="N2281" s="1">
        <v>37352</v>
      </c>
      <c r="O2281" t="s">
        <v>1117</v>
      </c>
      <c r="P2281">
        <v>1</v>
      </c>
      <c r="Q2281" t="s">
        <v>2662</v>
      </c>
      <c r="R2281">
        <f t="shared" si="71"/>
        <v>14</v>
      </c>
      <c r="S2281">
        <f t="shared" si="72"/>
        <v>1</v>
      </c>
    </row>
    <row r="2282" spans="1:19" x14ac:dyDescent="0.25">
      <c r="A2282" t="s">
        <v>3407</v>
      </c>
      <c r="B2282" t="s">
        <v>4026</v>
      </c>
      <c r="C2282">
        <v>6</v>
      </c>
      <c r="D2282">
        <v>1250</v>
      </c>
      <c r="E2282">
        <v>2500</v>
      </c>
      <c r="F2282">
        <v>4</v>
      </c>
      <c r="G2282">
        <v>4</v>
      </c>
      <c r="H2282" t="s">
        <v>2661</v>
      </c>
      <c r="I2282" s="1">
        <v>37133</v>
      </c>
      <c r="J2282" s="1">
        <v>37319</v>
      </c>
      <c r="K2282" s="1">
        <v>37353</v>
      </c>
      <c r="L2282" s="1">
        <v>37353</v>
      </c>
      <c r="M2282" s="1">
        <v>37351</v>
      </c>
      <c r="N2282" s="1">
        <v>37351</v>
      </c>
      <c r="O2282" t="s">
        <v>1117</v>
      </c>
      <c r="P2282">
        <v>4</v>
      </c>
      <c r="Q2282" t="s">
        <v>2662</v>
      </c>
      <c r="R2282">
        <f t="shared" si="71"/>
        <v>14</v>
      </c>
      <c r="S2282">
        <f t="shared" si="72"/>
        <v>1</v>
      </c>
    </row>
    <row r="2283" spans="1:19" x14ac:dyDescent="0.25">
      <c r="A2283" t="s">
        <v>3408</v>
      </c>
      <c r="B2283" t="s">
        <v>1199</v>
      </c>
      <c r="C2283">
        <v>4</v>
      </c>
      <c r="D2283">
        <v>1250</v>
      </c>
      <c r="E2283">
        <v>2500</v>
      </c>
      <c r="F2283">
        <v>10</v>
      </c>
      <c r="G2283">
        <v>10</v>
      </c>
      <c r="H2283" t="s">
        <v>2661</v>
      </c>
      <c r="I2283" s="1">
        <v>37133</v>
      </c>
      <c r="J2283" s="1">
        <v>37319</v>
      </c>
      <c r="K2283" s="1">
        <v>37363</v>
      </c>
      <c r="L2283" s="1">
        <v>37363</v>
      </c>
      <c r="M2283" s="1">
        <v>37351</v>
      </c>
      <c r="N2283" s="1">
        <v>37351</v>
      </c>
      <c r="O2283" t="s">
        <v>1117</v>
      </c>
      <c r="P2283">
        <v>3</v>
      </c>
      <c r="Q2283" t="s">
        <v>2662</v>
      </c>
      <c r="R2283">
        <f t="shared" si="71"/>
        <v>14</v>
      </c>
      <c r="S2283">
        <f t="shared" si="72"/>
        <v>1</v>
      </c>
    </row>
    <row r="2284" spans="1:19" x14ac:dyDescent="0.25">
      <c r="A2284" t="s">
        <v>3409</v>
      </c>
      <c r="B2284" t="s">
        <v>4028</v>
      </c>
      <c r="C2284">
        <v>3</v>
      </c>
      <c r="D2284">
        <v>1250</v>
      </c>
      <c r="E2284">
        <v>2500</v>
      </c>
      <c r="F2284">
        <v>14</v>
      </c>
      <c r="G2284">
        <v>14</v>
      </c>
      <c r="H2284" t="s">
        <v>2661</v>
      </c>
      <c r="I2284" s="1">
        <v>37133</v>
      </c>
      <c r="J2284" s="1">
        <v>37319</v>
      </c>
      <c r="K2284" s="1">
        <v>37324</v>
      </c>
      <c r="L2284" s="1">
        <v>37324</v>
      </c>
      <c r="M2284" s="1">
        <v>37330</v>
      </c>
      <c r="N2284" s="1">
        <v>37359</v>
      </c>
      <c r="O2284" t="s">
        <v>1117</v>
      </c>
      <c r="P2284">
        <v>2</v>
      </c>
      <c r="Q2284" t="s">
        <v>2662</v>
      </c>
      <c r="R2284">
        <f t="shared" si="71"/>
        <v>15</v>
      </c>
      <c r="S2284">
        <f t="shared" si="72"/>
        <v>1</v>
      </c>
    </row>
    <row r="2285" spans="1:19" x14ac:dyDescent="0.25">
      <c r="A2285" t="s">
        <v>3410</v>
      </c>
      <c r="B2285" t="s">
        <v>4026</v>
      </c>
      <c r="C2285">
        <v>12</v>
      </c>
      <c r="D2285">
        <v>1250</v>
      </c>
      <c r="E2285">
        <v>2500</v>
      </c>
      <c r="F2285">
        <v>5</v>
      </c>
      <c r="G2285">
        <v>4.0540000000000003</v>
      </c>
      <c r="H2285" t="s">
        <v>3027</v>
      </c>
      <c r="I2285" s="1">
        <v>37159</v>
      </c>
      <c r="J2285" s="1">
        <v>37320</v>
      </c>
      <c r="K2285" t="s">
        <v>1124</v>
      </c>
      <c r="L2285" t="s">
        <v>1124</v>
      </c>
      <c r="M2285" s="1">
        <v>37337</v>
      </c>
      <c r="N2285" s="1">
        <v>37368</v>
      </c>
      <c r="O2285" t="s">
        <v>1117</v>
      </c>
      <c r="P2285">
        <v>5</v>
      </c>
      <c r="Q2285" t="s">
        <v>2855</v>
      </c>
      <c r="R2285">
        <f t="shared" si="71"/>
        <v>17</v>
      </c>
      <c r="S2285">
        <f t="shared" si="72"/>
        <v>0</v>
      </c>
    </row>
    <row r="2286" spans="1:19" x14ac:dyDescent="0.25">
      <c r="A2286" t="s">
        <v>3411</v>
      </c>
      <c r="B2286" t="s">
        <v>1199</v>
      </c>
      <c r="C2286">
        <v>20</v>
      </c>
      <c r="D2286">
        <v>1250</v>
      </c>
      <c r="E2286">
        <v>5000</v>
      </c>
      <c r="F2286">
        <v>4</v>
      </c>
      <c r="G2286">
        <v>4</v>
      </c>
      <c r="H2286" t="s">
        <v>3027</v>
      </c>
      <c r="I2286" s="1">
        <v>37159</v>
      </c>
      <c r="J2286" s="1">
        <v>37325</v>
      </c>
      <c r="K2286" s="1">
        <v>37313</v>
      </c>
      <c r="L2286" s="1">
        <v>37325</v>
      </c>
      <c r="M2286" s="1">
        <v>37271</v>
      </c>
      <c r="N2286" s="1">
        <v>37272</v>
      </c>
      <c r="O2286" t="s">
        <v>1114</v>
      </c>
      <c r="P2286">
        <v>2</v>
      </c>
      <c r="Q2286" t="s">
        <v>2855</v>
      </c>
      <c r="R2286">
        <f t="shared" si="71"/>
        <v>3</v>
      </c>
      <c r="S2286">
        <f t="shared" si="72"/>
        <v>1</v>
      </c>
    </row>
    <row r="2287" spans="1:19" x14ac:dyDescent="0.25">
      <c r="A2287" t="s">
        <v>3412</v>
      </c>
      <c r="B2287" t="s">
        <v>4026</v>
      </c>
      <c r="C2287">
        <v>16</v>
      </c>
      <c r="D2287">
        <v>1250</v>
      </c>
      <c r="E2287">
        <v>5000</v>
      </c>
      <c r="F2287">
        <v>4</v>
      </c>
      <c r="G2287">
        <v>3.1760000000000002</v>
      </c>
      <c r="H2287" t="s">
        <v>3027</v>
      </c>
      <c r="I2287" s="1">
        <v>37159</v>
      </c>
      <c r="J2287" s="1">
        <v>37325</v>
      </c>
      <c r="K2287" t="s">
        <v>1124</v>
      </c>
      <c r="L2287" t="s">
        <v>1124</v>
      </c>
      <c r="M2287" s="1">
        <v>37271</v>
      </c>
      <c r="N2287" s="1">
        <v>37271</v>
      </c>
      <c r="O2287" t="s">
        <v>1117</v>
      </c>
      <c r="P2287">
        <v>1</v>
      </c>
      <c r="Q2287" t="s">
        <v>2855</v>
      </c>
      <c r="R2287">
        <f t="shared" si="71"/>
        <v>3</v>
      </c>
      <c r="S2287">
        <f t="shared" si="72"/>
        <v>0</v>
      </c>
    </row>
    <row r="2288" spans="1:19" x14ac:dyDescent="0.25">
      <c r="A2288" t="s">
        <v>3413</v>
      </c>
      <c r="B2288" t="s">
        <v>1199</v>
      </c>
      <c r="C2288">
        <v>16</v>
      </c>
      <c r="D2288">
        <v>1250</v>
      </c>
      <c r="E2288">
        <v>2500</v>
      </c>
      <c r="F2288">
        <v>5</v>
      </c>
      <c r="G2288">
        <v>5</v>
      </c>
      <c r="H2288" t="s">
        <v>3027</v>
      </c>
      <c r="I2288" s="1">
        <v>37133</v>
      </c>
      <c r="J2288" s="1">
        <v>37323</v>
      </c>
      <c r="K2288" t="s">
        <v>1124</v>
      </c>
      <c r="L2288" t="s">
        <v>1124</v>
      </c>
      <c r="M2288" s="1">
        <v>37270</v>
      </c>
      <c r="N2288" s="1">
        <v>37379</v>
      </c>
      <c r="O2288" t="s">
        <v>1117</v>
      </c>
      <c r="P2288">
        <v>3</v>
      </c>
      <c r="Q2288" t="s">
        <v>2855</v>
      </c>
      <c r="R2288">
        <f t="shared" si="71"/>
        <v>18</v>
      </c>
      <c r="S2288">
        <f t="shared" si="72"/>
        <v>1</v>
      </c>
    </row>
    <row r="2289" spans="1:19" x14ac:dyDescent="0.25">
      <c r="A2289" t="s">
        <v>3414</v>
      </c>
      <c r="B2289" t="s">
        <v>4026</v>
      </c>
      <c r="C2289">
        <v>20</v>
      </c>
      <c r="D2289">
        <v>1250</v>
      </c>
      <c r="E2289">
        <v>5000</v>
      </c>
      <c r="F2289">
        <v>4</v>
      </c>
      <c r="G2289">
        <v>4</v>
      </c>
      <c r="H2289" t="s">
        <v>3027</v>
      </c>
      <c r="I2289" s="1">
        <v>37159</v>
      </c>
      <c r="J2289" s="1">
        <v>37325</v>
      </c>
      <c r="K2289" t="s">
        <v>1124</v>
      </c>
      <c r="L2289" t="s">
        <v>1124</v>
      </c>
      <c r="M2289" s="1">
        <v>37271</v>
      </c>
      <c r="N2289" s="1">
        <v>37271</v>
      </c>
      <c r="O2289" t="s">
        <v>1117</v>
      </c>
      <c r="P2289">
        <v>2</v>
      </c>
      <c r="Q2289" t="s">
        <v>2855</v>
      </c>
      <c r="R2289">
        <f t="shared" si="71"/>
        <v>3</v>
      </c>
      <c r="S2289">
        <f t="shared" si="72"/>
        <v>1</v>
      </c>
    </row>
    <row r="2290" spans="1:19" x14ac:dyDescent="0.25">
      <c r="A2290" t="s">
        <v>3415</v>
      </c>
      <c r="B2290" t="s">
        <v>3631</v>
      </c>
      <c r="C2290">
        <v>25</v>
      </c>
      <c r="D2290">
        <v>1250</v>
      </c>
      <c r="E2290">
        <v>2500</v>
      </c>
      <c r="F2290">
        <v>3</v>
      </c>
      <c r="G2290">
        <v>3</v>
      </c>
      <c r="H2290" t="s">
        <v>3027</v>
      </c>
      <c r="I2290" s="1">
        <v>37104</v>
      </c>
      <c r="J2290" s="1">
        <v>37320</v>
      </c>
      <c r="K2290" s="1">
        <v>37312</v>
      </c>
      <c r="L2290" s="1">
        <v>37320</v>
      </c>
      <c r="M2290" s="1">
        <v>37272</v>
      </c>
      <c r="N2290" s="1">
        <v>37272</v>
      </c>
      <c r="O2290" t="s">
        <v>1114</v>
      </c>
      <c r="P2290">
        <v>3</v>
      </c>
      <c r="Q2290" t="s">
        <v>2855</v>
      </c>
      <c r="R2290">
        <f t="shared" si="71"/>
        <v>3</v>
      </c>
      <c r="S2290">
        <f t="shared" si="72"/>
        <v>1</v>
      </c>
    </row>
    <row r="2291" spans="1:19" x14ac:dyDescent="0.25">
      <c r="A2291" t="s">
        <v>3416</v>
      </c>
      <c r="B2291" t="s">
        <v>4026</v>
      </c>
      <c r="C2291">
        <v>10</v>
      </c>
      <c r="D2291">
        <v>1250</v>
      </c>
      <c r="E2291">
        <v>2500</v>
      </c>
      <c r="F2291">
        <v>5.2619999999999996</v>
      </c>
      <c r="G2291">
        <v>5.2619999999999996</v>
      </c>
      <c r="H2291" t="s">
        <v>3027</v>
      </c>
      <c r="I2291" s="1">
        <v>37257</v>
      </c>
      <c r="J2291" s="1">
        <v>37319</v>
      </c>
      <c r="K2291" s="1">
        <v>37333</v>
      </c>
      <c r="L2291" s="1">
        <v>37333</v>
      </c>
      <c r="M2291" s="1">
        <v>37333</v>
      </c>
      <c r="N2291" s="1">
        <v>37334</v>
      </c>
      <c r="O2291" t="s">
        <v>1117</v>
      </c>
      <c r="P2291">
        <v>3</v>
      </c>
      <c r="Q2291" t="s">
        <v>2855</v>
      </c>
      <c r="R2291">
        <f t="shared" si="71"/>
        <v>12</v>
      </c>
      <c r="S2291">
        <f t="shared" si="72"/>
        <v>1</v>
      </c>
    </row>
    <row r="2292" spans="1:19" x14ac:dyDescent="0.25">
      <c r="A2292" t="s">
        <v>3417</v>
      </c>
      <c r="B2292" t="s">
        <v>4028</v>
      </c>
      <c r="C2292">
        <v>14</v>
      </c>
      <c r="D2292">
        <v>1250</v>
      </c>
      <c r="E2292">
        <v>6000</v>
      </c>
      <c r="F2292">
        <v>6.5650000000000004</v>
      </c>
      <c r="G2292">
        <v>6.5650000000000004</v>
      </c>
      <c r="H2292" t="s">
        <v>3027</v>
      </c>
      <c r="I2292" s="1">
        <v>37257</v>
      </c>
      <c r="J2292" s="1">
        <v>37317</v>
      </c>
      <c r="K2292" t="s">
        <v>1124</v>
      </c>
      <c r="L2292" t="s">
        <v>1124</v>
      </c>
      <c r="M2292" s="1">
        <v>37386</v>
      </c>
      <c r="N2292" s="1">
        <v>37386</v>
      </c>
      <c r="O2292" t="s">
        <v>1117</v>
      </c>
      <c r="P2292">
        <v>3</v>
      </c>
      <c r="Q2292" t="s">
        <v>2855</v>
      </c>
      <c r="R2292">
        <f t="shared" si="71"/>
        <v>19</v>
      </c>
      <c r="S2292">
        <f t="shared" si="72"/>
        <v>1</v>
      </c>
    </row>
    <row r="2293" spans="1:19" x14ac:dyDescent="0.25">
      <c r="A2293" t="s">
        <v>3418</v>
      </c>
      <c r="B2293" t="s">
        <v>4027</v>
      </c>
      <c r="C2293">
        <v>6</v>
      </c>
      <c r="D2293">
        <v>1250</v>
      </c>
      <c r="E2293">
        <v>6000</v>
      </c>
      <c r="F2293">
        <v>8</v>
      </c>
      <c r="G2293">
        <v>8</v>
      </c>
      <c r="H2293" t="s">
        <v>2661</v>
      </c>
      <c r="I2293" s="1">
        <v>37125</v>
      </c>
      <c r="J2293" s="1">
        <v>37322</v>
      </c>
      <c r="K2293" s="1">
        <v>37331</v>
      </c>
      <c r="L2293" s="1">
        <v>37331</v>
      </c>
      <c r="M2293" s="1">
        <v>37331</v>
      </c>
      <c r="N2293" s="1">
        <v>37331</v>
      </c>
      <c r="O2293" t="s">
        <v>1117</v>
      </c>
      <c r="P2293">
        <v>3</v>
      </c>
      <c r="Q2293" t="s">
        <v>2662</v>
      </c>
      <c r="R2293">
        <f t="shared" si="71"/>
        <v>11</v>
      </c>
      <c r="S2293">
        <f t="shared" si="72"/>
        <v>1</v>
      </c>
    </row>
    <row r="2294" spans="1:19" x14ac:dyDescent="0.25">
      <c r="A2294" t="s">
        <v>3419</v>
      </c>
      <c r="B2294" t="s">
        <v>4026</v>
      </c>
      <c r="C2294">
        <v>10</v>
      </c>
      <c r="D2294">
        <v>1250</v>
      </c>
      <c r="E2294">
        <v>6000</v>
      </c>
      <c r="F2294">
        <v>8</v>
      </c>
      <c r="G2294">
        <v>8</v>
      </c>
      <c r="H2294" t="s">
        <v>3027</v>
      </c>
      <c r="I2294" s="1">
        <v>37126</v>
      </c>
      <c r="J2294" s="1">
        <v>37312</v>
      </c>
      <c r="K2294" s="1">
        <v>37321</v>
      </c>
      <c r="L2294" s="1">
        <v>37321</v>
      </c>
      <c r="M2294" s="1">
        <v>37319</v>
      </c>
      <c r="N2294" s="1">
        <v>37319</v>
      </c>
      <c r="O2294" t="s">
        <v>1117</v>
      </c>
      <c r="P2294">
        <v>5</v>
      </c>
      <c r="Q2294" t="s">
        <v>2855</v>
      </c>
      <c r="R2294">
        <f t="shared" si="71"/>
        <v>10</v>
      </c>
      <c r="S2294">
        <f t="shared" si="72"/>
        <v>1</v>
      </c>
    </row>
    <row r="2295" spans="1:19" x14ac:dyDescent="0.25">
      <c r="A2295" t="s">
        <v>3420</v>
      </c>
      <c r="B2295" t="s">
        <v>1199</v>
      </c>
      <c r="C2295">
        <v>8</v>
      </c>
      <c r="D2295">
        <v>1250</v>
      </c>
      <c r="E2295">
        <v>5000</v>
      </c>
      <c r="F2295">
        <v>7.9859999999999998</v>
      </c>
      <c r="G2295">
        <v>7.9859999999999998</v>
      </c>
      <c r="H2295" t="s">
        <v>3027</v>
      </c>
      <c r="I2295" s="1">
        <v>37258</v>
      </c>
      <c r="J2295" s="1">
        <v>37317</v>
      </c>
      <c r="K2295" t="s">
        <v>1124</v>
      </c>
      <c r="L2295" t="s">
        <v>1124</v>
      </c>
      <c r="M2295" s="1">
        <v>37347</v>
      </c>
      <c r="N2295" s="1">
        <v>37365</v>
      </c>
      <c r="O2295" t="s">
        <v>1117</v>
      </c>
      <c r="P2295">
        <v>1</v>
      </c>
      <c r="Q2295" t="s">
        <v>2855</v>
      </c>
      <c r="R2295">
        <f t="shared" si="71"/>
        <v>16</v>
      </c>
      <c r="S2295">
        <f t="shared" si="72"/>
        <v>1</v>
      </c>
    </row>
    <row r="2296" spans="1:19" x14ac:dyDescent="0.25">
      <c r="A2296" t="s">
        <v>3421</v>
      </c>
      <c r="B2296" t="s">
        <v>1199</v>
      </c>
      <c r="C2296">
        <v>22</v>
      </c>
      <c r="D2296">
        <v>1250</v>
      </c>
      <c r="E2296">
        <v>6000</v>
      </c>
      <c r="F2296">
        <v>5</v>
      </c>
      <c r="G2296">
        <v>3.6219999999999999</v>
      </c>
      <c r="H2296" t="s">
        <v>3027</v>
      </c>
      <c r="I2296" s="1">
        <v>37125</v>
      </c>
      <c r="J2296" s="1">
        <v>37315</v>
      </c>
      <c r="K2296" s="1">
        <v>37311</v>
      </c>
      <c r="L2296" s="1">
        <v>37315</v>
      </c>
      <c r="M2296" s="1">
        <v>37263</v>
      </c>
      <c r="N2296" s="1">
        <v>37263</v>
      </c>
      <c r="O2296" t="s">
        <v>1114</v>
      </c>
      <c r="P2296">
        <v>8</v>
      </c>
      <c r="Q2296" t="s">
        <v>2855</v>
      </c>
      <c r="R2296">
        <f t="shared" si="71"/>
        <v>2</v>
      </c>
      <c r="S2296">
        <f t="shared" si="72"/>
        <v>0</v>
      </c>
    </row>
    <row r="2297" spans="1:19" x14ac:dyDescent="0.25">
      <c r="A2297" t="s">
        <v>3422</v>
      </c>
      <c r="B2297" t="s">
        <v>1199</v>
      </c>
      <c r="C2297">
        <v>12</v>
      </c>
      <c r="D2297">
        <v>1250</v>
      </c>
      <c r="E2297">
        <v>2500</v>
      </c>
      <c r="F2297">
        <v>5</v>
      </c>
      <c r="G2297">
        <v>5</v>
      </c>
      <c r="H2297" t="s">
        <v>3027</v>
      </c>
      <c r="I2297" s="1">
        <v>37131</v>
      </c>
      <c r="J2297" s="1">
        <v>37309</v>
      </c>
      <c r="K2297" t="s">
        <v>1124</v>
      </c>
      <c r="L2297" t="s">
        <v>1124</v>
      </c>
      <c r="M2297" s="1">
        <v>37335</v>
      </c>
      <c r="N2297" s="1">
        <v>37368</v>
      </c>
      <c r="O2297" t="s">
        <v>1117</v>
      </c>
      <c r="P2297">
        <v>2</v>
      </c>
      <c r="Q2297" t="s">
        <v>2855</v>
      </c>
      <c r="R2297">
        <f t="shared" si="71"/>
        <v>17</v>
      </c>
      <c r="S2297">
        <f t="shared" si="72"/>
        <v>1</v>
      </c>
    </row>
    <row r="2298" spans="1:19" x14ac:dyDescent="0.25">
      <c r="A2298" t="s">
        <v>3423</v>
      </c>
      <c r="B2298" t="s">
        <v>4028</v>
      </c>
      <c r="C2298">
        <v>5</v>
      </c>
      <c r="D2298">
        <v>1250</v>
      </c>
      <c r="E2298">
        <v>6000</v>
      </c>
      <c r="F2298">
        <v>5</v>
      </c>
      <c r="G2298">
        <v>5</v>
      </c>
      <c r="H2298" t="s">
        <v>2661</v>
      </c>
      <c r="I2298" s="1">
        <v>37159</v>
      </c>
      <c r="J2298" s="1">
        <v>37325</v>
      </c>
      <c r="K2298" s="1">
        <v>37352</v>
      </c>
      <c r="L2298" s="1">
        <v>37352</v>
      </c>
      <c r="M2298" s="1">
        <v>37352</v>
      </c>
      <c r="N2298" s="1">
        <v>37352</v>
      </c>
      <c r="O2298" t="s">
        <v>1117</v>
      </c>
      <c r="P2298">
        <v>1</v>
      </c>
      <c r="Q2298" t="s">
        <v>2662</v>
      </c>
      <c r="R2298">
        <f t="shared" si="71"/>
        <v>14</v>
      </c>
      <c r="S2298">
        <f t="shared" si="72"/>
        <v>1</v>
      </c>
    </row>
    <row r="2299" spans="1:19" x14ac:dyDescent="0.25">
      <c r="A2299" t="s">
        <v>3424</v>
      </c>
      <c r="B2299" t="s">
        <v>4026</v>
      </c>
      <c r="C2299">
        <v>5</v>
      </c>
      <c r="D2299">
        <v>1250</v>
      </c>
      <c r="E2299">
        <v>4960</v>
      </c>
      <c r="F2299">
        <v>3.65</v>
      </c>
      <c r="G2299">
        <v>3.65</v>
      </c>
      <c r="H2299" t="s">
        <v>2661</v>
      </c>
      <c r="I2299" s="1">
        <v>37125</v>
      </c>
      <c r="J2299" s="1">
        <v>37309</v>
      </c>
      <c r="K2299" s="1">
        <v>37324</v>
      </c>
      <c r="L2299" s="1">
        <v>37324</v>
      </c>
      <c r="M2299" s="1">
        <v>37320</v>
      </c>
      <c r="N2299" s="1">
        <v>37320</v>
      </c>
      <c r="O2299" t="s">
        <v>1117</v>
      </c>
      <c r="P2299">
        <v>1</v>
      </c>
      <c r="Q2299" t="s">
        <v>2662</v>
      </c>
      <c r="R2299">
        <f t="shared" si="71"/>
        <v>10</v>
      </c>
      <c r="S2299">
        <f t="shared" si="72"/>
        <v>1</v>
      </c>
    </row>
    <row r="2300" spans="1:19" x14ac:dyDescent="0.25">
      <c r="A2300" t="s">
        <v>3425</v>
      </c>
      <c r="B2300" t="s">
        <v>1199</v>
      </c>
      <c r="C2300">
        <v>12</v>
      </c>
      <c r="D2300">
        <v>1250</v>
      </c>
      <c r="E2300">
        <v>6000</v>
      </c>
      <c r="F2300">
        <v>16.712</v>
      </c>
      <c r="G2300">
        <v>16.712</v>
      </c>
      <c r="H2300" t="s">
        <v>3027</v>
      </c>
      <c r="I2300" s="1">
        <v>37258</v>
      </c>
      <c r="J2300" s="1">
        <v>37317</v>
      </c>
      <c r="K2300" t="s">
        <v>1124</v>
      </c>
      <c r="L2300" t="s">
        <v>1124</v>
      </c>
      <c r="M2300" s="1">
        <v>37335</v>
      </c>
      <c r="N2300" s="1">
        <v>37370</v>
      </c>
      <c r="O2300" t="s">
        <v>1117</v>
      </c>
      <c r="P2300">
        <v>4</v>
      </c>
      <c r="Q2300" t="s">
        <v>2855</v>
      </c>
      <c r="R2300">
        <f t="shared" si="71"/>
        <v>17</v>
      </c>
      <c r="S2300">
        <f t="shared" si="72"/>
        <v>1</v>
      </c>
    </row>
    <row r="2301" spans="1:19" x14ac:dyDescent="0.25">
      <c r="A2301" t="s">
        <v>3426</v>
      </c>
      <c r="B2301" t="s">
        <v>4026</v>
      </c>
      <c r="C2301">
        <v>6</v>
      </c>
      <c r="D2301">
        <v>1250</v>
      </c>
      <c r="E2301">
        <v>5000</v>
      </c>
      <c r="F2301">
        <v>5</v>
      </c>
      <c r="G2301">
        <v>5</v>
      </c>
      <c r="H2301" t="s">
        <v>2661</v>
      </c>
      <c r="I2301" s="1">
        <v>37104</v>
      </c>
      <c r="J2301" s="1">
        <v>37325</v>
      </c>
      <c r="K2301" s="1">
        <v>37353</v>
      </c>
      <c r="L2301" s="1">
        <v>37353</v>
      </c>
      <c r="M2301" s="1">
        <v>37351</v>
      </c>
      <c r="N2301" s="1">
        <v>37351</v>
      </c>
      <c r="O2301" t="s">
        <v>1117</v>
      </c>
      <c r="P2301">
        <v>1</v>
      </c>
      <c r="Q2301" t="s">
        <v>2662</v>
      </c>
      <c r="R2301">
        <f t="shared" si="71"/>
        <v>14</v>
      </c>
      <c r="S2301">
        <f t="shared" si="72"/>
        <v>1</v>
      </c>
    </row>
    <row r="2302" spans="1:19" x14ac:dyDescent="0.25">
      <c r="A2302" t="s">
        <v>3427</v>
      </c>
      <c r="B2302" t="s">
        <v>1199</v>
      </c>
      <c r="C2302">
        <v>14</v>
      </c>
      <c r="D2302">
        <v>1250</v>
      </c>
      <c r="E2302">
        <v>6000</v>
      </c>
      <c r="F2302">
        <v>30.73</v>
      </c>
      <c r="G2302">
        <v>30.73</v>
      </c>
      <c r="H2302" t="s">
        <v>3027</v>
      </c>
      <c r="I2302" s="1">
        <v>37258</v>
      </c>
      <c r="J2302" s="1">
        <v>37317</v>
      </c>
      <c r="K2302" t="s">
        <v>1124</v>
      </c>
      <c r="L2302" t="s">
        <v>1124</v>
      </c>
      <c r="M2302" s="1">
        <v>37335</v>
      </c>
      <c r="N2302" s="1">
        <v>37335</v>
      </c>
      <c r="O2302" t="s">
        <v>1117</v>
      </c>
      <c r="P2302">
        <v>5</v>
      </c>
      <c r="Q2302" t="s">
        <v>2855</v>
      </c>
      <c r="R2302">
        <f t="shared" si="71"/>
        <v>12</v>
      </c>
      <c r="S2302">
        <f t="shared" si="72"/>
        <v>1</v>
      </c>
    </row>
    <row r="2303" spans="1:19" x14ac:dyDescent="0.25">
      <c r="A2303" t="s">
        <v>3428</v>
      </c>
      <c r="B2303" t="s">
        <v>4028</v>
      </c>
      <c r="C2303">
        <v>25</v>
      </c>
      <c r="D2303">
        <v>1250</v>
      </c>
      <c r="E2303">
        <v>6000</v>
      </c>
      <c r="F2303">
        <v>22.488</v>
      </c>
      <c r="G2303">
        <v>22.488</v>
      </c>
      <c r="H2303" t="s">
        <v>3027</v>
      </c>
      <c r="I2303" s="1">
        <v>37257</v>
      </c>
      <c r="J2303" s="1">
        <v>37319</v>
      </c>
      <c r="K2303" t="s">
        <v>1124</v>
      </c>
      <c r="L2303" t="s">
        <v>1124</v>
      </c>
      <c r="M2303" s="1">
        <v>37335</v>
      </c>
      <c r="N2303" s="1">
        <v>37338</v>
      </c>
      <c r="O2303" t="s">
        <v>1117</v>
      </c>
      <c r="P2303">
        <v>2</v>
      </c>
      <c r="Q2303" t="s">
        <v>2855</v>
      </c>
      <c r="R2303">
        <f t="shared" si="71"/>
        <v>12</v>
      </c>
      <c r="S2303">
        <f t="shared" si="72"/>
        <v>1</v>
      </c>
    </row>
    <row r="2304" spans="1:19" x14ac:dyDescent="0.25">
      <c r="A2304" t="s">
        <v>3429</v>
      </c>
      <c r="B2304" t="s">
        <v>1199</v>
      </c>
      <c r="C2304">
        <v>12</v>
      </c>
      <c r="D2304">
        <v>1250</v>
      </c>
      <c r="E2304">
        <v>6000</v>
      </c>
      <c r="F2304">
        <v>12.526</v>
      </c>
      <c r="G2304">
        <v>12.526</v>
      </c>
      <c r="H2304" t="s">
        <v>3027</v>
      </c>
      <c r="I2304" s="1">
        <v>37257</v>
      </c>
      <c r="J2304" s="1">
        <v>37319</v>
      </c>
      <c r="K2304" s="1">
        <v>37331</v>
      </c>
      <c r="L2304" s="1">
        <v>37331</v>
      </c>
      <c r="M2304" s="1">
        <v>37331</v>
      </c>
      <c r="N2304" s="1">
        <v>37347</v>
      </c>
      <c r="O2304" t="s">
        <v>1117</v>
      </c>
      <c r="P2304">
        <v>7</v>
      </c>
      <c r="Q2304" t="s">
        <v>2855</v>
      </c>
      <c r="R2304">
        <f t="shared" si="71"/>
        <v>14</v>
      </c>
      <c r="S2304">
        <f t="shared" si="72"/>
        <v>1</v>
      </c>
    </row>
    <row r="2305" spans="1:19" x14ac:dyDescent="0.25">
      <c r="A2305" t="s">
        <v>3430</v>
      </c>
      <c r="B2305" t="s">
        <v>3631</v>
      </c>
      <c r="C2305">
        <v>10</v>
      </c>
      <c r="D2305">
        <v>1250</v>
      </c>
      <c r="E2305">
        <v>2500</v>
      </c>
      <c r="F2305">
        <v>5</v>
      </c>
      <c r="G2305">
        <v>5</v>
      </c>
      <c r="H2305" t="s">
        <v>3027</v>
      </c>
      <c r="I2305" s="1">
        <v>37257</v>
      </c>
      <c r="J2305" s="1">
        <v>37319</v>
      </c>
      <c r="K2305" t="s">
        <v>1124</v>
      </c>
      <c r="L2305" t="s">
        <v>1124</v>
      </c>
      <c r="M2305" s="1">
        <v>37333</v>
      </c>
      <c r="N2305" s="1">
        <v>37334</v>
      </c>
      <c r="O2305" t="s">
        <v>1117</v>
      </c>
      <c r="P2305">
        <v>1</v>
      </c>
      <c r="Q2305" t="s">
        <v>2855</v>
      </c>
      <c r="R2305">
        <f t="shared" si="71"/>
        <v>12</v>
      </c>
      <c r="S2305">
        <f t="shared" si="72"/>
        <v>1</v>
      </c>
    </row>
    <row r="2306" spans="1:19" x14ac:dyDescent="0.25">
      <c r="A2306" t="s">
        <v>3431</v>
      </c>
      <c r="B2306" t="s">
        <v>4028</v>
      </c>
      <c r="C2306">
        <v>12</v>
      </c>
      <c r="D2306">
        <v>1250</v>
      </c>
      <c r="E2306">
        <v>5000</v>
      </c>
      <c r="F2306">
        <v>3.758</v>
      </c>
      <c r="G2306">
        <v>3.758</v>
      </c>
      <c r="H2306" t="s">
        <v>3027</v>
      </c>
      <c r="I2306" s="1">
        <v>37257</v>
      </c>
      <c r="J2306" s="1">
        <v>37319</v>
      </c>
      <c r="K2306" t="s">
        <v>1124</v>
      </c>
      <c r="L2306" t="s">
        <v>1124</v>
      </c>
      <c r="M2306" s="1">
        <v>37337</v>
      </c>
      <c r="N2306" s="1">
        <v>37337</v>
      </c>
      <c r="O2306" t="s">
        <v>1117</v>
      </c>
      <c r="P2306">
        <v>2</v>
      </c>
      <c r="Q2306" t="s">
        <v>2855</v>
      </c>
      <c r="R2306">
        <f t="shared" si="71"/>
        <v>12</v>
      </c>
      <c r="S2306">
        <f t="shared" si="72"/>
        <v>1</v>
      </c>
    </row>
    <row r="2307" spans="1:19" x14ac:dyDescent="0.25">
      <c r="A2307" t="s">
        <v>3432</v>
      </c>
      <c r="B2307" t="s">
        <v>1199</v>
      </c>
      <c r="C2307">
        <v>8</v>
      </c>
      <c r="D2307">
        <v>1250</v>
      </c>
      <c r="E2307">
        <v>6000</v>
      </c>
      <c r="F2307">
        <v>14.778</v>
      </c>
      <c r="G2307">
        <v>14.778</v>
      </c>
      <c r="H2307" t="s">
        <v>3027</v>
      </c>
      <c r="I2307" s="1">
        <v>37257</v>
      </c>
      <c r="J2307" s="1">
        <v>37317</v>
      </c>
      <c r="K2307" s="1">
        <v>37331</v>
      </c>
      <c r="L2307" s="1">
        <v>37331</v>
      </c>
      <c r="M2307" s="1">
        <v>37331</v>
      </c>
      <c r="N2307" s="1">
        <v>37347</v>
      </c>
      <c r="O2307" t="s">
        <v>1117</v>
      </c>
      <c r="P2307">
        <v>5</v>
      </c>
      <c r="Q2307" t="s">
        <v>2855</v>
      </c>
      <c r="R2307">
        <f t="shared" ref="R2307:R2370" si="73">WEEKNUM(N2307,1)</f>
        <v>14</v>
      </c>
      <c r="S2307">
        <f t="shared" ref="S2307:S2370" si="74">IF(AND(F2307=G2307, M2307&lt;=N2307), 1,0)</f>
        <v>1</v>
      </c>
    </row>
    <row r="2308" spans="1:19" x14ac:dyDescent="0.25">
      <c r="A2308" t="s">
        <v>3433</v>
      </c>
      <c r="B2308" t="s">
        <v>4028</v>
      </c>
      <c r="C2308">
        <v>27.2</v>
      </c>
      <c r="D2308">
        <v>1000</v>
      </c>
      <c r="E2308">
        <v>6100</v>
      </c>
      <c r="F2308">
        <v>16.745000000000001</v>
      </c>
      <c r="G2308">
        <v>16.745000000000001</v>
      </c>
      <c r="H2308" t="s">
        <v>3027</v>
      </c>
      <c r="I2308" s="1">
        <v>37122</v>
      </c>
      <c r="J2308" s="1">
        <v>37314</v>
      </c>
      <c r="K2308" s="1">
        <v>37318</v>
      </c>
      <c r="L2308" s="1">
        <v>37318</v>
      </c>
      <c r="M2308" s="1">
        <v>37318</v>
      </c>
      <c r="N2308" s="1">
        <v>37318</v>
      </c>
      <c r="O2308" t="s">
        <v>1117</v>
      </c>
      <c r="P2308">
        <v>2</v>
      </c>
      <c r="Q2308" t="s">
        <v>2855</v>
      </c>
      <c r="R2308">
        <f t="shared" si="73"/>
        <v>10</v>
      </c>
      <c r="S2308">
        <f t="shared" si="74"/>
        <v>1</v>
      </c>
    </row>
    <row r="2309" spans="1:19" x14ac:dyDescent="0.25">
      <c r="A2309" t="s">
        <v>3434</v>
      </c>
      <c r="B2309" t="s">
        <v>1199</v>
      </c>
      <c r="C2309">
        <v>10</v>
      </c>
      <c r="D2309">
        <v>1250</v>
      </c>
      <c r="E2309">
        <v>6000</v>
      </c>
      <c r="F2309">
        <v>5</v>
      </c>
      <c r="G2309">
        <v>5</v>
      </c>
      <c r="H2309" t="s">
        <v>3027</v>
      </c>
      <c r="I2309" s="1">
        <v>37257</v>
      </c>
      <c r="J2309" s="1">
        <v>37317</v>
      </c>
      <c r="K2309" s="1">
        <v>37332</v>
      </c>
      <c r="L2309" s="1">
        <v>37332</v>
      </c>
      <c r="M2309" s="1">
        <v>37332</v>
      </c>
      <c r="N2309" s="1">
        <v>37333</v>
      </c>
      <c r="O2309" t="s">
        <v>1117</v>
      </c>
      <c r="P2309">
        <v>3</v>
      </c>
      <c r="Q2309" t="s">
        <v>2855</v>
      </c>
      <c r="R2309">
        <f t="shared" si="73"/>
        <v>12</v>
      </c>
      <c r="S2309">
        <f t="shared" si="74"/>
        <v>1</v>
      </c>
    </row>
    <row r="2310" spans="1:19" x14ac:dyDescent="0.25">
      <c r="A2310" t="s">
        <v>3435</v>
      </c>
      <c r="B2310" t="s">
        <v>1199</v>
      </c>
      <c r="C2310">
        <v>6</v>
      </c>
      <c r="D2310">
        <v>1250</v>
      </c>
      <c r="E2310">
        <v>2500</v>
      </c>
      <c r="F2310">
        <v>5</v>
      </c>
      <c r="G2310">
        <v>5</v>
      </c>
      <c r="H2310" t="s">
        <v>2661</v>
      </c>
      <c r="I2310" s="1">
        <v>37159</v>
      </c>
      <c r="J2310" s="1">
        <v>37325</v>
      </c>
      <c r="K2310" s="1">
        <v>37353</v>
      </c>
      <c r="L2310" s="1">
        <v>37353</v>
      </c>
      <c r="M2310" s="1">
        <v>37351</v>
      </c>
      <c r="N2310" s="1">
        <v>37351</v>
      </c>
      <c r="O2310" t="s">
        <v>1117</v>
      </c>
      <c r="P2310">
        <v>2</v>
      </c>
      <c r="Q2310" t="s">
        <v>2662</v>
      </c>
      <c r="R2310">
        <f t="shared" si="73"/>
        <v>14</v>
      </c>
      <c r="S2310">
        <f t="shared" si="74"/>
        <v>1</v>
      </c>
    </row>
    <row r="2311" spans="1:19" x14ac:dyDescent="0.25">
      <c r="A2311" t="s">
        <v>3436</v>
      </c>
      <c r="B2311" t="s">
        <v>4026</v>
      </c>
      <c r="C2311">
        <v>25</v>
      </c>
      <c r="D2311">
        <v>1250</v>
      </c>
      <c r="E2311">
        <v>6000</v>
      </c>
      <c r="F2311">
        <v>5</v>
      </c>
      <c r="G2311">
        <v>5</v>
      </c>
      <c r="H2311" t="s">
        <v>3027</v>
      </c>
      <c r="I2311" s="1">
        <v>37257</v>
      </c>
      <c r="J2311" s="1">
        <v>37317</v>
      </c>
      <c r="K2311" t="s">
        <v>1124</v>
      </c>
      <c r="L2311" t="s">
        <v>1124</v>
      </c>
      <c r="M2311" s="1">
        <v>37338</v>
      </c>
      <c r="N2311" s="1">
        <v>37338</v>
      </c>
      <c r="O2311" t="s">
        <v>1117</v>
      </c>
      <c r="P2311">
        <v>1</v>
      </c>
      <c r="Q2311" t="s">
        <v>2855</v>
      </c>
      <c r="R2311">
        <f t="shared" si="73"/>
        <v>12</v>
      </c>
      <c r="S2311">
        <f t="shared" si="74"/>
        <v>1</v>
      </c>
    </row>
    <row r="2312" spans="1:19" x14ac:dyDescent="0.25">
      <c r="A2312" t="s">
        <v>3437</v>
      </c>
      <c r="B2312" t="s">
        <v>4028</v>
      </c>
      <c r="C2312">
        <v>10</v>
      </c>
      <c r="D2312">
        <v>1250</v>
      </c>
      <c r="E2312">
        <v>2500</v>
      </c>
      <c r="F2312">
        <v>6.0860000000000003</v>
      </c>
      <c r="G2312">
        <v>6.0860000000000003</v>
      </c>
      <c r="H2312" t="s">
        <v>3027</v>
      </c>
      <c r="I2312" s="1">
        <v>37257</v>
      </c>
      <c r="J2312" s="1">
        <v>37317</v>
      </c>
      <c r="K2312" s="1">
        <v>37332</v>
      </c>
      <c r="L2312" s="1">
        <v>37332</v>
      </c>
      <c r="M2312" s="1">
        <v>37332</v>
      </c>
      <c r="N2312" s="1">
        <v>37334</v>
      </c>
      <c r="O2312" t="s">
        <v>1117</v>
      </c>
      <c r="P2312">
        <v>2</v>
      </c>
      <c r="Q2312" t="s">
        <v>2855</v>
      </c>
      <c r="R2312">
        <f t="shared" si="73"/>
        <v>12</v>
      </c>
      <c r="S2312">
        <f t="shared" si="74"/>
        <v>1</v>
      </c>
    </row>
    <row r="2313" spans="1:19" x14ac:dyDescent="0.25">
      <c r="A2313" t="s">
        <v>3438</v>
      </c>
      <c r="B2313" t="s">
        <v>4028</v>
      </c>
      <c r="C2313">
        <v>16</v>
      </c>
      <c r="D2313">
        <v>1250</v>
      </c>
      <c r="E2313">
        <v>6000</v>
      </c>
      <c r="F2313">
        <v>8</v>
      </c>
      <c r="G2313">
        <v>8</v>
      </c>
      <c r="H2313" t="s">
        <v>3027</v>
      </c>
      <c r="I2313" s="1">
        <v>37257</v>
      </c>
      <c r="J2313" s="1">
        <v>37317</v>
      </c>
      <c r="K2313" t="s">
        <v>1124</v>
      </c>
      <c r="L2313" t="s">
        <v>1124</v>
      </c>
      <c r="M2313" s="1">
        <v>37338</v>
      </c>
      <c r="N2313" s="1">
        <v>37367</v>
      </c>
      <c r="O2313" t="s">
        <v>1117</v>
      </c>
      <c r="P2313">
        <v>4</v>
      </c>
      <c r="Q2313" t="s">
        <v>2855</v>
      </c>
      <c r="R2313">
        <f t="shared" si="73"/>
        <v>17</v>
      </c>
      <c r="S2313">
        <f t="shared" si="74"/>
        <v>1</v>
      </c>
    </row>
    <row r="2314" spans="1:19" x14ac:dyDescent="0.25">
      <c r="A2314" t="s">
        <v>3439</v>
      </c>
      <c r="B2314" t="s">
        <v>4026</v>
      </c>
      <c r="C2314">
        <v>25</v>
      </c>
      <c r="D2314">
        <v>1250</v>
      </c>
      <c r="E2314">
        <v>6000</v>
      </c>
      <c r="F2314">
        <v>22.488</v>
      </c>
      <c r="G2314">
        <v>22.488</v>
      </c>
      <c r="H2314" t="s">
        <v>3027</v>
      </c>
      <c r="I2314" s="1">
        <v>37258</v>
      </c>
      <c r="J2314" s="1">
        <v>37317</v>
      </c>
      <c r="K2314" t="s">
        <v>1124</v>
      </c>
      <c r="L2314" t="s">
        <v>1124</v>
      </c>
      <c r="M2314" s="1">
        <v>37335</v>
      </c>
      <c r="N2314" s="1">
        <v>37338</v>
      </c>
      <c r="O2314" t="s">
        <v>1117</v>
      </c>
      <c r="P2314">
        <v>2</v>
      </c>
      <c r="Q2314" t="s">
        <v>2855</v>
      </c>
      <c r="R2314">
        <f t="shared" si="73"/>
        <v>12</v>
      </c>
      <c r="S2314">
        <f t="shared" si="74"/>
        <v>1</v>
      </c>
    </row>
    <row r="2315" spans="1:19" x14ac:dyDescent="0.25">
      <c r="A2315" t="s">
        <v>3440</v>
      </c>
      <c r="B2315" t="s">
        <v>1199</v>
      </c>
      <c r="C2315">
        <v>3</v>
      </c>
      <c r="D2315">
        <v>1250</v>
      </c>
      <c r="E2315">
        <v>2500</v>
      </c>
      <c r="F2315">
        <v>30</v>
      </c>
      <c r="G2315">
        <v>30</v>
      </c>
      <c r="H2315" t="s">
        <v>2661</v>
      </c>
      <c r="I2315" s="1">
        <v>37159</v>
      </c>
      <c r="J2315" s="1">
        <v>37325</v>
      </c>
      <c r="K2315" t="s">
        <v>1124</v>
      </c>
      <c r="L2315" t="s">
        <v>1124</v>
      </c>
      <c r="M2315" s="1">
        <v>37354</v>
      </c>
      <c r="N2315" s="1">
        <v>37359</v>
      </c>
      <c r="O2315" t="s">
        <v>1117</v>
      </c>
      <c r="P2315">
        <v>4</v>
      </c>
      <c r="Q2315" t="s">
        <v>2662</v>
      </c>
      <c r="R2315">
        <f t="shared" si="73"/>
        <v>15</v>
      </c>
      <c r="S2315">
        <f t="shared" si="74"/>
        <v>1</v>
      </c>
    </row>
    <row r="2316" spans="1:19" x14ac:dyDescent="0.25">
      <c r="A2316" t="s">
        <v>3441</v>
      </c>
      <c r="B2316" t="s">
        <v>1199</v>
      </c>
      <c r="C2316">
        <v>4</v>
      </c>
      <c r="D2316">
        <v>1250</v>
      </c>
      <c r="E2316">
        <v>2500</v>
      </c>
      <c r="F2316">
        <v>5</v>
      </c>
      <c r="G2316">
        <v>5</v>
      </c>
      <c r="H2316" t="s">
        <v>2661</v>
      </c>
      <c r="I2316" s="1">
        <v>37159</v>
      </c>
      <c r="J2316" s="1">
        <v>37325</v>
      </c>
      <c r="K2316" s="1">
        <v>37363</v>
      </c>
      <c r="L2316" s="1">
        <v>37363</v>
      </c>
      <c r="M2316" s="1">
        <v>37347</v>
      </c>
      <c r="N2316" s="1">
        <v>37351</v>
      </c>
      <c r="O2316" t="s">
        <v>1117</v>
      </c>
      <c r="P2316">
        <v>2</v>
      </c>
      <c r="Q2316" t="s">
        <v>2662</v>
      </c>
      <c r="R2316">
        <f t="shared" si="73"/>
        <v>14</v>
      </c>
      <c r="S2316">
        <f t="shared" si="74"/>
        <v>1</v>
      </c>
    </row>
    <row r="2317" spans="1:19" x14ac:dyDescent="0.25">
      <c r="A2317" t="s">
        <v>3442</v>
      </c>
      <c r="B2317" t="s">
        <v>4026</v>
      </c>
      <c r="C2317">
        <v>5</v>
      </c>
      <c r="D2317">
        <v>1250</v>
      </c>
      <c r="E2317">
        <v>2500</v>
      </c>
      <c r="F2317">
        <v>5</v>
      </c>
      <c r="G2317">
        <v>5</v>
      </c>
      <c r="H2317" t="s">
        <v>2661</v>
      </c>
      <c r="I2317" s="1">
        <v>37126</v>
      </c>
      <c r="J2317" s="1">
        <v>37319</v>
      </c>
      <c r="K2317" s="1">
        <v>37352</v>
      </c>
      <c r="L2317" s="1">
        <v>37352</v>
      </c>
      <c r="M2317" s="1">
        <v>37352</v>
      </c>
      <c r="N2317" s="1">
        <v>37352</v>
      </c>
      <c r="O2317" t="s">
        <v>1117</v>
      </c>
      <c r="P2317">
        <v>6</v>
      </c>
      <c r="Q2317" t="s">
        <v>2662</v>
      </c>
      <c r="R2317">
        <f t="shared" si="73"/>
        <v>14</v>
      </c>
      <c r="S2317">
        <f t="shared" si="74"/>
        <v>1</v>
      </c>
    </row>
    <row r="2318" spans="1:19" x14ac:dyDescent="0.25">
      <c r="A2318" t="s">
        <v>3443</v>
      </c>
      <c r="B2318" t="s">
        <v>1199</v>
      </c>
      <c r="C2318">
        <v>20</v>
      </c>
      <c r="D2318">
        <v>1250</v>
      </c>
      <c r="E2318">
        <v>2500</v>
      </c>
      <c r="F2318">
        <v>3</v>
      </c>
      <c r="G2318">
        <v>3</v>
      </c>
      <c r="H2318" t="s">
        <v>3027</v>
      </c>
      <c r="I2318" s="1">
        <v>37111</v>
      </c>
      <c r="J2318" s="1">
        <v>37321</v>
      </c>
      <c r="K2318" s="1">
        <v>37313</v>
      </c>
      <c r="L2318" s="1">
        <v>37321</v>
      </c>
      <c r="M2318" s="1">
        <v>37280</v>
      </c>
      <c r="N2318" s="1">
        <v>37280</v>
      </c>
      <c r="O2318" t="s">
        <v>1114</v>
      </c>
      <c r="P2318">
        <v>1</v>
      </c>
      <c r="Q2318" t="s">
        <v>2855</v>
      </c>
      <c r="R2318">
        <f t="shared" si="73"/>
        <v>4</v>
      </c>
      <c r="S2318">
        <f t="shared" si="74"/>
        <v>1</v>
      </c>
    </row>
    <row r="2319" spans="1:19" x14ac:dyDescent="0.25">
      <c r="A2319" t="s">
        <v>3444</v>
      </c>
      <c r="B2319" t="s">
        <v>1199</v>
      </c>
      <c r="C2319">
        <v>5</v>
      </c>
      <c r="D2319">
        <v>1250</v>
      </c>
      <c r="E2319">
        <v>5000</v>
      </c>
      <c r="F2319">
        <v>5</v>
      </c>
      <c r="G2319">
        <v>5</v>
      </c>
      <c r="H2319" t="s">
        <v>2661</v>
      </c>
      <c r="I2319" s="1">
        <v>37159</v>
      </c>
      <c r="J2319" s="1">
        <v>37325</v>
      </c>
      <c r="K2319" s="1">
        <v>37352</v>
      </c>
      <c r="L2319" s="1">
        <v>37352</v>
      </c>
      <c r="M2319" s="1">
        <v>37352</v>
      </c>
      <c r="N2319" s="1">
        <v>37352</v>
      </c>
      <c r="O2319" t="s">
        <v>1117</v>
      </c>
      <c r="P2319">
        <v>4</v>
      </c>
      <c r="Q2319" t="s">
        <v>2662</v>
      </c>
      <c r="R2319">
        <f t="shared" si="73"/>
        <v>14</v>
      </c>
      <c r="S2319">
        <f t="shared" si="74"/>
        <v>1</v>
      </c>
    </row>
    <row r="2320" spans="1:19" x14ac:dyDescent="0.25">
      <c r="A2320" t="s">
        <v>3445</v>
      </c>
      <c r="B2320" t="s">
        <v>1199</v>
      </c>
      <c r="C2320">
        <v>32</v>
      </c>
      <c r="D2320">
        <v>1250</v>
      </c>
      <c r="E2320">
        <v>6000</v>
      </c>
      <c r="F2320">
        <v>80</v>
      </c>
      <c r="G2320">
        <v>80</v>
      </c>
      <c r="H2320" t="s">
        <v>3027</v>
      </c>
      <c r="I2320" s="1">
        <v>37304</v>
      </c>
      <c r="J2320" s="1">
        <v>37314</v>
      </c>
      <c r="K2320" s="1">
        <v>37313</v>
      </c>
      <c r="L2320" s="1">
        <v>37314</v>
      </c>
      <c r="M2320" s="1">
        <v>37314</v>
      </c>
      <c r="N2320" s="1">
        <v>37389</v>
      </c>
      <c r="O2320" t="s">
        <v>1114</v>
      </c>
      <c r="P2320">
        <v>2</v>
      </c>
      <c r="Q2320" t="s">
        <v>2855</v>
      </c>
      <c r="R2320">
        <f t="shared" si="73"/>
        <v>20</v>
      </c>
      <c r="S2320">
        <f t="shared" si="74"/>
        <v>1</v>
      </c>
    </row>
    <row r="2321" spans="1:19" x14ac:dyDescent="0.25">
      <c r="A2321" t="s">
        <v>3446</v>
      </c>
      <c r="B2321" t="s">
        <v>1199</v>
      </c>
      <c r="C2321">
        <v>16</v>
      </c>
      <c r="D2321">
        <v>1250</v>
      </c>
      <c r="E2321">
        <v>2500</v>
      </c>
      <c r="F2321">
        <v>7</v>
      </c>
      <c r="G2321">
        <v>7</v>
      </c>
      <c r="H2321" t="s">
        <v>3027</v>
      </c>
      <c r="I2321" s="1">
        <v>37159</v>
      </c>
      <c r="J2321" s="1">
        <v>37314</v>
      </c>
      <c r="K2321" s="1">
        <v>37326</v>
      </c>
      <c r="L2321" s="1">
        <v>37326</v>
      </c>
      <c r="M2321" s="1">
        <v>37325</v>
      </c>
      <c r="N2321" s="1">
        <v>37325</v>
      </c>
      <c r="O2321" t="s">
        <v>1117</v>
      </c>
      <c r="P2321">
        <v>3</v>
      </c>
      <c r="Q2321" t="s">
        <v>2855</v>
      </c>
      <c r="R2321">
        <f t="shared" si="73"/>
        <v>11</v>
      </c>
      <c r="S2321">
        <f t="shared" si="74"/>
        <v>1</v>
      </c>
    </row>
    <row r="2322" spans="1:19" x14ac:dyDescent="0.25">
      <c r="A2322" t="s">
        <v>3447</v>
      </c>
      <c r="B2322" t="s">
        <v>4028</v>
      </c>
      <c r="C2322">
        <v>12</v>
      </c>
      <c r="D2322">
        <v>1250</v>
      </c>
      <c r="E2322">
        <v>2500</v>
      </c>
      <c r="F2322">
        <v>8.4830000000000005</v>
      </c>
      <c r="G2322">
        <v>8.4830000000000005</v>
      </c>
      <c r="H2322" t="s">
        <v>3027</v>
      </c>
      <c r="I2322" s="1">
        <v>37159</v>
      </c>
      <c r="J2322" s="1">
        <v>37314</v>
      </c>
      <c r="K2322" s="1">
        <v>37322</v>
      </c>
      <c r="L2322" s="1">
        <v>37322</v>
      </c>
      <c r="M2322" s="1">
        <v>37319</v>
      </c>
      <c r="N2322" s="1">
        <v>37319</v>
      </c>
      <c r="O2322" t="s">
        <v>1117</v>
      </c>
      <c r="P2322">
        <v>1</v>
      </c>
      <c r="Q2322" t="s">
        <v>2855</v>
      </c>
      <c r="R2322">
        <f t="shared" si="73"/>
        <v>10</v>
      </c>
      <c r="S2322">
        <f t="shared" si="74"/>
        <v>1</v>
      </c>
    </row>
    <row r="2323" spans="1:19" x14ac:dyDescent="0.25">
      <c r="A2323" t="s">
        <v>3448</v>
      </c>
      <c r="B2323" t="s">
        <v>3631</v>
      </c>
      <c r="C2323">
        <v>8</v>
      </c>
      <c r="D2323">
        <v>1250</v>
      </c>
      <c r="E2323">
        <v>7000</v>
      </c>
      <c r="F2323">
        <v>20</v>
      </c>
      <c r="G2323">
        <v>20</v>
      </c>
      <c r="H2323" t="s">
        <v>3027</v>
      </c>
      <c r="I2323" s="1">
        <v>37159</v>
      </c>
      <c r="J2323" s="1">
        <v>37325</v>
      </c>
      <c r="K2323" s="1">
        <v>37325</v>
      </c>
      <c r="L2323" s="1">
        <v>37325</v>
      </c>
      <c r="M2323" s="1">
        <v>37325</v>
      </c>
      <c r="N2323" s="1">
        <v>37325</v>
      </c>
      <c r="O2323" t="s">
        <v>1114</v>
      </c>
      <c r="P2323">
        <v>1</v>
      </c>
      <c r="Q2323" t="s">
        <v>2855</v>
      </c>
      <c r="R2323">
        <f t="shared" si="73"/>
        <v>11</v>
      </c>
      <c r="S2323">
        <f t="shared" si="74"/>
        <v>1</v>
      </c>
    </row>
    <row r="2324" spans="1:19" x14ac:dyDescent="0.25">
      <c r="A2324" t="s">
        <v>3449</v>
      </c>
      <c r="B2324" t="s">
        <v>4028</v>
      </c>
      <c r="C2324">
        <v>8</v>
      </c>
      <c r="D2324">
        <v>1250</v>
      </c>
      <c r="E2324">
        <v>7000</v>
      </c>
      <c r="F2324">
        <v>20</v>
      </c>
      <c r="G2324">
        <v>20</v>
      </c>
      <c r="H2324" t="s">
        <v>3027</v>
      </c>
      <c r="I2324" s="1">
        <v>37159</v>
      </c>
      <c r="J2324" s="1">
        <v>37314</v>
      </c>
      <c r="K2324" s="1">
        <v>37321</v>
      </c>
      <c r="L2324" s="1">
        <v>37321</v>
      </c>
      <c r="M2324" s="1">
        <v>37323</v>
      </c>
      <c r="N2324" s="1">
        <v>37325</v>
      </c>
      <c r="O2324" t="s">
        <v>1117</v>
      </c>
      <c r="P2324">
        <v>8</v>
      </c>
      <c r="Q2324" t="s">
        <v>2855</v>
      </c>
      <c r="R2324">
        <f t="shared" si="73"/>
        <v>11</v>
      </c>
      <c r="S2324">
        <f t="shared" si="74"/>
        <v>1</v>
      </c>
    </row>
    <row r="2325" spans="1:19" x14ac:dyDescent="0.25">
      <c r="A2325" t="s">
        <v>3450</v>
      </c>
      <c r="B2325" t="s">
        <v>4028</v>
      </c>
      <c r="C2325">
        <v>8</v>
      </c>
      <c r="D2325">
        <v>1250</v>
      </c>
      <c r="E2325">
        <v>7000</v>
      </c>
      <c r="F2325">
        <v>5.67</v>
      </c>
      <c r="G2325">
        <v>3.3279999999999998</v>
      </c>
      <c r="H2325" t="s">
        <v>3027</v>
      </c>
      <c r="I2325" s="1">
        <v>37110</v>
      </c>
      <c r="J2325" s="1">
        <v>37314</v>
      </c>
      <c r="K2325" s="1">
        <v>37325</v>
      </c>
      <c r="L2325" s="1">
        <v>37325</v>
      </c>
      <c r="M2325" s="1">
        <v>37323</v>
      </c>
      <c r="N2325" s="1">
        <v>37325</v>
      </c>
      <c r="O2325" t="s">
        <v>1117</v>
      </c>
      <c r="P2325">
        <v>2</v>
      </c>
      <c r="Q2325" t="s">
        <v>2855</v>
      </c>
      <c r="R2325">
        <f t="shared" si="73"/>
        <v>11</v>
      </c>
      <c r="S2325">
        <f t="shared" si="74"/>
        <v>0</v>
      </c>
    </row>
    <row r="2326" spans="1:19" x14ac:dyDescent="0.25">
      <c r="A2326" t="s">
        <v>3451</v>
      </c>
      <c r="B2326" t="s">
        <v>4028</v>
      </c>
      <c r="C2326">
        <v>8</v>
      </c>
      <c r="D2326">
        <v>1250</v>
      </c>
      <c r="E2326">
        <v>7000</v>
      </c>
      <c r="F2326">
        <v>20</v>
      </c>
      <c r="G2326">
        <v>20</v>
      </c>
      <c r="H2326" t="s">
        <v>3027</v>
      </c>
      <c r="I2326" s="1">
        <v>37159</v>
      </c>
      <c r="J2326" s="1">
        <v>37314</v>
      </c>
      <c r="K2326" s="1">
        <v>37318</v>
      </c>
      <c r="L2326" s="1">
        <v>37318</v>
      </c>
      <c r="M2326" s="1">
        <v>37319</v>
      </c>
      <c r="N2326" s="1">
        <v>37325</v>
      </c>
      <c r="O2326" t="s">
        <v>1117</v>
      </c>
      <c r="P2326">
        <v>5</v>
      </c>
      <c r="Q2326" t="s">
        <v>2855</v>
      </c>
      <c r="R2326">
        <f t="shared" si="73"/>
        <v>11</v>
      </c>
      <c r="S2326">
        <f t="shared" si="74"/>
        <v>1</v>
      </c>
    </row>
    <row r="2327" spans="1:19" x14ac:dyDescent="0.25">
      <c r="A2327" t="s">
        <v>3452</v>
      </c>
      <c r="B2327" t="s">
        <v>4026</v>
      </c>
      <c r="C2327">
        <v>8</v>
      </c>
      <c r="D2327">
        <v>1250</v>
      </c>
      <c r="E2327">
        <v>7000</v>
      </c>
      <c r="F2327">
        <v>20</v>
      </c>
      <c r="G2327">
        <v>20</v>
      </c>
      <c r="H2327" t="s">
        <v>3027</v>
      </c>
      <c r="I2327" s="1">
        <v>37159</v>
      </c>
      <c r="J2327" s="1">
        <v>37314</v>
      </c>
      <c r="K2327" s="1">
        <v>37322</v>
      </c>
      <c r="L2327" s="1">
        <v>37322</v>
      </c>
      <c r="M2327" s="1">
        <v>37323</v>
      </c>
      <c r="N2327" s="1">
        <v>37325</v>
      </c>
      <c r="O2327" t="s">
        <v>1117</v>
      </c>
      <c r="P2327">
        <v>7</v>
      </c>
      <c r="Q2327" t="s">
        <v>2855</v>
      </c>
      <c r="R2327">
        <f t="shared" si="73"/>
        <v>11</v>
      </c>
      <c r="S2327">
        <f t="shared" si="74"/>
        <v>1</v>
      </c>
    </row>
    <row r="2328" spans="1:19" x14ac:dyDescent="0.25">
      <c r="A2328" t="s">
        <v>3453</v>
      </c>
      <c r="B2328" t="s">
        <v>1199</v>
      </c>
      <c r="C2328">
        <v>8</v>
      </c>
      <c r="D2328">
        <v>1250</v>
      </c>
      <c r="E2328">
        <v>7000</v>
      </c>
      <c r="F2328">
        <v>20</v>
      </c>
      <c r="G2328">
        <v>20</v>
      </c>
      <c r="H2328" t="s">
        <v>3027</v>
      </c>
      <c r="I2328" s="1">
        <v>37159</v>
      </c>
      <c r="J2328" s="1">
        <v>37314</v>
      </c>
      <c r="K2328" s="1">
        <v>37323</v>
      </c>
      <c r="L2328" s="1">
        <v>37323</v>
      </c>
      <c r="M2328" s="1">
        <v>37323</v>
      </c>
      <c r="N2328" s="1">
        <v>37325</v>
      </c>
      <c r="O2328" t="s">
        <v>1117</v>
      </c>
      <c r="P2328">
        <v>4</v>
      </c>
      <c r="Q2328" t="s">
        <v>2855</v>
      </c>
      <c r="R2328">
        <f t="shared" si="73"/>
        <v>11</v>
      </c>
      <c r="S2328">
        <f t="shared" si="74"/>
        <v>1</v>
      </c>
    </row>
    <row r="2329" spans="1:19" x14ac:dyDescent="0.25">
      <c r="A2329" t="s">
        <v>3454</v>
      </c>
      <c r="B2329" t="s">
        <v>1199</v>
      </c>
      <c r="C2329">
        <v>8</v>
      </c>
      <c r="D2329">
        <v>1250</v>
      </c>
      <c r="E2329">
        <v>7000</v>
      </c>
      <c r="F2329">
        <v>20</v>
      </c>
      <c r="G2329">
        <v>20</v>
      </c>
      <c r="H2329" t="s">
        <v>3027</v>
      </c>
      <c r="I2329" s="1">
        <v>37159</v>
      </c>
      <c r="J2329" s="1">
        <v>37314</v>
      </c>
      <c r="K2329" s="1">
        <v>37324</v>
      </c>
      <c r="L2329" s="1">
        <v>37324</v>
      </c>
      <c r="M2329" s="1">
        <v>37325</v>
      </c>
      <c r="N2329" s="1">
        <v>37325</v>
      </c>
      <c r="O2329" t="s">
        <v>1117</v>
      </c>
      <c r="P2329">
        <v>9</v>
      </c>
      <c r="Q2329" t="s">
        <v>2855</v>
      </c>
      <c r="R2329">
        <f t="shared" si="73"/>
        <v>11</v>
      </c>
      <c r="S2329">
        <f t="shared" si="74"/>
        <v>1</v>
      </c>
    </row>
    <row r="2330" spans="1:19" x14ac:dyDescent="0.25">
      <c r="A2330" t="s">
        <v>3455</v>
      </c>
      <c r="B2330" t="s">
        <v>1199</v>
      </c>
      <c r="C2330">
        <v>8</v>
      </c>
      <c r="D2330">
        <v>1250</v>
      </c>
      <c r="E2330">
        <v>7000</v>
      </c>
      <c r="F2330">
        <v>12</v>
      </c>
      <c r="G2330">
        <v>12</v>
      </c>
      <c r="H2330" t="s">
        <v>3027</v>
      </c>
      <c r="I2330" s="1">
        <v>37159</v>
      </c>
      <c r="J2330" s="1">
        <v>37314</v>
      </c>
      <c r="K2330" s="1">
        <v>37325</v>
      </c>
      <c r="L2330" s="1">
        <v>37325</v>
      </c>
      <c r="M2330" s="1">
        <v>37323</v>
      </c>
      <c r="N2330" s="1">
        <v>37325</v>
      </c>
      <c r="O2330" t="s">
        <v>1117</v>
      </c>
      <c r="P2330">
        <v>10</v>
      </c>
      <c r="Q2330" t="s">
        <v>2855</v>
      </c>
      <c r="R2330">
        <f t="shared" si="73"/>
        <v>11</v>
      </c>
      <c r="S2330">
        <f t="shared" si="74"/>
        <v>1</v>
      </c>
    </row>
    <row r="2331" spans="1:19" x14ac:dyDescent="0.25">
      <c r="A2331" t="s">
        <v>3456</v>
      </c>
      <c r="B2331" t="s">
        <v>1199</v>
      </c>
      <c r="C2331">
        <v>6.3</v>
      </c>
      <c r="D2331">
        <v>1000</v>
      </c>
      <c r="E2331">
        <v>5800</v>
      </c>
      <c r="F2331">
        <v>11.063000000000001</v>
      </c>
      <c r="G2331">
        <v>11.063000000000001</v>
      </c>
      <c r="H2331" t="s">
        <v>3027</v>
      </c>
      <c r="I2331" s="1">
        <v>37159</v>
      </c>
      <c r="J2331" s="1">
        <v>37314</v>
      </c>
      <c r="K2331" s="1">
        <v>37318</v>
      </c>
      <c r="L2331" s="1">
        <v>37318</v>
      </c>
      <c r="M2331" s="1">
        <v>37319</v>
      </c>
      <c r="N2331" s="1">
        <v>37319</v>
      </c>
      <c r="O2331" t="s">
        <v>1117</v>
      </c>
      <c r="P2331">
        <v>1</v>
      </c>
      <c r="Q2331" t="s">
        <v>2855</v>
      </c>
      <c r="R2331">
        <f t="shared" si="73"/>
        <v>10</v>
      </c>
      <c r="S2331">
        <f t="shared" si="74"/>
        <v>1</v>
      </c>
    </row>
    <row r="2332" spans="1:19" x14ac:dyDescent="0.25">
      <c r="A2332" t="s">
        <v>3457</v>
      </c>
      <c r="B2332" t="s">
        <v>4026</v>
      </c>
      <c r="C2332">
        <v>6</v>
      </c>
      <c r="D2332">
        <v>1250</v>
      </c>
      <c r="E2332">
        <v>6000</v>
      </c>
      <c r="F2332">
        <v>18</v>
      </c>
      <c r="G2332">
        <v>18</v>
      </c>
      <c r="H2332" t="s">
        <v>2661</v>
      </c>
      <c r="I2332" s="1">
        <v>37159</v>
      </c>
      <c r="J2332" s="1">
        <v>37322</v>
      </c>
      <c r="K2332" s="1">
        <v>37322</v>
      </c>
      <c r="L2332" s="1">
        <v>37322</v>
      </c>
      <c r="M2332" s="1">
        <v>37324</v>
      </c>
      <c r="N2332" s="1">
        <v>37324</v>
      </c>
      <c r="O2332" t="s">
        <v>1114</v>
      </c>
      <c r="P2332">
        <v>1</v>
      </c>
      <c r="Q2332" t="s">
        <v>2662</v>
      </c>
      <c r="R2332">
        <f t="shared" si="73"/>
        <v>10</v>
      </c>
      <c r="S2332">
        <f t="shared" si="74"/>
        <v>1</v>
      </c>
    </row>
    <row r="2333" spans="1:19" x14ac:dyDescent="0.25">
      <c r="A2333" t="s">
        <v>3458</v>
      </c>
      <c r="B2333" t="s">
        <v>1199</v>
      </c>
      <c r="C2333">
        <v>8</v>
      </c>
      <c r="D2333">
        <v>1000</v>
      </c>
      <c r="E2333">
        <v>5750</v>
      </c>
      <c r="F2333">
        <v>8.5109999999999992</v>
      </c>
      <c r="G2333">
        <v>8.5109999999999992</v>
      </c>
      <c r="H2333" t="s">
        <v>3027</v>
      </c>
      <c r="I2333" s="1">
        <v>37159</v>
      </c>
      <c r="J2333" s="1">
        <v>37314</v>
      </c>
      <c r="K2333" s="1">
        <v>37323</v>
      </c>
      <c r="L2333" s="1">
        <v>37323</v>
      </c>
      <c r="M2333" s="1">
        <v>37319</v>
      </c>
      <c r="N2333" s="1">
        <v>37325</v>
      </c>
      <c r="O2333" t="s">
        <v>1117</v>
      </c>
      <c r="P2333">
        <v>3</v>
      </c>
      <c r="Q2333" t="s">
        <v>2855</v>
      </c>
      <c r="R2333">
        <f t="shared" si="73"/>
        <v>11</v>
      </c>
      <c r="S2333">
        <f t="shared" si="74"/>
        <v>1</v>
      </c>
    </row>
    <row r="2334" spans="1:19" x14ac:dyDescent="0.25">
      <c r="A2334" t="s">
        <v>3459</v>
      </c>
      <c r="B2334" t="s">
        <v>1199</v>
      </c>
      <c r="C2334">
        <v>8</v>
      </c>
      <c r="D2334">
        <v>1000</v>
      </c>
      <c r="E2334">
        <v>5750</v>
      </c>
      <c r="F2334">
        <v>21.664999999999999</v>
      </c>
      <c r="G2334">
        <v>21.664999999999999</v>
      </c>
      <c r="H2334" t="s">
        <v>3027</v>
      </c>
      <c r="I2334" s="1">
        <v>37159</v>
      </c>
      <c r="J2334" s="1">
        <v>37325</v>
      </c>
      <c r="K2334" s="1">
        <v>37325</v>
      </c>
      <c r="L2334" s="1">
        <v>37325</v>
      </c>
      <c r="M2334" s="1">
        <v>37325</v>
      </c>
      <c r="N2334" s="1">
        <v>37325</v>
      </c>
      <c r="O2334" t="s">
        <v>1114</v>
      </c>
      <c r="P2334">
        <v>2</v>
      </c>
      <c r="Q2334" t="s">
        <v>2855</v>
      </c>
      <c r="R2334">
        <f t="shared" si="73"/>
        <v>11</v>
      </c>
      <c r="S2334">
        <f t="shared" si="74"/>
        <v>1</v>
      </c>
    </row>
    <row r="2335" spans="1:19" x14ac:dyDescent="0.25">
      <c r="A2335" t="s">
        <v>3460</v>
      </c>
      <c r="B2335" t="s">
        <v>4028</v>
      </c>
      <c r="C2335">
        <v>12</v>
      </c>
      <c r="D2335">
        <v>1250</v>
      </c>
      <c r="E2335">
        <v>6000</v>
      </c>
      <c r="F2335">
        <v>25.734999999999999</v>
      </c>
      <c r="G2335">
        <v>25.734999999999999</v>
      </c>
      <c r="H2335" t="s">
        <v>3027</v>
      </c>
      <c r="I2335" s="1">
        <v>37159</v>
      </c>
      <c r="J2335" s="1">
        <v>37322</v>
      </c>
      <c r="K2335" s="1">
        <v>37322</v>
      </c>
      <c r="L2335" s="1">
        <v>37322</v>
      </c>
      <c r="M2335" s="1">
        <v>37322</v>
      </c>
      <c r="N2335" s="1">
        <v>37322</v>
      </c>
      <c r="O2335" t="s">
        <v>1114</v>
      </c>
      <c r="P2335">
        <v>2</v>
      </c>
      <c r="Q2335" t="s">
        <v>2855</v>
      </c>
      <c r="R2335">
        <f t="shared" si="73"/>
        <v>10</v>
      </c>
      <c r="S2335">
        <f t="shared" si="74"/>
        <v>1</v>
      </c>
    </row>
    <row r="2336" spans="1:19" x14ac:dyDescent="0.25">
      <c r="A2336" t="s">
        <v>3461</v>
      </c>
      <c r="B2336" t="s">
        <v>1199</v>
      </c>
      <c r="C2336">
        <v>8</v>
      </c>
      <c r="D2336">
        <v>1250</v>
      </c>
      <c r="E2336">
        <v>2500</v>
      </c>
      <c r="F2336">
        <v>8</v>
      </c>
      <c r="G2336">
        <v>8</v>
      </c>
      <c r="H2336" t="s">
        <v>3027</v>
      </c>
      <c r="I2336" s="1">
        <v>37130</v>
      </c>
      <c r="J2336" s="1">
        <v>37315</v>
      </c>
      <c r="K2336" s="1">
        <v>37328</v>
      </c>
      <c r="L2336" s="1">
        <v>37328</v>
      </c>
      <c r="M2336" s="1">
        <v>37326</v>
      </c>
      <c r="N2336" s="1">
        <v>37389</v>
      </c>
      <c r="O2336" t="s">
        <v>1117</v>
      </c>
      <c r="P2336">
        <v>1</v>
      </c>
      <c r="Q2336" t="s">
        <v>2855</v>
      </c>
      <c r="R2336">
        <f t="shared" si="73"/>
        <v>20</v>
      </c>
      <c r="S2336">
        <f t="shared" si="74"/>
        <v>1</v>
      </c>
    </row>
    <row r="2337" spans="1:19" x14ac:dyDescent="0.25">
      <c r="A2337" t="s">
        <v>3462</v>
      </c>
      <c r="B2337" t="s">
        <v>4028</v>
      </c>
      <c r="C2337">
        <v>9</v>
      </c>
      <c r="D2337">
        <v>1250</v>
      </c>
      <c r="E2337">
        <v>2450</v>
      </c>
      <c r="F2337">
        <v>10</v>
      </c>
      <c r="G2337">
        <v>10</v>
      </c>
      <c r="H2337" t="s">
        <v>3027</v>
      </c>
      <c r="I2337" s="1">
        <v>37222</v>
      </c>
      <c r="J2337" s="1">
        <v>37319</v>
      </c>
      <c r="K2337" s="1">
        <v>37330</v>
      </c>
      <c r="L2337" s="1">
        <v>37330</v>
      </c>
      <c r="M2337" s="1">
        <v>37326</v>
      </c>
      <c r="N2337" s="1">
        <v>37326</v>
      </c>
      <c r="O2337" t="s">
        <v>1117</v>
      </c>
      <c r="P2337">
        <v>1</v>
      </c>
      <c r="Q2337" t="s">
        <v>2855</v>
      </c>
      <c r="R2337">
        <f t="shared" si="73"/>
        <v>11</v>
      </c>
      <c r="S2337">
        <f t="shared" si="74"/>
        <v>1</v>
      </c>
    </row>
    <row r="2338" spans="1:19" x14ac:dyDescent="0.25">
      <c r="A2338" t="s">
        <v>3463</v>
      </c>
      <c r="B2338" t="s">
        <v>1199</v>
      </c>
      <c r="C2338">
        <v>8</v>
      </c>
      <c r="D2338">
        <v>1250</v>
      </c>
      <c r="E2338">
        <v>2500</v>
      </c>
      <c r="F2338">
        <v>15</v>
      </c>
      <c r="G2338">
        <v>15</v>
      </c>
      <c r="H2338" t="s">
        <v>3027</v>
      </c>
      <c r="I2338" s="1">
        <v>37299</v>
      </c>
      <c r="J2338" s="1">
        <v>37308</v>
      </c>
      <c r="K2338" s="1">
        <v>37318</v>
      </c>
      <c r="L2338" s="1">
        <v>37318</v>
      </c>
      <c r="M2338" s="1">
        <v>37320</v>
      </c>
      <c r="N2338" s="1">
        <v>37389</v>
      </c>
      <c r="O2338" t="s">
        <v>1117</v>
      </c>
      <c r="P2338">
        <v>1</v>
      </c>
      <c r="Q2338" t="s">
        <v>2855</v>
      </c>
      <c r="R2338">
        <f t="shared" si="73"/>
        <v>20</v>
      </c>
      <c r="S2338">
        <f t="shared" si="74"/>
        <v>1</v>
      </c>
    </row>
    <row r="2339" spans="1:19" x14ac:dyDescent="0.25">
      <c r="A2339" t="s">
        <v>3464</v>
      </c>
      <c r="B2339" t="s">
        <v>4028</v>
      </c>
      <c r="C2339">
        <v>6</v>
      </c>
      <c r="D2339">
        <v>1250</v>
      </c>
      <c r="E2339">
        <v>6000</v>
      </c>
      <c r="F2339">
        <v>10</v>
      </c>
      <c r="G2339">
        <v>10</v>
      </c>
      <c r="H2339" t="s">
        <v>2661</v>
      </c>
      <c r="I2339" s="1">
        <v>37125</v>
      </c>
      <c r="J2339" s="1">
        <v>37322</v>
      </c>
      <c r="K2339" s="1">
        <v>37328</v>
      </c>
      <c r="L2339" s="1">
        <v>37328</v>
      </c>
      <c r="M2339" s="1">
        <v>37324</v>
      </c>
      <c r="N2339" s="1">
        <v>37324</v>
      </c>
      <c r="O2339" t="s">
        <v>1117</v>
      </c>
      <c r="P2339">
        <v>1</v>
      </c>
      <c r="Q2339" t="s">
        <v>2662</v>
      </c>
      <c r="R2339">
        <f t="shared" si="73"/>
        <v>10</v>
      </c>
      <c r="S2339">
        <f t="shared" si="74"/>
        <v>1</v>
      </c>
    </row>
    <row r="2340" spans="1:19" x14ac:dyDescent="0.25">
      <c r="A2340" t="s">
        <v>3465</v>
      </c>
      <c r="B2340" t="s">
        <v>1199</v>
      </c>
      <c r="C2340">
        <v>10</v>
      </c>
      <c r="D2340">
        <v>1250</v>
      </c>
      <c r="E2340">
        <v>3000</v>
      </c>
      <c r="F2340">
        <v>12</v>
      </c>
      <c r="G2340">
        <v>11.378</v>
      </c>
      <c r="H2340" t="s">
        <v>3027</v>
      </c>
      <c r="I2340" s="1">
        <v>37159</v>
      </c>
      <c r="J2340" s="1">
        <v>37315</v>
      </c>
      <c r="K2340" s="1">
        <v>37327</v>
      </c>
      <c r="L2340" s="1">
        <v>37327</v>
      </c>
      <c r="M2340" s="1">
        <v>37324</v>
      </c>
      <c r="N2340" s="1">
        <v>37324</v>
      </c>
      <c r="O2340" t="s">
        <v>1117</v>
      </c>
      <c r="P2340">
        <v>1</v>
      </c>
      <c r="Q2340" t="s">
        <v>2855</v>
      </c>
      <c r="R2340">
        <f t="shared" si="73"/>
        <v>10</v>
      </c>
      <c r="S2340">
        <f t="shared" si="74"/>
        <v>0</v>
      </c>
    </row>
    <row r="2341" spans="1:19" x14ac:dyDescent="0.25">
      <c r="A2341" t="s">
        <v>3466</v>
      </c>
      <c r="B2341" t="s">
        <v>1199</v>
      </c>
      <c r="C2341">
        <v>10</v>
      </c>
      <c r="D2341">
        <v>1250</v>
      </c>
      <c r="E2341">
        <v>2500</v>
      </c>
      <c r="F2341">
        <v>8.7729999999999997</v>
      </c>
      <c r="G2341">
        <v>4.4829999999999997</v>
      </c>
      <c r="H2341" t="s">
        <v>3027</v>
      </c>
      <c r="I2341" s="1">
        <v>37133</v>
      </c>
      <c r="J2341" s="1">
        <v>37315</v>
      </c>
      <c r="K2341" s="1">
        <v>37327</v>
      </c>
      <c r="L2341" s="1">
        <v>37327</v>
      </c>
      <c r="M2341" s="1">
        <v>37324</v>
      </c>
      <c r="N2341" s="1">
        <v>37324</v>
      </c>
      <c r="O2341" t="s">
        <v>1117</v>
      </c>
      <c r="P2341">
        <v>1</v>
      </c>
      <c r="Q2341" t="s">
        <v>2855</v>
      </c>
      <c r="R2341">
        <f t="shared" si="73"/>
        <v>10</v>
      </c>
      <c r="S2341">
        <f t="shared" si="74"/>
        <v>0</v>
      </c>
    </row>
    <row r="2342" spans="1:19" x14ac:dyDescent="0.25">
      <c r="A2342" t="s">
        <v>3467</v>
      </c>
      <c r="B2342" t="s">
        <v>4027</v>
      </c>
      <c r="C2342">
        <v>8</v>
      </c>
      <c r="D2342">
        <v>1250</v>
      </c>
      <c r="E2342">
        <v>2500</v>
      </c>
      <c r="F2342">
        <v>15</v>
      </c>
      <c r="G2342">
        <v>15</v>
      </c>
      <c r="H2342" t="s">
        <v>3027</v>
      </c>
      <c r="I2342" s="1">
        <v>37352</v>
      </c>
      <c r="J2342" s="1">
        <v>37389</v>
      </c>
      <c r="K2342" t="s">
        <v>1124</v>
      </c>
      <c r="L2342" t="s">
        <v>1124</v>
      </c>
      <c r="M2342" s="1">
        <v>37389</v>
      </c>
      <c r="N2342" s="1">
        <v>37389</v>
      </c>
      <c r="O2342" t="s">
        <v>1117</v>
      </c>
      <c r="P2342">
        <v>1</v>
      </c>
      <c r="Q2342" t="s">
        <v>2855</v>
      </c>
      <c r="R2342">
        <f t="shared" si="73"/>
        <v>20</v>
      </c>
      <c r="S2342">
        <f t="shared" si="74"/>
        <v>1</v>
      </c>
    </row>
    <row r="2343" spans="1:19" x14ac:dyDescent="0.25">
      <c r="A2343" t="s">
        <v>3468</v>
      </c>
      <c r="B2343" t="s">
        <v>1199</v>
      </c>
      <c r="C2343">
        <v>10</v>
      </c>
      <c r="D2343">
        <v>1250</v>
      </c>
      <c r="E2343">
        <v>3000</v>
      </c>
      <c r="F2343">
        <v>20</v>
      </c>
      <c r="G2343">
        <v>20</v>
      </c>
      <c r="H2343" t="s">
        <v>3027</v>
      </c>
      <c r="I2343" s="1">
        <v>37159</v>
      </c>
      <c r="J2343" s="1">
        <v>37315</v>
      </c>
      <c r="K2343" s="1">
        <v>37324</v>
      </c>
      <c r="L2343" s="1">
        <v>37324</v>
      </c>
      <c r="M2343" s="1">
        <v>37324</v>
      </c>
      <c r="N2343" s="1">
        <v>37324</v>
      </c>
      <c r="O2343" t="s">
        <v>1117</v>
      </c>
      <c r="P2343">
        <v>2</v>
      </c>
      <c r="Q2343" t="s">
        <v>2855</v>
      </c>
      <c r="R2343">
        <f t="shared" si="73"/>
        <v>10</v>
      </c>
      <c r="S2343">
        <f t="shared" si="74"/>
        <v>1</v>
      </c>
    </row>
    <row r="2344" spans="1:19" x14ac:dyDescent="0.25">
      <c r="A2344" t="s">
        <v>3469</v>
      </c>
      <c r="B2344" t="s">
        <v>4026</v>
      </c>
      <c r="C2344">
        <v>10</v>
      </c>
      <c r="D2344">
        <v>1250</v>
      </c>
      <c r="E2344">
        <v>2500</v>
      </c>
      <c r="F2344">
        <v>20</v>
      </c>
      <c r="G2344">
        <v>6.58</v>
      </c>
      <c r="H2344" t="s">
        <v>3027</v>
      </c>
      <c r="I2344" s="1">
        <v>37122</v>
      </c>
      <c r="J2344" s="1">
        <v>37315</v>
      </c>
      <c r="K2344" s="1">
        <v>37328</v>
      </c>
      <c r="L2344" s="1">
        <v>37328</v>
      </c>
      <c r="M2344" s="1">
        <v>37324</v>
      </c>
      <c r="N2344" s="1">
        <v>37324</v>
      </c>
      <c r="O2344" t="s">
        <v>1117</v>
      </c>
      <c r="P2344">
        <v>1</v>
      </c>
      <c r="Q2344" t="s">
        <v>2855</v>
      </c>
      <c r="R2344">
        <f t="shared" si="73"/>
        <v>10</v>
      </c>
      <c r="S2344">
        <f t="shared" si="74"/>
        <v>0</v>
      </c>
    </row>
    <row r="2345" spans="1:19" x14ac:dyDescent="0.25">
      <c r="A2345" t="s">
        <v>3470</v>
      </c>
      <c r="B2345" t="s">
        <v>1199</v>
      </c>
      <c r="C2345">
        <v>8</v>
      </c>
      <c r="D2345">
        <v>1250</v>
      </c>
      <c r="E2345">
        <v>2500</v>
      </c>
      <c r="F2345">
        <v>8</v>
      </c>
      <c r="G2345">
        <v>8</v>
      </c>
      <c r="H2345" t="s">
        <v>3027</v>
      </c>
      <c r="I2345" s="1">
        <v>37130</v>
      </c>
      <c r="J2345" s="1">
        <v>37308</v>
      </c>
      <c r="K2345" s="1">
        <v>37328</v>
      </c>
      <c r="L2345" s="1">
        <v>37328</v>
      </c>
      <c r="M2345" s="1">
        <v>37326</v>
      </c>
      <c r="N2345" s="1">
        <v>37389</v>
      </c>
      <c r="O2345" t="s">
        <v>1117</v>
      </c>
      <c r="P2345">
        <v>1</v>
      </c>
      <c r="Q2345" t="s">
        <v>2855</v>
      </c>
      <c r="R2345">
        <f t="shared" si="73"/>
        <v>20</v>
      </c>
      <c r="S2345">
        <f t="shared" si="74"/>
        <v>1</v>
      </c>
    </row>
    <row r="2346" spans="1:19" x14ac:dyDescent="0.25">
      <c r="A2346" t="s">
        <v>3471</v>
      </c>
      <c r="B2346" t="s">
        <v>4028</v>
      </c>
      <c r="C2346">
        <v>7</v>
      </c>
      <c r="D2346">
        <v>1250</v>
      </c>
      <c r="E2346">
        <v>7830</v>
      </c>
      <c r="F2346">
        <v>2.8809999999999998</v>
      </c>
      <c r="G2346">
        <v>2.8809999999999998</v>
      </c>
      <c r="H2346" t="s">
        <v>3027</v>
      </c>
      <c r="I2346" s="1">
        <v>37104</v>
      </c>
      <c r="J2346" s="1">
        <v>37314</v>
      </c>
      <c r="K2346" s="1">
        <v>37323</v>
      </c>
      <c r="L2346" s="1">
        <v>37323</v>
      </c>
      <c r="M2346" s="1">
        <v>37322</v>
      </c>
      <c r="N2346" s="1">
        <v>37322</v>
      </c>
      <c r="O2346" t="s">
        <v>1117</v>
      </c>
      <c r="P2346">
        <v>3</v>
      </c>
      <c r="Q2346" t="s">
        <v>2855</v>
      </c>
      <c r="R2346">
        <f t="shared" si="73"/>
        <v>10</v>
      </c>
      <c r="S2346">
        <f t="shared" si="74"/>
        <v>1</v>
      </c>
    </row>
    <row r="2347" spans="1:19" x14ac:dyDescent="0.25">
      <c r="A2347" t="s">
        <v>3472</v>
      </c>
      <c r="B2347" t="s">
        <v>1199</v>
      </c>
      <c r="C2347">
        <v>7</v>
      </c>
      <c r="D2347">
        <v>1250</v>
      </c>
      <c r="E2347">
        <v>7270</v>
      </c>
      <c r="F2347">
        <v>2.14</v>
      </c>
      <c r="G2347">
        <v>2.14</v>
      </c>
      <c r="H2347" t="s">
        <v>3027</v>
      </c>
      <c r="I2347" s="1">
        <v>37104</v>
      </c>
      <c r="J2347" s="1">
        <v>37314</v>
      </c>
      <c r="K2347" s="1">
        <v>37323</v>
      </c>
      <c r="L2347" s="1">
        <v>37323</v>
      </c>
      <c r="M2347" s="1">
        <v>37322</v>
      </c>
      <c r="N2347" s="1">
        <v>37322</v>
      </c>
      <c r="O2347" t="s">
        <v>1117</v>
      </c>
      <c r="P2347">
        <v>2</v>
      </c>
      <c r="Q2347" t="s">
        <v>2855</v>
      </c>
      <c r="R2347">
        <f t="shared" si="73"/>
        <v>10</v>
      </c>
      <c r="S2347">
        <f t="shared" si="74"/>
        <v>1</v>
      </c>
    </row>
    <row r="2348" spans="1:19" x14ac:dyDescent="0.25">
      <c r="A2348" t="s">
        <v>3473</v>
      </c>
      <c r="B2348" t="s">
        <v>4026</v>
      </c>
      <c r="C2348">
        <v>25</v>
      </c>
      <c r="D2348">
        <v>1250</v>
      </c>
      <c r="E2348">
        <v>6000</v>
      </c>
      <c r="F2348">
        <v>7.5</v>
      </c>
      <c r="G2348">
        <v>7.5</v>
      </c>
      <c r="H2348" t="s">
        <v>3027</v>
      </c>
      <c r="I2348" s="1">
        <v>37110</v>
      </c>
      <c r="J2348" s="1">
        <v>37314</v>
      </c>
      <c r="K2348" s="1">
        <v>37321</v>
      </c>
      <c r="L2348" s="1">
        <v>37321</v>
      </c>
      <c r="M2348" s="1">
        <v>37318</v>
      </c>
      <c r="N2348" s="1">
        <v>37318</v>
      </c>
      <c r="O2348" t="s">
        <v>1117</v>
      </c>
      <c r="P2348">
        <v>1</v>
      </c>
      <c r="Q2348" t="s">
        <v>2855</v>
      </c>
      <c r="R2348">
        <f t="shared" si="73"/>
        <v>10</v>
      </c>
      <c r="S2348">
        <f t="shared" si="74"/>
        <v>1</v>
      </c>
    </row>
    <row r="2349" spans="1:19" x14ac:dyDescent="0.25">
      <c r="A2349" t="s">
        <v>3474</v>
      </c>
      <c r="B2349" t="s">
        <v>3601</v>
      </c>
      <c r="C2349">
        <v>6</v>
      </c>
      <c r="D2349">
        <v>1250</v>
      </c>
      <c r="E2349">
        <v>6000</v>
      </c>
      <c r="F2349">
        <v>10</v>
      </c>
      <c r="G2349">
        <v>10</v>
      </c>
      <c r="H2349" t="s">
        <v>2661</v>
      </c>
      <c r="I2349" s="1">
        <v>37123</v>
      </c>
      <c r="J2349" s="1">
        <v>37314</v>
      </c>
      <c r="K2349" s="1">
        <v>37328</v>
      </c>
      <c r="L2349" s="1">
        <v>37328</v>
      </c>
      <c r="M2349" s="1">
        <v>37324</v>
      </c>
      <c r="N2349" s="1">
        <v>37324</v>
      </c>
      <c r="O2349" t="s">
        <v>1117</v>
      </c>
      <c r="P2349">
        <v>1</v>
      </c>
      <c r="Q2349" t="s">
        <v>2662</v>
      </c>
      <c r="R2349">
        <f t="shared" si="73"/>
        <v>10</v>
      </c>
      <c r="S2349">
        <f t="shared" si="74"/>
        <v>1</v>
      </c>
    </row>
    <row r="2350" spans="1:19" x14ac:dyDescent="0.25">
      <c r="A2350" t="s">
        <v>3475</v>
      </c>
      <c r="B2350" t="s">
        <v>1199</v>
      </c>
      <c r="C2350">
        <v>4.9000000000000004</v>
      </c>
      <c r="D2350">
        <v>1250</v>
      </c>
      <c r="E2350">
        <v>2500</v>
      </c>
      <c r="F2350">
        <v>6</v>
      </c>
      <c r="G2350">
        <v>6</v>
      </c>
      <c r="H2350" t="s">
        <v>2661</v>
      </c>
      <c r="I2350" s="1">
        <v>37159</v>
      </c>
      <c r="J2350" s="1">
        <v>37312</v>
      </c>
      <c r="K2350" s="1">
        <v>37321</v>
      </c>
      <c r="L2350" s="1">
        <v>37321</v>
      </c>
      <c r="M2350" s="1">
        <v>37319</v>
      </c>
      <c r="N2350" s="1">
        <v>37319</v>
      </c>
      <c r="O2350" t="s">
        <v>1117</v>
      </c>
      <c r="P2350">
        <v>4</v>
      </c>
      <c r="Q2350" t="s">
        <v>2662</v>
      </c>
      <c r="R2350">
        <f t="shared" si="73"/>
        <v>10</v>
      </c>
      <c r="S2350">
        <f t="shared" si="74"/>
        <v>1</v>
      </c>
    </row>
    <row r="2351" spans="1:19" x14ac:dyDescent="0.25">
      <c r="A2351" t="s">
        <v>3476</v>
      </c>
      <c r="B2351" t="s">
        <v>1199</v>
      </c>
      <c r="C2351">
        <v>5.8</v>
      </c>
      <c r="D2351">
        <v>1250</v>
      </c>
      <c r="E2351">
        <v>2500</v>
      </c>
      <c r="F2351">
        <v>3</v>
      </c>
      <c r="G2351">
        <v>3</v>
      </c>
      <c r="H2351" t="s">
        <v>2661</v>
      </c>
      <c r="I2351" s="1">
        <v>37159</v>
      </c>
      <c r="J2351" s="1">
        <v>37312</v>
      </c>
      <c r="K2351" s="1">
        <v>37321</v>
      </c>
      <c r="L2351" s="1">
        <v>37321</v>
      </c>
      <c r="M2351" s="1">
        <v>37319</v>
      </c>
      <c r="N2351" s="1">
        <v>37319</v>
      </c>
      <c r="O2351" t="s">
        <v>1117</v>
      </c>
      <c r="P2351">
        <v>5</v>
      </c>
      <c r="Q2351" t="s">
        <v>2662</v>
      </c>
      <c r="R2351">
        <f t="shared" si="73"/>
        <v>10</v>
      </c>
      <c r="S2351">
        <f t="shared" si="74"/>
        <v>1</v>
      </c>
    </row>
    <row r="2352" spans="1:19" x14ac:dyDescent="0.25">
      <c r="A2352" t="s">
        <v>3477</v>
      </c>
      <c r="B2352" t="s">
        <v>1199</v>
      </c>
      <c r="C2352">
        <v>20</v>
      </c>
      <c r="D2352">
        <v>1250</v>
      </c>
      <c r="E2352">
        <v>6000</v>
      </c>
      <c r="F2352">
        <v>5</v>
      </c>
      <c r="G2352">
        <v>5</v>
      </c>
      <c r="H2352" t="s">
        <v>3027</v>
      </c>
      <c r="I2352" s="1">
        <v>37343</v>
      </c>
      <c r="J2352" s="1">
        <v>37381</v>
      </c>
      <c r="K2352" t="s">
        <v>1124</v>
      </c>
      <c r="L2352" t="s">
        <v>1124</v>
      </c>
      <c r="M2352" t="s">
        <v>1124</v>
      </c>
      <c r="N2352" s="1">
        <v>37368</v>
      </c>
      <c r="O2352" t="s">
        <v>1117</v>
      </c>
      <c r="P2352">
        <v>2</v>
      </c>
      <c r="Q2352" t="s">
        <v>2855</v>
      </c>
      <c r="R2352">
        <f t="shared" si="73"/>
        <v>17</v>
      </c>
      <c r="S2352">
        <f t="shared" si="74"/>
        <v>0</v>
      </c>
    </row>
    <row r="2353" spans="1:19" x14ac:dyDescent="0.25">
      <c r="A2353" t="s">
        <v>3478</v>
      </c>
      <c r="B2353" t="s">
        <v>4026</v>
      </c>
      <c r="C2353">
        <v>16</v>
      </c>
      <c r="D2353">
        <v>1250</v>
      </c>
      <c r="E2353">
        <v>6000</v>
      </c>
      <c r="F2353">
        <v>5</v>
      </c>
      <c r="G2353">
        <v>5</v>
      </c>
      <c r="H2353" t="s">
        <v>3027</v>
      </c>
      <c r="I2353" s="1">
        <v>37335</v>
      </c>
      <c r="J2353" s="1">
        <v>37368</v>
      </c>
      <c r="K2353" t="s">
        <v>1124</v>
      </c>
      <c r="L2353" t="s">
        <v>1124</v>
      </c>
      <c r="M2353" s="1">
        <v>37368</v>
      </c>
      <c r="N2353" s="1">
        <v>37368</v>
      </c>
      <c r="O2353" t="s">
        <v>1117</v>
      </c>
      <c r="P2353">
        <v>1</v>
      </c>
      <c r="Q2353" t="s">
        <v>2855</v>
      </c>
      <c r="R2353">
        <f t="shared" si="73"/>
        <v>17</v>
      </c>
      <c r="S2353">
        <f t="shared" si="74"/>
        <v>1</v>
      </c>
    </row>
    <row r="2354" spans="1:19" x14ac:dyDescent="0.25">
      <c r="A2354" t="s">
        <v>3479</v>
      </c>
      <c r="B2354" t="s">
        <v>1199</v>
      </c>
      <c r="C2354">
        <v>20</v>
      </c>
      <c r="D2354">
        <v>1250</v>
      </c>
      <c r="E2354">
        <v>6000</v>
      </c>
      <c r="F2354">
        <v>5</v>
      </c>
      <c r="G2354">
        <v>5</v>
      </c>
      <c r="H2354" t="s">
        <v>3027</v>
      </c>
      <c r="I2354" s="1">
        <v>37335</v>
      </c>
      <c r="J2354" s="1">
        <v>37368</v>
      </c>
      <c r="K2354" t="s">
        <v>1124</v>
      </c>
      <c r="L2354" t="s">
        <v>1124</v>
      </c>
      <c r="M2354" s="1">
        <v>37368</v>
      </c>
      <c r="N2354" s="1">
        <v>37368</v>
      </c>
      <c r="O2354" t="s">
        <v>1117</v>
      </c>
      <c r="P2354">
        <v>2</v>
      </c>
      <c r="Q2354" t="s">
        <v>2855</v>
      </c>
      <c r="R2354">
        <f t="shared" si="73"/>
        <v>17</v>
      </c>
      <c r="S2354">
        <f t="shared" si="74"/>
        <v>1</v>
      </c>
    </row>
    <row r="2355" spans="1:19" x14ac:dyDescent="0.25">
      <c r="A2355" t="s">
        <v>3480</v>
      </c>
      <c r="B2355" t="s">
        <v>1199</v>
      </c>
      <c r="C2355">
        <v>14</v>
      </c>
      <c r="D2355">
        <v>1250</v>
      </c>
      <c r="E2355">
        <v>6000</v>
      </c>
      <c r="F2355">
        <v>5</v>
      </c>
      <c r="G2355">
        <v>5</v>
      </c>
      <c r="H2355" t="s">
        <v>3027</v>
      </c>
      <c r="I2355" s="1">
        <v>37125</v>
      </c>
      <c r="J2355" s="1">
        <v>37312</v>
      </c>
      <c r="K2355" s="1">
        <v>37311</v>
      </c>
      <c r="L2355" s="1">
        <v>37312</v>
      </c>
      <c r="M2355" s="1">
        <v>37262</v>
      </c>
      <c r="N2355" s="1">
        <v>37307</v>
      </c>
      <c r="O2355" t="s">
        <v>1114</v>
      </c>
      <c r="P2355">
        <v>1</v>
      </c>
      <c r="Q2355" t="s">
        <v>2855</v>
      </c>
      <c r="R2355">
        <f t="shared" si="73"/>
        <v>8</v>
      </c>
      <c r="S2355">
        <f t="shared" si="74"/>
        <v>1</v>
      </c>
    </row>
    <row r="2356" spans="1:19" x14ac:dyDescent="0.25">
      <c r="A2356" t="s">
        <v>3481</v>
      </c>
      <c r="B2356" t="s">
        <v>4026</v>
      </c>
      <c r="C2356">
        <v>16</v>
      </c>
      <c r="D2356">
        <v>1250</v>
      </c>
      <c r="E2356">
        <v>6000</v>
      </c>
      <c r="F2356">
        <v>5</v>
      </c>
      <c r="G2356">
        <v>5</v>
      </c>
      <c r="H2356" t="s">
        <v>3027</v>
      </c>
      <c r="I2356" s="1">
        <v>37335</v>
      </c>
      <c r="J2356" s="1">
        <v>37368</v>
      </c>
      <c r="K2356" s="1">
        <v>37368</v>
      </c>
      <c r="L2356" s="1">
        <v>37368</v>
      </c>
      <c r="M2356" s="1">
        <v>37368</v>
      </c>
      <c r="N2356" s="1">
        <v>37368</v>
      </c>
      <c r="O2356" t="s">
        <v>1114</v>
      </c>
      <c r="P2356">
        <v>1</v>
      </c>
      <c r="Q2356" t="s">
        <v>2855</v>
      </c>
      <c r="R2356">
        <f t="shared" si="73"/>
        <v>17</v>
      </c>
      <c r="S2356">
        <f t="shared" si="74"/>
        <v>1</v>
      </c>
    </row>
    <row r="2357" spans="1:19" x14ac:dyDescent="0.25">
      <c r="A2357" t="s">
        <v>3482</v>
      </c>
      <c r="B2357" t="s">
        <v>4027</v>
      </c>
      <c r="C2357">
        <v>20</v>
      </c>
      <c r="D2357">
        <v>1250</v>
      </c>
      <c r="E2357">
        <v>2500</v>
      </c>
      <c r="F2357">
        <v>28</v>
      </c>
      <c r="G2357">
        <v>28</v>
      </c>
      <c r="H2357" t="s">
        <v>3027</v>
      </c>
      <c r="I2357" s="1">
        <v>37159</v>
      </c>
      <c r="J2357" s="1">
        <v>37325</v>
      </c>
      <c r="K2357" s="1">
        <v>37300</v>
      </c>
      <c r="L2357" s="1">
        <v>37325</v>
      </c>
      <c r="M2357" s="1">
        <v>37271</v>
      </c>
      <c r="N2357" s="1">
        <v>37271</v>
      </c>
      <c r="O2357" t="s">
        <v>1114</v>
      </c>
      <c r="P2357">
        <v>1</v>
      </c>
      <c r="Q2357" t="s">
        <v>2855</v>
      </c>
      <c r="R2357">
        <f t="shared" si="73"/>
        <v>3</v>
      </c>
      <c r="S2357">
        <f t="shared" si="74"/>
        <v>1</v>
      </c>
    </row>
    <row r="2358" spans="1:19" x14ac:dyDescent="0.25">
      <c r="A2358" t="s">
        <v>3483</v>
      </c>
      <c r="B2358" t="s">
        <v>1199</v>
      </c>
      <c r="C2358">
        <v>10</v>
      </c>
      <c r="D2358">
        <v>1250</v>
      </c>
      <c r="E2358">
        <v>6100</v>
      </c>
      <c r="F2358">
        <v>10</v>
      </c>
      <c r="G2358">
        <v>10</v>
      </c>
      <c r="H2358" t="s">
        <v>3027</v>
      </c>
      <c r="I2358" s="1">
        <v>37159</v>
      </c>
      <c r="J2358" s="1">
        <v>37325</v>
      </c>
      <c r="K2358" s="1">
        <v>37335</v>
      </c>
      <c r="L2358" s="1">
        <v>37335</v>
      </c>
      <c r="M2358" s="1">
        <v>37328</v>
      </c>
      <c r="N2358" s="1">
        <v>37328</v>
      </c>
      <c r="O2358" t="s">
        <v>1117</v>
      </c>
      <c r="P2358">
        <v>2</v>
      </c>
      <c r="Q2358" t="s">
        <v>2855</v>
      </c>
      <c r="R2358">
        <f t="shared" si="73"/>
        <v>11</v>
      </c>
      <c r="S2358">
        <f t="shared" si="74"/>
        <v>1</v>
      </c>
    </row>
    <row r="2359" spans="1:19" x14ac:dyDescent="0.25">
      <c r="A2359" t="s">
        <v>3484</v>
      </c>
      <c r="B2359" t="s">
        <v>1199</v>
      </c>
      <c r="C2359">
        <v>20</v>
      </c>
      <c r="D2359">
        <v>1250</v>
      </c>
      <c r="E2359">
        <v>6100</v>
      </c>
      <c r="F2359">
        <v>8</v>
      </c>
      <c r="G2359">
        <v>8</v>
      </c>
      <c r="H2359" t="s">
        <v>3027</v>
      </c>
      <c r="I2359" s="1">
        <v>37189</v>
      </c>
      <c r="J2359" s="1">
        <v>37325</v>
      </c>
      <c r="K2359" s="1">
        <v>37325</v>
      </c>
      <c r="L2359" s="1">
        <v>37325</v>
      </c>
      <c r="M2359" s="1">
        <v>37325</v>
      </c>
      <c r="N2359" s="1">
        <v>37325</v>
      </c>
      <c r="O2359" t="s">
        <v>1114</v>
      </c>
      <c r="P2359">
        <v>1</v>
      </c>
      <c r="Q2359" t="s">
        <v>2855</v>
      </c>
      <c r="R2359">
        <f t="shared" si="73"/>
        <v>11</v>
      </c>
      <c r="S2359">
        <f t="shared" si="74"/>
        <v>1</v>
      </c>
    </row>
    <row r="2360" spans="1:19" x14ac:dyDescent="0.25">
      <c r="A2360" t="s">
        <v>3485</v>
      </c>
      <c r="B2360" t="s">
        <v>4028</v>
      </c>
      <c r="C2360">
        <v>12</v>
      </c>
      <c r="D2360">
        <v>1250</v>
      </c>
      <c r="E2360">
        <v>6100</v>
      </c>
      <c r="F2360">
        <v>8</v>
      </c>
      <c r="G2360">
        <v>8</v>
      </c>
      <c r="H2360" t="s">
        <v>3027</v>
      </c>
      <c r="I2360" s="1">
        <v>37159</v>
      </c>
      <c r="J2360" s="1">
        <v>37319</v>
      </c>
      <c r="K2360" s="1">
        <v>37328</v>
      </c>
      <c r="L2360" s="1">
        <v>37328</v>
      </c>
      <c r="M2360" s="1">
        <v>37326</v>
      </c>
      <c r="N2360" s="1">
        <v>37326</v>
      </c>
      <c r="O2360" t="s">
        <v>1117</v>
      </c>
      <c r="P2360">
        <v>1</v>
      </c>
      <c r="Q2360" t="s">
        <v>2855</v>
      </c>
      <c r="R2360">
        <f t="shared" si="73"/>
        <v>11</v>
      </c>
      <c r="S2360">
        <f t="shared" si="74"/>
        <v>1</v>
      </c>
    </row>
    <row r="2361" spans="1:19" x14ac:dyDescent="0.25">
      <c r="A2361" t="s">
        <v>3486</v>
      </c>
      <c r="B2361" t="s">
        <v>1199</v>
      </c>
      <c r="C2361">
        <v>20</v>
      </c>
      <c r="D2361">
        <v>1250</v>
      </c>
      <c r="E2361">
        <v>6000</v>
      </c>
      <c r="F2361">
        <v>5</v>
      </c>
      <c r="G2361">
        <v>5</v>
      </c>
      <c r="H2361" t="s">
        <v>3027</v>
      </c>
      <c r="I2361" s="1">
        <v>37335</v>
      </c>
      <c r="J2361" s="1">
        <v>37368</v>
      </c>
      <c r="K2361" t="s">
        <v>1124</v>
      </c>
      <c r="L2361" t="s">
        <v>1124</v>
      </c>
      <c r="M2361" s="1">
        <v>37368</v>
      </c>
      <c r="N2361" s="1">
        <v>37368</v>
      </c>
      <c r="O2361" t="s">
        <v>1117</v>
      </c>
      <c r="P2361">
        <v>2</v>
      </c>
      <c r="Q2361" t="s">
        <v>2855</v>
      </c>
      <c r="R2361">
        <f t="shared" si="73"/>
        <v>17</v>
      </c>
      <c r="S2361">
        <f t="shared" si="74"/>
        <v>1</v>
      </c>
    </row>
    <row r="2362" spans="1:19" x14ac:dyDescent="0.25">
      <c r="A2362" t="s">
        <v>3487</v>
      </c>
      <c r="B2362" t="s">
        <v>1199</v>
      </c>
      <c r="C2362">
        <v>8</v>
      </c>
      <c r="D2362">
        <v>1250</v>
      </c>
      <c r="E2362">
        <v>6100</v>
      </c>
      <c r="F2362">
        <v>10</v>
      </c>
      <c r="G2362">
        <v>10</v>
      </c>
      <c r="H2362" t="s">
        <v>3027</v>
      </c>
      <c r="I2362" s="1">
        <v>37159</v>
      </c>
      <c r="J2362" s="1">
        <v>37319</v>
      </c>
      <c r="K2362" s="1">
        <v>37335</v>
      </c>
      <c r="L2362" s="1">
        <v>37335</v>
      </c>
      <c r="M2362" s="1">
        <v>37328</v>
      </c>
      <c r="N2362" s="1">
        <v>37328</v>
      </c>
      <c r="O2362" t="s">
        <v>1117</v>
      </c>
      <c r="P2362">
        <v>1</v>
      </c>
      <c r="Q2362" t="s">
        <v>2855</v>
      </c>
      <c r="R2362">
        <f t="shared" si="73"/>
        <v>11</v>
      </c>
      <c r="S2362">
        <f t="shared" si="74"/>
        <v>1</v>
      </c>
    </row>
    <row r="2363" spans="1:19" x14ac:dyDescent="0.25">
      <c r="A2363" t="s">
        <v>3488</v>
      </c>
      <c r="B2363" t="s">
        <v>4028</v>
      </c>
      <c r="C2363">
        <v>16</v>
      </c>
      <c r="D2363">
        <v>1250</v>
      </c>
      <c r="E2363">
        <v>6100</v>
      </c>
      <c r="F2363">
        <v>10</v>
      </c>
      <c r="G2363">
        <v>10</v>
      </c>
      <c r="H2363" t="s">
        <v>3027</v>
      </c>
      <c r="I2363" s="1">
        <v>37159</v>
      </c>
      <c r="J2363" s="1">
        <v>37319</v>
      </c>
      <c r="K2363" s="1">
        <v>37328</v>
      </c>
      <c r="L2363" s="1">
        <v>37328</v>
      </c>
      <c r="M2363" s="1">
        <v>37326</v>
      </c>
      <c r="N2363" s="1">
        <v>37326</v>
      </c>
      <c r="O2363" t="s">
        <v>1117</v>
      </c>
      <c r="P2363">
        <v>4</v>
      </c>
      <c r="Q2363" t="s">
        <v>2855</v>
      </c>
      <c r="R2363">
        <f t="shared" si="73"/>
        <v>11</v>
      </c>
      <c r="S2363">
        <f t="shared" si="74"/>
        <v>1</v>
      </c>
    </row>
    <row r="2364" spans="1:19" x14ac:dyDescent="0.25">
      <c r="A2364" t="s">
        <v>3489</v>
      </c>
      <c r="B2364" t="s">
        <v>4026</v>
      </c>
      <c r="C2364">
        <v>12</v>
      </c>
      <c r="D2364">
        <v>1250</v>
      </c>
      <c r="E2364">
        <v>6100</v>
      </c>
      <c r="F2364">
        <v>10</v>
      </c>
      <c r="G2364">
        <v>10</v>
      </c>
      <c r="H2364" t="s">
        <v>3027</v>
      </c>
      <c r="I2364" s="1">
        <v>37159</v>
      </c>
      <c r="J2364" s="1">
        <v>37325</v>
      </c>
      <c r="K2364" t="s">
        <v>1124</v>
      </c>
      <c r="L2364" t="s">
        <v>1124</v>
      </c>
      <c r="M2364" s="1">
        <v>37328</v>
      </c>
      <c r="N2364" s="1">
        <v>37328</v>
      </c>
      <c r="O2364" t="s">
        <v>1117</v>
      </c>
      <c r="P2364">
        <v>3</v>
      </c>
      <c r="Q2364" t="s">
        <v>2855</v>
      </c>
      <c r="R2364">
        <f t="shared" si="73"/>
        <v>11</v>
      </c>
      <c r="S2364">
        <f t="shared" si="74"/>
        <v>1</v>
      </c>
    </row>
    <row r="2365" spans="1:19" x14ac:dyDescent="0.25">
      <c r="A2365" t="s">
        <v>3490</v>
      </c>
      <c r="B2365" t="s">
        <v>4028</v>
      </c>
      <c r="C2365">
        <v>12</v>
      </c>
      <c r="D2365">
        <v>1250</v>
      </c>
      <c r="E2365">
        <v>4500</v>
      </c>
      <c r="F2365">
        <v>14</v>
      </c>
      <c r="G2365">
        <v>14</v>
      </c>
      <c r="H2365" t="s">
        <v>3027</v>
      </c>
      <c r="I2365" s="1">
        <v>37159</v>
      </c>
      <c r="J2365" s="1">
        <v>37314</v>
      </c>
      <c r="K2365" s="1">
        <v>37317</v>
      </c>
      <c r="L2365" s="1">
        <v>37317</v>
      </c>
      <c r="M2365" s="1">
        <v>37318</v>
      </c>
      <c r="N2365" s="1">
        <v>37318</v>
      </c>
      <c r="O2365" t="s">
        <v>1117</v>
      </c>
      <c r="P2365">
        <v>2</v>
      </c>
      <c r="Q2365" t="s">
        <v>2855</v>
      </c>
      <c r="R2365">
        <f t="shared" si="73"/>
        <v>10</v>
      </c>
      <c r="S2365">
        <f t="shared" si="74"/>
        <v>1</v>
      </c>
    </row>
    <row r="2366" spans="1:19" x14ac:dyDescent="0.25">
      <c r="A2366" t="s">
        <v>3491</v>
      </c>
      <c r="B2366" t="s">
        <v>1199</v>
      </c>
      <c r="C2366">
        <v>8</v>
      </c>
      <c r="D2366">
        <v>1250</v>
      </c>
      <c r="E2366">
        <v>6100</v>
      </c>
      <c r="F2366">
        <v>8</v>
      </c>
      <c r="G2366">
        <v>8</v>
      </c>
      <c r="H2366" t="s">
        <v>3027</v>
      </c>
      <c r="I2366" s="1">
        <v>37159</v>
      </c>
      <c r="J2366" s="1">
        <v>37319</v>
      </c>
      <c r="K2366" t="s">
        <v>1124</v>
      </c>
      <c r="L2366" t="s">
        <v>1124</v>
      </c>
      <c r="M2366" s="1">
        <v>37328</v>
      </c>
      <c r="N2366" s="1">
        <v>37328</v>
      </c>
      <c r="O2366" t="s">
        <v>1117</v>
      </c>
      <c r="P2366">
        <v>1</v>
      </c>
      <c r="Q2366" t="s">
        <v>2855</v>
      </c>
      <c r="R2366">
        <f t="shared" si="73"/>
        <v>11</v>
      </c>
      <c r="S2366">
        <f t="shared" si="74"/>
        <v>1</v>
      </c>
    </row>
    <row r="2367" spans="1:19" x14ac:dyDescent="0.25">
      <c r="A2367" t="s">
        <v>3492</v>
      </c>
      <c r="B2367" t="s">
        <v>1199</v>
      </c>
      <c r="C2367">
        <v>16</v>
      </c>
      <c r="D2367">
        <v>1250</v>
      </c>
      <c r="E2367">
        <v>6150</v>
      </c>
      <c r="F2367">
        <v>8</v>
      </c>
      <c r="G2367">
        <v>8</v>
      </c>
      <c r="H2367" t="s">
        <v>3027</v>
      </c>
      <c r="I2367" s="1">
        <v>37159</v>
      </c>
      <c r="J2367" s="1">
        <v>37325</v>
      </c>
      <c r="K2367" t="s">
        <v>1124</v>
      </c>
      <c r="L2367" t="s">
        <v>1124</v>
      </c>
      <c r="M2367" s="1">
        <v>37328</v>
      </c>
      <c r="N2367" s="1">
        <v>37328</v>
      </c>
      <c r="O2367" t="s">
        <v>1117</v>
      </c>
      <c r="P2367">
        <v>1</v>
      </c>
      <c r="Q2367" t="s">
        <v>2855</v>
      </c>
      <c r="R2367">
        <f t="shared" si="73"/>
        <v>11</v>
      </c>
      <c r="S2367">
        <f t="shared" si="74"/>
        <v>1</v>
      </c>
    </row>
    <row r="2368" spans="1:19" x14ac:dyDescent="0.25">
      <c r="A2368" t="s">
        <v>3493</v>
      </c>
      <c r="B2368" t="s">
        <v>1199</v>
      </c>
      <c r="C2368">
        <v>14</v>
      </c>
      <c r="D2368">
        <v>1100</v>
      </c>
      <c r="E2368">
        <v>6000</v>
      </c>
      <c r="F2368">
        <v>25</v>
      </c>
      <c r="G2368">
        <v>25</v>
      </c>
      <c r="H2368" t="s">
        <v>3027</v>
      </c>
      <c r="I2368" s="1">
        <v>37104</v>
      </c>
      <c r="J2368" s="1">
        <v>37319</v>
      </c>
      <c r="K2368" s="1">
        <v>37332</v>
      </c>
      <c r="L2368" s="1">
        <v>37332</v>
      </c>
      <c r="M2368" s="1">
        <v>37332</v>
      </c>
      <c r="N2368" s="1">
        <v>37332</v>
      </c>
      <c r="O2368" t="s">
        <v>1117</v>
      </c>
      <c r="P2368">
        <v>1</v>
      </c>
      <c r="Q2368" t="s">
        <v>2855</v>
      </c>
      <c r="R2368">
        <f t="shared" si="73"/>
        <v>12</v>
      </c>
      <c r="S2368">
        <f t="shared" si="74"/>
        <v>1</v>
      </c>
    </row>
    <row r="2369" spans="1:19" x14ac:dyDescent="0.25">
      <c r="A2369" t="s">
        <v>3494</v>
      </c>
      <c r="B2369" t="s">
        <v>4028</v>
      </c>
      <c r="C2369">
        <v>10</v>
      </c>
      <c r="D2369">
        <v>1100</v>
      </c>
      <c r="E2369">
        <v>6000</v>
      </c>
      <c r="F2369">
        <v>10</v>
      </c>
      <c r="G2369">
        <v>10</v>
      </c>
      <c r="H2369" t="s">
        <v>3027</v>
      </c>
      <c r="I2369" s="1">
        <v>37104</v>
      </c>
      <c r="J2369" s="1">
        <v>37319</v>
      </c>
      <c r="K2369" s="1">
        <v>37333</v>
      </c>
      <c r="L2369" s="1">
        <v>37333</v>
      </c>
      <c r="M2369" s="1">
        <v>37333</v>
      </c>
      <c r="N2369" s="1">
        <v>37333</v>
      </c>
      <c r="O2369" t="s">
        <v>1117</v>
      </c>
      <c r="P2369">
        <v>2</v>
      </c>
      <c r="Q2369" t="s">
        <v>2855</v>
      </c>
      <c r="R2369">
        <f t="shared" si="73"/>
        <v>12</v>
      </c>
      <c r="S2369">
        <f t="shared" si="74"/>
        <v>1</v>
      </c>
    </row>
    <row r="2370" spans="1:19" x14ac:dyDescent="0.25">
      <c r="A2370" t="s">
        <v>3495</v>
      </c>
      <c r="B2370" t="s">
        <v>1199</v>
      </c>
      <c r="C2370">
        <v>12</v>
      </c>
      <c r="D2370">
        <v>1250</v>
      </c>
      <c r="E2370">
        <v>2500</v>
      </c>
      <c r="F2370">
        <v>20</v>
      </c>
      <c r="G2370">
        <v>19.684999999999999</v>
      </c>
      <c r="H2370" t="s">
        <v>3027</v>
      </c>
      <c r="I2370" s="1">
        <v>37104</v>
      </c>
      <c r="J2370" s="1">
        <v>37325</v>
      </c>
      <c r="K2370" s="1">
        <v>37325</v>
      </c>
      <c r="L2370" s="1">
        <v>37325</v>
      </c>
      <c r="M2370" s="1">
        <v>37325</v>
      </c>
      <c r="N2370" s="1">
        <v>37325</v>
      </c>
      <c r="O2370" t="s">
        <v>1114</v>
      </c>
      <c r="P2370">
        <v>1</v>
      </c>
      <c r="Q2370" t="s">
        <v>2855</v>
      </c>
      <c r="R2370">
        <f t="shared" si="73"/>
        <v>11</v>
      </c>
      <c r="S2370">
        <f t="shared" si="74"/>
        <v>0</v>
      </c>
    </row>
    <row r="2371" spans="1:19" x14ac:dyDescent="0.25">
      <c r="A2371" t="s">
        <v>3496</v>
      </c>
      <c r="B2371" t="s">
        <v>4028</v>
      </c>
      <c r="C2371">
        <v>12.6</v>
      </c>
      <c r="D2371">
        <v>1250</v>
      </c>
      <c r="E2371">
        <v>2420</v>
      </c>
      <c r="F2371">
        <v>80</v>
      </c>
      <c r="G2371">
        <v>80</v>
      </c>
      <c r="H2371" t="s">
        <v>3027</v>
      </c>
      <c r="I2371" s="1">
        <v>37121</v>
      </c>
      <c r="J2371" s="1">
        <v>37315</v>
      </c>
      <c r="K2371" s="1">
        <v>37314</v>
      </c>
      <c r="L2371" s="1">
        <v>37315</v>
      </c>
      <c r="M2371" s="1">
        <v>37317</v>
      </c>
      <c r="N2371" s="1">
        <v>37317</v>
      </c>
      <c r="O2371" t="s">
        <v>1114</v>
      </c>
      <c r="P2371">
        <v>2</v>
      </c>
      <c r="Q2371" t="s">
        <v>2855</v>
      </c>
      <c r="R2371">
        <f t="shared" ref="R2371:R2434" si="75">WEEKNUM(N2371,1)</f>
        <v>9</v>
      </c>
      <c r="S2371">
        <f t="shared" ref="S2371:S2434" si="76">IF(AND(F2371=G2371, M2371&lt;=N2371), 1,0)</f>
        <v>1</v>
      </c>
    </row>
    <row r="2372" spans="1:19" x14ac:dyDescent="0.25">
      <c r="A2372" t="s">
        <v>3497</v>
      </c>
      <c r="B2372" t="s">
        <v>1199</v>
      </c>
      <c r="C2372">
        <v>10</v>
      </c>
      <c r="D2372">
        <v>1250</v>
      </c>
      <c r="E2372">
        <v>3260</v>
      </c>
      <c r="F2372">
        <v>20</v>
      </c>
      <c r="G2372">
        <v>20</v>
      </c>
      <c r="H2372" t="s">
        <v>3027</v>
      </c>
      <c r="I2372" s="1">
        <v>37131</v>
      </c>
      <c r="J2372" s="1">
        <v>37314</v>
      </c>
      <c r="K2372" s="1">
        <v>37314</v>
      </c>
      <c r="L2372" s="1">
        <v>37314</v>
      </c>
      <c r="M2372" s="1">
        <v>37317</v>
      </c>
      <c r="N2372" s="1">
        <v>37317</v>
      </c>
      <c r="O2372" t="s">
        <v>1114</v>
      </c>
      <c r="P2372">
        <v>1</v>
      </c>
      <c r="Q2372" t="s">
        <v>2855</v>
      </c>
      <c r="R2372">
        <f t="shared" si="75"/>
        <v>9</v>
      </c>
      <c r="S2372">
        <f t="shared" si="76"/>
        <v>1</v>
      </c>
    </row>
    <row r="2373" spans="1:19" x14ac:dyDescent="0.25">
      <c r="A2373" t="s">
        <v>3498</v>
      </c>
      <c r="B2373" t="s">
        <v>1199</v>
      </c>
      <c r="C2373">
        <v>3</v>
      </c>
      <c r="D2373">
        <v>1250</v>
      </c>
      <c r="E2373">
        <v>2350</v>
      </c>
      <c r="F2373">
        <v>20</v>
      </c>
      <c r="G2373">
        <v>20</v>
      </c>
      <c r="H2373" t="s">
        <v>2661</v>
      </c>
      <c r="I2373" s="1">
        <v>37159</v>
      </c>
      <c r="J2373" s="1">
        <v>37325</v>
      </c>
      <c r="K2373" s="1">
        <v>37324</v>
      </c>
      <c r="L2373" s="1">
        <v>37325</v>
      </c>
      <c r="M2373" s="1">
        <v>37325</v>
      </c>
      <c r="N2373" s="1">
        <v>37325</v>
      </c>
      <c r="O2373" t="s">
        <v>1114</v>
      </c>
      <c r="P2373">
        <v>1</v>
      </c>
      <c r="Q2373" t="s">
        <v>2662</v>
      </c>
      <c r="R2373">
        <f t="shared" si="75"/>
        <v>11</v>
      </c>
      <c r="S2373">
        <f t="shared" si="76"/>
        <v>1</v>
      </c>
    </row>
    <row r="2374" spans="1:19" x14ac:dyDescent="0.25">
      <c r="A2374" t="s">
        <v>3499</v>
      </c>
      <c r="B2374" t="s">
        <v>4027</v>
      </c>
      <c r="C2374">
        <v>10.5</v>
      </c>
      <c r="D2374">
        <v>1250</v>
      </c>
      <c r="E2374">
        <v>3135</v>
      </c>
      <c r="F2374">
        <v>80</v>
      </c>
      <c r="G2374">
        <v>80</v>
      </c>
      <c r="H2374" t="s">
        <v>3027</v>
      </c>
      <c r="I2374" s="1">
        <v>37121</v>
      </c>
      <c r="J2374" s="1">
        <v>37315</v>
      </c>
      <c r="K2374" s="1">
        <v>37317</v>
      </c>
      <c r="L2374" s="1">
        <v>37317</v>
      </c>
      <c r="M2374" s="1">
        <v>37320</v>
      </c>
      <c r="N2374" s="1">
        <v>37320</v>
      </c>
      <c r="O2374" t="s">
        <v>1117</v>
      </c>
      <c r="P2374">
        <v>1</v>
      </c>
      <c r="Q2374" t="s">
        <v>2855</v>
      </c>
      <c r="R2374">
        <f t="shared" si="75"/>
        <v>10</v>
      </c>
      <c r="S2374">
        <f t="shared" si="76"/>
        <v>1</v>
      </c>
    </row>
    <row r="2375" spans="1:19" x14ac:dyDescent="0.25">
      <c r="A2375" t="s">
        <v>3500</v>
      </c>
      <c r="B2375" t="s">
        <v>1199</v>
      </c>
      <c r="C2375">
        <v>10.5</v>
      </c>
      <c r="D2375">
        <v>1250</v>
      </c>
      <c r="E2375">
        <v>3135</v>
      </c>
      <c r="F2375">
        <v>140</v>
      </c>
      <c r="G2375">
        <v>140</v>
      </c>
      <c r="H2375" t="s">
        <v>3027</v>
      </c>
      <c r="I2375" s="1">
        <v>37104</v>
      </c>
      <c r="J2375" s="1">
        <v>37315</v>
      </c>
      <c r="K2375" s="1">
        <v>37318</v>
      </c>
      <c r="L2375" s="1">
        <v>37318</v>
      </c>
      <c r="M2375" s="1">
        <v>37319</v>
      </c>
      <c r="N2375" s="1">
        <v>37320</v>
      </c>
      <c r="O2375" t="s">
        <v>1117</v>
      </c>
      <c r="P2375">
        <v>1</v>
      </c>
      <c r="Q2375" t="s">
        <v>2855</v>
      </c>
      <c r="R2375">
        <f t="shared" si="75"/>
        <v>10</v>
      </c>
      <c r="S2375">
        <f t="shared" si="76"/>
        <v>1</v>
      </c>
    </row>
    <row r="2376" spans="1:19" x14ac:dyDescent="0.25">
      <c r="A2376" t="s">
        <v>3501</v>
      </c>
      <c r="B2376" t="s">
        <v>4028</v>
      </c>
      <c r="C2376">
        <v>20</v>
      </c>
      <c r="D2376">
        <v>1250</v>
      </c>
      <c r="E2376">
        <v>6000</v>
      </c>
      <c r="F2376">
        <v>5</v>
      </c>
      <c r="G2376">
        <v>2.2069999999999999</v>
      </c>
      <c r="H2376" t="s">
        <v>3027</v>
      </c>
      <c r="I2376" s="1">
        <v>37125</v>
      </c>
      <c r="J2376" s="1">
        <v>37322</v>
      </c>
      <c r="K2376" t="s">
        <v>1124</v>
      </c>
      <c r="L2376" t="s">
        <v>1124</v>
      </c>
      <c r="M2376" s="1">
        <v>37262</v>
      </c>
      <c r="N2376" s="1">
        <v>37368</v>
      </c>
      <c r="O2376" t="s">
        <v>1117</v>
      </c>
      <c r="P2376">
        <v>5</v>
      </c>
      <c r="Q2376" t="s">
        <v>2855</v>
      </c>
      <c r="R2376">
        <f t="shared" si="75"/>
        <v>17</v>
      </c>
      <c r="S2376">
        <f t="shared" si="76"/>
        <v>0</v>
      </c>
    </row>
    <row r="2377" spans="1:19" x14ac:dyDescent="0.25">
      <c r="A2377" t="s">
        <v>3502</v>
      </c>
      <c r="B2377" t="s">
        <v>4028</v>
      </c>
      <c r="C2377">
        <v>25</v>
      </c>
      <c r="D2377">
        <v>1250</v>
      </c>
      <c r="E2377">
        <v>6000</v>
      </c>
      <c r="F2377">
        <v>8</v>
      </c>
      <c r="G2377">
        <v>8</v>
      </c>
      <c r="H2377" t="s">
        <v>3027</v>
      </c>
      <c r="I2377" s="1">
        <v>37159</v>
      </c>
      <c r="J2377" s="1">
        <v>37314</v>
      </c>
      <c r="K2377" s="1">
        <v>37328</v>
      </c>
      <c r="L2377" s="1">
        <v>37328</v>
      </c>
      <c r="M2377" s="1">
        <v>37328</v>
      </c>
      <c r="N2377" s="1">
        <v>37328</v>
      </c>
      <c r="O2377" t="s">
        <v>1117</v>
      </c>
      <c r="P2377">
        <v>2</v>
      </c>
      <c r="Q2377" t="s">
        <v>2855</v>
      </c>
      <c r="R2377">
        <f t="shared" si="75"/>
        <v>11</v>
      </c>
      <c r="S2377">
        <f t="shared" si="76"/>
        <v>1</v>
      </c>
    </row>
    <row r="2378" spans="1:19" x14ac:dyDescent="0.25">
      <c r="A2378" t="s">
        <v>3503</v>
      </c>
      <c r="B2378" t="s">
        <v>1199</v>
      </c>
      <c r="C2378">
        <v>16</v>
      </c>
      <c r="D2378">
        <v>1250</v>
      </c>
      <c r="E2378">
        <v>6000</v>
      </c>
      <c r="F2378">
        <v>5</v>
      </c>
      <c r="G2378">
        <v>5</v>
      </c>
      <c r="H2378" t="s">
        <v>3027</v>
      </c>
      <c r="I2378" s="1">
        <v>37343</v>
      </c>
      <c r="J2378" s="1">
        <v>37381</v>
      </c>
      <c r="K2378" t="s">
        <v>1124</v>
      </c>
      <c r="L2378" t="s">
        <v>1124</v>
      </c>
      <c r="M2378" t="s">
        <v>1124</v>
      </c>
      <c r="N2378" s="1">
        <v>37368</v>
      </c>
      <c r="O2378" t="s">
        <v>1117</v>
      </c>
      <c r="P2378">
        <v>1</v>
      </c>
      <c r="Q2378" t="s">
        <v>2855</v>
      </c>
      <c r="R2378">
        <f t="shared" si="75"/>
        <v>17</v>
      </c>
      <c r="S2378">
        <f t="shared" si="76"/>
        <v>0</v>
      </c>
    </row>
    <row r="2379" spans="1:19" x14ac:dyDescent="0.25">
      <c r="A2379" t="s">
        <v>3504</v>
      </c>
      <c r="B2379" t="s">
        <v>4026</v>
      </c>
      <c r="C2379">
        <v>14</v>
      </c>
      <c r="D2379">
        <v>1250</v>
      </c>
      <c r="E2379">
        <v>6000</v>
      </c>
      <c r="F2379">
        <v>5</v>
      </c>
      <c r="G2379">
        <v>5</v>
      </c>
      <c r="H2379" t="s">
        <v>3027</v>
      </c>
      <c r="I2379" s="1">
        <v>37159</v>
      </c>
      <c r="J2379" s="1">
        <v>37325</v>
      </c>
      <c r="K2379" t="s">
        <v>1124</v>
      </c>
      <c r="L2379" t="s">
        <v>1124</v>
      </c>
      <c r="M2379" s="1">
        <v>37220</v>
      </c>
      <c r="N2379" s="1">
        <v>37307</v>
      </c>
      <c r="O2379" t="s">
        <v>1117</v>
      </c>
      <c r="P2379">
        <v>4</v>
      </c>
      <c r="Q2379" t="s">
        <v>2855</v>
      </c>
      <c r="R2379">
        <f t="shared" si="75"/>
        <v>8</v>
      </c>
      <c r="S2379">
        <f t="shared" si="76"/>
        <v>1</v>
      </c>
    </row>
    <row r="2380" spans="1:19" x14ac:dyDescent="0.25">
      <c r="A2380" t="s">
        <v>3505</v>
      </c>
      <c r="B2380" t="s">
        <v>1199</v>
      </c>
      <c r="C2380">
        <v>16</v>
      </c>
      <c r="D2380">
        <v>1250</v>
      </c>
      <c r="E2380">
        <v>6000</v>
      </c>
      <c r="F2380">
        <v>5</v>
      </c>
      <c r="G2380">
        <v>5</v>
      </c>
      <c r="H2380" t="s">
        <v>3027</v>
      </c>
      <c r="I2380" s="1">
        <v>37343</v>
      </c>
      <c r="J2380" s="1">
        <v>37387</v>
      </c>
      <c r="K2380" t="s">
        <v>1124</v>
      </c>
      <c r="L2380" t="s">
        <v>1124</v>
      </c>
      <c r="M2380" t="s">
        <v>1124</v>
      </c>
      <c r="N2380" s="1">
        <v>37368</v>
      </c>
      <c r="O2380" t="s">
        <v>1117</v>
      </c>
      <c r="P2380">
        <v>1</v>
      </c>
      <c r="Q2380" t="s">
        <v>2855</v>
      </c>
      <c r="R2380">
        <f t="shared" si="75"/>
        <v>17</v>
      </c>
      <c r="S2380">
        <f t="shared" si="76"/>
        <v>0</v>
      </c>
    </row>
    <row r="2381" spans="1:19" x14ac:dyDescent="0.25">
      <c r="A2381" t="s">
        <v>3506</v>
      </c>
      <c r="B2381" t="s">
        <v>4027</v>
      </c>
      <c r="C2381">
        <v>5</v>
      </c>
      <c r="D2381">
        <v>1250</v>
      </c>
      <c r="E2381">
        <v>3000</v>
      </c>
      <c r="F2381">
        <v>5</v>
      </c>
      <c r="G2381">
        <v>5</v>
      </c>
      <c r="H2381" t="s">
        <v>2661</v>
      </c>
      <c r="I2381" s="1">
        <v>37110</v>
      </c>
      <c r="J2381" s="1">
        <v>37336</v>
      </c>
      <c r="K2381" s="1">
        <v>37336</v>
      </c>
      <c r="L2381" s="1">
        <v>37336</v>
      </c>
      <c r="M2381" s="1">
        <v>37336</v>
      </c>
      <c r="N2381" s="1">
        <v>37336</v>
      </c>
      <c r="O2381" t="s">
        <v>1114</v>
      </c>
      <c r="P2381">
        <v>12</v>
      </c>
      <c r="Q2381" t="s">
        <v>2662</v>
      </c>
      <c r="R2381">
        <f t="shared" si="75"/>
        <v>12</v>
      </c>
      <c r="S2381">
        <f t="shared" si="76"/>
        <v>1</v>
      </c>
    </row>
    <row r="2382" spans="1:19" x14ac:dyDescent="0.25">
      <c r="A2382" t="s">
        <v>3507</v>
      </c>
      <c r="B2382" t="s">
        <v>4028</v>
      </c>
      <c r="C2382">
        <v>5</v>
      </c>
      <c r="D2382">
        <v>1250</v>
      </c>
      <c r="E2382">
        <v>3000</v>
      </c>
      <c r="F2382">
        <v>5</v>
      </c>
      <c r="G2382">
        <v>5</v>
      </c>
      <c r="H2382" t="s">
        <v>2661</v>
      </c>
      <c r="I2382" s="1">
        <v>37110</v>
      </c>
      <c r="J2382" s="1">
        <v>37336</v>
      </c>
      <c r="K2382" s="1">
        <v>37336</v>
      </c>
      <c r="L2382" s="1">
        <v>37336</v>
      </c>
      <c r="M2382" s="1">
        <v>37336</v>
      </c>
      <c r="N2382" s="1">
        <v>37336</v>
      </c>
      <c r="O2382" t="s">
        <v>1114</v>
      </c>
      <c r="P2382">
        <v>11</v>
      </c>
      <c r="Q2382" t="s">
        <v>2662</v>
      </c>
      <c r="R2382">
        <f t="shared" si="75"/>
        <v>12</v>
      </c>
      <c r="S2382">
        <f t="shared" si="76"/>
        <v>1</v>
      </c>
    </row>
    <row r="2383" spans="1:19" x14ac:dyDescent="0.25">
      <c r="A2383" t="s">
        <v>3508</v>
      </c>
      <c r="B2383" t="s">
        <v>1199</v>
      </c>
      <c r="C2383">
        <v>20</v>
      </c>
      <c r="D2383">
        <v>1250</v>
      </c>
      <c r="E2383">
        <v>6000</v>
      </c>
      <c r="F2383">
        <v>5</v>
      </c>
      <c r="G2383">
        <v>5</v>
      </c>
      <c r="H2383" t="s">
        <v>3027</v>
      </c>
      <c r="I2383" s="1">
        <v>37343</v>
      </c>
      <c r="J2383" s="1">
        <v>37387</v>
      </c>
      <c r="K2383" t="s">
        <v>1124</v>
      </c>
      <c r="L2383" t="s">
        <v>1124</v>
      </c>
      <c r="M2383" t="s">
        <v>1124</v>
      </c>
      <c r="N2383" s="1">
        <v>37368</v>
      </c>
      <c r="O2383" t="s">
        <v>1117</v>
      </c>
      <c r="P2383">
        <v>2</v>
      </c>
      <c r="Q2383" t="s">
        <v>2855</v>
      </c>
      <c r="R2383">
        <f t="shared" si="75"/>
        <v>17</v>
      </c>
      <c r="S2383">
        <f t="shared" si="76"/>
        <v>0</v>
      </c>
    </row>
    <row r="2384" spans="1:19" x14ac:dyDescent="0.25">
      <c r="A2384" t="s">
        <v>3509</v>
      </c>
      <c r="B2384" t="s">
        <v>4028</v>
      </c>
      <c r="C2384">
        <v>2</v>
      </c>
      <c r="D2384">
        <v>680</v>
      </c>
      <c r="E2384">
        <v>0</v>
      </c>
      <c r="F2384">
        <v>20</v>
      </c>
      <c r="G2384">
        <v>20</v>
      </c>
      <c r="H2384" t="s">
        <v>3510</v>
      </c>
      <c r="I2384" s="1">
        <v>37352</v>
      </c>
      <c r="J2384" s="1">
        <v>37386</v>
      </c>
      <c r="K2384" t="s">
        <v>1124</v>
      </c>
      <c r="L2384" t="s">
        <v>1124</v>
      </c>
      <c r="M2384" s="1">
        <v>37386</v>
      </c>
      <c r="N2384" s="1">
        <v>37386</v>
      </c>
      <c r="O2384" t="s">
        <v>1117</v>
      </c>
      <c r="P2384">
        <v>6</v>
      </c>
      <c r="Q2384" t="s">
        <v>3511</v>
      </c>
      <c r="R2384">
        <f t="shared" si="75"/>
        <v>19</v>
      </c>
      <c r="S2384">
        <f t="shared" si="76"/>
        <v>1</v>
      </c>
    </row>
    <row r="2385" spans="1:19" x14ac:dyDescent="0.25">
      <c r="A2385" t="s">
        <v>3512</v>
      </c>
      <c r="B2385" t="s">
        <v>1199</v>
      </c>
      <c r="C2385">
        <v>2.2999999999999998</v>
      </c>
      <c r="D2385">
        <v>1100</v>
      </c>
      <c r="E2385">
        <v>0</v>
      </c>
      <c r="F2385">
        <v>70</v>
      </c>
      <c r="G2385">
        <v>24.85</v>
      </c>
      <c r="H2385" t="s">
        <v>3510</v>
      </c>
      <c r="I2385" s="1">
        <v>37302</v>
      </c>
      <c r="J2385" s="1">
        <v>37309</v>
      </c>
      <c r="K2385" s="1">
        <v>37313</v>
      </c>
      <c r="L2385" s="1">
        <v>37313</v>
      </c>
      <c r="M2385" s="1">
        <v>37318</v>
      </c>
      <c r="N2385" s="1">
        <v>37318</v>
      </c>
      <c r="O2385" t="s">
        <v>1117</v>
      </c>
      <c r="P2385">
        <v>3</v>
      </c>
      <c r="Q2385" t="s">
        <v>3511</v>
      </c>
      <c r="R2385">
        <f t="shared" si="75"/>
        <v>10</v>
      </c>
      <c r="S2385">
        <f t="shared" si="76"/>
        <v>0</v>
      </c>
    </row>
    <row r="2386" spans="1:19" x14ac:dyDescent="0.25">
      <c r="A2386" t="s">
        <v>3513</v>
      </c>
      <c r="B2386" t="s">
        <v>1199</v>
      </c>
      <c r="C2386">
        <v>2</v>
      </c>
      <c r="D2386">
        <v>680</v>
      </c>
      <c r="E2386">
        <v>0</v>
      </c>
      <c r="F2386">
        <v>20</v>
      </c>
      <c r="G2386">
        <v>20</v>
      </c>
      <c r="H2386" t="s">
        <v>3510</v>
      </c>
      <c r="I2386" s="1">
        <v>37352</v>
      </c>
      <c r="J2386" s="1">
        <v>37386</v>
      </c>
      <c r="K2386" t="s">
        <v>1124</v>
      </c>
      <c r="L2386" t="s">
        <v>1124</v>
      </c>
      <c r="M2386" t="s">
        <v>1124</v>
      </c>
      <c r="N2386" s="1">
        <v>37386</v>
      </c>
      <c r="O2386" t="s">
        <v>1117</v>
      </c>
      <c r="P2386">
        <v>5</v>
      </c>
      <c r="Q2386" t="s">
        <v>3511</v>
      </c>
      <c r="R2386">
        <f t="shared" si="75"/>
        <v>19</v>
      </c>
      <c r="S2386">
        <f t="shared" si="76"/>
        <v>0</v>
      </c>
    </row>
    <row r="2387" spans="1:19" x14ac:dyDescent="0.25">
      <c r="A2387" t="s">
        <v>3514</v>
      </c>
      <c r="B2387" t="s">
        <v>1199</v>
      </c>
      <c r="C2387">
        <v>2.5</v>
      </c>
      <c r="D2387">
        <v>680</v>
      </c>
      <c r="E2387">
        <v>0</v>
      </c>
      <c r="F2387">
        <v>20</v>
      </c>
      <c r="G2387">
        <v>20</v>
      </c>
      <c r="H2387" t="s">
        <v>3510</v>
      </c>
      <c r="I2387" s="1">
        <v>37352</v>
      </c>
      <c r="J2387" s="1">
        <v>37386</v>
      </c>
      <c r="K2387" t="s">
        <v>1124</v>
      </c>
      <c r="L2387" t="s">
        <v>1124</v>
      </c>
      <c r="M2387" s="1">
        <v>37386</v>
      </c>
      <c r="N2387" s="1">
        <v>37386</v>
      </c>
      <c r="O2387" t="s">
        <v>1117</v>
      </c>
      <c r="P2387">
        <v>2</v>
      </c>
      <c r="Q2387" t="s">
        <v>3511</v>
      </c>
      <c r="R2387">
        <f t="shared" si="75"/>
        <v>19</v>
      </c>
      <c r="S2387">
        <f t="shared" si="76"/>
        <v>1</v>
      </c>
    </row>
    <row r="2388" spans="1:19" x14ac:dyDescent="0.25">
      <c r="A2388" t="s">
        <v>3515</v>
      </c>
      <c r="B2388" t="s">
        <v>4028</v>
      </c>
      <c r="C2388">
        <v>2</v>
      </c>
      <c r="D2388">
        <v>580</v>
      </c>
      <c r="E2388">
        <v>0</v>
      </c>
      <c r="F2388">
        <v>20</v>
      </c>
      <c r="G2388">
        <v>10.356</v>
      </c>
      <c r="H2388" t="s">
        <v>3510</v>
      </c>
      <c r="I2388" s="1">
        <v>37352</v>
      </c>
      <c r="J2388" s="1">
        <v>37386</v>
      </c>
      <c r="K2388" t="s">
        <v>1124</v>
      </c>
      <c r="L2388" t="s">
        <v>1124</v>
      </c>
      <c r="M2388" t="s">
        <v>1124</v>
      </c>
      <c r="N2388" s="1">
        <v>37351</v>
      </c>
      <c r="O2388" t="s">
        <v>1117</v>
      </c>
      <c r="P2388">
        <v>7</v>
      </c>
      <c r="Q2388" t="s">
        <v>3511</v>
      </c>
      <c r="R2388">
        <f t="shared" si="75"/>
        <v>14</v>
      </c>
      <c r="S2388">
        <f t="shared" si="76"/>
        <v>0</v>
      </c>
    </row>
    <row r="2389" spans="1:19" x14ac:dyDescent="0.25">
      <c r="A2389" t="s">
        <v>3516</v>
      </c>
      <c r="B2389" t="s">
        <v>4028</v>
      </c>
      <c r="C2389">
        <v>2</v>
      </c>
      <c r="D2389">
        <v>1250</v>
      </c>
      <c r="E2389">
        <v>0</v>
      </c>
      <c r="F2389">
        <v>40</v>
      </c>
      <c r="G2389">
        <v>40</v>
      </c>
      <c r="H2389" t="s">
        <v>3510</v>
      </c>
      <c r="I2389" s="1">
        <v>37302</v>
      </c>
      <c r="J2389" s="1">
        <v>37309</v>
      </c>
      <c r="K2389" s="1">
        <v>37313</v>
      </c>
      <c r="L2389" s="1">
        <v>37313</v>
      </c>
      <c r="M2389" s="1">
        <v>37316</v>
      </c>
      <c r="N2389" s="1">
        <v>37316</v>
      </c>
      <c r="O2389" t="s">
        <v>1117</v>
      </c>
      <c r="P2389">
        <v>2</v>
      </c>
      <c r="Q2389" t="s">
        <v>3511</v>
      </c>
      <c r="R2389">
        <f t="shared" si="75"/>
        <v>9</v>
      </c>
      <c r="S2389">
        <f t="shared" si="76"/>
        <v>1</v>
      </c>
    </row>
    <row r="2390" spans="1:19" x14ac:dyDescent="0.25">
      <c r="A2390" t="s">
        <v>3517</v>
      </c>
      <c r="B2390" t="s">
        <v>4026</v>
      </c>
      <c r="C2390">
        <v>2</v>
      </c>
      <c r="D2390">
        <v>580</v>
      </c>
      <c r="E2390">
        <v>0</v>
      </c>
      <c r="F2390">
        <v>20</v>
      </c>
      <c r="G2390">
        <v>20</v>
      </c>
      <c r="H2390" t="s">
        <v>3510</v>
      </c>
      <c r="I2390" s="1">
        <v>37352</v>
      </c>
      <c r="J2390" s="1">
        <v>37386</v>
      </c>
      <c r="K2390" t="s">
        <v>1124</v>
      </c>
      <c r="L2390" t="s">
        <v>1124</v>
      </c>
      <c r="M2390" t="s">
        <v>1124</v>
      </c>
      <c r="N2390" s="1">
        <v>37351</v>
      </c>
      <c r="O2390" t="s">
        <v>1117</v>
      </c>
      <c r="P2390">
        <v>3</v>
      </c>
      <c r="Q2390" t="s">
        <v>3511</v>
      </c>
      <c r="R2390">
        <f t="shared" si="75"/>
        <v>14</v>
      </c>
      <c r="S2390">
        <f t="shared" si="76"/>
        <v>0</v>
      </c>
    </row>
    <row r="2391" spans="1:19" x14ac:dyDescent="0.25">
      <c r="A2391" t="s">
        <v>3518</v>
      </c>
      <c r="B2391" t="s">
        <v>1199</v>
      </c>
      <c r="C2391">
        <v>2</v>
      </c>
      <c r="D2391">
        <v>580</v>
      </c>
      <c r="E2391">
        <v>0</v>
      </c>
      <c r="F2391">
        <v>20</v>
      </c>
      <c r="G2391">
        <v>20</v>
      </c>
      <c r="H2391" t="s">
        <v>3510</v>
      </c>
      <c r="I2391" s="1">
        <v>37352</v>
      </c>
      <c r="J2391" s="1">
        <v>37386</v>
      </c>
      <c r="K2391" t="s">
        <v>1124</v>
      </c>
      <c r="L2391" t="s">
        <v>1124</v>
      </c>
      <c r="M2391" t="s">
        <v>1124</v>
      </c>
      <c r="N2391" s="1">
        <v>37351</v>
      </c>
      <c r="O2391" t="s">
        <v>1117</v>
      </c>
      <c r="P2391">
        <v>4</v>
      </c>
      <c r="Q2391" t="s">
        <v>3511</v>
      </c>
      <c r="R2391">
        <f t="shared" si="75"/>
        <v>14</v>
      </c>
      <c r="S2391">
        <f t="shared" si="76"/>
        <v>0</v>
      </c>
    </row>
    <row r="2392" spans="1:19" x14ac:dyDescent="0.25">
      <c r="A2392" t="s">
        <v>3519</v>
      </c>
      <c r="B2392" t="s">
        <v>4028</v>
      </c>
      <c r="C2392">
        <v>2.5</v>
      </c>
      <c r="D2392">
        <v>580</v>
      </c>
      <c r="E2392">
        <v>0</v>
      </c>
      <c r="F2392">
        <v>20</v>
      </c>
      <c r="G2392">
        <v>20</v>
      </c>
      <c r="H2392" t="s">
        <v>3510</v>
      </c>
      <c r="I2392" s="1">
        <v>37352</v>
      </c>
      <c r="J2392" s="1">
        <v>37386</v>
      </c>
      <c r="K2392" t="s">
        <v>1124</v>
      </c>
      <c r="L2392" t="s">
        <v>1124</v>
      </c>
      <c r="M2392" s="1">
        <v>37386</v>
      </c>
      <c r="N2392" s="1">
        <v>37386</v>
      </c>
      <c r="O2392" t="s">
        <v>1117</v>
      </c>
      <c r="P2392">
        <v>1</v>
      </c>
      <c r="Q2392" t="s">
        <v>3511</v>
      </c>
      <c r="R2392">
        <f t="shared" si="75"/>
        <v>19</v>
      </c>
      <c r="S2392">
        <f t="shared" si="76"/>
        <v>1</v>
      </c>
    </row>
    <row r="2393" spans="1:19" x14ac:dyDescent="0.25">
      <c r="A2393" t="s">
        <v>3520</v>
      </c>
      <c r="B2393" t="s">
        <v>1199</v>
      </c>
      <c r="C2393">
        <v>1.5</v>
      </c>
      <c r="D2393">
        <v>450</v>
      </c>
      <c r="E2393">
        <v>0</v>
      </c>
      <c r="F2393">
        <v>30</v>
      </c>
      <c r="G2393">
        <v>30</v>
      </c>
      <c r="H2393" t="s">
        <v>3521</v>
      </c>
      <c r="I2393" s="1">
        <v>37369</v>
      </c>
      <c r="J2393" s="1">
        <v>37368</v>
      </c>
      <c r="K2393" s="1">
        <v>37382</v>
      </c>
      <c r="L2393" s="1">
        <v>37382</v>
      </c>
      <c r="M2393" t="s">
        <v>1124</v>
      </c>
      <c r="N2393" s="1">
        <f>L2393</f>
        <v>37382</v>
      </c>
      <c r="O2393" t="s">
        <v>1117</v>
      </c>
      <c r="P2393">
        <v>1</v>
      </c>
      <c r="Q2393" t="s">
        <v>3522</v>
      </c>
      <c r="R2393">
        <f t="shared" si="75"/>
        <v>19</v>
      </c>
      <c r="S2393">
        <f t="shared" si="76"/>
        <v>0</v>
      </c>
    </row>
    <row r="2394" spans="1:19" x14ac:dyDescent="0.25">
      <c r="A2394" t="s">
        <v>3523</v>
      </c>
      <c r="B2394" t="s">
        <v>4026</v>
      </c>
      <c r="C2394">
        <v>0.4</v>
      </c>
      <c r="D2394">
        <v>325</v>
      </c>
      <c r="E2394">
        <v>0</v>
      </c>
      <c r="F2394">
        <v>15</v>
      </c>
      <c r="G2394">
        <v>13.920999999999999</v>
      </c>
      <c r="H2394" t="s">
        <v>3521</v>
      </c>
      <c r="I2394" s="1">
        <v>37131</v>
      </c>
      <c r="J2394" s="1">
        <v>37315</v>
      </c>
      <c r="K2394" s="1">
        <v>37367</v>
      </c>
      <c r="L2394" s="1">
        <v>37367</v>
      </c>
      <c r="M2394" s="1">
        <v>37344</v>
      </c>
      <c r="N2394" s="1">
        <v>37344</v>
      </c>
      <c r="O2394" t="s">
        <v>1117</v>
      </c>
      <c r="P2394">
        <v>1</v>
      </c>
      <c r="Q2394" t="s">
        <v>3522</v>
      </c>
      <c r="R2394">
        <f t="shared" si="75"/>
        <v>13</v>
      </c>
      <c r="S2394">
        <f t="shared" si="76"/>
        <v>0</v>
      </c>
    </row>
    <row r="2395" spans="1:19" x14ac:dyDescent="0.25">
      <c r="A2395" t="s">
        <v>3524</v>
      </c>
      <c r="B2395" t="s">
        <v>4027</v>
      </c>
      <c r="C2395">
        <v>0.4</v>
      </c>
      <c r="D2395">
        <v>325</v>
      </c>
      <c r="E2395">
        <v>0</v>
      </c>
      <c r="F2395">
        <v>15</v>
      </c>
      <c r="G2395">
        <v>15</v>
      </c>
      <c r="H2395" t="s">
        <v>3521</v>
      </c>
      <c r="I2395" s="1">
        <v>37192</v>
      </c>
      <c r="J2395" s="1">
        <v>37315</v>
      </c>
      <c r="K2395" s="1">
        <v>37344</v>
      </c>
      <c r="L2395" s="1">
        <v>37344</v>
      </c>
      <c r="M2395" s="1">
        <v>37344</v>
      </c>
      <c r="N2395" s="1">
        <v>37344</v>
      </c>
      <c r="O2395" t="s">
        <v>1117</v>
      </c>
      <c r="P2395">
        <v>1</v>
      </c>
      <c r="Q2395" t="s">
        <v>3522</v>
      </c>
      <c r="R2395">
        <f t="shared" si="75"/>
        <v>13</v>
      </c>
      <c r="S2395">
        <f t="shared" si="76"/>
        <v>1</v>
      </c>
    </row>
    <row r="2396" spans="1:19" x14ac:dyDescent="0.25">
      <c r="A2396" t="s">
        <v>3525</v>
      </c>
      <c r="B2396" t="s">
        <v>4027</v>
      </c>
      <c r="C2396">
        <v>0.4</v>
      </c>
      <c r="D2396">
        <v>305</v>
      </c>
      <c r="E2396">
        <v>0</v>
      </c>
      <c r="F2396">
        <v>2.5</v>
      </c>
      <c r="G2396">
        <v>0.28399999999999997</v>
      </c>
      <c r="H2396" t="s">
        <v>3521</v>
      </c>
      <c r="I2396" s="1">
        <v>37192</v>
      </c>
      <c r="J2396" s="1">
        <v>37315</v>
      </c>
      <c r="K2396" s="1">
        <v>37344</v>
      </c>
      <c r="L2396" s="1">
        <v>37344</v>
      </c>
      <c r="M2396" s="1">
        <v>37344</v>
      </c>
      <c r="N2396" s="1">
        <v>37344</v>
      </c>
      <c r="O2396" t="s">
        <v>1117</v>
      </c>
      <c r="P2396">
        <v>1</v>
      </c>
      <c r="Q2396" t="s">
        <v>3522</v>
      </c>
      <c r="R2396">
        <f t="shared" si="75"/>
        <v>13</v>
      </c>
      <c r="S2396">
        <f t="shared" si="76"/>
        <v>0</v>
      </c>
    </row>
    <row r="2397" spans="1:19" x14ac:dyDescent="0.25">
      <c r="A2397" t="s">
        <v>3526</v>
      </c>
      <c r="B2397" t="s">
        <v>1199</v>
      </c>
      <c r="C2397">
        <v>9.9000000000000005E-2</v>
      </c>
      <c r="D2397">
        <v>22.4</v>
      </c>
      <c r="E2397">
        <v>0</v>
      </c>
      <c r="F2397">
        <v>20</v>
      </c>
      <c r="G2397">
        <v>20</v>
      </c>
      <c r="H2397" t="s">
        <v>3521</v>
      </c>
      <c r="I2397" s="1">
        <v>37304</v>
      </c>
      <c r="J2397" s="1">
        <v>37314</v>
      </c>
      <c r="K2397" s="1">
        <v>37351</v>
      </c>
      <c r="L2397" s="1">
        <v>37351</v>
      </c>
      <c r="M2397" s="1">
        <v>37351</v>
      </c>
      <c r="N2397" s="1">
        <v>37391</v>
      </c>
      <c r="O2397" t="s">
        <v>1117</v>
      </c>
      <c r="P2397">
        <v>1</v>
      </c>
      <c r="Q2397" t="s">
        <v>3522</v>
      </c>
      <c r="R2397">
        <f t="shared" si="75"/>
        <v>20</v>
      </c>
      <c r="S2397">
        <f t="shared" si="76"/>
        <v>1</v>
      </c>
    </row>
    <row r="2398" spans="1:19" x14ac:dyDescent="0.25">
      <c r="A2398" t="s">
        <v>3527</v>
      </c>
      <c r="B2398" t="s">
        <v>1199</v>
      </c>
      <c r="C2398">
        <v>9.9000000000000005E-2</v>
      </c>
      <c r="D2398">
        <v>22.4</v>
      </c>
      <c r="E2398">
        <v>0</v>
      </c>
      <c r="F2398">
        <v>15</v>
      </c>
      <c r="G2398">
        <v>15</v>
      </c>
      <c r="H2398" t="s">
        <v>3521</v>
      </c>
      <c r="I2398" s="1">
        <v>37352</v>
      </c>
      <c r="J2398" s="1">
        <v>37391</v>
      </c>
      <c r="K2398" t="s">
        <v>1124</v>
      </c>
      <c r="L2398" t="s">
        <v>1124</v>
      </c>
      <c r="M2398" s="1">
        <v>37391</v>
      </c>
      <c r="N2398" s="1">
        <v>37391</v>
      </c>
      <c r="O2398" t="s">
        <v>1117</v>
      </c>
      <c r="P2398">
        <v>1</v>
      </c>
      <c r="Q2398" t="s">
        <v>3522</v>
      </c>
      <c r="R2398">
        <f t="shared" si="75"/>
        <v>20</v>
      </c>
      <c r="S2398">
        <f t="shared" si="76"/>
        <v>1</v>
      </c>
    </row>
    <row r="2399" spans="1:19" x14ac:dyDescent="0.25">
      <c r="A2399" t="s">
        <v>3528</v>
      </c>
      <c r="B2399" t="s">
        <v>1199</v>
      </c>
      <c r="C2399">
        <v>9.9000000000000005E-2</v>
      </c>
      <c r="D2399">
        <v>22.4</v>
      </c>
      <c r="E2399">
        <v>0</v>
      </c>
      <c r="F2399">
        <v>20</v>
      </c>
      <c r="G2399">
        <v>20</v>
      </c>
      <c r="H2399" t="s">
        <v>3521</v>
      </c>
      <c r="I2399" s="1">
        <v>37352</v>
      </c>
      <c r="J2399" s="1">
        <v>37391</v>
      </c>
      <c r="K2399" t="s">
        <v>1124</v>
      </c>
      <c r="L2399" t="s">
        <v>1124</v>
      </c>
      <c r="M2399" s="1">
        <v>37391</v>
      </c>
      <c r="N2399" s="1">
        <v>37391</v>
      </c>
      <c r="O2399" t="s">
        <v>1117</v>
      </c>
      <c r="P2399">
        <v>1</v>
      </c>
      <c r="Q2399" t="s">
        <v>3522</v>
      </c>
      <c r="R2399">
        <f t="shared" si="75"/>
        <v>20</v>
      </c>
      <c r="S2399">
        <f t="shared" si="76"/>
        <v>1</v>
      </c>
    </row>
    <row r="2400" spans="1:19" x14ac:dyDescent="0.25">
      <c r="A2400" t="s">
        <v>3529</v>
      </c>
      <c r="B2400" t="s">
        <v>4027</v>
      </c>
      <c r="C2400">
        <v>9.5000000000000001E-2</v>
      </c>
      <c r="D2400">
        <v>22.2</v>
      </c>
      <c r="E2400">
        <v>0</v>
      </c>
      <c r="F2400">
        <v>3</v>
      </c>
      <c r="G2400">
        <v>3</v>
      </c>
      <c r="H2400" t="s">
        <v>3521</v>
      </c>
      <c r="I2400" s="1">
        <v>37159</v>
      </c>
      <c r="J2400" s="1">
        <v>37314</v>
      </c>
      <c r="K2400" s="1">
        <v>37373</v>
      </c>
      <c r="L2400" s="1">
        <v>37373</v>
      </c>
      <c r="M2400" s="1">
        <v>37352</v>
      </c>
      <c r="N2400" s="1">
        <v>37386</v>
      </c>
      <c r="O2400" t="s">
        <v>1117</v>
      </c>
      <c r="P2400">
        <v>1</v>
      </c>
      <c r="Q2400" t="s">
        <v>3522</v>
      </c>
      <c r="R2400">
        <f t="shared" si="75"/>
        <v>19</v>
      </c>
      <c r="S2400">
        <f t="shared" si="76"/>
        <v>1</v>
      </c>
    </row>
    <row r="2401" spans="1:19" x14ac:dyDescent="0.25">
      <c r="A2401" t="s">
        <v>3530</v>
      </c>
      <c r="B2401" t="s">
        <v>1199</v>
      </c>
      <c r="C2401">
        <v>0.09</v>
      </c>
      <c r="D2401">
        <v>22.2</v>
      </c>
      <c r="E2401">
        <v>0</v>
      </c>
      <c r="F2401">
        <v>55</v>
      </c>
      <c r="G2401">
        <v>55</v>
      </c>
      <c r="H2401" t="s">
        <v>3521</v>
      </c>
      <c r="I2401" s="1">
        <v>37131</v>
      </c>
      <c r="J2401" s="1">
        <v>37314</v>
      </c>
      <c r="K2401" s="1">
        <v>37366</v>
      </c>
      <c r="L2401" s="1">
        <v>37366</v>
      </c>
      <c r="M2401" s="1">
        <v>37344</v>
      </c>
      <c r="N2401" s="1">
        <v>37365</v>
      </c>
      <c r="O2401" t="s">
        <v>1117</v>
      </c>
      <c r="P2401">
        <v>1</v>
      </c>
      <c r="Q2401" t="s">
        <v>3522</v>
      </c>
      <c r="R2401">
        <f t="shared" si="75"/>
        <v>16</v>
      </c>
      <c r="S2401">
        <f t="shared" si="76"/>
        <v>1</v>
      </c>
    </row>
    <row r="2402" spans="1:19" x14ac:dyDescent="0.25">
      <c r="A2402" t="s">
        <v>3531</v>
      </c>
      <c r="B2402" t="s">
        <v>4028</v>
      </c>
      <c r="C2402">
        <v>9.5000000000000001E-2</v>
      </c>
      <c r="D2402">
        <v>22.2</v>
      </c>
      <c r="E2402">
        <v>0</v>
      </c>
      <c r="F2402">
        <v>7.3</v>
      </c>
      <c r="G2402">
        <v>7.3</v>
      </c>
      <c r="H2402" t="s">
        <v>3521</v>
      </c>
      <c r="I2402" s="1">
        <v>37193</v>
      </c>
      <c r="J2402" s="1">
        <v>37315</v>
      </c>
      <c r="K2402" s="1">
        <v>37373</v>
      </c>
      <c r="L2402" s="1">
        <v>37373</v>
      </c>
      <c r="M2402" s="1">
        <v>37352</v>
      </c>
      <c r="N2402" s="1">
        <v>37386</v>
      </c>
      <c r="O2402" t="s">
        <v>1117</v>
      </c>
      <c r="P2402">
        <v>1</v>
      </c>
      <c r="Q2402" t="s">
        <v>3522</v>
      </c>
      <c r="R2402">
        <f t="shared" si="75"/>
        <v>19</v>
      </c>
      <c r="S2402">
        <f t="shared" si="76"/>
        <v>1</v>
      </c>
    </row>
    <row r="2403" spans="1:19" x14ac:dyDescent="0.25">
      <c r="A2403" t="s">
        <v>3532</v>
      </c>
      <c r="B2403" t="s">
        <v>1199</v>
      </c>
      <c r="C2403">
        <v>0.09</v>
      </c>
      <c r="D2403">
        <v>22.2</v>
      </c>
      <c r="E2403">
        <v>0</v>
      </c>
      <c r="F2403">
        <v>110</v>
      </c>
      <c r="G2403">
        <v>110</v>
      </c>
      <c r="H2403" t="s">
        <v>3521</v>
      </c>
      <c r="I2403" s="1">
        <v>37192</v>
      </c>
      <c r="J2403" s="1">
        <v>37315</v>
      </c>
      <c r="K2403" s="1">
        <v>37385</v>
      </c>
      <c r="L2403" s="1">
        <v>37385</v>
      </c>
      <c r="M2403" s="1">
        <v>37329</v>
      </c>
      <c r="N2403" s="1">
        <v>37365</v>
      </c>
      <c r="O2403" t="s">
        <v>1117</v>
      </c>
      <c r="P2403">
        <v>1</v>
      </c>
      <c r="Q2403" t="s">
        <v>3522</v>
      </c>
      <c r="R2403">
        <f t="shared" si="75"/>
        <v>16</v>
      </c>
      <c r="S2403">
        <f t="shared" si="76"/>
        <v>1</v>
      </c>
    </row>
    <row r="2404" spans="1:19" x14ac:dyDescent="0.25">
      <c r="A2404" t="s">
        <v>3533</v>
      </c>
      <c r="B2404" t="s">
        <v>4026</v>
      </c>
      <c r="C2404">
        <v>9.5000000000000001E-2</v>
      </c>
      <c r="D2404">
        <v>22.2</v>
      </c>
      <c r="E2404">
        <v>0</v>
      </c>
      <c r="F2404">
        <v>13</v>
      </c>
      <c r="G2404">
        <v>13</v>
      </c>
      <c r="H2404" t="s">
        <v>3521</v>
      </c>
      <c r="I2404" s="1">
        <v>37193</v>
      </c>
      <c r="J2404" s="1">
        <v>37315</v>
      </c>
      <c r="K2404" s="1">
        <v>37380</v>
      </c>
      <c r="L2404" s="1">
        <v>37380</v>
      </c>
      <c r="M2404" s="1">
        <v>37348</v>
      </c>
      <c r="N2404" s="1">
        <v>37386</v>
      </c>
      <c r="O2404" t="s">
        <v>1117</v>
      </c>
      <c r="P2404">
        <v>1</v>
      </c>
      <c r="Q2404" t="s">
        <v>3522</v>
      </c>
      <c r="R2404">
        <f t="shared" si="75"/>
        <v>19</v>
      </c>
      <c r="S2404">
        <f t="shared" si="76"/>
        <v>1</v>
      </c>
    </row>
    <row r="2405" spans="1:19" x14ac:dyDescent="0.25">
      <c r="A2405" t="s">
        <v>3534</v>
      </c>
      <c r="B2405" t="s">
        <v>4028</v>
      </c>
      <c r="C2405">
        <v>0.09</v>
      </c>
      <c r="D2405">
        <v>22.1</v>
      </c>
      <c r="E2405">
        <v>0</v>
      </c>
      <c r="F2405">
        <v>50</v>
      </c>
      <c r="G2405">
        <v>32.249000000000002</v>
      </c>
      <c r="H2405" t="s">
        <v>3521</v>
      </c>
      <c r="I2405" s="1">
        <v>37159</v>
      </c>
      <c r="J2405" s="1">
        <v>37315</v>
      </c>
      <c r="K2405" s="1">
        <v>37372</v>
      </c>
      <c r="L2405" s="1">
        <v>37372</v>
      </c>
      <c r="M2405" s="1">
        <v>37365</v>
      </c>
      <c r="N2405" s="1">
        <v>37365</v>
      </c>
      <c r="O2405" t="s">
        <v>1117</v>
      </c>
      <c r="P2405">
        <v>1</v>
      </c>
      <c r="Q2405" t="s">
        <v>3522</v>
      </c>
      <c r="R2405">
        <f t="shared" si="75"/>
        <v>16</v>
      </c>
      <c r="S2405">
        <f t="shared" si="76"/>
        <v>0</v>
      </c>
    </row>
    <row r="2406" spans="1:19" x14ac:dyDescent="0.25">
      <c r="A2406" t="s">
        <v>3535</v>
      </c>
      <c r="B2406" t="s">
        <v>4027</v>
      </c>
      <c r="C2406">
        <v>0.09</v>
      </c>
      <c r="D2406">
        <v>22.2</v>
      </c>
      <c r="E2406">
        <v>0</v>
      </c>
      <c r="F2406">
        <v>24</v>
      </c>
      <c r="G2406">
        <v>13.601000000000001</v>
      </c>
      <c r="H2406" t="s">
        <v>3521</v>
      </c>
      <c r="I2406" s="1">
        <v>37159</v>
      </c>
      <c r="J2406" s="1">
        <v>37314</v>
      </c>
      <c r="K2406" s="1">
        <v>37373</v>
      </c>
      <c r="L2406" s="1">
        <v>37373</v>
      </c>
      <c r="M2406" s="1">
        <v>37358</v>
      </c>
      <c r="N2406" s="1">
        <v>37365</v>
      </c>
      <c r="O2406" t="s">
        <v>1117</v>
      </c>
      <c r="P2406">
        <v>1</v>
      </c>
      <c r="Q2406" t="s">
        <v>3522</v>
      </c>
      <c r="R2406">
        <f t="shared" si="75"/>
        <v>16</v>
      </c>
      <c r="S2406">
        <f t="shared" si="76"/>
        <v>0</v>
      </c>
    </row>
    <row r="2407" spans="1:19" x14ac:dyDescent="0.25">
      <c r="A2407" t="s">
        <v>3536</v>
      </c>
      <c r="B2407" t="s">
        <v>1199</v>
      </c>
      <c r="C2407">
        <v>0.09</v>
      </c>
      <c r="D2407">
        <v>16.97</v>
      </c>
      <c r="E2407">
        <v>0</v>
      </c>
      <c r="F2407">
        <v>6</v>
      </c>
      <c r="G2407">
        <v>5.8920000000000003</v>
      </c>
      <c r="H2407" t="s">
        <v>3521</v>
      </c>
      <c r="I2407" s="1">
        <v>37131</v>
      </c>
      <c r="J2407" s="1">
        <v>37315</v>
      </c>
      <c r="K2407" s="1">
        <v>37379</v>
      </c>
      <c r="L2407" s="1">
        <v>37379</v>
      </c>
      <c r="M2407" s="1">
        <v>37365</v>
      </c>
      <c r="N2407" s="1">
        <v>37365</v>
      </c>
      <c r="O2407" t="s">
        <v>1117</v>
      </c>
      <c r="P2407">
        <v>2</v>
      </c>
      <c r="Q2407" t="s">
        <v>3522</v>
      </c>
      <c r="R2407">
        <f t="shared" si="75"/>
        <v>16</v>
      </c>
      <c r="S2407">
        <f t="shared" si="76"/>
        <v>0</v>
      </c>
    </row>
    <row r="2408" spans="1:19" x14ac:dyDescent="0.25">
      <c r="A2408" t="s">
        <v>3537</v>
      </c>
      <c r="B2408" t="s">
        <v>4028</v>
      </c>
      <c r="C2408">
        <v>9.5000000000000001E-2</v>
      </c>
      <c r="D2408">
        <v>22.2</v>
      </c>
      <c r="E2408">
        <v>0</v>
      </c>
      <c r="F2408">
        <v>35</v>
      </c>
      <c r="G2408">
        <v>8.3629999999999995</v>
      </c>
      <c r="H2408" t="s">
        <v>3521</v>
      </c>
      <c r="I2408" s="1">
        <v>37159</v>
      </c>
      <c r="J2408" s="1">
        <v>37314</v>
      </c>
      <c r="K2408" s="1">
        <v>37369</v>
      </c>
      <c r="L2408" s="1">
        <v>37369</v>
      </c>
      <c r="M2408" s="1">
        <v>37329</v>
      </c>
      <c r="N2408" s="1">
        <v>37386</v>
      </c>
      <c r="O2408" t="s">
        <v>1117</v>
      </c>
      <c r="P2408">
        <v>1</v>
      </c>
      <c r="Q2408" t="s">
        <v>3522</v>
      </c>
      <c r="R2408">
        <f t="shared" si="75"/>
        <v>19</v>
      </c>
      <c r="S2408">
        <f t="shared" si="76"/>
        <v>0</v>
      </c>
    </row>
    <row r="2409" spans="1:19" x14ac:dyDescent="0.25">
      <c r="A2409" t="s">
        <v>3538</v>
      </c>
      <c r="B2409" t="s">
        <v>1199</v>
      </c>
      <c r="C2409">
        <v>0.09</v>
      </c>
      <c r="D2409">
        <v>22.2</v>
      </c>
      <c r="E2409">
        <v>0</v>
      </c>
      <c r="F2409">
        <v>16</v>
      </c>
      <c r="G2409">
        <v>6.3369999999999997</v>
      </c>
      <c r="H2409" t="s">
        <v>3521</v>
      </c>
      <c r="I2409" s="1">
        <v>37159</v>
      </c>
      <c r="J2409" s="1">
        <v>37314</v>
      </c>
      <c r="K2409" s="1">
        <v>37337</v>
      </c>
      <c r="L2409" s="1">
        <v>37337</v>
      </c>
      <c r="M2409" s="1">
        <v>37337</v>
      </c>
      <c r="N2409" s="1">
        <v>37365</v>
      </c>
      <c r="O2409" t="s">
        <v>1117</v>
      </c>
      <c r="P2409">
        <v>1</v>
      </c>
      <c r="Q2409" t="s">
        <v>3522</v>
      </c>
      <c r="R2409">
        <f t="shared" si="75"/>
        <v>16</v>
      </c>
      <c r="S2409">
        <f t="shared" si="76"/>
        <v>0</v>
      </c>
    </row>
    <row r="2410" spans="1:19" x14ac:dyDescent="0.25">
      <c r="A2410" t="s">
        <v>3539</v>
      </c>
      <c r="B2410" t="s">
        <v>1199</v>
      </c>
      <c r="C2410">
        <v>9.5000000000000001E-2</v>
      </c>
      <c r="D2410">
        <v>22.2</v>
      </c>
      <c r="E2410">
        <v>0</v>
      </c>
      <c r="F2410">
        <v>5</v>
      </c>
      <c r="G2410">
        <v>5</v>
      </c>
      <c r="H2410" t="s">
        <v>3521</v>
      </c>
      <c r="I2410" s="1">
        <v>37131</v>
      </c>
      <c r="J2410" s="1">
        <v>37315</v>
      </c>
      <c r="K2410" s="1">
        <v>37373</v>
      </c>
      <c r="L2410" s="1">
        <v>37373</v>
      </c>
      <c r="M2410" s="1">
        <v>37352</v>
      </c>
      <c r="N2410" s="1">
        <v>37386</v>
      </c>
      <c r="O2410" t="s">
        <v>1117</v>
      </c>
      <c r="P2410">
        <v>1</v>
      </c>
      <c r="Q2410" t="s">
        <v>3522</v>
      </c>
      <c r="R2410">
        <f t="shared" si="75"/>
        <v>19</v>
      </c>
      <c r="S2410">
        <f t="shared" si="76"/>
        <v>1</v>
      </c>
    </row>
    <row r="2411" spans="1:19" x14ac:dyDescent="0.25">
      <c r="A2411" t="s">
        <v>3540</v>
      </c>
      <c r="B2411" t="s">
        <v>4027</v>
      </c>
      <c r="C2411">
        <v>0.09</v>
      </c>
      <c r="D2411">
        <v>22.2</v>
      </c>
      <c r="E2411">
        <v>0</v>
      </c>
      <c r="F2411">
        <v>65</v>
      </c>
      <c r="G2411">
        <v>65</v>
      </c>
      <c r="H2411" t="s">
        <v>3521</v>
      </c>
      <c r="I2411" s="1">
        <v>37193</v>
      </c>
      <c r="J2411" s="1">
        <v>37315</v>
      </c>
      <c r="K2411" s="1">
        <v>37332</v>
      </c>
      <c r="L2411" s="1">
        <v>37332</v>
      </c>
      <c r="M2411" s="1">
        <v>37332</v>
      </c>
      <c r="N2411" s="1">
        <v>37365</v>
      </c>
      <c r="O2411" t="s">
        <v>1117</v>
      </c>
      <c r="P2411">
        <v>1</v>
      </c>
      <c r="Q2411" t="s">
        <v>3522</v>
      </c>
      <c r="R2411">
        <f t="shared" si="75"/>
        <v>16</v>
      </c>
      <c r="S2411">
        <f t="shared" si="76"/>
        <v>1</v>
      </c>
    </row>
    <row r="2412" spans="1:19" x14ac:dyDescent="0.25">
      <c r="A2412" t="s">
        <v>3541</v>
      </c>
      <c r="B2412" t="s">
        <v>1199</v>
      </c>
      <c r="C2412">
        <v>0.09</v>
      </c>
      <c r="D2412">
        <v>22.2</v>
      </c>
      <c r="E2412">
        <v>0</v>
      </c>
      <c r="F2412">
        <v>192</v>
      </c>
      <c r="G2412">
        <v>76.739999999999995</v>
      </c>
      <c r="H2412" t="s">
        <v>3521</v>
      </c>
      <c r="I2412" s="1">
        <v>37106</v>
      </c>
      <c r="J2412" s="1">
        <v>37315</v>
      </c>
      <c r="K2412" s="1">
        <v>37366</v>
      </c>
      <c r="L2412" s="1">
        <v>37366</v>
      </c>
      <c r="M2412" s="1">
        <v>37351</v>
      </c>
      <c r="N2412" s="1">
        <v>37351</v>
      </c>
      <c r="O2412" t="s">
        <v>1117</v>
      </c>
      <c r="P2412">
        <v>2</v>
      </c>
      <c r="Q2412" t="s">
        <v>3522</v>
      </c>
      <c r="R2412">
        <f t="shared" si="75"/>
        <v>14</v>
      </c>
      <c r="S2412">
        <f t="shared" si="76"/>
        <v>0</v>
      </c>
    </row>
    <row r="2413" spans="1:19" x14ac:dyDescent="0.25">
      <c r="A2413" t="s">
        <v>3542</v>
      </c>
      <c r="B2413" t="s">
        <v>4028</v>
      </c>
      <c r="C2413">
        <v>0.09</v>
      </c>
      <c r="D2413">
        <v>22.2</v>
      </c>
      <c r="E2413">
        <v>0</v>
      </c>
      <c r="F2413">
        <v>18</v>
      </c>
      <c r="G2413">
        <v>18</v>
      </c>
      <c r="H2413" t="s">
        <v>3521</v>
      </c>
      <c r="I2413" s="1">
        <v>37159</v>
      </c>
      <c r="J2413" s="1">
        <v>37314</v>
      </c>
      <c r="K2413" t="s">
        <v>1124</v>
      </c>
      <c r="L2413" t="s">
        <v>1124</v>
      </c>
      <c r="M2413" s="1">
        <v>37337</v>
      </c>
      <c r="N2413" s="1">
        <v>37337</v>
      </c>
      <c r="O2413" t="s">
        <v>1117</v>
      </c>
      <c r="P2413">
        <v>2</v>
      </c>
      <c r="Q2413" t="s">
        <v>3522</v>
      </c>
      <c r="R2413">
        <f t="shared" si="75"/>
        <v>12</v>
      </c>
      <c r="S2413">
        <f t="shared" si="76"/>
        <v>1</v>
      </c>
    </row>
    <row r="2414" spans="1:19" x14ac:dyDescent="0.25">
      <c r="A2414" t="s">
        <v>3543</v>
      </c>
      <c r="B2414" t="s">
        <v>4028</v>
      </c>
      <c r="C2414">
        <v>9.9000000000000005E-2</v>
      </c>
      <c r="D2414">
        <v>22.4</v>
      </c>
      <c r="E2414">
        <v>0</v>
      </c>
      <c r="F2414">
        <v>15</v>
      </c>
      <c r="G2414">
        <v>15</v>
      </c>
      <c r="H2414" t="s">
        <v>3521</v>
      </c>
      <c r="I2414" s="1">
        <v>37304</v>
      </c>
      <c r="J2414" s="1">
        <v>37315</v>
      </c>
      <c r="K2414" s="1">
        <v>37366</v>
      </c>
      <c r="L2414" s="1">
        <v>37366</v>
      </c>
      <c r="M2414" s="1">
        <v>37351</v>
      </c>
      <c r="N2414" s="1">
        <v>37391</v>
      </c>
      <c r="O2414" t="s">
        <v>1117</v>
      </c>
      <c r="P2414">
        <v>1</v>
      </c>
      <c r="Q2414" t="s">
        <v>3522</v>
      </c>
      <c r="R2414">
        <f t="shared" si="75"/>
        <v>20</v>
      </c>
      <c r="S2414">
        <f t="shared" si="76"/>
        <v>1</v>
      </c>
    </row>
    <row r="2415" spans="1:19" x14ac:dyDescent="0.25">
      <c r="A2415" t="s">
        <v>3544</v>
      </c>
      <c r="B2415" t="s">
        <v>1199</v>
      </c>
      <c r="C2415">
        <v>0.09</v>
      </c>
      <c r="D2415">
        <v>22.2</v>
      </c>
      <c r="E2415">
        <v>0</v>
      </c>
      <c r="F2415">
        <v>1</v>
      </c>
      <c r="G2415">
        <v>0.83299999999999996</v>
      </c>
      <c r="H2415" t="s">
        <v>3521</v>
      </c>
      <c r="I2415" s="1">
        <v>37370</v>
      </c>
      <c r="J2415" s="1">
        <v>37376</v>
      </c>
      <c r="K2415" t="s">
        <v>1124</v>
      </c>
      <c r="L2415" t="s">
        <v>1124</v>
      </c>
      <c r="M2415" t="s">
        <v>1124</v>
      </c>
      <c r="N2415" s="1">
        <v>37351</v>
      </c>
      <c r="O2415" t="s">
        <v>1117</v>
      </c>
      <c r="P2415">
        <v>2</v>
      </c>
      <c r="Q2415" t="s">
        <v>3522</v>
      </c>
      <c r="R2415">
        <f t="shared" si="75"/>
        <v>14</v>
      </c>
      <c r="S2415">
        <f t="shared" si="76"/>
        <v>0</v>
      </c>
    </row>
    <row r="2416" spans="1:19" x14ac:dyDescent="0.25">
      <c r="A2416" t="s">
        <v>3545</v>
      </c>
      <c r="B2416" t="s">
        <v>4027</v>
      </c>
      <c r="C2416">
        <v>0.09</v>
      </c>
      <c r="D2416">
        <v>22.2</v>
      </c>
      <c r="E2416">
        <v>0</v>
      </c>
      <c r="F2416">
        <v>18</v>
      </c>
      <c r="G2416">
        <v>11.808</v>
      </c>
      <c r="H2416" t="s">
        <v>3521</v>
      </c>
      <c r="I2416" s="1">
        <v>37133</v>
      </c>
      <c r="J2416" s="1">
        <v>37315</v>
      </c>
      <c r="K2416" s="1">
        <v>37335</v>
      </c>
      <c r="L2416" s="1">
        <v>37335</v>
      </c>
      <c r="M2416" s="1">
        <v>37322</v>
      </c>
      <c r="N2416" s="1">
        <v>37351</v>
      </c>
      <c r="O2416" t="s">
        <v>1117</v>
      </c>
      <c r="P2416">
        <v>4</v>
      </c>
      <c r="Q2416" t="s">
        <v>3522</v>
      </c>
      <c r="R2416">
        <f t="shared" si="75"/>
        <v>14</v>
      </c>
      <c r="S2416">
        <f t="shared" si="76"/>
        <v>0</v>
      </c>
    </row>
    <row r="2417" spans="1:19" x14ac:dyDescent="0.25">
      <c r="A2417" t="s">
        <v>3546</v>
      </c>
      <c r="B2417" t="s">
        <v>4028</v>
      </c>
      <c r="C2417">
        <v>9.5000000000000001E-2</v>
      </c>
      <c r="D2417">
        <v>22.2</v>
      </c>
      <c r="E2417">
        <v>0</v>
      </c>
      <c r="F2417">
        <v>6.5</v>
      </c>
      <c r="G2417">
        <v>6.5</v>
      </c>
      <c r="H2417" t="s">
        <v>3521</v>
      </c>
      <c r="I2417" s="1">
        <v>37193</v>
      </c>
      <c r="J2417" s="1">
        <v>37315</v>
      </c>
      <c r="K2417" s="1">
        <v>37373</v>
      </c>
      <c r="L2417" s="1">
        <v>37373</v>
      </c>
      <c r="M2417" s="1">
        <v>37352</v>
      </c>
      <c r="N2417" s="1">
        <v>37386</v>
      </c>
      <c r="O2417" t="s">
        <v>1117</v>
      </c>
      <c r="P2417">
        <v>1</v>
      </c>
      <c r="Q2417" t="s">
        <v>3522</v>
      </c>
      <c r="R2417">
        <f t="shared" si="75"/>
        <v>19</v>
      </c>
      <c r="S2417">
        <f t="shared" si="76"/>
        <v>1</v>
      </c>
    </row>
    <row r="2418" spans="1:19" x14ac:dyDescent="0.25">
      <c r="A2418" t="s">
        <v>3547</v>
      </c>
      <c r="B2418" t="s">
        <v>4027</v>
      </c>
      <c r="C2418">
        <v>0.09</v>
      </c>
      <c r="D2418">
        <v>22.2</v>
      </c>
      <c r="E2418">
        <v>0</v>
      </c>
      <c r="F2418">
        <v>15</v>
      </c>
      <c r="G2418">
        <v>15</v>
      </c>
      <c r="H2418" t="s">
        <v>3521</v>
      </c>
      <c r="I2418" s="1">
        <v>37192</v>
      </c>
      <c r="J2418" s="1">
        <v>37315</v>
      </c>
      <c r="K2418" s="1">
        <v>37359</v>
      </c>
      <c r="L2418" s="1">
        <v>37359</v>
      </c>
      <c r="M2418" s="1">
        <v>37359</v>
      </c>
      <c r="N2418" s="1">
        <v>37365</v>
      </c>
      <c r="O2418" t="s">
        <v>1117</v>
      </c>
      <c r="P2418">
        <v>1</v>
      </c>
      <c r="Q2418" t="s">
        <v>3522</v>
      </c>
      <c r="R2418">
        <f t="shared" si="75"/>
        <v>16</v>
      </c>
      <c r="S2418">
        <f t="shared" si="76"/>
        <v>1</v>
      </c>
    </row>
    <row r="2419" spans="1:19" x14ac:dyDescent="0.25">
      <c r="A2419" t="s">
        <v>3548</v>
      </c>
      <c r="B2419" t="s">
        <v>4027</v>
      </c>
      <c r="C2419">
        <v>0.09</v>
      </c>
      <c r="D2419">
        <v>22.2</v>
      </c>
      <c r="E2419">
        <v>0</v>
      </c>
      <c r="F2419">
        <v>35</v>
      </c>
      <c r="G2419">
        <v>28.754999999999999</v>
      </c>
      <c r="H2419" t="s">
        <v>3521</v>
      </c>
      <c r="I2419" s="1">
        <v>37131</v>
      </c>
      <c r="J2419" s="1">
        <v>37315</v>
      </c>
      <c r="K2419" s="1">
        <v>37366</v>
      </c>
      <c r="L2419" s="1">
        <v>37366</v>
      </c>
      <c r="M2419" s="1">
        <v>37344</v>
      </c>
      <c r="N2419" s="1">
        <v>37365</v>
      </c>
      <c r="O2419" t="s">
        <v>1117</v>
      </c>
      <c r="P2419">
        <v>1</v>
      </c>
      <c r="Q2419" t="s">
        <v>3522</v>
      </c>
      <c r="R2419">
        <f t="shared" si="75"/>
        <v>16</v>
      </c>
      <c r="S2419">
        <f t="shared" si="76"/>
        <v>0</v>
      </c>
    </row>
    <row r="2420" spans="1:19" x14ac:dyDescent="0.25">
      <c r="A2420" t="s">
        <v>3549</v>
      </c>
      <c r="B2420" t="s">
        <v>1199</v>
      </c>
      <c r="C2420">
        <v>9.5000000000000001E-2</v>
      </c>
      <c r="D2420">
        <v>22.2</v>
      </c>
      <c r="E2420">
        <v>0</v>
      </c>
      <c r="F2420">
        <v>5</v>
      </c>
      <c r="G2420">
        <v>5</v>
      </c>
      <c r="H2420" t="s">
        <v>3521</v>
      </c>
      <c r="I2420" s="1">
        <v>37131</v>
      </c>
      <c r="J2420" s="1">
        <v>37315</v>
      </c>
      <c r="K2420" s="1">
        <v>37373</v>
      </c>
      <c r="L2420" s="1">
        <v>37373</v>
      </c>
      <c r="M2420" s="1">
        <v>37352</v>
      </c>
      <c r="N2420" s="1">
        <v>37386</v>
      </c>
      <c r="O2420" t="s">
        <v>1117</v>
      </c>
      <c r="P2420">
        <v>1</v>
      </c>
      <c r="Q2420" t="s">
        <v>3522</v>
      </c>
      <c r="R2420">
        <f t="shared" si="75"/>
        <v>19</v>
      </c>
      <c r="S2420">
        <f t="shared" si="76"/>
        <v>1</v>
      </c>
    </row>
    <row r="2421" spans="1:19" x14ac:dyDescent="0.25">
      <c r="A2421" t="s">
        <v>3550</v>
      </c>
      <c r="B2421" t="s">
        <v>4028</v>
      </c>
      <c r="C2421">
        <v>0.09</v>
      </c>
      <c r="D2421">
        <v>22.2</v>
      </c>
      <c r="E2421">
        <v>0</v>
      </c>
      <c r="F2421">
        <v>48</v>
      </c>
      <c r="G2421">
        <v>48</v>
      </c>
      <c r="H2421" t="s">
        <v>3521</v>
      </c>
      <c r="I2421" s="1">
        <v>37192</v>
      </c>
      <c r="J2421" s="1">
        <v>37315</v>
      </c>
      <c r="K2421" s="1">
        <v>37359</v>
      </c>
      <c r="L2421" s="1">
        <v>37359</v>
      </c>
      <c r="M2421" s="1">
        <v>37344</v>
      </c>
      <c r="N2421" s="1">
        <v>37365</v>
      </c>
      <c r="O2421" t="s">
        <v>1117</v>
      </c>
      <c r="P2421">
        <v>1</v>
      </c>
      <c r="Q2421" t="s">
        <v>3522</v>
      </c>
      <c r="R2421">
        <f t="shared" si="75"/>
        <v>16</v>
      </c>
      <c r="S2421">
        <f t="shared" si="76"/>
        <v>1</v>
      </c>
    </row>
    <row r="2422" spans="1:19" x14ac:dyDescent="0.25">
      <c r="A2422" t="s">
        <v>3551</v>
      </c>
      <c r="B2422" t="s">
        <v>4027</v>
      </c>
      <c r="C2422">
        <v>0.09</v>
      </c>
      <c r="D2422">
        <v>22.1</v>
      </c>
      <c r="E2422">
        <v>0</v>
      </c>
      <c r="F2422">
        <v>50</v>
      </c>
      <c r="G2422">
        <v>50</v>
      </c>
      <c r="H2422" t="s">
        <v>3521</v>
      </c>
      <c r="I2422" s="1">
        <v>37131</v>
      </c>
      <c r="J2422" s="1">
        <v>37315</v>
      </c>
      <c r="K2422" t="s">
        <v>1124</v>
      </c>
      <c r="L2422" t="s">
        <v>1124</v>
      </c>
      <c r="M2422" s="1">
        <v>37328</v>
      </c>
      <c r="N2422" s="1">
        <v>37365</v>
      </c>
      <c r="O2422" t="s">
        <v>1117</v>
      </c>
      <c r="P2422">
        <v>1</v>
      </c>
      <c r="Q2422" t="s">
        <v>3522</v>
      </c>
      <c r="R2422">
        <f t="shared" si="75"/>
        <v>16</v>
      </c>
      <c r="S2422">
        <f t="shared" si="76"/>
        <v>1</v>
      </c>
    </row>
    <row r="2423" spans="1:19" x14ac:dyDescent="0.25">
      <c r="A2423" t="s">
        <v>3552</v>
      </c>
      <c r="B2423" t="s">
        <v>1199</v>
      </c>
      <c r="C2423">
        <v>0.09</v>
      </c>
      <c r="D2423">
        <v>22.2</v>
      </c>
      <c r="E2423">
        <v>0</v>
      </c>
      <c r="F2423">
        <v>10</v>
      </c>
      <c r="G2423">
        <v>10</v>
      </c>
      <c r="H2423" t="s">
        <v>3521</v>
      </c>
      <c r="I2423" s="1">
        <v>37159</v>
      </c>
      <c r="J2423" s="1">
        <v>37314</v>
      </c>
      <c r="K2423" s="1">
        <v>37380</v>
      </c>
      <c r="L2423" s="1">
        <v>37380</v>
      </c>
      <c r="M2423" s="1">
        <v>37365</v>
      </c>
      <c r="N2423" s="1">
        <v>37365</v>
      </c>
      <c r="O2423" t="s">
        <v>1117</v>
      </c>
      <c r="P2423">
        <v>1</v>
      </c>
      <c r="Q2423" t="s">
        <v>3522</v>
      </c>
      <c r="R2423">
        <f t="shared" si="75"/>
        <v>16</v>
      </c>
      <c r="S2423">
        <f t="shared" si="76"/>
        <v>1</v>
      </c>
    </row>
    <row r="2424" spans="1:19" x14ac:dyDescent="0.25">
      <c r="A2424" t="s">
        <v>3553</v>
      </c>
      <c r="B2424" t="s">
        <v>4028</v>
      </c>
      <c r="C2424">
        <v>0.09</v>
      </c>
      <c r="D2424">
        <v>22.2</v>
      </c>
      <c r="E2424">
        <v>0</v>
      </c>
      <c r="F2424">
        <v>100</v>
      </c>
      <c r="G2424">
        <v>50.899000000000001</v>
      </c>
      <c r="H2424" t="s">
        <v>3521</v>
      </c>
      <c r="I2424" s="1">
        <v>37159</v>
      </c>
      <c r="J2424" s="1">
        <v>37315</v>
      </c>
      <c r="K2424" s="1">
        <v>37335</v>
      </c>
      <c r="L2424" s="1">
        <v>37335</v>
      </c>
      <c r="M2424" s="1">
        <v>37333</v>
      </c>
      <c r="N2424" s="1">
        <v>37365</v>
      </c>
      <c r="O2424" t="s">
        <v>1117</v>
      </c>
      <c r="P2424">
        <v>2</v>
      </c>
      <c r="Q2424" t="s">
        <v>3522</v>
      </c>
      <c r="R2424">
        <f t="shared" si="75"/>
        <v>16</v>
      </c>
      <c r="S2424">
        <f t="shared" si="76"/>
        <v>0</v>
      </c>
    </row>
    <row r="2425" spans="1:19" x14ac:dyDescent="0.25">
      <c r="A2425" t="s">
        <v>3554</v>
      </c>
      <c r="B2425" t="s">
        <v>4027</v>
      </c>
      <c r="C2425">
        <v>0.09</v>
      </c>
      <c r="D2425">
        <v>22.2</v>
      </c>
      <c r="E2425">
        <v>0</v>
      </c>
      <c r="F2425">
        <v>32</v>
      </c>
      <c r="G2425">
        <v>32</v>
      </c>
      <c r="H2425" t="s">
        <v>3521</v>
      </c>
      <c r="I2425" s="1">
        <v>37131</v>
      </c>
      <c r="J2425" s="1">
        <v>37315</v>
      </c>
      <c r="K2425" s="1">
        <v>37366</v>
      </c>
      <c r="L2425" s="1">
        <v>37366</v>
      </c>
      <c r="M2425" s="1">
        <v>37344</v>
      </c>
      <c r="N2425" s="1">
        <v>37365</v>
      </c>
      <c r="O2425" t="s">
        <v>1117</v>
      </c>
      <c r="P2425">
        <v>1</v>
      </c>
      <c r="Q2425" t="s">
        <v>3522</v>
      </c>
      <c r="R2425">
        <f t="shared" si="75"/>
        <v>16</v>
      </c>
      <c r="S2425">
        <f t="shared" si="76"/>
        <v>1</v>
      </c>
    </row>
    <row r="2426" spans="1:19" x14ac:dyDescent="0.25">
      <c r="A2426" t="s">
        <v>3555</v>
      </c>
      <c r="B2426" t="s">
        <v>4028</v>
      </c>
      <c r="C2426">
        <v>9.5000000000000001E-2</v>
      </c>
      <c r="D2426">
        <v>22.2</v>
      </c>
      <c r="E2426">
        <v>0</v>
      </c>
      <c r="F2426">
        <v>13</v>
      </c>
      <c r="G2426">
        <v>13</v>
      </c>
      <c r="H2426" t="s">
        <v>3521</v>
      </c>
      <c r="I2426" s="1">
        <v>37126</v>
      </c>
      <c r="J2426" s="1">
        <v>37315</v>
      </c>
      <c r="K2426" t="s">
        <v>1124</v>
      </c>
      <c r="L2426" t="s">
        <v>1124</v>
      </c>
      <c r="M2426" s="1">
        <v>37386</v>
      </c>
      <c r="N2426" s="1">
        <v>37386</v>
      </c>
      <c r="O2426" t="s">
        <v>1117</v>
      </c>
      <c r="P2426">
        <v>1</v>
      </c>
      <c r="Q2426" t="s">
        <v>3522</v>
      </c>
      <c r="R2426">
        <f t="shared" si="75"/>
        <v>19</v>
      </c>
      <c r="S2426">
        <f t="shared" si="76"/>
        <v>1</v>
      </c>
    </row>
    <row r="2427" spans="1:19" x14ac:dyDescent="0.25">
      <c r="A2427" t="s">
        <v>3556</v>
      </c>
      <c r="B2427" t="s">
        <v>1199</v>
      </c>
      <c r="C2427">
        <v>0.09</v>
      </c>
      <c r="D2427">
        <v>22.2</v>
      </c>
      <c r="E2427">
        <v>0</v>
      </c>
      <c r="F2427">
        <v>15</v>
      </c>
      <c r="G2427">
        <v>15</v>
      </c>
      <c r="H2427" t="s">
        <v>3521</v>
      </c>
      <c r="I2427" s="1">
        <v>37131</v>
      </c>
      <c r="J2427" s="1">
        <v>37315</v>
      </c>
      <c r="K2427" s="1">
        <v>37379</v>
      </c>
      <c r="L2427" s="1">
        <v>37379</v>
      </c>
      <c r="M2427" s="1">
        <v>37365</v>
      </c>
      <c r="N2427" s="1">
        <v>37365</v>
      </c>
      <c r="O2427" t="s">
        <v>1117</v>
      </c>
      <c r="P2427">
        <v>1</v>
      </c>
      <c r="Q2427" t="s">
        <v>3522</v>
      </c>
      <c r="R2427">
        <f t="shared" si="75"/>
        <v>16</v>
      </c>
      <c r="S2427">
        <f t="shared" si="76"/>
        <v>1</v>
      </c>
    </row>
    <row r="2428" spans="1:19" x14ac:dyDescent="0.25">
      <c r="A2428" t="s">
        <v>3557</v>
      </c>
      <c r="B2428" t="s">
        <v>4028</v>
      </c>
      <c r="C2428">
        <v>0.09</v>
      </c>
      <c r="D2428">
        <v>22.2</v>
      </c>
      <c r="E2428">
        <v>0</v>
      </c>
      <c r="F2428">
        <v>48</v>
      </c>
      <c r="G2428">
        <v>48</v>
      </c>
      <c r="H2428" t="s">
        <v>3521</v>
      </c>
      <c r="I2428" s="1">
        <v>37353</v>
      </c>
      <c r="J2428" s="1">
        <v>37392</v>
      </c>
      <c r="K2428" t="s">
        <v>1124</v>
      </c>
      <c r="L2428" t="s">
        <v>1124</v>
      </c>
      <c r="M2428" t="s">
        <v>1124</v>
      </c>
      <c r="N2428" s="1">
        <v>37365</v>
      </c>
      <c r="O2428" t="s">
        <v>1117</v>
      </c>
      <c r="P2428">
        <v>1</v>
      </c>
      <c r="Q2428" t="s">
        <v>3522</v>
      </c>
      <c r="R2428">
        <f t="shared" si="75"/>
        <v>16</v>
      </c>
      <c r="S2428">
        <f t="shared" si="76"/>
        <v>0</v>
      </c>
    </row>
    <row r="2429" spans="1:19" x14ac:dyDescent="0.25">
      <c r="A2429" t="s">
        <v>3558</v>
      </c>
      <c r="B2429" t="s">
        <v>4028</v>
      </c>
      <c r="C2429">
        <v>0.09</v>
      </c>
      <c r="D2429">
        <v>22.2</v>
      </c>
      <c r="E2429">
        <v>0</v>
      </c>
      <c r="F2429">
        <v>3</v>
      </c>
      <c r="G2429">
        <v>3</v>
      </c>
      <c r="H2429" t="s">
        <v>3521</v>
      </c>
      <c r="I2429" s="1">
        <v>37159</v>
      </c>
      <c r="J2429" s="1">
        <v>37314</v>
      </c>
      <c r="K2429" s="1">
        <v>37380</v>
      </c>
      <c r="L2429" s="1">
        <v>37380</v>
      </c>
      <c r="M2429" s="1">
        <v>37351</v>
      </c>
      <c r="N2429" s="1">
        <v>37365</v>
      </c>
      <c r="O2429" t="s">
        <v>1117</v>
      </c>
      <c r="P2429">
        <v>1</v>
      </c>
      <c r="Q2429" t="s">
        <v>3522</v>
      </c>
      <c r="R2429">
        <f t="shared" si="75"/>
        <v>16</v>
      </c>
      <c r="S2429">
        <f t="shared" si="76"/>
        <v>1</v>
      </c>
    </row>
    <row r="2430" spans="1:19" x14ac:dyDescent="0.25">
      <c r="A2430" t="s">
        <v>3559</v>
      </c>
      <c r="B2430" t="s">
        <v>4028</v>
      </c>
      <c r="C2430">
        <v>0.09</v>
      </c>
      <c r="D2430">
        <v>22.2</v>
      </c>
      <c r="E2430">
        <v>0</v>
      </c>
      <c r="F2430">
        <v>50</v>
      </c>
      <c r="G2430">
        <v>10.907</v>
      </c>
      <c r="H2430" t="s">
        <v>3521</v>
      </c>
      <c r="I2430" s="1">
        <v>37125</v>
      </c>
      <c r="J2430" s="1">
        <v>37315</v>
      </c>
      <c r="K2430" s="1">
        <v>37373</v>
      </c>
      <c r="L2430" s="1">
        <v>37373</v>
      </c>
      <c r="M2430" s="1">
        <v>37358</v>
      </c>
      <c r="N2430" s="1">
        <v>37365</v>
      </c>
      <c r="O2430" t="s">
        <v>1117</v>
      </c>
      <c r="P2430">
        <v>1</v>
      </c>
      <c r="Q2430" t="s">
        <v>3522</v>
      </c>
      <c r="R2430">
        <f t="shared" si="75"/>
        <v>16</v>
      </c>
      <c r="S2430">
        <f t="shared" si="76"/>
        <v>0</v>
      </c>
    </row>
    <row r="2431" spans="1:19" x14ac:dyDescent="0.25">
      <c r="A2431" t="s">
        <v>3560</v>
      </c>
      <c r="B2431" t="s">
        <v>1199</v>
      </c>
      <c r="C2431">
        <v>9.5000000000000001E-2</v>
      </c>
      <c r="D2431">
        <v>22.2</v>
      </c>
      <c r="E2431">
        <v>0</v>
      </c>
      <c r="F2431">
        <v>9</v>
      </c>
      <c r="G2431">
        <v>3.5379999999999998</v>
      </c>
      <c r="H2431" t="s">
        <v>3521</v>
      </c>
      <c r="I2431" s="1">
        <v>37159</v>
      </c>
      <c r="J2431" s="1">
        <v>37315</v>
      </c>
      <c r="K2431" s="1">
        <v>37366</v>
      </c>
      <c r="L2431" s="1">
        <v>37366</v>
      </c>
      <c r="M2431" s="1">
        <v>37344</v>
      </c>
      <c r="N2431" s="1">
        <v>37386</v>
      </c>
      <c r="O2431" t="s">
        <v>1117</v>
      </c>
      <c r="P2431">
        <v>3</v>
      </c>
      <c r="Q2431" t="s">
        <v>3522</v>
      </c>
      <c r="R2431">
        <f t="shared" si="75"/>
        <v>19</v>
      </c>
      <c r="S2431">
        <f t="shared" si="76"/>
        <v>0</v>
      </c>
    </row>
    <row r="2432" spans="1:19" x14ac:dyDescent="0.25">
      <c r="A2432" t="s">
        <v>3561</v>
      </c>
      <c r="B2432" t="s">
        <v>1199</v>
      </c>
      <c r="C2432">
        <v>0.09</v>
      </c>
      <c r="D2432">
        <v>22.2</v>
      </c>
      <c r="E2432">
        <v>0</v>
      </c>
      <c r="F2432">
        <v>55</v>
      </c>
      <c r="G2432">
        <v>10.831</v>
      </c>
      <c r="H2432" t="s">
        <v>3521</v>
      </c>
      <c r="I2432" s="1">
        <v>37104</v>
      </c>
      <c r="J2432" s="1">
        <v>37325</v>
      </c>
      <c r="K2432" s="1">
        <v>37373</v>
      </c>
      <c r="L2432" s="1">
        <v>37373</v>
      </c>
      <c r="M2432" s="1">
        <v>37359</v>
      </c>
      <c r="N2432" s="1">
        <v>37365</v>
      </c>
      <c r="O2432" t="s">
        <v>1117</v>
      </c>
      <c r="P2432">
        <v>4</v>
      </c>
      <c r="Q2432" t="s">
        <v>3522</v>
      </c>
      <c r="R2432">
        <f t="shared" si="75"/>
        <v>16</v>
      </c>
      <c r="S2432">
        <f t="shared" si="76"/>
        <v>0</v>
      </c>
    </row>
    <row r="2433" spans="1:19" x14ac:dyDescent="0.25">
      <c r="A2433" t="s">
        <v>3562</v>
      </c>
      <c r="B2433" t="s">
        <v>1199</v>
      </c>
      <c r="C2433">
        <v>0.09</v>
      </c>
      <c r="D2433">
        <v>22.2</v>
      </c>
      <c r="E2433">
        <v>0</v>
      </c>
      <c r="F2433">
        <v>35</v>
      </c>
      <c r="G2433">
        <v>35</v>
      </c>
      <c r="H2433" t="s">
        <v>3521</v>
      </c>
      <c r="I2433" s="1">
        <v>37192</v>
      </c>
      <c r="J2433" s="1">
        <v>37315</v>
      </c>
      <c r="K2433" s="1">
        <v>37369</v>
      </c>
      <c r="L2433" s="1">
        <v>37369</v>
      </c>
      <c r="M2433" s="1">
        <v>37323</v>
      </c>
      <c r="N2433" s="1">
        <v>37365</v>
      </c>
      <c r="O2433" t="s">
        <v>1117</v>
      </c>
      <c r="P2433">
        <v>1</v>
      </c>
      <c r="Q2433" t="s">
        <v>3522</v>
      </c>
      <c r="R2433">
        <f t="shared" si="75"/>
        <v>16</v>
      </c>
      <c r="S2433">
        <f t="shared" si="76"/>
        <v>1</v>
      </c>
    </row>
    <row r="2434" spans="1:19" x14ac:dyDescent="0.25">
      <c r="A2434" t="s">
        <v>3563</v>
      </c>
      <c r="B2434" t="s">
        <v>1199</v>
      </c>
      <c r="C2434">
        <v>0.09</v>
      </c>
      <c r="D2434">
        <v>22.2</v>
      </c>
      <c r="E2434">
        <v>0</v>
      </c>
      <c r="F2434">
        <v>15</v>
      </c>
      <c r="G2434">
        <v>15</v>
      </c>
      <c r="H2434" t="s">
        <v>3521</v>
      </c>
      <c r="I2434" s="1">
        <v>37130</v>
      </c>
      <c r="J2434" s="1">
        <v>37315</v>
      </c>
      <c r="K2434" s="1">
        <v>37373</v>
      </c>
      <c r="L2434" s="1">
        <v>37373</v>
      </c>
      <c r="M2434" s="1">
        <v>37352</v>
      </c>
      <c r="N2434" s="1">
        <v>37365</v>
      </c>
      <c r="O2434" t="s">
        <v>1117</v>
      </c>
      <c r="P2434">
        <v>1</v>
      </c>
      <c r="Q2434" t="s">
        <v>3522</v>
      </c>
      <c r="R2434">
        <f t="shared" si="75"/>
        <v>16</v>
      </c>
      <c r="S2434">
        <f t="shared" si="76"/>
        <v>1</v>
      </c>
    </row>
    <row r="2435" spans="1:19" x14ac:dyDescent="0.25">
      <c r="A2435" t="s">
        <v>3564</v>
      </c>
      <c r="B2435" t="s">
        <v>1199</v>
      </c>
      <c r="C2435">
        <v>9.5000000000000001E-2</v>
      </c>
      <c r="D2435">
        <v>22.2</v>
      </c>
      <c r="E2435">
        <v>0</v>
      </c>
      <c r="F2435">
        <v>17</v>
      </c>
      <c r="G2435">
        <v>3.7949999999999999</v>
      </c>
      <c r="H2435" t="s">
        <v>3521</v>
      </c>
      <c r="I2435" s="1">
        <v>37159</v>
      </c>
      <c r="J2435" s="1">
        <v>37315</v>
      </c>
      <c r="K2435" s="1">
        <v>37366</v>
      </c>
      <c r="L2435" s="1">
        <v>37366</v>
      </c>
      <c r="M2435" s="1">
        <v>37337</v>
      </c>
      <c r="N2435" s="1">
        <v>37386</v>
      </c>
      <c r="O2435" t="s">
        <v>1117</v>
      </c>
      <c r="P2435">
        <v>1</v>
      </c>
      <c r="Q2435" t="s">
        <v>3522</v>
      </c>
      <c r="R2435">
        <f t="shared" ref="R2435:R2498" si="77">WEEKNUM(N2435,1)</f>
        <v>19</v>
      </c>
      <c r="S2435">
        <f t="shared" ref="S2435:S2498" si="78">IF(AND(F2435=G2435, M2435&lt;=N2435), 1,0)</f>
        <v>0</v>
      </c>
    </row>
    <row r="2436" spans="1:19" x14ac:dyDescent="0.25">
      <c r="A2436" t="s">
        <v>3565</v>
      </c>
      <c r="B2436" t="s">
        <v>1199</v>
      </c>
      <c r="C2436">
        <v>0.09</v>
      </c>
      <c r="D2436">
        <v>22.2</v>
      </c>
      <c r="E2436">
        <v>0</v>
      </c>
      <c r="F2436">
        <v>16</v>
      </c>
      <c r="G2436">
        <v>16</v>
      </c>
      <c r="H2436" t="s">
        <v>3521</v>
      </c>
      <c r="I2436" s="1">
        <v>37192</v>
      </c>
      <c r="J2436" s="1">
        <v>37315</v>
      </c>
      <c r="K2436" s="1">
        <v>37344</v>
      </c>
      <c r="L2436" s="1">
        <v>37344</v>
      </c>
      <c r="M2436" s="1">
        <v>37344</v>
      </c>
      <c r="N2436" s="1">
        <v>37365</v>
      </c>
      <c r="O2436" t="s">
        <v>1117</v>
      </c>
      <c r="P2436">
        <v>1</v>
      </c>
      <c r="Q2436" t="s">
        <v>3522</v>
      </c>
      <c r="R2436">
        <f t="shared" si="77"/>
        <v>16</v>
      </c>
      <c r="S2436">
        <f t="shared" si="78"/>
        <v>1</v>
      </c>
    </row>
    <row r="2437" spans="1:19" x14ac:dyDescent="0.25">
      <c r="A2437" t="s">
        <v>3566</v>
      </c>
      <c r="B2437" t="s">
        <v>4028</v>
      </c>
      <c r="C2437">
        <v>0.09</v>
      </c>
      <c r="D2437">
        <v>22.2</v>
      </c>
      <c r="E2437">
        <v>0</v>
      </c>
      <c r="F2437">
        <v>20</v>
      </c>
      <c r="G2437">
        <v>10.135999999999999</v>
      </c>
      <c r="H2437" t="s">
        <v>3521</v>
      </c>
      <c r="I2437" s="1">
        <v>37131</v>
      </c>
      <c r="J2437" s="1">
        <v>37315</v>
      </c>
      <c r="K2437" s="1">
        <v>37373</v>
      </c>
      <c r="L2437" s="1">
        <v>37373</v>
      </c>
      <c r="M2437" s="1">
        <v>37359</v>
      </c>
      <c r="N2437" s="1">
        <v>37365</v>
      </c>
      <c r="O2437" t="s">
        <v>1117</v>
      </c>
      <c r="P2437">
        <v>1</v>
      </c>
      <c r="Q2437" t="s">
        <v>3522</v>
      </c>
      <c r="R2437">
        <f t="shared" si="77"/>
        <v>16</v>
      </c>
      <c r="S2437">
        <f t="shared" si="78"/>
        <v>0</v>
      </c>
    </row>
    <row r="2438" spans="1:19" x14ac:dyDescent="0.25">
      <c r="A2438" t="s">
        <v>3567</v>
      </c>
      <c r="B2438" t="s">
        <v>4026</v>
      </c>
      <c r="C2438">
        <v>0.09</v>
      </c>
      <c r="D2438">
        <v>22.2</v>
      </c>
      <c r="E2438">
        <v>0</v>
      </c>
      <c r="F2438">
        <v>8</v>
      </c>
      <c r="G2438">
        <v>8</v>
      </c>
      <c r="H2438" t="s">
        <v>3521</v>
      </c>
      <c r="I2438" s="1">
        <v>37131</v>
      </c>
      <c r="J2438" s="1">
        <v>37315</v>
      </c>
      <c r="K2438" s="1">
        <v>37380</v>
      </c>
      <c r="L2438" s="1">
        <v>37380</v>
      </c>
      <c r="M2438" s="1">
        <v>37360</v>
      </c>
      <c r="N2438" s="1">
        <v>37365</v>
      </c>
      <c r="O2438" t="s">
        <v>1117</v>
      </c>
      <c r="P2438">
        <v>1</v>
      </c>
      <c r="Q2438" t="s">
        <v>3522</v>
      </c>
      <c r="R2438">
        <f t="shared" si="77"/>
        <v>16</v>
      </c>
      <c r="S2438">
        <f t="shared" si="78"/>
        <v>1</v>
      </c>
    </row>
    <row r="2439" spans="1:19" x14ac:dyDescent="0.25">
      <c r="A2439" t="s">
        <v>3568</v>
      </c>
      <c r="B2439" t="s">
        <v>4026</v>
      </c>
      <c r="C2439">
        <v>9.5000000000000001E-2</v>
      </c>
      <c r="D2439">
        <v>22.2</v>
      </c>
      <c r="E2439">
        <v>0</v>
      </c>
      <c r="F2439">
        <v>13</v>
      </c>
      <c r="G2439">
        <v>3.1560000000000001</v>
      </c>
      <c r="H2439" t="s">
        <v>3521</v>
      </c>
      <c r="I2439" s="1">
        <v>37110</v>
      </c>
      <c r="J2439" s="1">
        <v>37315</v>
      </c>
      <c r="K2439" s="1">
        <v>37366</v>
      </c>
      <c r="L2439" s="1">
        <v>37366</v>
      </c>
      <c r="M2439" s="1">
        <v>37365</v>
      </c>
      <c r="N2439" s="1">
        <v>37386</v>
      </c>
      <c r="O2439" t="s">
        <v>1117</v>
      </c>
      <c r="P2439">
        <v>1</v>
      </c>
      <c r="Q2439" t="s">
        <v>3522</v>
      </c>
      <c r="R2439">
        <f t="shared" si="77"/>
        <v>19</v>
      </c>
      <c r="S2439">
        <f t="shared" si="78"/>
        <v>0</v>
      </c>
    </row>
    <row r="2440" spans="1:19" x14ac:dyDescent="0.25">
      <c r="A2440" t="s">
        <v>3569</v>
      </c>
      <c r="B2440" t="s">
        <v>4027</v>
      </c>
      <c r="C2440">
        <v>9.9000000000000005E-2</v>
      </c>
      <c r="D2440">
        <v>22.4</v>
      </c>
      <c r="E2440">
        <v>0</v>
      </c>
      <c r="F2440">
        <v>36</v>
      </c>
      <c r="G2440">
        <v>36</v>
      </c>
      <c r="H2440" t="s">
        <v>3521</v>
      </c>
      <c r="I2440" s="1">
        <v>37159</v>
      </c>
      <c r="J2440" s="1">
        <v>37315</v>
      </c>
      <c r="K2440" s="1">
        <v>37373</v>
      </c>
      <c r="L2440" s="1">
        <v>37373</v>
      </c>
      <c r="M2440" s="1">
        <v>37351</v>
      </c>
      <c r="N2440" s="1">
        <v>37391</v>
      </c>
      <c r="O2440" t="s">
        <v>1117</v>
      </c>
      <c r="P2440">
        <v>1</v>
      </c>
      <c r="Q2440" t="s">
        <v>3522</v>
      </c>
      <c r="R2440">
        <f t="shared" si="77"/>
        <v>20</v>
      </c>
      <c r="S2440">
        <f t="shared" si="78"/>
        <v>1</v>
      </c>
    </row>
    <row r="2441" spans="1:19" x14ac:dyDescent="0.25">
      <c r="A2441" t="s">
        <v>3570</v>
      </c>
      <c r="B2441" t="s">
        <v>4026</v>
      </c>
      <c r="C2441">
        <v>0.09</v>
      </c>
      <c r="D2441">
        <v>22.2</v>
      </c>
      <c r="E2441">
        <v>0</v>
      </c>
      <c r="F2441">
        <v>35</v>
      </c>
      <c r="G2441">
        <v>34.829000000000001</v>
      </c>
      <c r="H2441" t="s">
        <v>3521</v>
      </c>
      <c r="I2441" s="1">
        <v>37306</v>
      </c>
      <c r="J2441" s="1">
        <v>37306</v>
      </c>
      <c r="K2441" s="1">
        <v>37366</v>
      </c>
      <c r="L2441" s="1">
        <v>37366</v>
      </c>
      <c r="M2441" s="1">
        <v>37341</v>
      </c>
      <c r="N2441" s="1">
        <v>37365</v>
      </c>
      <c r="O2441" t="s">
        <v>1117</v>
      </c>
      <c r="P2441">
        <v>1</v>
      </c>
      <c r="Q2441" t="s">
        <v>3522</v>
      </c>
      <c r="R2441">
        <f t="shared" si="77"/>
        <v>16</v>
      </c>
      <c r="S2441">
        <f t="shared" si="78"/>
        <v>0</v>
      </c>
    </row>
    <row r="2442" spans="1:19" x14ac:dyDescent="0.25">
      <c r="A2442" t="s">
        <v>3571</v>
      </c>
      <c r="B2442" t="s">
        <v>4027</v>
      </c>
      <c r="C2442">
        <v>0.09</v>
      </c>
      <c r="D2442">
        <v>22.2</v>
      </c>
      <c r="E2442">
        <v>0</v>
      </c>
      <c r="F2442">
        <v>135</v>
      </c>
      <c r="G2442">
        <v>135</v>
      </c>
      <c r="H2442" t="s">
        <v>3521</v>
      </c>
      <c r="I2442" s="1">
        <v>37131</v>
      </c>
      <c r="J2442" s="1">
        <v>37315</v>
      </c>
      <c r="K2442" s="1">
        <v>37366</v>
      </c>
      <c r="L2442" s="1">
        <v>37366</v>
      </c>
      <c r="M2442" s="1">
        <v>37358</v>
      </c>
      <c r="N2442" s="1">
        <v>37365</v>
      </c>
      <c r="O2442" t="s">
        <v>1117</v>
      </c>
      <c r="P2442">
        <v>1</v>
      </c>
      <c r="Q2442" t="s">
        <v>3522</v>
      </c>
      <c r="R2442">
        <f t="shared" si="77"/>
        <v>16</v>
      </c>
      <c r="S2442">
        <f t="shared" si="78"/>
        <v>1</v>
      </c>
    </row>
    <row r="2443" spans="1:19" x14ac:dyDescent="0.25">
      <c r="A2443" t="s">
        <v>3572</v>
      </c>
      <c r="B2443" t="s">
        <v>4028</v>
      </c>
      <c r="C2443">
        <v>9.9000000000000005E-2</v>
      </c>
      <c r="D2443">
        <v>22.4</v>
      </c>
      <c r="E2443">
        <v>0</v>
      </c>
      <c r="F2443">
        <v>15</v>
      </c>
      <c r="G2443">
        <v>15</v>
      </c>
      <c r="H2443" t="s">
        <v>3521</v>
      </c>
      <c r="I2443" s="1">
        <v>37299</v>
      </c>
      <c r="J2443" s="1">
        <v>37308</v>
      </c>
      <c r="K2443" s="1">
        <v>37366</v>
      </c>
      <c r="L2443" s="1">
        <v>37366</v>
      </c>
      <c r="M2443" s="1">
        <v>37351</v>
      </c>
      <c r="N2443" s="1">
        <v>37391</v>
      </c>
      <c r="O2443" t="s">
        <v>1117</v>
      </c>
      <c r="P2443">
        <v>1</v>
      </c>
      <c r="Q2443" t="s">
        <v>3522</v>
      </c>
      <c r="R2443">
        <f t="shared" si="77"/>
        <v>20</v>
      </c>
      <c r="S2443">
        <f t="shared" si="78"/>
        <v>1</v>
      </c>
    </row>
    <row r="2444" spans="1:19" x14ac:dyDescent="0.25">
      <c r="A2444" t="s">
        <v>3573</v>
      </c>
      <c r="B2444" t="s">
        <v>4028</v>
      </c>
      <c r="C2444">
        <v>9.9000000000000005E-2</v>
      </c>
      <c r="D2444">
        <v>22.4</v>
      </c>
      <c r="E2444">
        <v>0</v>
      </c>
      <c r="F2444">
        <v>20</v>
      </c>
      <c r="G2444">
        <v>20</v>
      </c>
      <c r="H2444" t="s">
        <v>3521</v>
      </c>
      <c r="I2444" s="1">
        <v>37299</v>
      </c>
      <c r="J2444" s="1">
        <v>37308</v>
      </c>
      <c r="K2444" s="1">
        <v>37366</v>
      </c>
      <c r="L2444" s="1">
        <v>37366</v>
      </c>
      <c r="M2444" s="1">
        <v>37344</v>
      </c>
      <c r="N2444" s="1">
        <v>37391</v>
      </c>
      <c r="O2444" t="s">
        <v>1117</v>
      </c>
      <c r="P2444">
        <v>1</v>
      </c>
      <c r="Q2444" t="s">
        <v>3522</v>
      </c>
      <c r="R2444">
        <f t="shared" si="77"/>
        <v>20</v>
      </c>
      <c r="S2444">
        <f t="shared" si="78"/>
        <v>1</v>
      </c>
    </row>
    <row r="2445" spans="1:19" x14ac:dyDescent="0.25">
      <c r="A2445" t="s">
        <v>3574</v>
      </c>
      <c r="B2445" t="s">
        <v>1199</v>
      </c>
      <c r="C2445">
        <v>0.1</v>
      </c>
      <c r="D2445">
        <v>22.4</v>
      </c>
      <c r="E2445">
        <v>0</v>
      </c>
      <c r="F2445">
        <v>10</v>
      </c>
      <c r="G2445">
        <v>10</v>
      </c>
      <c r="H2445" t="s">
        <v>3521</v>
      </c>
      <c r="I2445" s="1">
        <v>37159</v>
      </c>
      <c r="J2445" s="1">
        <v>37315</v>
      </c>
      <c r="K2445" s="1">
        <v>37373</v>
      </c>
      <c r="L2445" s="1">
        <v>37373</v>
      </c>
      <c r="M2445" s="1">
        <v>37352</v>
      </c>
      <c r="N2445" s="1">
        <v>37352</v>
      </c>
      <c r="O2445" t="s">
        <v>1117</v>
      </c>
      <c r="P2445">
        <v>1</v>
      </c>
      <c r="Q2445" t="s">
        <v>3522</v>
      </c>
      <c r="R2445">
        <f t="shared" si="77"/>
        <v>14</v>
      </c>
      <c r="S2445">
        <f t="shared" si="78"/>
        <v>1</v>
      </c>
    </row>
    <row r="2446" spans="1:19" x14ac:dyDescent="0.25">
      <c r="A2446" t="s">
        <v>3575</v>
      </c>
      <c r="B2446" t="s">
        <v>1199</v>
      </c>
      <c r="C2446">
        <v>9.5000000000000001E-2</v>
      </c>
      <c r="D2446">
        <v>22.2</v>
      </c>
      <c r="E2446">
        <v>0</v>
      </c>
      <c r="F2446">
        <v>25</v>
      </c>
      <c r="G2446">
        <v>25</v>
      </c>
      <c r="H2446" t="s">
        <v>3521</v>
      </c>
      <c r="I2446" s="1">
        <v>37131</v>
      </c>
      <c r="J2446" s="1">
        <v>37315</v>
      </c>
      <c r="K2446" t="s">
        <v>1124</v>
      </c>
      <c r="L2446" t="s">
        <v>1124</v>
      </c>
      <c r="M2446" s="1">
        <v>37337</v>
      </c>
      <c r="N2446" s="1">
        <v>37386</v>
      </c>
      <c r="O2446" t="s">
        <v>1117</v>
      </c>
      <c r="P2446">
        <v>1</v>
      </c>
      <c r="Q2446" t="s">
        <v>3522</v>
      </c>
      <c r="R2446">
        <f t="shared" si="77"/>
        <v>19</v>
      </c>
      <c r="S2446">
        <f t="shared" si="78"/>
        <v>1</v>
      </c>
    </row>
    <row r="2447" spans="1:19" x14ac:dyDescent="0.25">
      <c r="A2447" t="s">
        <v>3576</v>
      </c>
      <c r="B2447" t="s">
        <v>1199</v>
      </c>
      <c r="C2447">
        <v>0.09</v>
      </c>
      <c r="D2447">
        <v>22.2</v>
      </c>
      <c r="E2447">
        <v>0</v>
      </c>
      <c r="F2447">
        <v>10</v>
      </c>
      <c r="G2447">
        <v>10</v>
      </c>
      <c r="H2447" t="s">
        <v>3521</v>
      </c>
      <c r="I2447" s="1">
        <v>37131</v>
      </c>
      <c r="J2447" s="1">
        <v>37315</v>
      </c>
      <c r="K2447" s="1">
        <v>37380</v>
      </c>
      <c r="L2447" s="1">
        <v>37380</v>
      </c>
      <c r="M2447" s="1">
        <v>37360</v>
      </c>
      <c r="N2447" s="1">
        <v>37365</v>
      </c>
      <c r="O2447" t="s">
        <v>1117</v>
      </c>
      <c r="P2447">
        <v>2</v>
      </c>
      <c r="Q2447" t="s">
        <v>3522</v>
      </c>
      <c r="R2447">
        <f t="shared" si="77"/>
        <v>16</v>
      </c>
      <c r="S2447">
        <f t="shared" si="78"/>
        <v>1</v>
      </c>
    </row>
    <row r="2448" spans="1:19" x14ac:dyDescent="0.25">
      <c r="A2448" t="s">
        <v>3577</v>
      </c>
      <c r="B2448" t="s">
        <v>1199</v>
      </c>
      <c r="C2448">
        <v>0.09</v>
      </c>
      <c r="D2448">
        <v>22.1</v>
      </c>
      <c r="E2448">
        <v>0</v>
      </c>
      <c r="F2448">
        <v>50</v>
      </c>
      <c r="G2448">
        <v>50</v>
      </c>
      <c r="H2448" t="s">
        <v>3521</v>
      </c>
      <c r="I2448" s="1">
        <v>37131</v>
      </c>
      <c r="J2448" s="1">
        <v>37315</v>
      </c>
      <c r="K2448" s="1">
        <v>37373</v>
      </c>
      <c r="L2448" s="1">
        <v>37373</v>
      </c>
      <c r="M2448" s="1">
        <v>37359</v>
      </c>
      <c r="N2448" s="1">
        <v>37365</v>
      </c>
      <c r="O2448" t="s">
        <v>1117</v>
      </c>
      <c r="P2448">
        <v>1</v>
      </c>
      <c r="Q2448" t="s">
        <v>3522</v>
      </c>
      <c r="R2448">
        <f t="shared" si="77"/>
        <v>16</v>
      </c>
      <c r="S2448">
        <f t="shared" si="78"/>
        <v>1</v>
      </c>
    </row>
    <row r="2449" spans="1:19" x14ac:dyDescent="0.25">
      <c r="A2449" t="s">
        <v>3578</v>
      </c>
      <c r="B2449" t="s">
        <v>4026</v>
      </c>
      <c r="C2449">
        <v>0.09</v>
      </c>
      <c r="D2449">
        <v>22.1</v>
      </c>
      <c r="E2449">
        <v>0</v>
      </c>
      <c r="F2449">
        <v>12</v>
      </c>
      <c r="G2449">
        <v>12</v>
      </c>
      <c r="H2449" t="s">
        <v>3521</v>
      </c>
      <c r="I2449" s="1">
        <v>37106</v>
      </c>
      <c r="J2449" s="1">
        <v>37315</v>
      </c>
      <c r="K2449" s="1">
        <v>37366</v>
      </c>
      <c r="L2449" s="1">
        <v>37366</v>
      </c>
      <c r="M2449" s="1">
        <v>37358</v>
      </c>
      <c r="N2449" s="1">
        <v>37365</v>
      </c>
      <c r="O2449" t="s">
        <v>1117</v>
      </c>
      <c r="P2449">
        <v>1</v>
      </c>
      <c r="Q2449" t="s">
        <v>3522</v>
      </c>
      <c r="R2449">
        <f t="shared" si="77"/>
        <v>16</v>
      </c>
      <c r="S2449">
        <f t="shared" si="78"/>
        <v>1</v>
      </c>
    </row>
    <row r="2450" spans="1:19" x14ac:dyDescent="0.25">
      <c r="A2450" t="s">
        <v>3579</v>
      </c>
      <c r="B2450" t="s">
        <v>4029</v>
      </c>
      <c r="C2450">
        <v>0.09</v>
      </c>
      <c r="D2450">
        <v>22.2</v>
      </c>
      <c r="E2450">
        <v>0</v>
      </c>
      <c r="F2450">
        <v>30</v>
      </c>
      <c r="G2450">
        <v>30</v>
      </c>
      <c r="H2450" t="s">
        <v>3521</v>
      </c>
      <c r="I2450" s="1">
        <v>37192</v>
      </c>
      <c r="J2450" s="1">
        <v>37315</v>
      </c>
      <c r="K2450" s="1">
        <v>37373</v>
      </c>
      <c r="L2450" s="1">
        <v>37373</v>
      </c>
      <c r="M2450" s="1">
        <v>37351</v>
      </c>
      <c r="N2450" s="1">
        <v>37365</v>
      </c>
      <c r="O2450" t="s">
        <v>1117</v>
      </c>
      <c r="P2450">
        <v>1</v>
      </c>
      <c r="Q2450" t="s">
        <v>3522</v>
      </c>
      <c r="R2450">
        <f t="shared" si="77"/>
        <v>16</v>
      </c>
      <c r="S2450">
        <f t="shared" si="78"/>
        <v>1</v>
      </c>
    </row>
    <row r="2451" spans="1:19" x14ac:dyDescent="0.25">
      <c r="A2451" t="s">
        <v>3580</v>
      </c>
      <c r="B2451" t="s">
        <v>1199</v>
      </c>
      <c r="C2451">
        <v>0.09</v>
      </c>
      <c r="D2451">
        <v>22.2</v>
      </c>
      <c r="E2451">
        <v>0</v>
      </c>
      <c r="F2451">
        <v>1</v>
      </c>
      <c r="G2451">
        <v>0.748</v>
      </c>
      <c r="H2451" t="s">
        <v>3521</v>
      </c>
      <c r="I2451" s="1">
        <v>37370</v>
      </c>
      <c r="J2451" s="1">
        <v>37376</v>
      </c>
      <c r="K2451" s="1">
        <v>37383</v>
      </c>
      <c r="L2451" s="1">
        <v>37383</v>
      </c>
      <c r="M2451" t="s">
        <v>1124</v>
      </c>
      <c r="N2451" s="1">
        <v>37351</v>
      </c>
      <c r="O2451" t="s">
        <v>1117</v>
      </c>
      <c r="P2451">
        <v>1</v>
      </c>
      <c r="Q2451" t="s">
        <v>3522</v>
      </c>
      <c r="R2451">
        <f t="shared" si="77"/>
        <v>14</v>
      </c>
      <c r="S2451">
        <f t="shared" si="78"/>
        <v>0</v>
      </c>
    </row>
    <row r="2452" spans="1:19" x14ac:dyDescent="0.25">
      <c r="A2452" t="s">
        <v>3581</v>
      </c>
      <c r="B2452" t="s">
        <v>1199</v>
      </c>
      <c r="C2452">
        <v>0.09</v>
      </c>
      <c r="D2452">
        <v>22.2</v>
      </c>
      <c r="E2452">
        <v>0</v>
      </c>
      <c r="F2452">
        <v>15</v>
      </c>
      <c r="G2452">
        <v>10.91</v>
      </c>
      <c r="H2452" t="s">
        <v>3521</v>
      </c>
      <c r="I2452" s="1">
        <v>37159</v>
      </c>
      <c r="J2452" s="1">
        <v>37314</v>
      </c>
      <c r="K2452" s="1">
        <v>37373</v>
      </c>
      <c r="L2452" s="1">
        <v>37373</v>
      </c>
      <c r="M2452" s="1">
        <v>37358</v>
      </c>
      <c r="N2452" s="1">
        <v>37365</v>
      </c>
      <c r="O2452" t="s">
        <v>1117</v>
      </c>
      <c r="P2452">
        <v>1</v>
      </c>
      <c r="Q2452" t="s">
        <v>3522</v>
      </c>
      <c r="R2452">
        <f t="shared" si="77"/>
        <v>16</v>
      </c>
      <c r="S2452">
        <f t="shared" si="78"/>
        <v>0</v>
      </c>
    </row>
    <row r="2453" spans="1:19" x14ac:dyDescent="0.25">
      <c r="A2453" t="s">
        <v>3582</v>
      </c>
      <c r="B2453" t="s">
        <v>1199</v>
      </c>
      <c r="C2453">
        <v>9.5000000000000001E-2</v>
      </c>
      <c r="D2453">
        <v>22.2</v>
      </c>
      <c r="E2453">
        <v>0</v>
      </c>
      <c r="F2453">
        <v>35</v>
      </c>
      <c r="G2453">
        <v>28.151</v>
      </c>
      <c r="H2453" t="s">
        <v>3521</v>
      </c>
      <c r="I2453" s="1">
        <v>37123</v>
      </c>
      <c r="J2453" s="1">
        <v>37315</v>
      </c>
      <c r="K2453" s="1">
        <v>37373</v>
      </c>
      <c r="L2453" s="1">
        <v>37373</v>
      </c>
      <c r="M2453" s="1">
        <v>37365</v>
      </c>
      <c r="N2453" s="1">
        <v>37386</v>
      </c>
      <c r="O2453" t="s">
        <v>1117</v>
      </c>
      <c r="P2453">
        <v>1</v>
      </c>
      <c r="Q2453" t="s">
        <v>3522</v>
      </c>
      <c r="R2453">
        <f t="shared" si="77"/>
        <v>19</v>
      </c>
      <c r="S2453">
        <f t="shared" si="78"/>
        <v>0</v>
      </c>
    </row>
    <row r="2454" spans="1:19" x14ac:dyDescent="0.25">
      <c r="A2454" t="s">
        <v>3583</v>
      </c>
      <c r="B2454" t="s">
        <v>1199</v>
      </c>
      <c r="C2454">
        <v>9.5000000000000001E-2</v>
      </c>
      <c r="D2454">
        <v>22.2</v>
      </c>
      <c r="E2454">
        <v>0</v>
      </c>
      <c r="F2454">
        <v>5</v>
      </c>
      <c r="G2454">
        <v>5</v>
      </c>
      <c r="H2454" t="s">
        <v>3521</v>
      </c>
      <c r="I2454" s="1">
        <v>37131</v>
      </c>
      <c r="J2454" s="1">
        <v>37315</v>
      </c>
      <c r="K2454" s="1">
        <v>37373</v>
      </c>
      <c r="L2454" s="1">
        <v>37373</v>
      </c>
      <c r="M2454" s="1">
        <v>37352</v>
      </c>
      <c r="N2454" s="1">
        <v>37386</v>
      </c>
      <c r="O2454" t="s">
        <v>1117</v>
      </c>
      <c r="P2454">
        <v>1</v>
      </c>
      <c r="Q2454" t="s">
        <v>3522</v>
      </c>
      <c r="R2454">
        <f t="shared" si="77"/>
        <v>19</v>
      </c>
      <c r="S2454">
        <f t="shared" si="78"/>
        <v>1</v>
      </c>
    </row>
    <row r="2455" spans="1:19" x14ac:dyDescent="0.25">
      <c r="A2455" t="s">
        <v>3584</v>
      </c>
      <c r="B2455" t="s">
        <v>1199</v>
      </c>
      <c r="C2455">
        <v>0.09</v>
      </c>
      <c r="D2455">
        <v>22.1</v>
      </c>
      <c r="E2455">
        <v>0</v>
      </c>
      <c r="F2455">
        <v>24</v>
      </c>
      <c r="G2455">
        <v>24</v>
      </c>
      <c r="H2455" t="s">
        <v>3521</v>
      </c>
      <c r="I2455" s="1">
        <v>37131</v>
      </c>
      <c r="J2455" s="1">
        <v>37315</v>
      </c>
      <c r="K2455" s="1">
        <v>37372</v>
      </c>
      <c r="L2455" s="1">
        <v>37372</v>
      </c>
      <c r="M2455" s="1">
        <v>37365</v>
      </c>
      <c r="N2455" s="1">
        <v>37365</v>
      </c>
      <c r="O2455" t="s">
        <v>1117</v>
      </c>
      <c r="P2455">
        <v>1</v>
      </c>
      <c r="Q2455" t="s">
        <v>3522</v>
      </c>
      <c r="R2455">
        <f t="shared" si="77"/>
        <v>16</v>
      </c>
      <c r="S2455">
        <f t="shared" si="78"/>
        <v>1</v>
      </c>
    </row>
    <row r="2456" spans="1:19" x14ac:dyDescent="0.25">
      <c r="A2456" t="s">
        <v>3585</v>
      </c>
      <c r="B2456" t="s">
        <v>1199</v>
      </c>
      <c r="C2456">
        <v>9.5000000000000001E-2</v>
      </c>
      <c r="D2456">
        <v>22.2</v>
      </c>
      <c r="E2456">
        <v>0</v>
      </c>
      <c r="F2456">
        <v>30</v>
      </c>
      <c r="G2456">
        <v>30</v>
      </c>
      <c r="H2456" t="s">
        <v>3521</v>
      </c>
      <c r="I2456" s="1">
        <v>37192</v>
      </c>
      <c r="J2456" s="1">
        <v>37315</v>
      </c>
      <c r="K2456" s="1">
        <v>37336</v>
      </c>
      <c r="L2456" s="1">
        <v>37336</v>
      </c>
      <c r="M2456" s="1">
        <v>37336</v>
      </c>
      <c r="N2456" s="1">
        <v>37386</v>
      </c>
      <c r="O2456" t="s">
        <v>1117</v>
      </c>
      <c r="P2456">
        <v>1</v>
      </c>
      <c r="Q2456" t="s">
        <v>3522</v>
      </c>
      <c r="R2456">
        <f t="shared" si="77"/>
        <v>19</v>
      </c>
      <c r="S2456">
        <f t="shared" si="78"/>
        <v>1</v>
      </c>
    </row>
    <row r="2457" spans="1:19" x14ac:dyDescent="0.25">
      <c r="A2457" t="s">
        <v>3586</v>
      </c>
      <c r="B2457" t="s">
        <v>1199</v>
      </c>
      <c r="C2457">
        <v>0.09</v>
      </c>
      <c r="D2457">
        <v>22.2</v>
      </c>
      <c r="E2457">
        <v>0</v>
      </c>
      <c r="F2457">
        <v>6</v>
      </c>
      <c r="G2457">
        <v>6</v>
      </c>
      <c r="H2457" t="s">
        <v>3521</v>
      </c>
      <c r="I2457" s="1">
        <v>37159</v>
      </c>
      <c r="J2457" s="1">
        <v>37314</v>
      </c>
      <c r="K2457" s="1">
        <v>37358</v>
      </c>
      <c r="L2457" s="1">
        <v>37358</v>
      </c>
      <c r="M2457" s="1">
        <v>37358</v>
      </c>
      <c r="N2457" s="1">
        <v>37365</v>
      </c>
      <c r="O2457" t="s">
        <v>1117</v>
      </c>
      <c r="P2457">
        <v>2</v>
      </c>
      <c r="Q2457" t="s">
        <v>3522</v>
      </c>
      <c r="R2457">
        <f t="shared" si="77"/>
        <v>16</v>
      </c>
      <c r="S2457">
        <f t="shared" si="78"/>
        <v>1</v>
      </c>
    </row>
    <row r="2458" spans="1:19" x14ac:dyDescent="0.25">
      <c r="A2458" t="s">
        <v>3587</v>
      </c>
      <c r="B2458" t="s">
        <v>4026</v>
      </c>
      <c r="C2458">
        <v>9.5000000000000001E-2</v>
      </c>
      <c r="D2458">
        <v>22.2</v>
      </c>
      <c r="E2458">
        <v>0</v>
      </c>
      <c r="F2458">
        <v>30</v>
      </c>
      <c r="G2458">
        <v>30</v>
      </c>
      <c r="H2458" t="s">
        <v>3521</v>
      </c>
      <c r="I2458" s="1">
        <v>37192</v>
      </c>
      <c r="J2458" s="1">
        <v>37315</v>
      </c>
      <c r="K2458" s="1">
        <v>37366</v>
      </c>
      <c r="L2458" s="1">
        <v>37366</v>
      </c>
      <c r="M2458" s="1">
        <v>37344</v>
      </c>
      <c r="N2458" s="1">
        <v>37386</v>
      </c>
      <c r="O2458" t="s">
        <v>1117</v>
      </c>
      <c r="P2458">
        <v>1</v>
      </c>
      <c r="Q2458" t="s">
        <v>3522</v>
      </c>
      <c r="R2458">
        <f t="shared" si="77"/>
        <v>19</v>
      </c>
      <c r="S2458">
        <f t="shared" si="78"/>
        <v>1</v>
      </c>
    </row>
    <row r="2459" spans="1:19" x14ac:dyDescent="0.25">
      <c r="A2459" t="s">
        <v>3588</v>
      </c>
      <c r="B2459" t="s">
        <v>1199</v>
      </c>
      <c r="C2459">
        <v>7.3999999999999996E-2</v>
      </c>
      <c r="D2459">
        <v>7.2140000000000004</v>
      </c>
      <c r="E2459">
        <v>0</v>
      </c>
      <c r="F2459">
        <v>16</v>
      </c>
      <c r="G2459">
        <v>16</v>
      </c>
      <c r="H2459" t="s">
        <v>3521</v>
      </c>
      <c r="I2459" s="1">
        <v>37131</v>
      </c>
      <c r="J2459" s="1">
        <v>37313</v>
      </c>
      <c r="K2459" s="1">
        <v>37354</v>
      </c>
      <c r="L2459" s="1">
        <v>37354</v>
      </c>
      <c r="M2459" s="1">
        <v>37347</v>
      </c>
      <c r="N2459" s="1">
        <v>37347</v>
      </c>
      <c r="O2459" t="s">
        <v>1117</v>
      </c>
      <c r="P2459">
        <v>2</v>
      </c>
      <c r="Q2459" t="s">
        <v>3522</v>
      </c>
      <c r="R2459">
        <f t="shared" si="77"/>
        <v>14</v>
      </c>
      <c r="S2459">
        <f t="shared" si="78"/>
        <v>1</v>
      </c>
    </row>
    <row r="2460" spans="1:19" x14ac:dyDescent="0.25">
      <c r="A2460" t="s">
        <v>3589</v>
      </c>
      <c r="B2460" t="s">
        <v>4028</v>
      </c>
      <c r="C2460">
        <v>7.4999999999999997E-2</v>
      </c>
      <c r="D2460">
        <v>4.53</v>
      </c>
      <c r="E2460">
        <v>0</v>
      </c>
      <c r="F2460">
        <v>3</v>
      </c>
      <c r="G2460">
        <v>3</v>
      </c>
      <c r="H2460" t="s">
        <v>3521</v>
      </c>
      <c r="I2460" s="1">
        <v>37131</v>
      </c>
      <c r="J2460" s="1">
        <v>37311</v>
      </c>
      <c r="K2460" s="1">
        <v>37372</v>
      </c>
      <c r="L2460" s="1">
        <v>37372</v>
      </c>
      <c r="M2460" s="1">
        <v>37365</v>
      </c>
      <c r="N2460" s="1">
        <v>37379</v>
      </c>
      <c r="O2460" t="s">
        <v>1117</v>
      </c>
      <c r="P2460">
        <v>1</v>
      </c>
      <c r="Q2460" t="s">
        <v>3522</v>
      </c>
      <c r="R2460">
        <f t="shared" si="77"/>
        <v>18</v>
      </c>
      <c r="S2460">
        <f t="shared" si="78"/>
        <v>1</v>
      </c>
    </row>
    <row r="2461" spans="1:19" x14ac:dyDescent="0.25">
      <c r="A2461" t="s">
        <v>3590</v>
      </c>
      <c r="B2461" t="s">
        <v>1199</v>
      </c>
      <c r="C2461">
        <v>7.4999999999999997E-2</v>
      </c>
      <c r="D2461">
        <v>4.53</v>
      </c>
      <c r="E2461">
        <v>0</v>
      </c>
      <c r="F2461">
        <v>2</v>
      </c>
      <c r="G2461">
        <v>2</v>
      </c>
      <c r="H2461" t="s">
        <v>3521</v>
      </c>
      <c r="I2461" s="1">
        <v>37131</v>
      </c>
      <c r="J2461" s="1">
        <v>37315</v>
      </c>
      <c r="K2461" t="s">
        <v>1124</v>
      </c>
      <c r="L2461" t="s">
        <v>1124</v>
      </c>
      <c r="M2461" s="1">
        <v>37379</v>
      </c>
      <c r="N2461" s="1">
        <v>37379</v>
      </c>
      <c r="O2461" t="s">
        <v>1117</v>
      </c>
      <c r="P2461">
        <v>1</v>
      </c>
      <c r="Q2461" t="s">
        <v>3522</v>
      </c>
      <c r="R2461">
        <f t="shared" si="77"/>
        <v>18</v>
      </c>
      <c r="S2461">
        <f t="shared" si="78"/>
        <v>1</v>
      </c>
    </row>
    <row r="2462" spans="1:19" x14ac:dyDescent="0.25">
      <c r="A2462" t="s">
        <v>3591</v>
      </c>
      <c r="B2462" t="s">
        <v>4026</v>
      </c>
      <c r="C2462">
        <v>7.3999999999999996E-2</v>
      </c>
      <c r="D2462">
        <v>5.74</v>
      </c>
      <c r="E2462">
        <v>0</v>
      </c>
      <c r="F2462">
        <v>20</v>
      </c>
      <c r="G2462">
        <v>20</v>
      </c>
      <c r="H2462" t="s">
        <v>3521</v>
      </c>
      <c r="I2462" s="1">
        <v>37304</v>
      </c>
      <c r="J2462" s="1">
        <v>37309</v>
      </c>
      <c r="K2462" s="1">
        <v>37388</v>
      </c>
      <c r="L2462" s="1">
        <v>37388</v>
      </c>
      <c r="M2462" s="1">
        <v>37344</v>
      </c>
      <c r="N2462" s="1">
        <v>37389</v>
      </c>
      <c r="O2462" t="s">
        <v>1117</v>
      </c>
      <c r="P2462">
        <v>1</v>
      </c>
      <c r="Q2462" t="s">
        <v>3522</v>
      </c>
      <c r="R2462">
        <f t="shared" si="77"/>
        <v>20</v>
      </c>
      <c r="S2462">
        <f t="shared" si="78"/>
        <v>1</v>
      </c>
    </row>
    <row r="2463" spans="1:19" x14ac:dyDescent="0.25">
      <c r="A2463" t="s">
        <v>3592</v>
      </c>
      <c r="B2463" t="s">
        <v>1199</v>
      </c>
      <c r="C2463">
        <v>7.5999999999999998E-2</v>
      </c>
      <c r="D2463">
        <v>22.1</v>
      </c>
      <c r="E2463">
        <v>0</v>
      </c>
      <c r="F2463">
        <v>12</v>
      </c>
      <c r="G2463">
        <v>12</v>
      </c>
      <c r="H2463" t="s">
        <v>3521</v>
      </c>
      <c r="I2463" s="1">
        <v>37106</v>
      </c>
      <c r="J2463" s="1">
        <v>37315</v>
      </c>
      <c r="K2463" s="1">
        <v>37387</v>
      </c>
      <c r="L2463" s="1">
        <v>37387</v>
      </c>
      <c r="M2463" s="1">
        <v>37380</v>
      </c>
      <c r="N2463" s="1">
        <v>37380</v>
      </c>
      <c r="O2463" t="s">
        <v>1117</v>
      </c>
      <c r="P2463">
        <v>1</v>
      </c>
      <c r="Q2463" t="s">
        <v>3522</v>
      </c>
      <c r="R2463">
        <f t="shared" si="77"/>
        <v>18</v>
      </c>
      <c r="S2463">
        <f t="shared" si="78"/>
        <v>1</v>
      </c>
    </row>
    <row r="2464" spans="1:19" x14ac:dyDescent="0.25">
      <c r="A2464" t="s">
        <v>3593</v>
      </c>
      <c r="B2464" t="s">
        <v>4028</v>
      </c>
      <c r="C2464">
        <v>7.3999999999999996E-2</v>
      </c>
      <c r="D2464">
        <v>5.74</v>
      </c>
      <c r="E2464">
        <v>0</v>
      </c>
      <c r="F2464">
        <v>10</v>
      </c>
      <c r="G2464">
        <v>10</v>
      </c>
      <c r="H2464" t="s">
        <v>3521</v>
      </c>
      <c r="I2464" s="1">
        <v>37299</v>
      </c>
      <c r="J2464" s="1">
        <v>37308</v>
      </c>
      <c r="K2464" s="1">
        <v>37388</v>
      </c>
      <c r="L2464" s="1">
        <v>37388</v>
      </c>
      <c r="M2464" s="1">
        <v>37365</v>
      </c>
      <c r="N2464" s="1">
        <v>37389</v>
      </c>
      <c r="O2464" t="s">
        <v>1117</v>
      </c>
      <c r="P2464">
        <v>1</v>
      </c>
      <c r="Q2464" t="s">
        <v>3522</v>
      </c>
      <c r="R2464">
        <f t="shared" si="77"/>
        <v>20</v>
      </c>
      <c r="S2464">
        <f t="shared" si="78"/>
        <v>1</v>
      </c>
    </row>
    <row r="2465" spans="1:19" x14ac:dyDescent="0.25">
      <c r="A2465" t="s">
        <v>3594</v>
      </c>
      <c r="B2465" t="s">
        <v>1199</v>
      </c>
      <c r="C2465">
        <v>7.3999999999999996E-2</v>
      </c>
      <c r="D2465">
        <v>16.77</v>
      </c>
      <c r="E2465">
        <v>0</v>
      </c>
      <c r="F2465">
        <v>12</v>
      </c>
      <c r="G2465">
        <v>12</v>
      </c>
      <c r="H2465" t="s">
        <v>3521</v>
      </c>
      <c r="I2465" s="1">
        <v>37106</v>
      </c>
      <c r="J2465" s="1">
        <v>37315</v>
      </c>
      <c r="K2465" s="1">
        <v>37388</v>
      </c>
      <c r="L2465" s="1">
        <v>37388</v>
      </c>
      <c r="M2465" s="1">
        <v>37381</v>
      </c>
      <c r="N2465" s="1">
        <v>37381</v>
      </c>
      <c r="O2465" t="s">
        <v>1117</v>
      </c>
      <c r="P2465">
        <v>2</v>
      </c>
      <c r="Q2465" t="s">
        <v>3522</v>
      </c>
      <c r="R2465">
        <f t="shared" si="77"/>
        <v>19</v>
      </c>
      <c r="S2465">
        <f t="shared" si="78"/>
        <v>1</v>
      </c>
    </row>
    <row r="2466" spans="1:19" x14ac:dyDescent="0.25">
      <c r="A2466" t="s">
        <v>3595</v>
      </c>
      <c r="B2466" t="s">
        <v>1199</v>
      </c>
      <c r="C2466">
        <v>7.3999999999999996E-2</v>
      </c>
      <c r="D2466">
        <v>5.74</v>
      </c>
      <c r="E2466">
        <v>0</v>
      </c>
      <c r="F2466">
        <v>10</v>
      </c>
      <c r="G2466">
        <v>9.9960000000000004</v>
      </c>
      <c r="H2466" t="s">
        <v>3521</v>
      </c>
      <c r="I2466" s="1">
        <v>37352</v>
      </c>
      <c r="J2466" s="1">
        <v>37389</v>
      </c>
      <c r="K2466" t="s">
        <v>1124</v>
      </c>
      <c r="L2466" t="s">
        <v>1124</v>
      </c>
      <c r="M2466" s="1">
        <v>37389</v>
      </c>
      <c r="N2466" s="1">
        <v>37389</v>
      </c>
      <c r="O2466" t="s">
        <v>1117</v>
      </c>
      <c r="P2466">
        <v>1</v>
      </c>
      <c r="Q2466" t="s">
        <v>3522</v>
      </c>
      <c r="R2466">
        <f t="shared" si="77"/>
        <v>20</v>
      </c>
      <c r="S2466">
        <f t="shared" si="78"/>
        <v>0</v>
      </c>
    </row>
    <row r="2467" spans="1:19" x14ac:dyDescent="0.25">
      <c r="A2467" t="s">
        <v>3596</v>
      </c>
      <c r="B2467" t="s">
        <v>1199</v>
      </c>
      <c r="C2467">
        <v>7.4999999999999997E-2</v>
      </c>
      <c r="D2467">
        <v>5.74</v>
      </c>
      <c r="E2467">
        <v>0</v>
      </c>
      <c r="F2467">
        <v>7</v>
      </c>
      <c r="G2467">
        <v>7</v>
      </c>
      <c r="H2467" t="s">
        <v>3521</v>
      </c>
      <c r="I2467" s="1">
        <v>37159</v>
      </c>
      <c r="J2467" s="1">
        <v>37315</v>
      </c>
      <c r="K2467" t="s">
        <v>1124</v>
      </c>
      <c r="L2467" t="s">
        <v>1124</v>
      </c>
      <c r="M2467" s="1">
        <v>37372</v>
      </c>
      <c r="N2467" s="1">
        <v>37372</v>
      </c>
      <c r="O2467" t="s">
        <v>1117</v>
      </c>
      <c r="P2467">
        <v>1</v>
      </c>
      <c r="Q2467" t="s">
        <v>3522</v>
      </c>
      <c r="R2467">
        <f t="shared" si="77"/>
        <v>17</v>
      </c>
      <c r="S2467">
        <f t="shared" si="78"/>
        <v>1</v>
      </c>
    </row>
    <row r="2468" spans="1:19" x14ac:dyDescent="0.25">
      <c r="A2468" t="s">
        <v>3597</v>
      </c>
      <c r="B2468" t="s">
        <v>1199</v>
      </c>
      <c r="C2468">
        <v>7.3999999999999996E-2</v>
      </c>
      <c r="D2468">
        <v>5.74</v>
      </c>
      <c r="E2468">
        <v>0</v>
      </c>
      <c r="F2468">
        <v>20</v>
      </c>
      <c r="G2468">
        <v>20</v>
      </c>
      <c r="H2468" t="s">
        <v>3521</v>
      </c>
      <c r="I2468" s="1">
        <v>37299</v>
      </c>
      <c r="J2468" s="1">
        <v>37308</v>
      </c>
      <c r="K2468" s="1">
        <v>37388</v>
      </c>
      <c r="L2468" s="1">
        <v>37388</v>
      </c>
      <c r="M2468" s="1">
        <v>37358</v>
      </c>
      <c r="N2468" s="1">
        <v>37389</v>
      </c>
      <c r="O2468" t="s">
        <v>1117</v>
      </c>
      <c r="P2468">
        <v>1</v>
      </c>
      <c r="Q2468" t="s">
        <v>3522</v>
      </c>
      <c r="R2468">
        <f t="shared" si="77"/>
        <v>20</v>
      </c>
      <c r="S2468">
        <f t="shared" si="78"/>
        <v>1</v>
      </c>
    </row>
    <row r="2469" spans="1:19" x14ac:dyDescent="0.25">
      <c r="A2469" t="s">
        <v>3598</v>
      </c>
      <c r="B2469" t="s">
        <v>4028</v>
      </c>
      <c r="C2469">
        <v>7.3999999999999996E-2</v>
      </c>
      <c r="D2469">
        <v>5.74</v>
      </c>
      <c r="E2469">
        <v>0</v>
      </c>
      <c r="F2469">
        <v>10</v>
      </c>
      <c r="G2469">
        <v>10</v>
      </c>
      <c r="H2469" t="s">
        <v>3521</v>
      </c>
      <c r="I2469" s="1">
        <v>37304</v>
      </c>
      <c r="J2469" s="1">
        <v>37315</v>
      </c>
      <c r="K2469" s="1">
        <v>37388</v>
      </c>
      <c r="L2469" s="1">
        <v>37388</v>
      </c>
      <c r="M2469" s="1">
        <v>37372</v>
      </c>
      <c r="N2469" s="1">
        <v>37389</v>
      </c>
      <c r="O2469" t="s">
        <v>1117</v>
      </c>
      <c r="P2469">
        <v>1</v>
      </c>
      <c r="Q2469" t="s">
        <v>3522</v>
      </c>
      <c r="R2469">
        <f t="shared" si="77"/>
        <v>20</v>
      </c>
      <c r="S2469">
        <f t="shared" si="78"/>
        <v>1</v>
      </c>
    </row>
    <row r="2470" spans="1:19" x14ac:dyDescent="0.25">
      <c r="A2470" t="s">
        <v>3599</v>
      </c>
      <c r="B2470" t="s">
        <v>1199</v>
      </c>
      <c r="C2470">
        <v>7.3999999999999996E-2</v>
      </c>
      <c r="D2470">
        <v>5.74</v>
      </c>
      <c r="E2470">
        <v>0</v>
      </c>
      <c r="F2470">
        <v>20</v>
      </c>
      <c r="G2470">
        <v>20</v>
      </c>
      <c r="H2470" t="s">
        <v>3521</v>
      </c>
      <c r="I2470" s="1">
        <v>37352</v>
      </c>
      <c r="J2470" s="1">
        <v>37374</v>
      </c>
      <c r="K2470" s="1">
        <v>37388</v>
      </c>
      <c r="L2470" s="1">
        <v>37388</v>
      </c>
      <c r="M2470" s="1">
        <v>37381</v>
      </c>
      <c r="N2470" s="1">
        <v>37389</v>
      </c>
      <c r="O2470" t="s">
        <v>1117</v>
      </c>
      <c r="P2470">
        <v>1</v>
      </c>
      <c r="Q2470" t="s">
        <v>3522</v>
      </c>
      <c r="R2470">
        <f t="shared" si="77"/>
        <v>20</v>
      </c>
      <c r="S2470">
        <f t="shared" si="78"/>
        <v>1</v>
      </c>
    </row>
    <row r="2471" spans="1:19" x14ac:dyDescent="0.25">
      <c r="A2471" t="s">
        <v>3600</v>
      </c>
      <c r="B2471" t="s">
        <v>1199</v>
      </c>
      <c r="C2471">
        <v>1</v>
      </c>
      <c r="D2471">
        <v>48</v>
      </c>
      <c r="E2471">
        <v>0</v>
      </c>
      <c r="F2471">
        <v>3</v>
      </c>
      <c r="G2471">
        <v>3</v>
      </c>
      <c r="H2471" t="s">
        <v>3601</v>
      </c>
      <c r="I2471" s="1">
        <v>37299</v>
      </c>
      <c r="J2471" s="1">
        <v>37314</v>
      </c>
      <c r="K2471" s="1">
        <v>37314</v>
      </c>
      <c r="L2471" s="1">
        <v>37314</v>
      </c>
      <c r="M2471" t="s">
        <v>1124</v>
      </c>
      <c r="N2471" s="1">
        <v>37336</v>
      </c>
      <c r="O2471" t="s">
        <v>1114</v>
      </c>
      <c r="P2471">
        <v>3</v>
      </c>
      <c r="Q2471" t="s">
        <v>3602</v>
      </c>
      <c r="R2471">
        <f t="shared" si="77"/>
        <v>12</v>
      </c>
      <c r="S2471">
        <f t="shared" si="78"/>
        <v>0</v>
      </c>
    </row>
    <row r="2472" spans="1:19" x14ac:dyDescent="0.25">
      <c r="A2472" t="s">
        <v>3603</v>
      </c>
      <c r="B2472" t="s">
        <v>1199</v>
      </c>
      <c r="C2472">
        <v>1</v>
      </c>
      <c r="D2472">
        <v>41</v>
      </c>
      <c r="E2472">
        <v>0</v>
      </c>
      <c r="F2472">
        <v>1</v>
      </c>
      <c r="G2472">
        <v>0.73</v>
      </c>
      <c r="H2472" t="s">
        <v>3601</v>
      </c>
      <c r="I2472" s="1">
        <v>37299</v>
      </c>
      <c r="J2472" s="1">
        <v>37314</v>
      </c>
      <c r="K2472" s="1">
        <v>37314</v>
      </c>
      <c r="L2472" s="1">
        <v>37314</v>
      </c>
      <c r="M2472" t="s">
        <v>1124</v>
      </c>
      <c r="N2472" s="1">
        <v>37336</v>
      </c>
      <c r="O2472" t="s">
        <v>1114</v>
      </c>
      <c r="P2472">
        <v>1</v>
      </c>
      <c r="Q2472" t="s">
        <v>3602</v>
      </c>
      <c r="R2472">
        <f t="shared" si="77"/>
        <v>12</v>
      </c>
      <c r="S2472">
        <f t="shared" si="78"/>
        <v>0</v>
      </c>
    </row>
    <row r="2473" spans="1:19" x14ac:dyDescent="0.25">
      <c r="A2473" t="s">
        <v>3604</v>
      </c>
      <c r="B2473" t="s">
        <v>1199</v>
      </c>
      <c r="C2473">
        <v>1</v>
      </c>
      <c r="D2473">
        <v>47</v>
      </c>
      <c r="E2473">
        <v>0</v>
      </c>
      <c r="F2473">
        <v>2</v>
      </c>
      <c r="G2473">
        <v>2</v>
      </c>
      <c r="H2473" t="s">
        <v>3601</v>
      </c>
      <c r="I2473" s="1">
        <v>37299</v>
      </c>
      <c r="J2473" s="1">
        <v>37314</v>
      </c>
      <c r="K2473" s="1">
        <v>37314</v>
      </c>
      <c r="L2473" s="1">
        <v>37314</v>
      </c>
      <c r="M2473" t="s">
        <v>1124</v>
      </c>
      <c r="N2473" s="1">
        <v>37336</v>
      </c>
      <c r="O2473" t="s">
        <v>1114</v>
      </c>
      <c r="P2473">
        <v>2</v>
      </c>
      <c r="Q2473" t="s">
        <v>3602</v>
      </c>
      <c r="R2473">
        <f t="shared" si="77"/>
        <v>12</v>
      </c>
      <c r="S2473">
        <f t="shared" si="78"/>
        <v>0</v>
      </c>
    </row>
    <row r="2474" spans="1:19" x14ac:dyDescent="0.25">
      <c r="A2474" t="s">
        <v>3605</v>
      </c>
      <c r="B2474" t="s">
        <v>4026</v>
      </c>
      <c r="C2474">
        <v>1</v>
      </c>
      <c r="D2474">
        <v>48</v>
      </c>
      <c r="E2474">
        <v>0</v>
      </c>
      <c r="F2474">
        <v>3</v>
      </c>
      <c r="G2474">
        <v>3</v>
      </c>
      <c r="H2474" t="s">
        <v>3601</v>
      </c>
      <c r="I2474" s="1">
        <v>37304</v>
      </c>
      <c r="J2474" s="1">
        <v>37314</v>
      </c>
      <c r="K2474" s="1">
        <v>37327</v>
      </c>
      <c r="L2474" s="1">
        <v>37327</v>
      </c>
      <c r="M2474" s="1">
        <v>37336</v>
      </c>
      <c r="N2474" s="1">
        <v>37336</v>
      </c>
      <c r="O2474" t="s">
        <v>1117</v>
      </c>
      <c r="P2474">
        <v>3</v>
      </c>
      <c r="Q2474" t="s">
        <v>3602</v>
      </c>
      <c r="R2474">
        <f t="shared" si="77"/>
        <v>12</v>
      </c>
      <c r="S2474">
        <f t="shared" si="78"/>
        <v>1</v>
      </c>
    </row>
    <row r="2475" spans="1:19" x14ac:dyDescent="0.25">
      <c r="A2475" t="s">
        <v>3606</v>
      </c>
      <c r="B2475" t="s">
        <v>4028</v>
      </c>
      <c r="C2475">
        <v>1</v>
      </c>
      <c r="D2475">
        <v>41</v>
      </c>
      <c r="E2475">
        <v>0</v>
      </c>
      <c r="F2475">
        <v>1</v>
      </c>
      <c r="G2475">
        <v>1</v>
      </c>
      <c r="H2475" t="s">
        <v>3601</v>
      </c>
      <c r="I2475" s="1">
        <v>37304</v>
      </c>
      <c r="J2475" s="1">
        <v>37314</v>
      </c>
      <c r="K2475" s="1">
        <v>37327</v>
      </c>
      <c r="L2475" s="1">
        <v>37327</v>
      </c>
      <c r="M2475" s="1">
        <v>37336</v>
      </c>
      <c r="N2475" s="1">
        <v>37336</v>
      </c>
      <c r="O2475" t="s">
        <v>1117</v>
      </c>
      <c r="P2475">
        <v>1</v>
      </c>
      <c r="Q2475" t="s">
        <v>3602</v>
      </c>
      <c r="R2475">
        <f t="shared" si="77"/>
        <v>12</v>
      </c>
      <c r="S2475">
        <f t="shared" si="78"/>
        <v>1</v>
      </c>
    </row>
    <row r="2476" spans="1:19" x14ac:dyDescent="0.25">
      <c r="A2476" t="s">
        <v>3607</v>
      </c>
      <c r="B2476" t="s">
        <v>4026</v>
      </c>
      <c r="C2476">
        <v>1</v>
      </c>
      <c r="D2476">
        <v>47</v>
      </c>
      <c r="E2476">
        <v>0</v>
      </c>
      <c r="F2476">
        <v>2</v>
      </c>
      <c r="G2476">
        <v>2</v>
      </c>
      <c r="H2476" t="s">
        <v>3601</v>
      </c>
      <c r="I2476" s="1">
        <v>37352</v>
      </c>
      <c r="J2476" s="1">
        <v>37392</v>
      </c>
      <c r="K2476" t="s">
        <v>1124</v>
      </c>
      <c r="L2476" t="s">
        <v>1124</v>
      </c>
      <c r="M2476" t="s">
        <v>1124</v>
      </c>
      <c r="N2476" s="1">
        <v>37336</v>
      </c>
      <c r="O2476" t="s">
        <v>1117</v>
      </c>
      <c r="P2476">
        <v>2</v>
      </c>
      <c r="Q2476" t="s">
        <v>3602</v>
      </c>
      <c r="R2476">
        <f t="shared" si="77"/>
        <v>12</v>
      </c>
      <c r="S2476">
        <f t="shared" si="78"/>
        <v>0</v>
      </c>
    </row>
    <row r="2477" spans="1:19" x14ac:dyDescent="0.25">
      <c r="A2477" t="s">
        <v>3608</v>
      </c>
      <c r="B2477" t="s">
        <v>4028</v>
      </c>
      <c r="C2477">
        <v>1</v>
      </c>
      <c r="D2477">
        <v>41</v>
      </c>
      <c r="E2477">
        <v>0</v>
      </c>
      <c r="F2477">
        <v>1</v>
      </c>
      <c r="G2477">
        <v>1</v>
      </c>
      <c r="H2477" t="s">
        <v>3601</v>
      </c>
      <c r="I2477" s="1">
        <v>37352</v>
      </c>
      <c r="J2477" s="1">
        <v>37392</v>
      </c>
      <c r="K2477" t="s">
        <v>1124</v>
      </c>
      <c r="L2477" t="s">
        <v>1124</v>
      </c>
      <c r="M2477" t="s">
        <v>1124</v>
      </c>
      <c r="N2477" s="1">
        <v>37336</v>
      </c>
      <c r="O2477" t="s">
        <v>1117</v>
      </c>
      <c r="P2477">
        <v>1</v>
      </c>
      <c r="Q2477" t="s">
        <v>3602</v>
      </c>
      <c r="R2477">
        <f t="shared" si="77"/>
        <v>12</v>
      </c>
      <c r="S2477">
        <f t="shared" si="78"/>
        <v>0</v>
      </c>
    </row>
    <row r="2478" spans="1:19" x14ac:dyDescent="0.25">
      <c r="A2478" t="s">
        <v>3609</v>
      </c>
      <c r="B2478" t="s">
        <v>4028</v>
      </c>
      <c r="C2478">
        <v>1</v>
      </c>
      <c r="D2478">
        <v>47</v>
      </c>
      <c r="E2478">
        <v>0</v>
      </c>
      <c r="F2478">
        <v>2</v>
      </c>
      <c r="G2478">
        <v>2</v>
      </c>
      <c r="H2478" t="s">
        <v>3601</v>
      </c>
      <c r="I2478" s="1">
        <v>37304</v>
      </c>
      <c r="J2478" s="1">
        <v>37314</v>
      </c>
      <c r="K2478" s="1">
        <v>37329</v>
      </c>
      <c r="L2478" s="1">
        <v>37329</v>
      </c>
      <c r="M2478" s="1">
        <v>37336</v>
      </c>
      <c r="N2478" s="1">
        <v>37336</v>
      </c>
      <c r="O2478" t="s">
        <v>1117</v>
      </c>
      <c r="P2478">
        <v>2</v>
      </c>
      <c r="Q2478" t="s">
        <v>3602</v>
      </c>
      <c r="R2478">
        <f t="shared" si="77"/>
        <v>12</v>
      </c>
      <c r="S2478">
        <f t="shared" si="78"/>
        <v>1</v>
      </c>
    </row>
    <row r="2479" spans="1:19" x14ac:dyDescent="0.25">
      <c r="A2479" t="s">
        <v>3610</v>
      </c>
      <c r="B2479" t="s">
        <v>4026</v>
      </c>
      <c r="C2479">
        <v>1</v>
      </c>
      <c r="D2479">
        <v>48</v>
      </c>
      <c r="E2479">
        <v>0</v>
      </c>
      <c r="F2479">
        <v>3</v>
      </c>
      <c r="G2479">
        <v>3</v>
      </c>
      <c r="H2479" t="s">
        <v>3601</v>
      </c>
      <c r="I2479" s="1">
        <v>37352</v>
      </c>
      <c r="J2479" s="1">
        <v>37392</v>
      </c>
      <c r="K2479" t="s">
        <v>1124</v>
      </c>
      <c r="L2479" t="s">
        <v>1124</v>
      </c>
      <c r="M2479" t="s">
        <v>1124</v>
      </c>
      <c r="N2479" s="1">
        <v>37336</v>
      </c>
      <c r="O2479" t="s">
        <v>1117</v>
      </c>
      <c r="P2479">
        <v>3</v>
      </c>
      <c r="Q2479" t="s">
        <v>3602</v>
      </c>
      <c r="R2479">
        <f t="shared" si="77"/>
        <v>12</v>
      </c>
      <c r="S2479">
        <f t="shared" si="78"/>
        <v>0</v>
      </c>
    </row>
    <row r="2480" spans="1:19" x14ac:dyDescent="0.25">
      <c r="A2480" t="s">
        <v>3611</v>
      </c>
      <c r="B2480" t="s">
        <v>1199</v>
      </c>
      <c r="C2480">
        <v>1.87</v>
      </c>
      <c r="D2480">
        <v>186</v>
      </c>
      <c r="E2480">
        <v>0</v>
      </c>
      <c r="F2480">
        <v>300</v>
      </c>
      <c r="G2480">
        <v>299.39999999999998</v>
      </c>
      <c r="H2480" t="s">
        <v>3601</v>
      </c>
      <c r="I2480" s="1">
        <v>37357</v>
      </c>
      <c r="J2480" s="1">
        <v>37357</v>
      </c>
      <c r="K2480" s="1">
        <v>37364</v>
      </c>
      <c r="L2480" s="1">
        <v>37364</v>
      </c>
      <c r="M2480" t="s">
        <v>1124</v>
      </c>
      <c r="N2480" s="1">
        <v>37328</v>
      </c>
      <c r="O2480" t="s">
        <v>1117</v>
      </c>
      <c r="P2480">
        <v>1</v>
      </c>
      <c r="Q2480" t="s">
        <v>3602</v>
      </c>
      <c r="R2480">
        <f t="shared" si="77"/>
        <v>11</v>
      </c>
      <c r="S2480">
        <f t="shared" si="78"/>
        <v>0</v>
      </c>
    </row>
    <row r="2481" spans="1:19" x14ac:dyDescent="0.25">
      <c r="A2481" t="s">
        <v>3612</v>
      </c>
      <c r="B2481" t="s">
        <v>4027</v>
      </c>
      <c r="C2481">
        <v>1.87</v>
      </c>
      <c r="D2481">
        <v>186</v>
      </c>
      <c r="E2481">
        <v>0</v>
      </c>
      <c r="F2481">
        <v>300</v>
      </c>
      <c r="G2481">
        <v>226.32400000000001</v>
      </c>
      <c r="H2481" t="s">
        <v>3601</v>
      </c>
      <c r="I2481" s="1">
        <v>37108</v>
      </c>
      <c r="J2481" s="1">
        <v>37314</v>
      </c>
      <c r="K2481" s="1">
        <v>37342</v>
      </c>
      <c r="L2481" s="1">
        <v>37342</v>
      </c>
      <c r="M2481" s="1">
        <v>37328</v>
      </c>
      <c r="N2481" s="1">
        <v>37328</v>
      </c>
      <c r="O2481" t="s">
        <v>1117</v>
      </c>
      <c r="P2481">
        <v>1</v>
      </c>
      <c r="Q2481" t="s">
        <v>3602</v>
      </c>
      <c r="R2481">
        <f t="shared" si="77"/>
        <v>11</v>
      </c>
      <c r="S2481">
        <f t="shared" si="78"/>
        <v>0</v>
      </c>
    </row>
    <row r="2482" spans="1:19" x14ac:dyDescent="0.25">
      <c r="A2482" t="s">
        <v>3613</v>
      </c>
      <c r="B2482" t="s">
        <v>1199</v>
      </c>
      <c r="C2482">
        <v>1.88</v>
      </c>
      <c r="D2482">
        <v>179</v>
      </c>
      <c r="E2482">
        <v>0</v>
      </c>
      <c r="F2482">
        <v>200</v>
      </c>
      <c r="G2482">
        <v>191.79900000000001</v>
      </c>
      <c r="H2482" t="s">
        <v>3601</v>
      </c>
      <c r="I2482" s="1">
        <v>37357</v>
      </c>
      <c r="J2482" s="1">
        <v>37357</v>
      </c>
      <c r="K2482" s="1">
        <v>37371</v>
      </c>
      <c r="L2482" s="1">
        <v>37371</v>
      </c>
      <c r="M2482" t="s">
        <v>1124</v>
      </c>
      <c r="N2482" s="1">
        <v>37336</v>
      </c>
      <c r="O2482" t="s">
        <v>1117</v>
      </c>
      <c r="P2482">
        <v>3</v>
      </c>
      <c r="Q2482" t="s">
        <v>3602</v>
      </c>
      <c r="R2482">
        <f t="shared" si="77"/>
        <v>12</v>
      </c>
      <c r="S2482">
        <f t="shared" si="78"/>
        <v>0</v>
      </c>
    </row>
    <row r="2483" spans="1:19" x14ac:dyDescent="0.25">
      <c r="A2483" t="s">
        <v>3614</v>
      </c>
      <c r="B2483" t="s">
        <v>4029</v>
      </c>
      <c r="C2483">
        <v>1.88</v>
      </c>
      <c r="D2483">
        <v>179</v>
      </c>
      <c r="E2483">
        <v>0</v>
      </c>
      <c r="F2483">
        <v>200</v>
      </c>
      <c r="G2483">
        <v>200</v>
      </c>
      <c r="H2483" t="s">
        <v>3601</v>
      </c>
      <c r="I2483" s="1">
        <v>37369</v>
      </c>
      <c r="J2483" s="1">
        <v>37369</v>
      </c>
      <c r="K2483" s="1">
        <v>37389</v>
      </c>
      <c r="L2483" s="1">
        <v>37389</v>
      </c>
      <c r="M2483" t="s">
        <v>1124</v>
      </c>
      <c r="N2483" s="1">
        <v>37336</v>
      </c>
      <c r="O2483" t="s">
        <v>1117</v>
      </c>
      <c r="P2483">
        <v>3</v>
      </c>
      <c r="Q2483" t="s">
        <v>3602</v>
      </c>
      <c r="R2483">
        <f t="shared" si="77"/>
        <v>12</v>
      </c>
      <c r="S2483">
        <f t="shared" si="78"/>
        <v>0</v>
      </c>
    </row>
    <row r="2484" spans="1:19" x14ac:dyDescent="0.25">
      <c r="A2484" t="s">
        <v>3615</v>
      </c>
      <c r="B2484" t="s">
        <v>3601</v>
      </c>
      <c r="C2484">
        <v>1.88</v>
      </c>
      <c r="D2484">
        <v>179</v>
      </c>
      <c r="E2484">
        <v>0</v>
      </c>
      <c r="F2484">
        <v>200</v>
      </c>
      <c r="G2484">
        <v>119.91200000000001</v>
      </c>
      <c r="H2484" t="s">
        <v>3601</v>
      </c>
      <c r="I2484" s="1">
        <v>37108</v>
      </c>
      <c r="J2484" s="1">
        <v>37314</v>
      </c>
      <c r="K2484" s="1">
        <v>37375</v>
      </c>
      <c r="L2484" s="1">
        <v>37375</v>
      </c>
      <c r="M2484" s="1">
        <v>37336</v>
      </c>
      <c r="N2484" s="1">
        <v>37336</v>
      </c>
      <c r="O2484" t="s">
        <v>1117</v>
      </c>
      <c r="P2484">
        <v>3</v>
      </c>
      <c r="Q2484" t="s">
        <v>3602</v>
      </c>
      <c r="R2484">
        <f t="shared" si="77"/>
        <v>12</v>
      </c>
      <c r="S2484">
        <f t="shared" si="78"/>
        <v>0</v>
      </c>
    </row>
    <row r="2485" spans="1:19" x14ac:dyDescent="0.25">
      <c r="A2485" t="s">
        <v>3616</v>
      </c>
      <c r="B2485" t="s">
        <v>4028</v>
      </c>
      <c r="C2485">
        <v>0.2</v>
      </c>
      <c r="D2485">
        <v>24</v>
      </c>
      <c r="E2485">
        <v>0</v>
      </c>
      <c r="F2485">
        <v>0.3</v>
      </c>
      <c r="G2485">
        <v>0.3</v>
      </c>
      <c r="H2485" t="s">
        <v>3601</v>
      </c>
      <c r="I2485" s="1">
        <v>37281</v>
      </c>
      <c r="J2485" s="1">
        <v>37314</v>
      </c>
      <c r="K2485" s="1">
        <v>37327</v>
      </c>
      <c r="L2485" s="1">
        <v>37327</v>
      </c>
      <c r="M2485" s="1">
        <v>37336</v>
      </c>
      <c r="N2485" s="1">
        <v>37336</v>
      </c>
      <c r="O2485" t="s">
        <v>1117</v>
      </c>
      <c r="P2485">
        <v>1</v>
      </c>
      <c r="Q2485" t="s">
        <v>3602</v>
      </c>
      <c r="R2485">
        <f t="shared" si="77"/>
        <v>12</v>
      </c>
      <c r="S2485">
        <f t="shared" si="78"/>
        <v>1</v>
      </c>
    </row>
    <row r="2486" spans="1:19" x14ac:dyDescent="0.25">
      <c r="A2486" t="s">
        <v>3617</v>
      </c>
      <c r="B2486" t="s">
        <v>4028</v>
      </c>
      <c r="C2486">
        <v>1</v>
      </c>
      <c r="D2486">
        <v>43</v>
      </c>
      <c r="E2486">
        <v>0</v>
      </c>
      <c r="F2486">
        <v>0.6</v>
      </c>
      <c r="G2486">
        <v>0.59099999999999997</v>
      </c>
      <c r="H2486" t="s">
        <v>3601</v>
      </c>
      <c r="I2486" s="1">
        <v>37283</v>
      </c>
      <c r="J2486" s="1">
        <v>37314</v>
      </c>
      <c r="K2486" s="1">
        <v>37351</v>
      </c>
      <c r="L2486" s="1">
        <v>37351</v>
      </c>
      <c r="M2486" s="1">
        <v>37344</v>
      </c>
      <c r="N2486" s="1">
        <v>37344</v>
      </c>
      <c r="O2486" t="s">
        <v>1117</v>
      </c>
      <c r="P2486">
        <v>4</v>
      </c>
      <c r="Q2486" t="s">
        <v>3602</v>
      </c>
      <c r="R2486">
        <f t="shared" si="77"/>
        <v>13</v>
      </c>
      <c r="S2486">
        <f t="shared" si="78"/>
        <v>0</v>
      </c>
    </row>
    <row r="2487" spans="1:19" x14ac:dyDescent="0.25">
      <c r="A2487" t="s">
        <v>3618</v>
      </c>
      <c r="B2487" t="s">
        <v>4028</v>
      </c>
      <c r="C2487">
        <v>0.3</v>
      </c>
      <c r="D2487">
        <v>356</v>
      </c>
      <c r="E2487">
        <v>0</v>
      </c>
      <c r="F2487">
        <v>0.8</v>
      </c>
      <c r="G2487">
        <v>0.8</v>
      </c>
      <c r="H2487" t="s">
        <v>3601</v>
      </c>
      <c r="I2487" s="1">
        <v>37283</v>
      </c>
      <c r="J2487" s="1">
        <v>37314</v>
      </c>
      <c r="K2487" s="1">
        <v>37314</v>
      </c>
      <c r="L2487" s="1">
        <v>37314</v>
      </c>
      <c r="M2487" s="1">
        <v>37314</v>
      </c>
      <c r="N2487" s="1">
        <v>37314</v>
      </c>
      <c r="O2487" t="s">
        <v>1114</v>
      </c>
      <c r="P2487">
        <v>5</v>
      </c>
      <c r="Q2487" t="s">
        <v>3602</v>
      </c>
      <c r="R2487">
        <f t="shared" si="77"/>
        <v>9</v>
      </c>
      <c r="S2487">
        <f t="shared" si="78"/>
        <v>1</v>
      </c>
    </row>
    <row r="2488" spans="1:19" x14ac:dyDescent="0.25">
      <c r="A2488" t="s">
        <v>3619</v>
      </c>
      <c r="B2488" t="s">
        <v>4027</v>
      </c>
      <c r="C2488">
        <v>1</v>
      </c>
      <c r="D2488">
        <v>38.5</v>
      </c>
      <c r="E2488">
        <v>0</v>
      </c>
      <c r="F2488">
        <v>2.5</v>
      </c>
      <c r="G2488">
        <v>0.88600000000000001</v>
      </c>
      <c r="H2488" t="s">
        <v>3601</v>
      </c>
      <c r="I2488" s="1">
        <v>37112</v>
      </c>
      <c r="J2488" s="1">
        <v>37314</v>
      </c>
      <c r="K2488" s="1">
        <v>37351</v>
      </c>
      <c r="L2488" s="1">
        <v>37351</v>
      </c>
      <c r="M2488" s="1">
        <v>37344</v>
      </c>
      <c r="N2488" s="1">
        <v>37344</v>
      </c>
      <c r="O2488" t="s">
        <v>1117</v>
      </c>
      <c r="P2488">
        <v>2</v>
      </c>
      <c r="Q2488" t="s">
        <v>3602</v>
      </c>
      <c r="R2488">
        <f t="shared" si="77"/>
        <v>13</v>
      </c>
      <c r="S2488">
        <f t="shared" si="78"/>
        <v>0</v>
      </c>
    </row>
    <row r="2489" spans="1:19" x14ac:dyDescent="0.25">
      <c r="A2489" t="s">
        <v>3620</v>
      </c>
      <c r="B2489" t="s">
        <v>4028</v>
      </c>
      <c r="C2489">
        <v>0.2</v>
      </c>
      <c r="D2489">
        <v>61</v>
      </c>
      <c r="E2489">
        <v>0</v>
      </c>
      <c r="F2489">
        <v>1</v>
      </c>
      <c r="G2489">
        <v>1</v>
      </c>
      <c r="H2489" t="s">
        <v>3601</v>
      </c>
      <c r="I2489" s="1">
        <v>37283</v>
      </c>
      <c r="J2489" s="1">
        <v>37314</v>
      </c>
      <c r="K2489" t="s">
        <v>1124</v>
      </c>
      <c r="L2489" t="s">
        <v>1124</v>
      </c>
      <c r="M2489" s="1">
        <v>37337</v>
      </c>
      <c r="N2489" s="1">
        <v>37337</v>
      </c>
      <c r="O2489" t="s">
        <v>1117</v>
      </c>
      <c r="P2489">
        <v>1</v>
      </c>
      <c r="Q2489" t="s">
        <v>3602</v>
      </c>
      <c r="R2489">
        <f t="shared" si="77"/>
        <v>12</v>
      </c>
      <c r="S2489">
        <f t="shared" si="78"/>
        <v>1</v>
      </c>
    </row>
    <row r="2490" spans="1:19" x14ac:dyDescent="0.25">
      <c r="A2490" t="s">
        <v>3621</v>
      </c>
      <c r="B2490" t="s">
        <v>3631</v>
      </c>
      <c r="C2490">
        <v>0.2</v>
      </c>
      <c r="D2490">
        <v>70</v>
      </c>
      <c r="E2490">
        <v>0</v>
      </c>
      <c r="F2490">
        <v>0.7</v>
      </c>
      <c r="G2490">
        <v>0.7</v>
      </c>
      <c r="H2490" t="s">
        <v>3601</v>
      </c>
      <c r="I2490" s="1">
        <v>37283</v>
      </c>
      <c r="J2490" s="1">
        <v>37346</v>
      </c>
      <c r="K2490" s="1">
        <v>37353</v>
      </c>
      <c r="L2490" s="1">
        <v>37353</v>
      </c>
      <c r="M2490" s="1">
        <v>37346</v>
      </c>
      <c r="N2490" s="1">
        <v>37346</v>
      </c>
      <c r="O2490" t="s">
        <v>1117</v>
      </c>
      <c r="P2490">
        <v>3</v>
      </c>
      <c r="Q2490" t="s">
        <v>3602</v>
      </c>
      <c r="R2490">
        <f t="shared" si="77"/>
        <v>14</v>
      </c>
      <c r="S2490">
        <f t="shared" si="78"/>
        <v>1</v>
      </c>
    </row>
    <row r="2491" spans="1:19" x14ac:dyDescent="0.25">
      <c r="A2491" t="s">
        <v>3622</v>
      </c>
      <c r="B2491" t="s">
        <v>4028</v>
      </c>
      <c r="C2491">
        <v>1</v>
      </c>
      <c r="D2491">
        <v>40</v>
      </c>
      <c r="E2491">
        <v>0</v>
      </c>
      <c r="F2491">
        <v>1.25</v>
      </c>
      <c r="G2491">
        <v>0.86799999999999999</v>
      </c>
      <c r="H2491" t="s">
        <v>3601</v>
      </c>
      <c r="I2491" s="1">
        <v>37283</v>
      </c>
      <c r="J2491" s="1">
        <v>37314</v>
      </c>
      <c r="K2491" s="1">
        <v>37351</v>
      </c>
      <c r="L2491" s="1">
        <v>37351</v>
      </c>
      <c r="M2491" s="1">
        <v>37344</v>
      </c>
      <c r="N2491" s="1">
        <v>37344</v>
      </c>
      <c r="O2491" t="s">
        <v>1117</v>
      </c>
      <c r="P2491">
        <v>3</v>
      </c>
      <c r="Q2491" t="s">
        <v>3602</v>
      </c>
      <c r="R2491">
        <f t="shared" si="77"/>
        <v>13</v>
      </c>
      <c r="S2491">
        <f t="shared" si="78"/>
        <v>0</v>
      </c>
    </row>
    <row r="2492" spans="1:19" x14ac:dyDescent="0.25">
      <c r="A2492" t="s">
        <v>3623</v>
      </c>
      <c r="B2492" t="s">
        <v>1199</v>
      </c>
      <c r="C2492">
        <v>0.2</v>
      </c>
      <c r="D2492">
        <v>39.5</v>
      </c>
      <c r="E2492">
        <v>0</v>
      </c>
      <c r="F2492">
        <v>0.7</v>
      </c>
      <c r="G2492">
        <v>0.7</v>
      </c>
      <c r="H2492" t="s">
        <v>3601</v>
      </c>
      <c r="I2492" s="1">
        <v>37283</v>
      </c>
      <c r="J2492" s="1">
        <v>37314</v>
      </c>
      <c r="K2492" s="1">
        <v>37350</v>
      </c>
      <c r="L2492" s="1">
        <v>37350</v>
      </c>
      <c r="M2492" s="1">
        <v>37336</v>
      </c>
      <c r="N2492" s="1">
        <v>37336</v>
      </c>
      <c r="O2492" t="s">
        <v>1117</v>
      </c>
      <c r="P2492">
        <v>4</v>
      </c>
      <c r="Q2492" t="s">
        <v>3602</v>
      </c>
      <c r="R2492">
        <f t="shared" si="77"/>
        <v>12</v>
      </c>
      <c r="S2492">
        <f t="shared" si="78"/>
        <v>1</v>
      </c>
    </row>
    <row r="2493" spans="1:19" x14ac:dyDescent="0.25">
      <c r="A2493" t="s">
        <v>3624</v>
      </c>
      <c r="B2493" t="s">
        <v>4026</v>
      </c>
      <c r="C2493">
        <v>0.2</v>
      </c>
      <c r="D2493">
        <v>60</v>
      </c>
      <c r="E2493">
        <v>0</v>
      </c>
      <c r="F2493">
        <v>0.7</v>
      </c>
      <c r="G2493">
        <v>0.7</v>
      </c>
      <c r="H2493" t="s">
        <v>3601</v>
      </c>
      <c r="I2493" s="1">
        <v>37283</v>
      </c>
      <c r="J2493" s="1">
        <v>37346</v>
      </c>
      <c r="K2493" s="1">
        <v>37353</v>
      </c>
      <c r="L2493" s="1">
        <v>37353</v>
      </c>
      <c r="M2493" s="1">
        <v>37353</v>
      </c>
      <c r="N2493" s="1">
        <v>37353</v>
      </c>
      <c r="O2493" t="s">
        <v>1117</v>
      </c>
      <c r="P2493">
        <v>4</v>
      </c>
      <c r="Q2493" t="s">
        <v>3602</v>
      </c>
      <c r="R2493">
        <f t="shared" si="77"/>
        <v>15</v>
      </c>
      <c r="S2493">
        <f t="shared" si="78"/>
        <v>1</v>
      </c>
    </row>
    <row r="2494" spans="1:19" x14ac:dyDescent="0.25">
      <c r="A2494" t="s">
        <v>3625</v>
      </c>
      <c r="B2494" t="s">
        <v>4028</v>
      </c>
      <c r="C2494">
        <v>0.2</v>
      </c>
      <c r="D2494">
        <v>39.5</v>
      </c>
      <c r="E2494">
        <v>0</v>
      </c>
      <c r="F2494">
        <v>0.5</v>
      </c>
      <c r="G2494">
        <v>0.5</v>
      </c>
      <c r="H2494" t="s">
        <v>3601</v>
      </c>
      <c r="I2494" s="1">
        <v>37283</v>
      </c>
      <c r="J2494" s="1">
        <v>37346</v>
      </c>
      <c r="K2494" s="1">
        <v>37353</v>
      </c>
      <c r="L2494" s="1">
        <v>37353</v>
      </c>
      <c r="M2494" s="1">
        <v>37346</v>
      </c>
      <c r="N2494" s="1">
        <v>37346</v>
      </c>
      <c r="O2494" t="s">
        <v>1117</v>
      </c>
      <c r="P2494">
        <v>2</v>
      </c>
      <c r="Q2494" t="s">
        <v>3602</v>
      </c>
      <c r="R2494">
        <f t="shared" si="77"/>
        <v>14</v>
      </c>
      <c r="S2494">
        <f t="shared" si="78"/>
        <v>1</v>
      </c>
    </row>
    <row r="2495" spans="1:19" x14ac:dyDescent="0.25">
      <c r="A2495" t="s">
        <v>3626</v>
      </c>
      <c r="B2495" t="s">
        <v>4027</v>
      </c>
      <c r="C2495">
        <v>0.2</v>
      </c>
      <c r="D2495">
        <v>41.3</v>
      </c>
      <c r="E2495">
        <v>0</v>
      </c>
      <c r="F2495">
        <v>1.1499999999999999</v>
      </c>
      <c r="G2495">
        <v>1.1499999999999999</v>
      </c>
      <c r="H2495" t="s">
        <v>3601</v>
      </c>
      <c r="I2495" s="1">
        <v>37283</v>
      </c>
      <c r="J2495" s="1">
        <v>37316</v>
      </c>
      <c r="K2495" t="s">
        <v>1124</v>
      </c>
      <c r="L2495" t="s">
        <v>1124</v>
      </c>
      <c r="M2495" s="1">
        <v>37337</v>
      </c>
      <c r="N2495" s="1">
        <v>37337</v>
      </c>
      <c r="O2495" t="s">
        <v>1117</v>
      </c>
      <c r="P2495">
        <v>7</v>
      </c>
      <c r="Q2495" t="s">
        <v>3602</v>
      </c>
      <c r="R2495">
        <f t="shared" si="77"/>
        <v>12</v>
      </c>
      <c r="S2495">
        <f t="shared" si="78"/>
        <v>1</v>
      </c>
    </row>
    <row r="2496" spans="1:19" x14ac:dyDescent="0.25">
      <c r="A2496" t="s">
        <v>3627</v>
      </c>
      <c r="B2496" t="s">
        <v>4026</v>
      </c>
      <c r="C2496">
        <v>0.2</v>
      </c>
      <c r="D2496">
        <v>46</v>
      </c>
      <c r="E2496">
        <v>0</v>
      </c>
      <c r="F2496">
        <v>0.8</v>
      </c>
      <c r="G2496">
        <v>0.8</v>
      </c>
      <c r="H2496" t="s">
        <v>3601</v>
      </c>
      <c r="I2496" s="1">
        <v>37283</v>
      </c>
      <c r="J2496" s="1">
        <v>37314</v>
      </c>
      <c r="K2496" t="s">
        <v>1124</v>
      </c>
      <c r="L2496" t="s">
        <v>1124</v>
      </c>
      <c r="M2496" s="1">
        <v>37337</v>
      </c>
      <c r="N2496" s="1">
        <v>37337</v>
      </c>
      <c r="O2496" t="s">
        <v>1117</v>
      </c>
      <c r="P2496">
        <v>2</v>
      </c>
      <c r="Q2496" t="s">
        <v>3602</v>
      </c>
      <c r="R2496">
        <f t="shared" si="77"/>
        <v>12</v>
      </c>
      <c r="S2496">
        <f t="shared" si="78"/>
        <v>1</v>
      </c>
    </row>
    <row r="2497" spans="1:19" x14ac:dyDescent="0.25">
      <c r="A2497" t="s">
        <v>3628</v>
      </c>
      <c r="B2497" t="s">
        <v>4027</v>
      </c>
      <c r="C2497">
        <v>0.2</v>
      </c>
      <c r="D2497">
        <v>24</v>
      </c>
      <c r="E2497">
        <v>0</v>
      </c>
      <c r="F2497">
        <v>0.3</v>
      </c>
      <c r="G2497">
        <v>0.3</v>
      </c>
      <c r="H2497" t="s">
        <v>3601</v>
      </c>
      <c r="I2497" s="1">
        <v>37283</v>
      </c>
      <c r="J2497" s="1">
        <v>37314</v>
      </c>
      <c r="K2497" s="1">
        <v>37327</v>
      </c>
      <c r="L2497" s="1">
        <v>37327</v>
      </c>
      <c r="M2497" s="1">
        <v>37336</v>
      </c>
      <c r="N2497" s="1">
        <v>37336</v>
      </c>
      <c r="O2497" t="s">
        <v>1117</v>
      </c>
      <c r="P2497">
        <v>1</v>
      </c>
      <c r="Q2497" t="s">
        <v>3602</v>
      </c>
      <c r="R2497">
        <f t="shared" si="77"/>
        <v>12</v>
      </c>
      <c r="S2497">
        <f t="shared" si="78"/>
        <v>1</v>
      </c>
    </row>
    <row r="2498" spans="1:19" x14ac:dyDescent="0.25">
      <c r="A2498" t="s">
        <v>3629</v>
      </c>
      <c r="B2498" t="s">
        <v>1199</v>
      </c>
      <c r="C2498">
        <v>0.2</v>
      </c>
      <c r="D2498">
        <v>54.5</v>
      </c>
      <c r="E2498">
        <v>0</v>
      </c>
      <c r="F2498">
        <v>0.6</v>
      </c>
      <c r="G2498">
        <v>0.6</v>
      </c>
      <c r="H2498" t="s">
        <v>3601</v>
      </c>
      <c r="I2498" s="1">
        <v>37283</v>
      </c>
      <c r="J2498" s="1">
        <v>37346</v>
      </c>
      <c r="K2498" s="1">
        <v>37353</v>
      </c>
      <c r="L2498" s="1">
        <v>37353</v>
      </c>
      <c r="M2498" s="1">
        <v>37353</v>
      </c>
      <c r="N2498" s="1">
        <v>37353</v>
      </c>
      <c r="O2498" t="s">
        <v>1117</v>
      </c>
      <c r="P2498">
        <v>5</v>
      </c>
      <c r="Q2498" t="s">
        <v>3602</v>
      </c>
      <c r="R2498">
        <f t="shared" si="77"/>
        <v>15</v>
      </c>
      <c r="S2498">
        <f t="shared" si="78"/>
        <v>1</v>
      </c>
    </row>
    <row r="2499" spans="1:19" x14ac:dyDescent="0.25">
      <c r="A2499" t="s">
        <v>3630</v>
      </c>
      <c r="B2499" t="s">
        <v>1199</v>
      </c>
      <c r="C2499">
        <v>0.2</v>
      </c>
      <c r="D2499">
        <v>108.7</v>
      </c>
      <c r="E2499">
        <v>0</v>
      </c>
      <c r="F2499">
        <v>73</v>
      </c>
      <c r="G2499">
        <v>73</v>
      </c>
      <c r="H2499" t="s">
        <v>3631</v>
      </c>
      <c r="I2499" s="1">
        <v>37116</v>
      </c>
      <c r="J2499" s="1">
        <v>37340</v>
      </c>
      <c r="K2499" s="1">
        <v>37383</v>
      </c>
      <c r="L2499" s="1">
        <v>37383</v>
      </c>
      <c r="M2499" s="1">
        <v>37361</v>
      </c>
      <c r="N2499" s="1">
        <v>37361</v>
      </c>
      <c r="O2499" t="s">
        <v>1117</v>
      </c>
      <c r="P2499">
        <v>1</v>
      </c>
      <c r="Q2499" t="s">
        <v>3632</v>
      </c>
      <c r="R2499">
        <f t="shared" ref="R2499:R2562" si="79">WEEKNUM(N2499,1)</f>
        <v>16</v>
      </c>
      <c r="S2499">
        <f t="shared" ref="S2499:S2562" si="80">IF(AND(F2499=G2499, M2499&lt;=N2499), 1,0)</f>
        <v>1</v>
      </c>
    </row>
    <row r="2500" spans="1:19" x14ac:dyDescent="0.25">
      <c r="A2500" t="s">
        <v>3633</v>
      </c>
      <c r="B2500" t="s">
        <v>4027</v>
      </c>
      <c r="C2500">
        <v>0.4</v>
      </c>
      <c r="D2500">
        <v>75.400000000000006</v>
      </c>
      <c r="E2500">
        <v>0</v>
      </c>
      <c r="F2500">
        <v>40</v>
      </c>
      <c r="G2500">
        <v>31.419</v>
      </c>
      <c r="H2500" t="s">
        <v>3631</v>
      </c>
      <c r="I2500" s="1">
        <v>37111</v>
      </c>
      <c r="J2500" s="1">
        <v>37340</v>
      </c>
      <c r="K2500" s="1">
        <v>37383</v>
      </c>
      <c r="L2500" s="1">
        <v>37383</v>
      </c>
      <c r="M2500" s="1">
        <v>37347</v>
      </c>
      <c r="N2500" s="1">
        <v>37362</v>
      </c>
      <c r="O2500" t="s">
        <v>1117</v>
      </c>
      <c r="P2500">
        <v>1</v>
      </c>
      <c r="Q2500" t="s">
        <v>3632</v>
      </c>
      <c r="R2500">
        <f t="shared" si="79"/>
        <v>16</v>
      </c>
      <c r="S2500">
        <f t="shared" si="80"/>
        <v>0</v>
      </c>
    </row>
    <row r="2501" spans="1:19" x14ac:dyDescent="0.25">
      <c r="A2501" t="s">
        <v>3634</v>
      </c>
      <c r="B2501" t="s">
        <v>4026</v>
      </c>
      <c r="C2501">
        <v>0.4</v>
      </c>
      <c r="D2501">
        <v>75.400000000000006</v>
      </c>
      <c r="E2501">
        <v>0</v>
      </c>
      <c r="F2501">
        <v>20</v>
      </c>
      <c r="G2501">
        <v>20</v>
      </c>
      <c r="H2501" t="s">
        <v>3631</v>
      </c>
      <c r="I2501" s="1">
        <v>37126</v>
      </c>
      <c r="J2501" s="1">
        <v>37341</v>
      </c>
      <c r="K2501" s="1">
        <v>37383</v>
      </c>
      <c r="L2501" s="1">
        <v>37383</v>
      </c>
      <c r="M2501" s="1">
        <v>37362</v>
      </c>
      <c r="N2501" s="1">
        <v>37362</v>
      </c>
      <c r="O2501" t="s">
        <v>1117</v>
      </c>
      <c r="P2501">
        <v>1</v>
      </c>
      <c r="Q2501" t="s">
        <v>3632</v>
      </c>
      <c r="R2501">
        <f t="shared" si="79"/>
        <v>16</v>
      </c>
      <c r="S2501">
        <f t="shared" si="80"/>
        <v>1</v>
      </c>
    </row>
    <row r="2502" spans="1:19" x14ac:dyDescent="0.25">
      <c r="A2502" t="s">
        <v>3635</v>
      </c>
      <c r="B2502" t="s">
        <v>4028</v>
      </c>
      <c r="C2502">
        <v>0.2</v>
      </c>
      <c r="D2502">
        <v>285</v>
      </c>
      <c r="E2502">
        <v>0</v>
      </c>
      <c r="F2502">
        <v>2</v>
      </c>
      <c r="G2502">
        <v>2</v>
      </c>
      <c r="H2502" t="s">
        <v>3631</v>
      </c>
      <c r="I2502" s="1">
        <v>37192</v>
      </c>
      <c r="J2502" s="1">
        <v>37341</v>
      </c>
      <c r="K2502" s="1">
        <v>37348</v>
      </c>
      <c r="L2502" s="1">
        <v>37348</v>
      </c>
      <c r="M2502" s="1">
        <v>37348</v>
      </c>
      <c r="N2502" s="1">
        <v>37348</v>
      </c>
      <c r="O2502" t="s">
        <v>1117</v>
      </c>
      <c r="P2502">
        <v>5</v>
      </c>
      <c r="Q2502" t="s">
        <v>3632</v>
      </c>
      <c r="R2502">
        <f t="shared" si="79"/>
        <v>14</v>
      </c>
      <c r="S2502">
        <f t="shared" si="80"/>
        <v>1</v>
      </c>
    </row>
    <row r="2503" spans="1:19" x14ac:dyDescent="0.25">
      <c r="A2503" t="s">
        <v>3636</v>
      </c>
      <c r="B2503" t="s">
        <v>4026</v>
      </c>
      <c r="C2503">
        <v>0.15</v>
      </c>
      <c r="D2503">
        <v>305</v>
      </c>
      <c r="E2503">
        <v>0</v>
      </c>
      <c r="F2503">
        <v>5</v>
      </c>
      <c r="G2503">
        <v>5</v>
      </c>
      <c r="H2503" t="s">
        <v>3631</v>
      </c>
      <c r="I2503" s="1">
        <v>37192</v>
      </c>
      <c r="J2503" s="1">
        <v>37342</v>
      </c>
      <c r="K2503" s="1">
        <v>37363</v>
      </c>
      <c r="L2503" s="1">
        <v>37363</v>
      </c>
      <c r="M2503" s="1">
        <v>37363</v>
      </c>
      <c r="N2503" s="1">
        <v>37363</v>
      </c>
      <c r="O2503" t="s">
        <v>1117</v>
      </c>
      <c r="P2503">
        <v>4</v>
      </c>
      <c r="Q2503" t="s">
        <v>3632</v>
      </c>
      <c r="R2503">
        <f t="shared" si="79"/>
        <v>16</v>
      </c>
      <c r="S2503">
        <f t="shared" si="80"/>
        <v>1</v>
      </c>
    </row>
    <row r="2504" spans="1:19" x14ac:dyDescent="0.25">
      <c r="A2504" t="s">
        <v>3637</v>
      </c>
      <c r="B2504" t="s">
        <v>4026</v>
      </c>
      <c r="C2504">
        <v>0.19800000000000001</v>
      </c>
      <c r="D2504">
        <v>582.29499999999996</v>
      </c>
      <c r="E2504">
        <v>0</v>
      </c>
      <c r="F2504">
        <v>18.143999999999998</v>
      </c>
      <c r="G2504">
        <v>18.143999999999998</v>
      </c>
      <c r="H2504" t="s">
        <v>3631</v>
      </c>
      <c r="I2504" s="1">
        <v>37159</v>
      </c>
      <c r="J2504" s="1">
        <v>37342</v>
      </c>
      <c r="K2504" s="1">
        <v>37363</v>
      </c>
      <c r="L2504" s="1">
        <v>37363</v>
      </c>
      <c r="M2504" s="1">
        <v>37363</v>
      </c>
      <c r="N2504" s="1">
        <v>37363</v>
      </c>
      <c r="O2504" t="s">
        <v>1117</v>
      </c>
      <c r="P2504">
        <v>2</v>
      </c>
      <c r="Q2504" t="s">
        <v>3632</v>
      </c>
      <c r="R2504">
        <f t="shared" si="79"/>
        <v>16</v>
      </c>
      <c r="S2504">
        <f t="shared" si="80"/>
        <v>1</v>
      </c>
    </row>
    <row r="2505" spans="1:19" x14ac:dyDescent="0.25">
      <c r="A2505" t="s">
        <v>3638</v>
      </c>
      <c r="B2505" t="s">
        <v>1199</v>
      </c>
      <c r="C2505">
        <v>0.19800000000000001</v>
      </c>
      <c r="D2505">
        <v>582.29499999999996</v>
      </c>
      <c r="E2505">
        <v>0</v>
      </c>
      <c r="F2505">
        <v>18.143999999999998</v>
      </c>
      <c r="G2505">
        <v>18.143999999999998</v>
      </c>
      <c r="H2505" t="s">
        <v>3631</v>
      </c>
      <c r="I2505" s="1">
        <v>37159</v>
      </c>
      <c r="J2505" s="1">
        <v>37342</v>
      </c>
      <c r="K2505" s="1">
        <v>37363</v>
      </c>
      <c r="L2505" s="1">
        <v>37363</v>
      </c>
      <c r="M2505" s="1">
        <v>37363</v>
      </c>
      <c r="N2505" s="1">
        <v>37363</v>
      </c>
      <c r="O2505" t="s">
        <v>1117</v>
      </c>
      <c r="P2505">
        <v>7</v>
      </c>
      <c r="Q2505" t="s">
        <v>3632</v>
      </c>
      <c r="R2505">
        <f t="shared" si="79"/>
        <v>16</v>
      </c>
      <c r="S2505">
        <f t="shared" si="80"/>
        <v>1</v>
      </c>
    </row>
    <row r="2506" spans="1:19" x14ac:dyDescent="0.25">
      <c r="A2506" t="s">
        <v>3639</v>
      </c>
      <c r="B2506" t="s">
        <v>3631</v>
      </c>
      <c r="C2506">
        <v>0.19800000000000001</v>
      </c>
      <c r="D2506">
        <v>582.29499999999996</v>
      </c>
      <c r="E2506">
        <v>0</v>
      </c>
      <c r="F2506">
        <v>18.143999999999998</v>
      </c>
      <c r="G2506">
        <v>18.143999999999998</v>
      </c>
      <c r="H2506" t="s">
        <v>3631</v>
      </c>
      <c r="I2506" s="1">
        <v>37159</v>
      </c>
      <c r="J2506" s="1">
        <v>37342</v>
      </c>
      <c r="K2506" s="1">
        <v>37363</v>
      </c>
      <c r="L2506" s="1">
        <v>37363</v>
      </c>
      <c r="M2506" s="1">
        <v>37363</v>
      </c>
      <c r="N2506" s="1">
        <v>37363</v>
      </c>
      <c r="O2506" t="s">
        <v>1117</v>
      </c>
      <c r="P2506">
        <v>4</v>
      </c>
      <c r="Q2506" t="s">
        <v>3632</v>
      </c>
      <c r="R2506">
        <f t="shared" si="79"/>
        <v>16</v>
      </c>
      <c r="S2506">
        <f t="shared" si="80"/>
        <v>1</v>
      </c>
    </row>
    <row r="2507" spans="1:19" x14ac:dyDescent="0.25">
      <c r="A2507" t="s">
        <v>3640</v>
      </c>
      <c r="B2507" t="s">
        <v>1199</v>
      </c>
      <c r="C2507">
        <v>0.19800000000000001</v>
      </c>
      <c r="D2507">
        <v>582.29499999999996</v>
      </c>
      <c r="E2507">
        <v>0</v>
      </c>
      <c r="F2507">
        <v>18.143999999999998</v>
      </c>
      <c r="G2507">
        <v>18.143999999999998</v>
      </c>
      <c r="H2507" t="s">
        <v>3631</v>
      </c>
      <c r="I2507" s="1">
        <v>37112</v>
      </c>
      <c r="J2507" s="1">
        <v>37343</v>
      </c>
      <c r="K2507" t="s">
        <v>1124</v>
      </c>
      <c r="L2507" t="s">
        <v>1124</v>
      </c>
      <c r="M2507" s="1">
        <v>37351</v>
      </c>
      <c r="N2507" s="1">
        <v>37363</v>
      </c>
      <c r="O2507" t="s">
        <v>1117</v>
      </c>
      <c r="P2507">
        <v>1</v>
      </c>
      <c r="Q2507" t="s">
        <v>3632</v>
      </c>
      <c r="R2507">
        <f t="shared" si="79"/>
        <v>16</v>
      </c>
      <c r="S2507">
        <f t="shared" si="80"/>
        <v>1</v>
      </c>
    </row>
    <row r="2508" spans="1:19" x14ac:dyDescent="0.25">
      <c r="A2508" t="s">
        <v>3641</v>
      </c>
      <c r="B2508" t="s">
        <v>1199</v>
      </c>
      <c r="C2508">
        <v>0.19800000000000001</v>
      </c>
      <c r="D2508">
        <v>582.29499999999996</v>
      </c>
      <c r="E2508">
        <v>0</v>
      </c>
      <c r="F2508">
        <v>18.143999999999998</v>
      </c>
      <c r="G2508">
        <v>18.143999999999998</v>
      </c>
      <c r="H2508" t="s">
        <v>3631</v>
      </c>
      <c r="I2508" s="1">
        <v>37159</v>
      </c>
      <c r="J2508" s="1">
        <v>37342</v>
      </c>
      <c r="K2508" s="1">
        <v>37356</v>
      </c>
      <c r="L2508" s="1">
        <v>37356</v>
      </c>
      <c r="M2508" s="1">
        <v>37356</v>
      </c>
      <c r="N2508" s="1">
        <v>37363</v>
      </c>
      <c r="O2508" t="s">
        <v>1117</v>
      </c>
      <c r="P2508">
        <v>3</v>
      </c>
      <c r="Q2508" t="s">
        <v>3632</v>
      </c>
      <c r="R2508">
        <f t="shared" si="79"/>
        <v>16</v>
      </c>
      <c r="S2508">
        <f t="shared" si="80"/>
        <v>1</v>
      </c>
    </row>
    <row r="2509" spans="1:19" x14ac:dyDescent="0.25">
      <c r="A2509" t="s">
        <v>3642</v>
      </c>
      <c r="B2509" t="s">
        <v>1199</v>
      </c>
      <c r="C2509">
        <v>0.2</v>
      </c>
      <c r="D2509">
        <v>297</v>
      </c>
      <c r="E2509">
        <v>0</v>
      </c>
      <c r="F2509">
        <v>2</v>
      </c>
      <c r="G2509">
        <v>2</v>
      </c>
      <c r="H2509" t="s">
        <v>3631</v>
      </c>
      <c r="I2509" s="1">
        <v>37124</v>
      </c>
      <c r="J2509" s="1">
        <v>37341</v>
      </c>
      <c r="K2509" s="1">
        <v>37376</v>
      </c>
      <c r="L2509" s="1">
        <v>37376</v>
      </c>
      <c r="M2509" s="1">
        <v>37369</v>
      </c>
      <c r="N2509" s="1">
        <v>37369</v>
      </c>
      <c r="O2509" t="s">
        <v>1117</v>
      </c>
      <c r="P2509">
        <v>5</v>
      </c>
      <c r="Q2509" t="s">
        <v>3632</v>
      </c>
      <c r="R2509">
        <f t="shared" si="79"/>
        <v>17</v>
      </c>
      <c r="S2509">
        <f t="shared" si="80"/>
        <v>1</v>
      </c>
    </row>
    <row r="2510" spans="1:19" x14ac:dyDescent="0.25">
      <c r="A2510" t="s">
        <v>3643</v>
      </c>
      <c r="B2510" t="s">
        <v>1199</v>
      </c>
      <c r="C2510">
        <v>0.15</v>
      </c>
      <c r="D2510">
        <v>297</v>
      </c>
      <c r="E2510">
        <v>0</v>
      </c>
      <c r="F2510">
        <v>4</v>
      </c>
      <c r="G2510">
        <v>4</v>
      </c>
      <c r="H2510" t="s">
        <v>3631</v>
      </c>
      <c r="I2510" s="1">
        <v>37109</v>
      </c>
      <c r="J2510" s="1">
        <v>37340</v>
      </c>
      <c r="K2510" s="1">
        <v>37345</v>
      </c>
      <c r="L2510" s="1">
        <v>37345</v>
      </c>
      <c r="M2510" s="1">
        <v>37345</v>
      </c>
      <c r="N2510" s="1">
        <v>37348</v>
      </c>
      <c r="O2510" t="s">
        <v>1117</v>
      </c>
      <c r="P2510">
        <v>1</v>
      </c>
      <c r="Q2510" t="s">
        <v>3632</v>
      </c>
      <c r="R2510">
        <f t="shared" si="79"/>
        <v>14</v>
      </c>
      <c r="S2510">
        <f t="shared" si="80"/>
        <v>1</v>
      </c>
    </row>
    <row r="2511" spans="1:19" x14ac:dyDescent="0.25">
      <c r="A2511" t="s">
        <v>3644</v>
      </c>
      <c r="B2511" t="s">
        <v>4028</v>
      </c>
      <c r="C2511">
        <v>0.15</v>
      </c>
      <c r="D2511">
        <v>305</v>
      </c>
      <c r="E2511">
        <v>0</v>
      </c>
      <c r="F2511">
        <v>6</v>
      </c>
      <c r="G2511">
        <v>6</v>
      </c>
      <c r="H2511" t="s">
        <v>3631</v>
      </c>
      <c r="I2511" s="1">
        <v>37109</v>
      </c>
      <c r="J2511" s="1">
        <v>37340</v>
      </c>
      <c r="K2511" t="s">
        <v>1124</v>
      </c>
      <c r="L2511" t="s">
        <v>1124</v>
      </c>
      <c r="M2511" s="1">
        <v>37363</v>
      </c>
      <c r="N2511" s="1">
        <v>37363</v>
      </c>
      <c r="O2511" t="s">
        <v>1117</v>
      </c>
      <c r="P2511">
        <v>2</v>
      </c>
      <c r="Q2511" t="s">
        <v>3632</v>
      </c>
      <c r="R2511">
        <f t="shared" si="79"/>
        <v>16</v>
      </c>
      <c r="S2511">
        <f t="shared" si="80"/>
        <v>1</v>
      </c>
    </row>
    <row r="2512" spans="1:19" x14ac:dyDescent="0.25">
      <c r="A2512" t="s">
        <v>3645</v>
      </c>
      <c r="B2512" t="s">
        <v>1199</v>
      </c>
      <c r="C2512">
        <v>0.2</v>
      </c>
      <c r="D2512">
        <v>179</v>
      </c>
      <c r="E2512">
        <v>0</v>
      </c>
      <c r="F2512">
        <v>4</v>
      </c>
      <c r="G2512">
        <v>4</v>
      </c>
      <c r="H2512" t="s">
        <v>3631</v>
      </c>
      <c r="I2512" s="1">
        <v>37109</v>
      </c>
      <c r="J2512" s="1">
        <v>37340</v>
      </c>
      <c r="K2512" s="1">
        <v>37346</v>
      </c>
      <c r="L2512" s="1">
        <v>37346</v>
      </c>
      <c r="M2512" s="1">
        <v>37346</v>
      </c>
      <c r="N2512" s="1">
        <v>37346</v>
      </c>
      <c r="O2512" t="s">
        <v>1117</v>
      </c>
      <c r="P2512">
        <v>4</v>
      </c>
      <c r="Q2512" t="s">
        <v>3632</v>
      </c>
      <c r="R2512">
        <f t="shared" si="79"/>
        <v>14</v>
      </c>
      <c r="S2512">
        <f t="shared" si="80"/>
        <v>1</v>
      </c>
    </row>
    <row r="2513" spans="1:19" x14ac:dyDescent="0.25">
      <c r="A2513" t="s">
        <v>3646</v>
      </c>
      <c r="B2513" t="s">
        <v>3631</v>
      </c>
      <c r="C2513">
        <v>0.2</v>
      </c>
      <c r="D2513">
        <v>196</v>
      </c>
      <c r="E2513">
        <v>0</v>
      </c>
      <c r="F2513">
        <v>2</v>
      </c>
      <c r="G2513">
        <v>2</v>
      </c>
      <c r="H2513" t="s">
        <v>3631</v>
      </c>
      <c r="I2513" s="1">
        <v>37124</v>
      </c>
      <c r="J2513" s="1">
        <v>37341</v>
      </c>
      <c r="K2513" s="1">
        <v>37376</v>
      </c>
      <c r="L2513" s="1">
        <v>37376</v>
      </c>
      <c r="M2513" s="1">
        <v>37369</v>
      </c>
      <c r="N2513" s="1">
        <v>37369</v>
      </c>
      <c r="O2513" t="s">
        <v>1117</v>
      </c>
      <c r="P2513">
        <v>4</v>
      </c>
      <c r="Q2513" t="s">
        <v>3632</v>
      </c>
      <c r="R2513">
        <f t="shared" si="79"/>
        <v>17</v>
      </c>
      <c r="S2513">
        <f t="shared" si="80"/>
        <v>1</v>
      </c>
    </row>
    <row r="2514" spans="1:19" x14ac:dyDescent="0.25">
      <c r="A2514" t="s">
        <v>3647</v>
      </c>
      <c r="B2514" t="s">
        <v>4028</v>
      </c>
      <c r="C2514">
        <v>0.2</v>
      </c>
      <c r="D2514">
        <v>285</v>
      </c>
      <c r="E2514">
        <v>0</v>
      </c>
      <c r="F2514">
        <v>2</v>
      </c>
      <c r="G2514">
        <v>2</v>
      </c>
      <c r="H2514" t="s">
        <v>3631</v>
      </c>
      <c r="I2514" s="1">
        <v>37192</v>
      </c>
      <c r="J2514" s="1">
        <v>37341</v>
      </c>
      <c r="K2514" s="1">
        <v>37346</v>
      </c>
      <c r="L2514" s="1">
        <v>37346</v>
      </c>
      <c r="M2514" s="1">
        <v>37346</v>
      </c>
      <c r="N2514" s="1">
        <v>37348</v>
      </c>
      <c r="O2514" t="s">
        <v>1117</v>
      </c>
      <c r="P2514">
        <v>5</v>
      </c>
      <c r="Q2514" t="s">
        <v>3632</v>
      </c>
      <c r="R2514">
        <f t="shared" si="79"/>
        <v>14</v>
      </c>
      <c r="S2514">
        <f t="shared" si="80"/>
        <v>1</v>
      </c>
    </row>
    <row r="2515" spans="1:19" x14ac:dyDescent="0.25">
      <c r="A2515" t="s">
        <v>3648</v>
      </c>
      <c r="B2515" t="s">
        <v>4027</v>
      </c>
      <c r="C2515">
        <v>0.2</v>
      </c>
      <c r="D2515">
        <v>250</v>
      </c>
      <c r="E2515">
        <v>0</v>
      </c>
      <c r="F2515">
        <v>2.5</v>
      </c>
      <c r="G2515">
        <v>2.5</v>
      </c>
      <c r="H2515" t="s">
        <v>3631</v>
      </c>
      <c r="I2515" s="1">
        <v>37159</v>
      </c>
      <c r="J2515" s="1">
        <v>37339</v>
      </c>
      <c r="K2515" s="1">
        <v>37346</v>
      </c>
      <c r="L2515" s="1">
        <v>37346</v>
      </c>
      <c r="M2515" s="1">
        <v>37346</v>
      </c>
      <c r="N2515" s="1">
        <v>37346</v>
      </c>
      <c r="O2515" t="s">
        <v>1117</v>
      </c>
      <c r="P2515">
        <v>1</v>
      </c>
      <c r="Q2515" t="s">
        <v>3632</v>
      </c>
      <c r="R2515">
        <f t="shared" si="79"/>
        <v>14</v>
      </c>
      <c r="S2515">
        <f t="shared" si="80"/>
        <v>1</v>
      </c>
    </row>
    <row r="2516" spans="1:19" x14ac:dyDescent="0.25">
      <c r="A2516" t="s">
        <v>3649</v>
      </c>
      <c r="B2516" t="s">
        <v>1199</v>
      </c>
      <c r="C2516">
        <v>0.2</v>
      </c>
      <c r="D2516">
        <v>120</v>
      </c>
      <c r="E2516">
        <v>0</v>
      </c>
      <c r="F2516">
        <v>2</v>
      </c>
      <c r="G2516">
        <v>2</v>
      </c>
      <c r="H2516" t="s">
        <v>3631</v>
      </c>
      <c r="I2516" s="1">
        <v>37134</v>
      </c>
      <c r="J2516" s="1">
        <v>37341</v>
      </c>
      <c r="K2516" s="1">
        <v>37370</v>
      </c>
      <c r="L2516" s="1">
        <v>37370</v>
      </c>
      <c r="M2516" s="1">
        <v>37363</v>
      </c>
      <c r="N2516" s="1">
        <v>37363</v>
      </c>
      <c r="O2516" t="s">
        <v>1117</v>
      </c>
      <c r="P2516">
        <v>15</v>
      </c>
      <c r="Q2516" t="s">
        <v>3632</v>
      </c>
      <c r="R2516">
        <f t="shared" si="79"/>
        <v>16</v>
      </c>
      <c r="S2516">
        <f t="shared" si="80"/>
        <v>1</v>
      </c>
    </row>
    <row r="2517" spans="1:19" x14ac:dyDescent="0.25">
      <c r="A2517" t="s">
        <v>3650</v>
      </c>
      <c r="B2517" t="s">
        <v>4028</v>
      </c>
      <c r="C2517">
        <v>0.15</v>
      </c>
      <c r="D2517">
        <v>250</v>
      </c>
      <c r="E2517">
        <v>0</v>
      </c>
      <c r="F2517">
        <v>4</v>
      </c>
      <c r="G2517">
        <v>4</v>
      </c>
      <c r="H2517" t="s">
        <v>3631</v>
      </c>
      <c r="I2517" s="1">
        <v>37116</v>
      </c>
      <c r="J2517" s="1">
        <v>37340</v>
      </c>
      <c r="K2517" s="1">
        <v>37354</v>
      </c>
      <c r="L2517" s="1">
        <v>37354</v>
      </c>
      <c r="M2517" s="1">
        <v>37354</v>
      </c>
      <c r="N2517" s="1">
        <v>37368</v>
      </c>
      <c r="O2517" t="s">
        <v>1117</v>
      </c>
      <c r="P2517">
        <v>1</v>
      </c>
      <c r="Q2517" t="s">
        <v>3632</v>
      </c>
      <c r="R2517">
        <f t="shared" si="79"/>
        <v>17</v>
      </c>
      <c r="S2517">
        <f t="shared" si="80"/>
        <v>1</v>
      </c>
    </row>
    <row r="2518" spans="1:19" x14ac:dyDescent="0.25">
      <c r="A2518" t="s">
        <v>3651</v>
      </c>
      <c r="B2518" t="s">
        <v>4028</v>
      </c>
      <c r="C2518">
        <v>0.19800000000000001</v>
      </c>
      <c r="D2518">
        <v>582.29499999999996</v>
      </c>
      <c r="E2518">
        <v>0</v>
      </c>
      <c r="F2518">
        <v>18.143999999999998</v>
      </c>
      <c r="G2518">
        <v>18.143999999999998</v>
      </c>
      <c r="H2518" t="s">
        <v>3631</v>
      </c>
      <c r="I2518" s="1">
        <v>37159</v>
      </c>
      <c r="J2518" s="1">
        <v>37342</v>
      </c>
      <c r="K2518" s="1">
        <v>37363</v>
      </c>
      <c r="L2518" s="1">
        <v>37363</v>
      </c>
      <c r="M2518" s="1">
        <v>37363</v>
      </c>
      <c r="N2518" s="1">
        <v>37363</v>
      </c>
      <c r="O2518" t="s">
        <v>1117</v>
      </c>
      <c r="P2518">
        <v>5</v>
      </c>
      <c r="Q2518" t="s">
        <v>3632</v>
      </c>
      <c r="R2518">
        <f t="shared" si="79"/>
        <v>16</v>
      </c>
      <c r="S2518">
        <f t="shared" si="80"/>
        <v>1</v>
      </c>
    </row>
    <row r="2519" spans="1:19" x14ac:dyDescent="0.25">
      <c r="A2519" t="s">
        <v>3652</v>
      </c>
      <c r="B2519" t="s">
        <v>4028</v>
      </c>
      <c r="C2519">
        <v>0.25</v>
      </c>
      <c r="D2519">
        <v>110</v>
      </c>
      <c r="E2519">
        <v>0</v>
      </c>
      <c r="F2519">
        <v>2</v>
      </c>
      <c r="G2519">
        <v>2</v>
      </c>
      <c r="H2519" t="s">
        <v>3631</v>
      </c>
      <c r="I2519" s="1">
        <v>37134</v>
      </c>
      <c r="J2519" s="1">
        <v>37341</v>
      </c>
      <c r="K2519" s="1">
        <v>37375</v>
      </c>
      <c r="L2519" s="1">
        <v>37375</v>
      </c>
      <c r="M2519" s="1">
        <v>37368</v>
      </c>
      <c r="N2519" s="1">
        <v>37368</v>
      </c>
      <c r="O2519" t="s">
        <v>1117</v>
      </c>
      <c r="P2519">
        <v>13</v>
      </c>
      <c r="Q2519" t="s">
        <v>3632</v>
      </c>
      <c r="R2519">
        <f t="shared" si="79"/>
        <v>17</v>
      </c>
      <c r="S2519">
        <f t="shared" si="80"/>
        <v>1</v>
      </c>
    </row>
    <row r="2520" spans="1:19" x14ac:dyDescent="0.25">
      <c r="A2520" t="s">
        <v>3653</v>
      </c>
      <c r="B2520" t="s">
        <v>4028</v>
      </c>
      <c r="C2520">
        <v>0.15</v>
      </c>
      <c r="D2520">
        <v>286</v>
      </c>
      <c r="E2520">
        <v>0</v>
      </c>
      <c r="F2520">
        <v>4</v>
      </c>
      <c r="G2520">
        <v>4</v>
      </c>
      <c r="H2520" t="s">
        <v>3631</v>
      </c>
      <c r="I2520" s="1">
        <v>37116</v>
      </c>
      <c r="J2520" s="1">
        <v>37340</v>
      </c>
      <c r="K2520" s="1">
        <v>37375</v>
      </c>
      <c r="L2520" s="1">
        <v>37375</v>
      </c>
      <c r="M2520" s="1">
        <v>37368</v>
      </c>
      <c r="N2520" s="1">
        <v>37368</v>
      </c>
      <c r="O2520" t="s">
        <v>1117</v>
      </c>
      <c r="P2520">
        <v>4</v>
      </c>
      <c r="Q2520" t="s">
        <v>3632</v>
      </c>
      <c r="R2520">
        <f t="shared" si="79"/>
        <v>17</v>
      </c>
      <c r="S2520">
        <f t="shared" si="80"/>
        <v>1</v>
      </c>
    </row>
    <row r="2521" spans="1:19" x14ac:dyDescent="0.25">
      <c r="A2521" t="s">
        <v>3654</v>
      </c>
      <c r="B2521" t="s">
        <v>4026</v>
      </c>
      <c r="C2521">
        <v>0.15</v>
      </c>
      <c r="D2521">
        <v>305</v>
      </c>
      <c r="E2521">
        <v>0</v>
      </c>
      <c r="F2521">
        <v>5</v>
      </c>
      <c r="G2521">
        <v>5</v>
      </c>
      <c r="H2521" t="s">
        <v>3631</v>
      </c>
      <c r="I2521" s="1">
        <v>37192</v>
      </c>
      <c r="J2521" s="1">
        <v>37342</v>
      </c>
      <c r="K2521" s="1">
        <v>37343</v>
      </c>
      <c r="L2521" s="1">
        <v>37343</v>
      </c>
      <c r="M2521" s="1">
        <v>37343</v>
      </c>
      <c r="N2521" s="1">
        <v>37363</v>
      </c>
      <c r="O2521" t="s">
        <v>1117</v>
      </c>
      <c r="P2521">
        <v>4</v>
      </c>
      <c r="Q2521" t="s">
        <v>3632</v>
      </c>
      <c r="R2521">
        <f t="shared" si="79"/>
        <v>16</v>
      </c>
      <c r="S2521">
        <f t="shared" si="80"/>
        <v>1</v>
      </c>
    </row>
    <row r="2522" spans="1:19" x14ac:dyDescent="0.25">
      <c r="A2522" t="s">
        <v>3655</v>
      </c>
      <c r="B2522" t="s">
        <v>4028</v>
      </c>
      <c r="C2522">
        <v>0.15</v>
      </c>
      <c r="D2522">
        <v>250</v>
      </c>
      <c r="E2522">
        <v>0</v>
      </c>
      <c r="F2522">
        <v>2.5</v>
      </c>
      <c r="G2522">
        <v>2.5</v>
      </c>
      <c r="H2522" t="s">
        <v>3631</v>
      </c>
      <c r="I2522" s="1">
        <v>37116</v>
      </c>
      <c r="J2522" s="1">
        <v>37340</v>
      </c>
      <c r="K2522" t="s">
        <v>1124</v>
      </c>
      <c r="L2522" t="s">
        <v>1124</v>
      </c>
      <c r="M2522" s="1">
        <v>37368</v>
      </c>
      <c r="N2522" s="1">
        <v>37368</v>
      </c>
      <c r="O2522" t="s">
        <v>1117</v>
      </c>
      <c r="P2522">
        <v>6</v>
      </c>
      <c r="Q2522" t="s">
        <v>3632</v>
      </c>
      <c r="R2522">
        <f t="shared" si="79"/>
        <v>17</v>
      </c>
      <c r="S2522">
        <f t="shared" si="80"/>
        <v>1</v>
      </c>
    </row>
    <row r="2523" spans="1:19" x14ac:dyDescent="0.25">
      <c r="A2523" t="s">
        <v>3656</v>
      </c>
      <c r="B2523" t="s">
        <v>1199</v>
      </c>
      <c r="C2523">
        <v>0.2</v>
      </c>
      <c r="D2523">
        <v>305</v>
      </c>
      <c r="E2523">
        <v>0</v>
      </c>
      <c r="F2523">
        <v>2</v>
      </c>
      <c r="G2523">
        <v>2</v>
      </c>
      <c r="H2523" t="s">
        <v>3631</v>
      </c>
      <c r="I2523" s="1">
        <v>37124</v>
      </c>
      <c r="J2523" s="1">
        <v>37341</v>
      </c>
      <c r="K2523" t="s">
        <v>1124</v>
      </c>
      <c r="L2523" t="s">
        <v>1124</v>
      </c>
      <c r="M2523" s="1">
        <v>37363</v>
      </c>
      <c r="N2523" s="1">
        <v>37363</v>
      </c>
      <c r="O2523" t="s">
        <v>1117</v>
      </c>
      <c r="P2523">
        <v>6</v>
      </c>
      <c r="Q2523" t="s">
        <v>3632</v>
      </c>
      <c r="R2523">
        <f t="shared" si="79"/>
        <v>16</v>
      </c>
      <c r="S2523">
        <f t="shared" si="80"/>
        <v>1</v>
      </c>
    </row>
    <row r="2524" spans="1:19" x14ac:dyDescent="0.25">
      <c r="A2524" t="s">
        <v>3657</v>
      </c>
      <c r="B2524" t="s">
        <v>4028</v>
      </c>
      <c r="C2524">
        <v>0.19800000000000001</v>
      </c>
      <c r="D2524">
        <v>582.29499999999996</v>
      </c>
      <c r="E2524">
        <v>0</v>
      </c>
      <c r="F2524">
        <v>18.143999999999998</v>
      </c>
      <c r="G2524">
        <v>18.143999999999998</v>
      </c>
      <c r="H2524" t="s">
        <v>3631</v>
      </c>
      <c r="I2524" s="1">
        <v>37159</v>
      </c>
      <c r="J2524" s="1">
        <v>37342</v>
      </c>
      <c r="K2524" s="1">
        <v>37342</v>
      </c>
      <c r="L2524" s="1">
        <v>37342</v>
      </c>
      <c r="M2524" s="1">
        <v>37342</v>
      </c>
      <c r="N2524" s="1">
        <v>37363</v>
      </c>
      <c r="O2524" t="s">
        <v>1114</v>
      </c>
      <c r="P2524">
        <v>10</v>
      </c>
      <c r="Q2524" t="s">
        <v>3632</v>
      </c>
      <c r="R2524">
        <f t="shared" si="79"/>
        <v>16</v>
      </c>
      <c r="S2524">
        <f t="shared" si="80"/>
        <v>1</v>
      </c>
    </row>
    <row r="2525" spans="1:19" x14ac:dyDescent="0.25">
      <c r="A2525" t="s">
        <v>3658</v>
      </c>
      <c r="B2525" t="s">
        <v>1199</v>
      </c>
      <c r="C2525">
        <v>0.2</v>
      </c>
      <c r="D2525">
        <v>179</v>
      </c>
      <c r="E2525">
        <v>0</v>
      </c>
      <c r="F2525">
        <v>2</v>
      </c>
      <c r="G2525">
        <v>2</v>
      </c>
      <c r="H2525" t="s">
        <v>3631</v>
      </c>
      <c r="I2525" s="1">
        <v>37124</v>
      </c>
      <c r="J2525" s="1">
        <v>37341</v>
      </c>
      <c r="K2525" s="1">
        <v>37346</v>
      </c>
      <c r="L2525" s="1">
        <v>37346</v>
      </c>
      <c r="M2525" s="1">
        <v>37346</v>
      </c>
      <c r="N2525" s="1">
        <v>37346</v>
      </c>
      <c r="O2525" t="s">
        <v>1117</v>
      </c>
      <c r="P2525">
        <v>3</v>
      </c>
      <c r="Q2525" t="s">
        <v>3632</v>
      </c>
      <c r="R2525">
        <f t="shared" si="79"/>
        <v>14</v>
      </c>
      <c r="S2525">
        <f t="shared" si="80"/>
        <v>1</v>
      </c>
    </row>
    <row r="2526" spans="1:19" x14ac:dyDescent="0.25">
      <c r="A2526" t="s">
        <v>3659</v>
      </c>
      <c r="B2526" t="s">
        <v>4028</v>
      </c>
      <c r="C2526">
        <v>0.2</v>
      </c>
      <c r="D2526">
        <v>330</v>
      </c>
      <c r="E2526">
        <v>0</v>
      </c>
      <c r="F2526">
        <v>2</v>
      </c>
      <c r="G2526">
        <v>2</v>
      </c>
      <c r="H2526" t="s">
        <v>3631</v>
      </c>
      <c r="I2526" s="1">
        <v>37134</v>
      </c>
      <c r="J2526" s="1">
        <v>37341</v>
      </c>
      <c r="K2526" s="1">
        <v>37354</v>
      </c>
      <c r="L2526" s="1">
        <v>37354</v>
      </c>
      <c r="M2526" s="1">
        <v>37341</v>
      </c>
      <c r="N2526" s="1">
        <v>37341</v>
      </c>
      <c r="O2526" t="s">
        <v>1117</v>
      </c>
      <c r="P2526">
        <v>1</v>
      </c>
      <c r="Q2526" t="s">
        <v>3632</v>
      </c>
      <c r="R2526">
        <f t="shared" si="79"/>
        <v>13</v>
      </c>
      <c r="S2526">
        <f t="shared" si="80"/>
        <v>1</v>
      </c>
    </row>
    <row r="2527" spans="1:19" x14ac:dyDescent="0.25">
      <c r="A2527" t="s">
        <v>3660</v>
      </c>
      <c r="B2527" t="s">
        <v>3631</v>
      </c>
      <c r="C2527">
        <v>0.3</v>
      </c>
      <c r="D2527">
        <v>170</v>
      </c>
      <c r="E2527">
        <v>0</v>
      </c>
      <c r="F2527">
        <v>2</v>
      </c>
      <c r="G2527">
        <v>2</v>
      </c>
      <c r="H2527" t="s">
        <v>3631</v>
      </c>
      <c r="I2527" s="1">
        <v>37134</v>
      </c>
      <c r="J2527" s="1">
        <v>37325</v>
      </c>
      <c r="K2527" s="1">
        <v>37363</v>
      </c>
      <c r="L2527" s="1">
        <v>37363</v>
      </c>
      <c r="M2527" s="1">
        <v>37351</v>
      </c>
      <c r="N2527" s="1">
        <v>37351</v>
      </c>
      <c r="O2527" t="s">
        <v>1117</v>
      </c>
      <c r="P2527">
        <v>1</v>
      </c>
      <c r="Q2527" t="s">
        <v>3632</v>
      </c>
      <c r="R2527">
        <f t="shared" si="79"/>
        <v>14</v>
      </c>
      <c r="S2527">
        <f t="shared" si="80"/>
        <v>1</v>
      </c>
    </row>
    <row r="2528" spans="1:19" x14ac:dyDescent="0.25">
      <c r="A2528" t="s">
        <v>3661</v>
      </c>
      <c r="B2528" t="s">
        <v>4028</v>
      </c>
      <c r="C2528">
        <v>7.5999999999999998E-2</v>
      </c>
      <c r="D2528">
        <v>8.5850000000000009</v>
      </c>
      <c r="E2528">
        <v>0</v>
      </c>
      <c r="F2528">
        <v>10</v>
      </c>
      <c r="G2528">
        <v>10</v>
      </c>
      <c r="H2528" t="s">
        <v>3631</v>
      </c>
      <c r="I2528" s="1">
        <v>37368</v>
      </c>
      <c r="J2528" s="1">
        <v>37382</v>
      </c>
      <c r="K2528" t="s">
        <v>1124</v>
      </c>
      <c r="L2528" t="s">
        <v>1124</v>
      </c>
      <c r="M2528" t="s">
        <v>1124</v>
      </c>
      <c r="N2528" s="1">
        <v>37351</v>
      </c>
      <c r="O2528" t="s">
        <v>1117</v>
      </c>
      <c r="P2528">
        <v>1</v>
      </c>
      <c r="Q2528" t="s">
        <v>3632</v>
      </c>
      <c r="R2528">
        <f t="shared" si="79"/>
        <v>14</v>
      </c>
      <c r="S2528">
        <f t="shared" si="80"/>
        <v>0</v>
      </c>
    </row>
    <row r="2529" spans="1:19" x14ac:dyDescent="0.25">
      <c r="A2529" t="s">
        <v>3662</v>
      </c>
      <c r="B2529" t="s">
        <v>1199</v>
      </c>
      <c r="C2529">
        <v>0.15</v>
      </c>
      <c r="D2529">
        <v>150</v>
      </c>
      <c r="E2529">
        <v>0</v>
      </c>
      <c r="F2529">
        <v>2.5</v>
      </c>
      <c r="G2529">
        <v>2.5</v>
      </c>
      <c r="H2529" t="s">
        <v>3631</v>
      </c>
      <c r="I2529" s="1">
        <v>37116</v>
      </c>
      <c r="J2529" s="1">
        <v>37340</v>
      </c>
      <c r="K2529" s="1">
        <v>37361</v>
      </c>
      <c r="L2529" s="1">
        <v>37361</v>
      </c>
      <c r="M2529" s="1">
        <v>37361</v>
      </c>
      <c r="N2529" s="1">
        <v>37361</v>
      </c>
      <c r="O2529" t="s">
        <v>1117</v>
      </c>
      <c r="P2529">
        <v>8</v>
      </c>
      <c r="Q2529" t="s">
        <v>3632</v>
      </c>
      <c r="R2529">
        <f t="shared" si="79"/>
        <v>16</v>
      </c>
      <c r="S2529">
        <f t="shared" si="80"/>
        <v>1</v>
      </c>
    </row>
    <row r="2530" spans="1:19" x14ac:dyDescent="0.25">
      <c r="A2530" t="s">
        <v>3663</v>
      </c>
      <c r="B2530" t="s">
        <v>4026</v>
      </c>
      <c r="C2530">
        <v>7.5999999999999998E-2</v>
      </c>
      <c r="D2530">
        <v>6.782</v>
      </c>
      <c r="E2530">
        <v>0</v>
      </c>
      <c r="F2530">
        <v>10</v>
      </c>
      <c r="G2530">
        <v>10</v>
      </c>
      <c r="H2530" t="s">
        <v>3631</v>
      </c>
      <c r="I2530" s="1">
        <v>37368</v>
      </c>
      <c r="J2530" s="1">
        <v>37382</v>
      </c>
      <c r="K2530" t="s">
        <v>1124</v>
      </c>
      <c r="L2530" t="s">
        <v>1124</v>
      </c>
      <c r="M2530" t="s">
        <v>1124</v>
      </c>
      <c r="N2530" s="1">
        <v>37351</v>
      </c>
      <c r="O2530" t="s">
        <v>1117</v>
      </c>
      <c r="P2530">
        <v>1</v>
      </c>
      <c r="Q2530" t="s">
        <v>3632</v>
      </c>
      <c r="R2530">
        <f t="shared" si="79"/>
        <v>14</v>
      </c>
      <c r="S2530">
        <f t="shared" si="80"/>
        <v>0</v>
      </c>
    </row>
    <row r="2531" spans="1:19" x14ac:dyDescent="0.25">
      <c r="A2531" t="s">
        <v>3664</v>
      </c>
      <c r="B2531" t="s">
        <v>4026</v>
      </c>
      <c r="C2531">
        <v>0.19800000000000001</v>
      </c>
      <c r="D2531">
        <v>582.29499999999996</v>
      </c>
      <c r="E2531">
        <v>0</v>
      </c>
      <c r="F2531">
        <v>18.143999999999998</v>
      </c>
      <c r="G2531">
        <v>18.143999999999998</v>
      </c>
      <c r="H2531" t="s">
        <v>3631</v>
      </c>
      <c r="I2531" s="1">
        <v>37159</v>
      </c>
      <c r="J2531" s="1">
        <v>37342</v>
      </c>
      <c r="K2531" s="1">
        <v>37357</v>
      </c>
      <c r="L2531" s="1">
        <v>37357</v>
      </c>
      <c r="M2531" s="1">
        <v>37357</v>
      </c>
      <c r="N2531" s="1">
        <v>37363</v>
      </c>
      <c r="O2531" t="s">
        <v>1117</v>
      </c>
      <c r="P2531">
        <v>8</v>
      </c>
      <c r="Q2531" t="s">
        <v>3632</v>
      </c>
      <c r="R2531">
        <f t="shared" si="79"/>
        <v>16</v>
      </c>
      <c r="S2531">
        <f t="shared" si="80"/>
        <v>1</v>
      </c>
    </row>
    <row r="2532" spans="1:19" x14ac:dyDescent="0.25">
      <c r="A2532" t="s">
        <v>3665</v>
      </c>
      <c r="B2532" t="s">
        <v>3521</v>
      </c>
      <c r="C2532">
        <v>7.5999999999999998E-2</v>
      </c>
      <c r="D2532">
        <v>10.262</v>
      </c>
      <c r="E2532">
        <v>0</v>
      </c>
      <c r="F2532">
        <v>10</v>
      </c>
      <c r="G2532">
        <v>10</v>
      </c>
      <c r="H2532" t="s">
        <v>3631</v>
      </c>
      <c r="I2532" s="1">
        <v>37368</v>
      </c>
      <c r="J2532" s="1">
        <v>37381</v>
      </c>
      <c r="K2532" t="s">
        <v>1124</v>
      </c>
      <c r="L2532" t="s">
        <v>1124</v>
      </c>
      <c r="M2532" t="s">
        <v>1124</v>
      </c>
      <c r="N2532" s="1">
        <v>37351</v>
      </c>
      <c r="O2532" t="s">
        <v>1117</v>
      </c>
      <c r="P2532">
        <v>2</v>
      </c>
      <c r="Q2532" t="s">
        <v>3632</v>
      </c>
      <c r="R2532">
        <f t="shared" si="79"/>
        <v>14</v>
      </c>
      <c r="S2532">
        <f t="shared" si="80"/>
        <v>0</v>
      </c>
    </row>
    <row r="2533" spans="1:19" x14ac:dyDescent="0.25">
      <c r="A2533" t="s">
        <v>3666</v>
      </c>
      <c r="B2533" t="s">
        <v>4028</v>
      </c>
      <c r="C2533">
        <v>0.25</v>
      </c>
      <c r="D2533">
        <v>110</v>
      </c>
      <c r="E2533">
        <v>0</v>
      </c>
      <c r="F2533">
        <v>3</v>
      </c>
      <c r="G2533">
        <v>3</v>
      </c>
      <c r="H2533" t="s">
        <v>3631</v>
      </c>
      <c r="I2533" s="1">
        <v>37134</v>
      </c>
      <c r="J2533" s="1">
        <v>37341</v>
      </c>
      <c r="K2533" s="1">
        <v>37341</v>
      </c>
      <c r="L2533" s="1">
        <v>37341</v>
      </c>
      <c r="M2533" s="1">
        <v>37341</v>
      </c>
      <c r="N2533" s="1">
        <v>37368</v>
      </c>
      <c r="O2533" t="s">
        <v>1114</v>
      </c>
      <c r="P2533">
        <v>14</v>
      </c>
      <c r="Q2533" t="s">
        <v>3632</v>
      </c>
      <c r="R2533">
        <f t="shared" si="79"/>
        <v>17</v>
      </c>
      <c r="S2533">
        <f t="shared" si="80"/>
        <v>1</v>
      </c>
    </row>
    <row r="2534" spans="1:19" x14ac:dyDescent="0.25">
      <c r="A2534" t="s">
        <v>3667</v>
      </c>
      <c r="B2534" t="s">
        <v>4028</v>
      </c>
      <c r="C2534">
        <v>0.15</v>
      </c>
      <c r="D2534">
        <v>305</v>
      </c>
      <c r="E2534">
        <v>0</v>
      </c>
      <c r="F2534">
        <v>5</v>
      </c>
      <c r="G2534">
        <v>5</v>
      </c>
      <c r="H2534" t="s">
        <v>3631</v>
      </c>
      <c r="I2534" s="1">
        <v>37192</v>
      </c>
      <c r="J2534" s="1">
        <v>37341</v>
      </c>
      <c r="K2534" s="1">
        <v>37343</v>
      </c>
      <c r="L2534" s="1">
        <v>37343</v>
      </c>
      <c r="M2534" s="1">
        <v>37343</v>
      </c>
      <c r="N2534" s="1">
        <v>37363</v>
      </c>
      <c r="O2534" t="s">
        <v>1117</v>
      </c>
      <c r="P2534">
        <v>4</v>
      </c>
      <c r="Q2534" t="s">
        <v>3632</v>
      </c>
      <c r="R2534">
        <f t="shared" si="79"/>
        <v>16</v>
      </c>
      <c r="S2534">
        <f t="shared" si="80"/>
        <v>1</v>
      </c>
    </row>
    <row r="2535" spans="1:19" x14ac:dyDescent="0.25">
      <c r="A2535" t="s">
        <v>3668</v>
      </c>
      <c r="B2535" t="s">
        <v>4028</v>
      </c>
      <c r="C2535">
        <v>7.5999999999999998E-2</v>
      </c>
      <c r="D2535">
        <v>9.2959999999999994</v>
      </c>
      <c r="E2535">
        <v>0</v>
      </c>
      <c r="F2535">
        <v>10</v>
      </c>
      <c r="G2535">
        <v>10</v>
      </c>
      <c r="H2535" t="s">
        <v>3631</v>
      </c>
      <c r="I2535" s="1">
        <v>37368</v>
      </c>
      <c r="J2535" s="1">
        <v>37381</v>
      </c>
      <c r="K2535" t="s">
        <v>1124</v>
      </c>
      <c r="L2535" t="s">
        <v>1124</v>
      </c>
      <c r="M2535" s="1">
        <v>37381</v>
      </c>
      <c r="N2535" s="1">
        <v>37381</v>
      </c>
      <c r="O2535" t="s">
        <v>1117</v>
      </c>
      <c r="P2535">
        <v>1</v>
      </c>
      <c r="Q2535" t="s">
        <v>3632</v>
      </c>
      <c r="R2535">
        <f t="shared" si="79"/>
        <v>19</v>
      </c>
      <c r="S2535">
        <f t="shared" si="80"/>
        <v>1</v>
      </c>
    </row>
    <row r="2536" spans="1:19" x14ac:dyDescent="0.25">
      <c r="A2536" t="s">
        <v>3669</v>
      </c>
      <c r="B2536" t="s">
        <v>1199</v>
      </c>
      <c r="C2536">
        <v>0.19800000000000001</v>
      </c>
      <c r="D2536">
        <v>582.29499999999996</v>
      </c>
      <c r="E2536">
        <v>0</v>
      </c>
      <c r="F2536">
        <v>18.143999999999998</v>
      </c>
      <c r="G2536">
        <v>18.143999999999998</v>
      </c>
      <c r="H2536" t="s">
        <v>3631</v>
      </c>
      <c r="I2536" s="1">
        <v>37112</v>
      </c>
      <c r="J2536" s="1">
        <v>37343</v>
      </c>
      <c r="K2536" s="1">
        <v>37365</v>
      </c>
      <c r="L2536" s="1">
        <v>37365</v>
      </c>
      <c r="M2536" s="1">
        <v>37358</v>
      </c>
      <c r="N2536" s="1">
        <v>37363</v>
      </c>
      <c r="O2536" t="s">
        <v>1117</v>
      </c>
      <c r="P2536">
        <v>12</v>
      </c>
      <c r="Q2536" t="s">
        <v>3632</v>
      </c>
      <c r="R2536">
        <f t="shared" si="79"/>
        <v>16</v>
      </c>
      <c r="S2536">
        <f t="shared" si="80"/>
        <v>1</v>
      </c>
    </row>
    <row r="2537" spans="1:19" x14ac:dyDescent="0.25">
      <c r="A2537" t="s">
        <v>3670</v>
      </c>
      <c r="B2537" t="s">
        <v>1199</v>
      </c>
      <c r="C2537">
        <v>0.15</v>
      </c>
      <c r="D2537">
        <v>305</v>
      </c>
      <c r="E2537">
        <v>0</v>
      </c>
      <c r="F2537">
        <v>5</v>
      </c>
      <c r="G2537">
        <v>5</v>
      </c>
      <c r="H2537" t="s">
        <v>3631</v>
      </c>
      <c r="I2537" s="1">
        <v>37192</v>
      </c>
      <c r="J2537" s="1">
        <v>37342</v>
      </c>
      <c r="K2537" s="1">
        <v>37343</v>
      </c>
      <c r="L2537" s="1">
        <v>37343</v>
      </c>
      <c r="M2537" s="1">
        <v>37343</v>
      </c>
      <c r="N2537" s="1">
        <v>37363</v>
      </c>
      <c r="O2537" t="s">
        <v>1117</v>
      </c>
      <c r="P2537">
        <v>4</v>
      </c>
      <c r="Q2537" t="s">
        <v>3632</v>
      </c>
      <c r="R2537">
        <f t="shared" si="79"/>
        <v>16</v>
      </c>
      <c r="S2537">
        <f t="shared" si="80"/>
        <v>1</v>
      </c>
    </row>
    <row r="2538" spans="1:19" x14ac:dyDescent="0.25">
      <c r="A2538" t="s">
        <v>3671</v>
      </c>
      <c r="B2538" t="s">
        <v>4026</v>
      </c>
      <c r="C2538">
        <v>0.19800000000000001</v>
      </c>
      <c r="D2538">
        <v>582.29499999999996</v>
      </c>
      <c r="E2538">
        <v>0</v>
      </c>
      <c r="F2538">
        <v>18.143999999999998</v>
      </c>
      <c r="G2538">
        <v>18.143999999999998</v>
      </c>
      <c r="H2538" t="s">
        <v>3631</v>
      </c>
      <c r="I2538" s="1">
        <v>37112</v>
      </c>
      <c r="J2538" s="1">
        <v>37343</v>
      </c>
      <c r="K2538" t="s">
        <v>1124</v>
      </c>
      <c r="L2538" t="s">
        <v>1124</v>
      </c>
      <c r="M2538" s="1">
        <v>37351</v>
      </c>
      <c r="N2538" s="1">
        <v>37363</v>
      </c>
      <c r="O2538" t="s">
        <v>1117</v>
      </c>
      <c r="P2538">
        <v>9</v>
      </c>
      <c r="Q2538" t="s">
        <v>3632</v>
      </c>
      <c r="R2538">
        <f t="shared" si="79"/>
        <v>16</v>
      </c>
      <c r="S2538">
        <f t="shared" si="80"/>
        <v>1</v>
      </c>
    </row>
    <row r="2539" spans="1:19" x14ac:dyDescent="0.25">
      <c r="A2539" t="s">
        <v>3672</v>
      </c>
      <c r="B2539" t="s">
        <v>4027</v>
      </c>
      <c r="C2539">
        <v>0.19800000000000001</v>
      </c>
      <c r="D2539">
        <v>582.29499999999996</v>
      </c>
      <c r="E2539">
        <v>0</v>
      </c>
      <c r="F2539">
        <v>18.143999999999998</v>
      </c>
      <c r="G2539">
        <v>18.143999999999998</v>
      </c>
      <c r="H2539" t="s">
        <v>3631</v>
      </c>
      <c r="I2539" s="1">
        <v>37112</v>
      </c>
      <c r="J2539" s="1">
        <v>37343</v>
      </c>
      <c r="K2539" s="1">
        <v>37350</v>
      </c>
      <c r="L2539" s="1">
        <v>37350</v>
      </c>
      <c r="M2539" s="1">
        <v>37350</v>
      </c>
      <c r="N2539" s="1">
        <v>37363</v>
      </c>
      <c r="O2539" t="s">
        <v>1117</v>
      </c>
      <c r="P2539">
        <v>8</v>
      </c>
      <c r="Q2539" t="s">
        <v>3632</v>
      </c>
      <c r="R2539">
        <f t="shared" si="79"/>
        <v>16</v>
      </c>
      <c r="S2539">
        <f t="shared" si="80"/>
        <v>1</v>
      </c>
    </row>
    <row r="2540" spans="1:19" x14ac:dyDescent="0.25">
      <c r="A2540" t="s">
        <v>3673</v>
      </c>
      <c r="B2540" t="s">
        <v>4028</v>
      </c>
      <c r="C2540">
        <v>0.19800000000000001</v>
      </c>
      <c r="D2540">
        <v>582.29499999999996</v>
      </c>
      <c r="E2540">
        <v>0</v>
      </c>
      <c r="F2540">
        <v>18.143999999999998</v>
      </c>
      <c r="G2540">
        <v>18.143999999999998</v>
      </c>
      <c r="H2540" t="s">
        <v>3631</v>
      </c>
      <c r="I2540" s="1">
        <v>37159</v>
      </c>
      <c r="J2540" s="1">
        <v>37342</v>
      </c>
      <c r="K2540" t="s">
        <v>1124</v>
      </c>
      <c r="L2540" t="s">
        <v>1124</v>
      </c>
      <c r="M2540" s="1">
        <v>37351</v>
      </c>
      <c r="N2540" s="1">
        <v>37363</v>
      </c>
      <c r="O2540" t="s">
        <v>1117</v>
      </c>
      <c r="P2540">
        <v>11</v>
      </c>
      <c r="Q2540" t="s">
        <v>3632</v>
      </c>
      <c r="R2540">
        <f t="shared" si="79"/>
        <v>16</v>
      </c>
      <c r="S2540">
        <f t="shared" si="80"/>
        <v>1</v>
      </c>
    </row>
    <row r="2541" spans="1:19" x14ac:dyDescent="0.25">
      <c r="A2541" t="s">
        <v>3674</v>
      </c>
      <c r="B2541" t="s">
        <v>4027</v>
      </c>
      <c r="C2541">
        <v>0.19800000000000001</v>
      </c>
      <c r="D2541">
        <v>582.29499999999996</v>
      </c>
      <c r="E2541">
        <v>0</v>
      </c>
      <c r="F2541">
        <v>18.143999999999998</v>
      </c>
      <c r="G2541">
        <v>18.143999999999998</v>
      </c>
      <c r="H2541" t="s">
        <v>3631</v>
      </c>
      <c r="I2541" s="1">
        <v>37159</v>
      </c>
      <c r="J2541" s="1">
        <v>37342</v>
      </c>
      <c r="K2541" s="1">
        <v>37363</v>
      </c>
      <c r="L2541" s="1">
        <v>37363</v>
      </c>
      <c r="M2541" s="1">
        <v>37363</v>
      </c>
      <c r="N2541" s="1">
        <v>37363</v>
      </c>
      <c r="O2541" t="s">
        <v>1117</v>
      </c>
      <c r="P2541">
        <v>9</v>
      </c>
      <c r="Q2541" t="s">
        <v>3632</v>
      </c>
      <c r="R2541">
        <f t="shared" si="79"/>
        <v>16</v>
      </c>
      <c r="S2541">
        <f t="shared" si="80"/>
        <v>1</v>
      </c>
    </row>
    <row r="2542" spans="1:19" x14ac:dyDescent="0.25">
      <c r="A2542" t="s">
        <v>3675</v>
      </c>
      <c r="B2542" t="s">
        <v>1199</v>
      </c>
      <c r="C2542">
        <v>0.19800000000000001</v>
      </c>
      <c r="D2542">
        <v>582.29499999999996</v>
      </c>
      <c r="E2542">
        <v>0</v>
      </c>
      <c r="F2542">
        <v>18.143999999999998</v>
      </c>
      <c r="G2542">
        <v>18.143999999999998</v>
      </c>
      <c r="H2542" t="s">
        <v>3631</v>
      </c>
      <c r="I2542" s="1">
        <v>37112</v>
      </c>
      <c r="J2542" s="1">
        <v>37343</v>
      </c>
      <c r="K2542" s="1">
        <v>37363</v>
      </c>
      <c r="L2542" s="1">
        <v>37363</v>
      </c>
      <c r="M2542" s="1">
        <v>37363</v>
      </c>
      <c r="N2542" s="1">
        <v>37363</v>
      </c>
      <c r="O2542" t="s">
        <v>1117</v>
      </c>
      <c r="P2542">
        <v>11</v>
      </c>
      <c r="Q2542" t="s">
        <v>3632</v>
      </c>
      <c r="R2542">
        <f t="shared" si="79"/>
        <v>16</v>
      </c>
      <c r="S2542">
        <f t="shared" si="80"/>
        <v>1</v>
      </c>
    </row>
    <row r="2543" spans="1:19" x14ac:dyDescent="0.25">
      <c r="A2543" t="s">
        <v>3676</v>
      </c>
      <c r="B2543" t="s">
        <v>4028</v>
      </c>
      <c r="C2543">
        <v>0.15</v>
      </c>
      <c r="D2543">
        <v>286</v>
      </c>
      <c r="E2543">
        <v>0</v>
      </c>
      <c r="F2543">
        <v>4</v>
      </c>
      <c r="G2543">
        <v>4</v>
      </c>
      <c r="H2543" t="s">
        <v>3631</v>
      </c>
      <c r="I2543" s="1">
        <v>37116</v>
      </c>
      <c r="J2543" s="1">
        <v>37340</v>
      </c>
      <c r="K2543" s="1">
        <v>37347</v>
      </c>
      <c r="L2543" s="1">
        <v>37347</v>
      </c>
      <c r="M2543" s="1">
        <v>37347</v>
      </c>
      <c r="N2543" s="1">
        <v>37368</v>
      </c>
      <c r="O2543" t="s">
        <v>1117</v>
      </c>
      <c r="P2543">
        <v>9</v>
      </c>
      <c r="Q2543" t="s">
        <v>3632</v>
      </c>
      <c r="R2543">
        <f t="shared" si="79"/>
        <v>17</v>
      </c>
      <c r="S2543">
        <f t="shared" si="80"/>
        <v>1</v>
      </c>
    </row>
    <row r="2544" spans="1:19" x14ac:dyDescent="0.25">
      <c r="A2544" t="s">
        <v>3677</v>
      </c>
      <c r="B2544" t="s">
        <v>1199</v>
      </c>
      <c r="C2544">
        <v>0.15</v>
      </c>
      <c r="D2544">
        <v>150</v>
      </c>
      <c r="E2544">
        <v>0</v>
      </c>
      <c r="F2544">
        <v>2.5</v>
      </c>
      <c r="G2544">
        <v>2.5</v>
      </c>
      <c r="H2544" t="s">
        <v>3631</v>
      </c>
      <c r="I2544" s="1">
        <v>37116</v>
      </c>
      <c r="J2544" s="1">
        <v>37340</v>
      </c>
      <c r="K2544" s="1">
        <v>37361</v>
      </c>
      <c r="L2544" s="1">
        <v>37361</v>
      </c>
      <c r="M2544" s="1">
        <v>37361</v>
      </c>
      <c r="N2544" s="1">
        <v>37361</v>
      </c>
      <c r="O2544" t="s">
        <v>1117</v>
      </c>
      <c r="P2544">
        <v>3</v>
      </c>
      <c r="Q2544" t="s">
        <v>3632</v>
      </c>
      <c r="R2544">
        <f t="shared" si="79"/>
        <v>16</v>
      </c>
      <c r="S2544">
        <f t="shared" si="80"/>
        <v>1</v>
      </c>
    </row>
    <row r="2545" spans="1:19" x14ac:dyDescent="0.25">
      <c r="A2545" t="s">
        <v>3678</v>
      </c>
      <c r="B2545" t="s">
        <v>1199</v>
      </c>
      <c r="C2545">
        <v>0.19800000000000001</v>
      </c>
      <c r="D2545">
        <v>582.29499999999996</v>
      </c>
      <c r="E2545">
        <v>0</v>
      </c>
      <c r="F2545">
        <v>18.143999999999998</v>
      </c>
      <c r="G2545">
        <v>16.239000000000001</v>
      </c>
      <c r="H2545" t="s">
        <v>3631</v>
      </c>
      <c r="I2545" s="1">
        <v>37159</v>
      </c>
      <c r="J2545" s="1">
        <v>37342</v>
      </c>
      <c r="K2545" s="1">
        <v>37342</v>
      </c>
      <c r="L2545" s="1">
        <v>37342</v>
      </c>
      <c r="M2545" s="1">
        <v>37342</v>
      </c>
      <c r="N2545" s="1">
        <v>37363</v>
      </c>
      <c r="O2545" t="s">
        <v>1114</v>
      </c>
      <c r="P2545">
        <v>1</v>
      </c>
      <c r="Q2545" t="s">
        <v>3632</v>
      </c>
      <c r="R2545">
        <f t="shared" si="79"/>
        <v>16</v>
      </c>
      <c r="S2545">
        <f t="shared" si="80"/>
        <v>0</v>
      </c>
    </row>
    <row r="2546" spans="1:19" x14ac:dyDescent="0.25">
      <c r="A2546" t="s">
        <v>3679</v>
      </c>
      <c r="B2546" t="s">
        <v>1199</v>
      </c>
      <c r="C2546">
        <v>0.2</v>
      </c>
      <c r="D2546">
        <v>108.7</v>
      </c>
      <c r="E2546">
        <v>0</v>
      </c>
      <c r="F2546">
        <v>20</v>
      </c>
      <c r="G2546">
        <v>6.7969999999999997</v>
      </c>
      <c r="H2546" t="s">
        <v>3631</v>
      </c>
      <c r="I2546" s="1">
        <v>37159</v>
      </c>
      <c r="J2546" s="1">
        <v>37340</v>
      </c>
      <c r="K2546" s="1">
        <v>37383</v>
      </c>
      <c r="L2546" s="1">
        <v>37383</v>
      </c>
      <c r="M2546" s="1">
        <v>37356</v>
      </c>
      <c r="N2546" s="1">
        <v>37361</v>
      </c>
      <c r="O2546" t="s">
        <v>1117</v>
      </c>
      <c r="P2546">
        <v>1</v>
      </c>
      <c r="Q2546" t="s">
        <v>3632</v>
      </c>
      <c r="R2546">
        <f t="shared" si="79"/>
        <v>16</v>
      </c>
      <c r="S2546">
        <f t="shared" si="80"/>
        <v>0</v>
      </c>
    </row>
    <row r="2547" spans="1:19" x14ac:dyDescent="0.25">
      <c r="A2547" t="s">
        <v>3680</v>
      </c>
      <c r="B2547" t="s">
        <v>3631</v>
      </c>
      <c r="C2547">
        <v>0.15</v>
      </c>
      <c r="D2547">
        <v>190</v>
      </c>
      <c r="E2547">
        <v>0</v>
      </c>
      <c r="F2547">
        <v>2.5</v>
      </c>
      <c r="G2547">
        <v>2.5</v>
      </c>
      <c r="H2547" t="s">
        <v>3631</v>
      </c>
      <c r="I2547" s="1">
        <v>37116</v>
      </c>
      <c r="J2547" s="1">
        <v>37340</v>
      </c>
      <c r="K2547" s="1">
        <v>37354</v>
      </c>
      <c r="L2547" s="1">
        <v>37354</v>
      </c>
      <c r="M2547" s="1">
        <v>37354</v>
      </c>
      <c r="N2547" s="1">
        <v>37361</v>
      </c>
      <c r="O2547" t="s">
        <v>1117</v>
      </c>
      <c r="P2547">
        <v>7</v>
      </c>
      <c r="Q2547" t="s">
        <v>3632</v>
      </c>
      <c r="R2547">
        <f t="shared" si="79"/>
        <v>16</v>
      </c>
      <c r="S2547">
        <f t="shared" si="80"/>
        <v>1</v>
      </c>
    </row>
    <row r="2548" spans="1:19" x14ac:dyDescent="0.25">
      <c r="A2548" t="s">
        <v>3681</v>
      </c>
      <c r="B2548" t="s">
        <v>1199</v>
      </c>
      <c r="C2548">
        <v>0.15</v>
      </c>
      <c r="D2548">
        <v>271</v>
      </c>
      <c r="E2548">
        <v>0</v>
      </c>
      <c r="F2548">
        <v>4</v>
      </c>
      <c r="G2548">
        <v>2.9209999999999998</v>
      </c>
      <c r="H2548" t="s">
        <v>3631</v>
      </c>
      <c r="I2548" s="1">
        <v>37116</v>
      </c>
      <c r="J2548" s="1">
        <v>37340</v>
      </c>
      <c r="K2548" s="1">
        <v>37368</v>
      </c>
      <c r="L2548" s="1">
        <v>37368</v>
      </c>
      <c r="M2548" s="1">
        <v>37368</v>
      </c>
      <c r="N2548" s="1">
        <v>37368</v>
      </c>
      <c r="O2548" t="s">
        <v>1117</v>
      </c>
      <c r="P2548">
        <v>5</v>
      </c>
      <c r="Q2548" t="s">
        <v>3632</v>
      </c>
      <c r="R2548">
        <f t="shared" si="79"/>
        <v>17</v>
      </c>
      <c r="S2548">
        <f t="shared" si="80"/>
        <v>0</v>
      </c>
    </row>
    <row r="2549" spans="1:19" x14ac:dyDescent="0.25">
      <c r="A2549" t="s">
        <v>3682</v>
      </c>
      <c r="B2549" t="s">
        <v>3631</v>
      </c>
      <c r="C2549">
        <v>0.15</v>
      </c>
      <c r="D2549">
        <v>305</v>
      </c>
      <c r="E2549">
        <v>0</v>
      </c>
      <c r="F2549">
        <v>5</v>
      </c>
      <c r="G2549">
        <v>5</v>
      </c>
      <c r="H2549" t="s">
        <v>3631</v>
      </c>
      <c r="I2549" s="1">
        <v>37192</v>
      </c>
      <c r="J2549" s="1">
        <v>37341</v>
      </c>
      <c r="K2549" s="1">
        <v>37343</v>
      </c>
      <c r="L2549" s="1">
        <v>37343</v>
      </c>
      <c r="M2549" s="1">
        <v>37343</v>
      </c>
      <c r="N2549" s="1">
        <v>37363</v>
      </c>
      <c r="O2549" t="s">
        <v>1117</v>
      </c>
      <c r="P2549">
        <v>4</v>
      </c>
      <c r="Q2549" t="s">
        <v>3632</v>
      </c>
      <c r="R2549">
        <f t="shared" si="79"/>
        <v>16</v>
      </c>
      <c r="S2549">
        <f t="shared" si="80"/>
        <v>1</v>
      </c>
    </row>
    <row r="2550" spans="1:19" x14ac:dyDescent="0.25">
      <c r="A2550" t="s">
        <v>3683</v>
      </c>
      <c r="B2550" t="s">
        <v>4028</v>
      </c>
      <c r="C2550">
        <v>0.2</v>
      </c>
      <c r="D2550">
        <v>285</v>
      </c>
      <c r="E2550">
        <v>0</v>
      </c>
      <c r="F2550">
        <v>2</v>
      </c>
      <c r="G2550">
        <v>2</v>
      </c>
      <c r="H2550" t="s">
        <v>3631</v>
      </c>
      <c r="I2550" s="1">
        <v>37192</v>
      </c>
      <c r="J2550" s="1">
        <v>37342</v>
      </c>
      <c r="K2550" s="1">
        <v>37342</v>
      </c>
      <c r="L2550" s="1">
        <v>37342</v>
      </c>
      <c r="M2550" s="1">
        <v>37342</v>
      </c>
      <c r="N2550" s="1">
        <v>37348</v>
      </c>
      <c r="O2550" t="s">
        <v>1114</v>
      </c>
      <c r="P2550">
        <v>5</v>
      </c>
      <c r="Q2550" t="s">
        <v>3632</v>
      </c>
      <c r="R2550">
        <f t="shared" si="79"/>
        <v>14</v>
      </c>
      <c r="S2550">
        <f t="shared" si="80"/>
        <v>1</v>
      </c>
    </row>
    <row r="2551" spans="1:19" x14ac:dyDescent="0.25">
      <c r="A2551" t="s">
        <v>3684</v>
      </c>
      <c r="B2551" t="s">
        <v>4028</v>
      </c>
      <c r="C2551">
        <v>0.15</v>
      </c>
      <c r="D2551">
        <v>271</v>
      </c>
      <c r="E2551">
        <v>0</v>
      </c>
      <c r="F2551">
        <v>4</v>
      </c>
      <c r="G2551">
        <v>4</v>
      </c>
      <c r="H2551" t="s">
        <v>3631</v>
      </c>
      <c r="I2551" s="1">
        <v>37116</v>
      </c>
      <c r="J2551" s="1">
        <v>37340</v>
      </c>
      <c r="K2551" s="1">
        <v>37368</v>
      </c>
      <c r="L2551" s="1">
        <v>37368</v>
      </c>
      <c r="M2551" s="1">
        <v>37368</v>
      </c>
      <c r="N2551" s="1">
        <v>37368</v>
      </c>
      <c r="O2551" t="s">
        <v>1117</v>
      </c>
      <c r="P2551">
        <v>10</v>
      </c>
      <c r="Q2551" t="s">
        <v>3632</v>
      </c>
      <c r="R2551">
        <f t="shared" si="79"/>
        <v>17</v>
      </c>
      <c r="S2551">
        <f t="shared" si="80"/>
        <v>1</v>
      </c>
    </row>
    <row r="2552" spans="1:19" x14ac:dyDescent="0.25">
      <c r="A2552" t="s">
        <v>3685</v>
      </c>
      <c r="B2552" t="s">
        <v>1199</v>
      </c>
      <c r="C2552">
        <v>0.2</v>
      </c>
      <c r="D2552">
        <v>285</v>
      </c>
      <c r="E2552">
        <v>0</v>
      </c>
      <c r="F2552">
        <v>10</v>
      </c>
      <c r="G2552">
        <v>10</v>
      </c>
      <c r="H2552" t="s">
        <v>3631</v>
      </c>
      <c r="I2552" s="1">
        <v>37192</v>
      </c>
      <c r="J2552" s="1">
        <v>37342</v>
      </c>
      <c r="K2552" s="1">
        <v>37342</v>
      </c>
      <c r="L2552" s="1">
        <v>37342</v>
      </c>
      <c r="M2552" s="1">
        <v>37342</v>
      </c>
      <c r="N2552" s="1">
        <v>37348</v>
      </c>
      <c r="O2552" t="s">
        <v>1114</v>
      </c>
      <c r="P2552">
        <v>5</v>
      </c>
      <c r="Q2552" t="s">
        <v>3632</v>
      </c>
      <c r="R2552">
        <f t="shared" si="79"/>
        <v>14</v>
      </c>
      <c r="S2552">
        <f t="shared" si="80"/>
        <v>1</v>
      </c>
    </row>
    <row r="2553" spans="1:19" x14ac:dyDescent="0.25">
      <c r="A2553" t="s">
        <v>3686</v>
      </c>
      <c r="B2553" t="s">
        <v>1199</v>
      </c>
      <c r="C2553">
        <v>0.2</v>
      </c>
      <c r="D2553">
        <v>375</v>
      </c>
      <c r="E2553">
        <v>0</v>
      </c>
      <c r="F2553">
        <v>2</v>
      </c>
      <c r="G2553">
        <v>2</v>
      </c>
      <c r="H2553" t="s">
        <v>3631</v>
      </c>
      <c r="I2553" s="1">
        <v>37159</v>
      </c>
      <c r="J2553" s="1">
        <v>37339</v>
      </c>
      <c r="K2553" s="1">
        <v>37339</v>
      </c>
      <c r="L2553" s="1">
        <v>37339</v>
      </c>
      <c r="M2553" s="1">
        <v>37346</v>
      </c>
      <c r="N2553" s="1">
        <v>37346</v>
      </c>
      <c r="O2553" t="s">
        <v>1114</v>
      </c>
      <c r="P2553">
        <v>2</v>
      </c>
      <c r="Q2553" t="s">
        <v>3632</v>
      </c>
      <c r="R2553">
        <f t="shared" si="79"/>
        <v>14</v>
      </c>
      <c r="S2553">
        <f t="shared" si="80"/>
        <v>1</v>
      </c>
    </row>
    <row r="2554" spans="1:19" x14ac:dyDescent="0.25">
      <c r="A2554" t="s">
        <v>3687</v>
      </c>
      <c r="B2554" t="s">
        <v>1199</v>
      </c>
      <c r="C2554">
        <v>0.19800000000000001</v>
      </c>
      <c r="D2554">
        <v>582.29499999999996</v>
      </c>
      <c r="E2554">
        <v>0</v>
      </c>
      <c r="F2554">
        <v>18.143999999999998</v>
      </c>
      <c r="G2554">
        <v>18.143999999999998</v>
      </c>
      <c r="H2554" t="s">
        <v>3631</v>
      </c>
      <c r="I2554" s="1">
        <v>37112</v>
      </c>
      <c r="J2554" s="1">
        <v>37343</v>
      </c>
      <c r="K2554" t="s">
        <v>1124</v>
      </c>
      <c r="L2554" t="s">
        <v>1124</v>
      </c>
      <c r="M2554" s="1">
        <v>37351</v>
      </c>
      <c r="N2554" s="1">
        <v>37363</v>
      </c>
      <c r="O2554" t="s">
        <v>1117</v>
      </c>
      <c r="P2554">
        <v>5</v>
      </c>
      <c r="Q2554" t="s">
        <v>3632</v>
      </c>
      <c r="R2554">
        <f t="shared" si="79"/>
        <v>16</v>
      </c>
      <c r="S2554">
        <f t="shared" si="80"/>
        <v>1</v>
      </c>
    </row>
    <row r="2555" spans="1:19" x14ac:dyDescent="0.25">
      <c r="A2555" t="s">
        <v>3688</v>
      </c>
      <c r="B2555" t="s">
        <v>4028</v>
      </c>
      <c r="C2555">
        <v>0.19800000000000001</v>
      </c>
      <c r="D2555">
        <v>582.29499999999996</v>
      </c>
      <c r="E2555">
        <v>0</v>
      </c>
      <c r="F2555">
        <v>18.143999999999998</v>
      </c>
      <c r="G2555">
        <v>18.143999999999998</v>
      </c>
      <c r="H2555" t="s">
        <v>3631</v>
      </c>
      <c r="I2555" s="1">
        <v>37112</v>
      </c>
      <c r="J2555" s="1">
        <v>37343</v>
      </c>
      <c r="K2555" s="1">
        <v>37357</v>
      </c>
      <c r="L2555" s="1">
        <v>37357</v>
      </c>
      <c r="M2555" s="1">
        <v>37357</v>
      </c>
      <c r="N2555" s="1">
        <v>37363</v>
      </c>
      <c r="O2555" t="s">
        <v>1117</v>
      </c>
      <c r="P2555">
        <v>10</v>
      </c>
      <c r="Q2555" t="s">
        <v>3632</v>
      </c>
      <c r="R2555">
        <f t="shared" si="79"/>
        <v>16</v>
      </c>
      <c r="S2555">
        <f t="shared" si="80"/>
        <v>1</v>
      </c>
    </row>
    <row r="2556" spans="1:19" x14ac:dyDescent="0.25">
      <c r="A2556" t="s">
        <v>3689</v>
      </c>
      <c r="B2556" t="s">
        <v>1199</v>
      </c>
      <c r="C2556">
        <v>0.15</v>
      </c>
      <c r="D2556">
        <v>297</v>
      </c>
      <c r="E2556">
        <v>0</v>
      </c>
      <c r="F2556">
        <v>2</v>
      </c>
      <c r="G2556">
        <v>2</v>
      </c>
      <c r="H2556" t="s">
        <v>3631</v>
      </c>
      <c r="I2556" s="1">
        <v>37124</v>
      </c>
      <c r="J2556" s="1">
        <v>37341</v>
      </c>
      <c r="K2556" s="1">
        <v>37348</v>
      </c>
      <c r="L2556" s="1">
        <v>37348</v>
      </c>
      <c r="M2556" s="1">
        <v>37348</v>
      </c>
      <c r="N2556" s="1">
        <v>37348</v>
      </c>
      <c r="O2556" t="s">
        <v>1117</v>
      </c>
      <c r="P2556">
        <v>1</v>
      </c>
      <c r="Q2556" t="s">
        <v>3632</v>
      </c>
      <c r="R2556">
        <f t="shared" si="79"/>
        <v>14</v>
      </c>
      <c r="S2556">
        <f t="shared" si="80"/>
        <v>1</v>
      </c>
    </row>
    <row r="2557" spans="1:19" x14ac:dyDescent="0.25">
      <c r="A2557" t="s">
        <v>3690</v>
      </c>
      <c r="B2557" t="s">
        <v>1199</v>
      </c>
      <c r="C2557">
        <v>0.19800000000000001</v>
      </c>
      <c r="D2557">
        <v>582.29499999999996</v>
      </c>
      <c r="E2557">
        <v>0</v>
      </c>
      <c r="F2557">
        <v>18.143999999999998</v>
      </c>
      <c r="G2557">
        <v>18.143999999999998</v>
      </c>
      <c r="H2557" t="s">
        <v>3631</v>
      </c>
      <c r="I2557" s="1">
        <v>37112</v>
      </c>
      <c r="J2557" s="1">
        <v>37343</v>
      </c>
      <c r="K2557" s="1">
        <v>37357</v>
      </c>
      <c r="L2557" s="1">
        <v>37357</v>
      </c>
      <c r="M2557" s="1">
        <v>37357</v>
      </c>
      <c r="N2557" s="1">
        <v>37363</v>
      </c>
      <c r="O2557" t="s">
        <v>1117</v>
      </c>
      <c r="P2557">
        <v>6</v>
      </c>
      <c r="Q2557" t="s">
        <v>3632</v>
      </c>
      <c r="R2557">
        <f t="shared" si="79"/>
        <v>16</v>
      </c>
      <c r="S2557">
        <f t="shared" si="80"/>
        <v>1</v>
      </c>
    </row>
    <row r="2558" spans="1:19" x14ac:dyDescent="0.25">
      <c r="A2558" t="s">
        <v>3691</v>
      </c>
      <c r="B2558" t="s">
        <v>1199</v>
      </c>
      <c r="C2558">
        <v>0.19800000000000001</v>
      </c>
      <c r="D2558">
        <v>582.29499999999996</v>
      </c>
      <c r="E2558">
        <v>0</v>
      </c>
      <c r="F2558">
        <v>18.143999999999998</v>
      </c>
      <c r="G2558">
        <v>18.143999999999998</v>
      </c>
      <c r="H2558" t="s">
        <v>3631</v>
      </c>
      <c r="I2558" s="1">
        <v>37112</v>
      </c>
      <c r="J2558" s="1">
        <v>37343</v>
      </c>
      <c r="K2558" s="1">
        <v>37349</v>
      </c>
      <c r="L2558" s="1">
        <v>37349</v>
      </c>
      <c r="M2558" s="1">
        <v>37349</v>
      </c>
      <c r="N2558" s="1">
        <v>37363</v>
      </c>
      <c r="O2558" t="s">
        <v>1117</v>
      </c>
      <c r="P2558">
        <v>7</v>
      </c>
      <c r="Q2558" t="s">
        <v>3632</v>
      </c>
      <c r="R2558">
        <f t="shared" si="79"/>
        <v>16</v>
      </c>
      <c r="S2558">
        <f t="shared" si="80"/>
        <v>1</v>
      </c>
    </row>
    <row r="2559" spans="1:19" x14ac:dyDescent="0.25">
      <c r="A2559" t="s">
        <v>3692</v>
      </c>
      <c r="B2559" t="s">
        <v>1199</v>
      </c>
      <c r="C2559">
        <v>0.15</v>
      </c>
      <c r="D2559">
        <v>190</v>
      </c>
      <c r="E2559">
        <v>0</v>
      </c>
      <c r="F2559">
        <v>4</v>
      </c>
      <c r="G2559">
        <v>4</v>
      </c>
      <c r="H2559" t="s">
        <v>3631</v>
      </c>
      <c r="I2559" s="1">
        <v>37116</v>
      </c>
      <c r="J2559" s="1">
        <v>37340</v>
      </c>
      <c r="K2559" s="1">
        <v>37368</v>
      </c>
      <c r="L2559" s="1">
        <v>37368</v>
      </c>
      <c r="M2559" s="1">
        <v>37361</v>
      </c>
      <c r="N2559" s="1">
        <v>37361</v>
      </c>
      <c r="O2559" t="s">
        <v>1117</v>
      </c>
      <c r="P2559">
        <v>2</v>
      </c>
      <c r="Q2559" t="s">
        <v>3632</v>
      </c>
      <c r="R2559">
        <f t="shared" si="79"/>
        <v>16</v>
      </c>
      <c r="S2559">
        <f t="shared" si="80"/>
        <v>1</v>
      </c>
    </row>
    <row r="2560" spans="1:19" x14ac:dyDescent="0.25">
      <c r="A2560" t="s">
        <v>3693</v>
      </c>
      <c r="B2560" t="s">
        <v>1199</v>
      </c>
      <c r="C2560">
        <v>0.19800000000000001</v>
      </c>
      <c r="D2560">
        <v>582.29499999999996</v>
      </c>
      <c r="E2560">
        <v>0</v>
      </c>
      <c r="F2560">
        <v>18.143999999999998</v>
      </c>
      <c r="G2560">
        <v>18.143999999999998</v>
      </c>
      <c r="H2560" t="s">
        <v>3631</v>
      </c>
      <c r="I2560" s="1">
        <v>37112</v>
      </c>
      <c r="J2560" s="1">
        <v>37343</v>
      </c>
      <c r="K2560" s="1">
        <v>37357</v>
      </c>
      <c r="L2560" s="1">
        <v>37357</v>
      </c>
      <c r="M2560" s="1">
        <v>37357</v>
      </c>
      <c r="N2560" s="1">
        <v>37363</v>
      </c>
      <c r="O2560" t="s">
        <v>1117</v>
      </c>
      <c r="P2560">
        <v>4</v>
      </c>
      <c r="Q2560" t="s">
        <v>3632</v>
      </c>
      <c r="R2560">
        <f t="shared" si="79"/>
        <v>16</v>
      </c>
      <c r="S2560">
        <f t="shared" si="80"/>
        <v>1</v>
      </c>
    </row>
    <row r="2561" spans="1:19" x14ac:dyDescent="0.25">
      <c r="A2561" t="s">
        <v>3694</v>
      </c>
      <c r="B2561" t="s">
        <v>4028</v>
      </c>
      <c r="C2561">
        <v>0.4</v>
      </c>
      <c r="D2561">
        <v>75.400000000000006</v>
      </c>
      <c r="E2561">
        <v>0</v>
      </c>
      <c r="F2561">
        <v>20</v>
      </c>
      <c r="G2561">
        <v>20</v>
      </c>
      <c r="H2561" t="s">
        <v>3631</v>
      </c>
      <c r="I2561" s="1">
        <v>37311</v>
      </c>
      <c r="J2561" s="1">
        <v>37220</v>
      </c>
      <c r="K2561" s="1">
        <v>37383</v>
      </c>
      <c r="L2561" s="1">
        <v>37383</v>
      </c>
      <c r="M2561" s="1">
        <v>37220</v>
      </c>
      <c r="N2561" s="1">
        <v>37362</v>
      </c>
      <c r="O2561" t="s">
        <v>1117</v>
      </c>
      <c r="P2561">
        <v>1</v>
      </c>
      <c r="Q2561" t="s">
        <v>3632</v>
      </c>
      <c r="R2561">
        <f t="shared" si="79"/>
        <v>16</v>
      </c>
      <c r="S2561">
        <f t="shared" si="80"/>
        <v>1</v>
      </c>
    </row>
    <row r="2562" spans="1:19" x14ac:dyDescent="0.25">
      <c r="A2562" t="s">
        <v>3695</v>
      </c>
      <c r="B2562" t="s">
        <v>4028</v>
      </c>
      <c r="C2562">
        <v>0.19800000000000001</v>
      </c>
      <c r="D2562">
        <v>582.29499999999996</v>
      </c>
      <c r="E2562">
        <v>0</v>
      </c>
      <c r="F2562">
        <v>18.143999999999998</v>
      </c>
      <c r="G2562">
        <v>18.143999999999998</v>
      </c>
      <c r="H2562" t="s">
        <v>3631</v>
      </c>
      <c r="I2562" s="1">
        <v>37159</v>
      </c>
      <c r="J2562" s="1">
        <v>37342</v>
      </c>
      <c r="K2562" s="1">
        <v>37356</v>
      </c>
      <c r="L2562" s="1">
        <v>37356</v>
      </c>
      <c r="M2562" s="1">
        <v>37356</v>
      </c>
      <c r="N2562" s="1">
        <v>37363</v>
      </c>
      <c r="O2562" t="s">
        <v>1117</v>
      </c>
      <c r="P2562">
        <v>6</v>
      </c>
      <c r="Q2562" t="s">
        <v>3632</v>
      </c>
      <c r="R2562">
        <f t="shared" si="79"/>
        <v>16</v>
      </c>
      <c r="S2562">
        <f t="shared" si="80"/>
        <v>1</v>
      </c>
    </row>
    <row r="2563" spans="1:19" x14ac:dyDescent="0.25">
      <c r="A2563" t="s">
        <v>3696</v>
      </c>
      <c r="B2563" t="s">
        <v>1199</v>
      </c>
      <c r="C2563">
        <v>0.19800000000000001</v>
      </c>
      <c r="D2563">
        <v>582.29499999999996</v>
      </c>
      <c r="E2563">
        <v>0</v>
      </c>
      <c r="F2563">
        <v>18.143999999999998</v>
      </c>
      <c r="G2563">
        <v>18.143999999999998</v>
      </c>
      <c r="H2563" t="s">
        <v>3631</v>
      </c>
      <c r="I2563" s="1">
        <v>37112</v>
      </c>
      <c r="J2563" s="1">
        <v>37343</v>
      </c>
      <c r="K2563" t="s">
        <v>1124</v>
      </c>
      <c r="L2563" t="s">
        <v>1124</v>
      </c>
      <c r="M2563" s="1">
        <v>37351</v>
      </c>
      <c r="N2563" s="1">
        <v>37363</v>
      </c>
      <c r="O2563" t="s">
        <v>1117</v>
      </c>
      <c r="P2563">
        <v>3</v>
      </c>
      <c r="Q2563" t="s">
        <v>3632</v>
      </c>
      <c r="R2563">
        <f t="shared" ref="R2563:R2626" si="81">WEEKNUM(N2563,1)</f>
        <v>16</v>
      </c>
      <c r="S2563">
        <f t="shared" ref="S2563:S2626" si="82">IF(AND(F2563=G2563, M2563&lt;=N2563), 1,0)</f>
        <v>1</v>
      </c>
    </row>
    <row r="2564" spans="1:19" x14ac:dyDescent="0.25">
      <c r="A2564" t="s">
        <v>3697</v>
      </c>
      <c r="B2564" t="s">
        <v>4028</v>
      </c>
      <c r="C2564">
        <v>0.19800000000000001</v>
      </c>
      <c r="D2564">
        <v>582.29499999999996</v>
      </c>
      <c r="E2564">
        <v>0</v>
      </c>
      <c r="F2564">
        <v>18.143999999999998</v>
      </c>
      <c r="G2564">
        <v>18.143999999999998</v>
      </c>
      <c r="H2564" t="s">
        <v>3631</v>
      </c>
      <c r="I2564" s="1">
        <v>37112</v>
      </c>
      <c r="J2564" s="1">
        <v>37343</v>
      </c>
      <c r="K2564" s="1">
        <v>37350</v>
      </c>
      <c r="L2564" s="1">
        <v>37350</v>
      </c>
      <c r="M2564" s="1">
        <v>37350</v>
      </c>
      <c r="N2564" s="1">
        <v>37363</v>
      </c>
      <c r="O2564" t="s">
        <v>1117</v>
      </c>
      <c r="P2564">
        <v>2</v>
      </c>
      <c r="Q2564" t="s">
        <v>3632</v>
      </c>
      <c r="R2564">
        <f t="shared" si="81"/>
        <v>16</v>
      </c>
      <c r="S2564">
        <f t="shared" si="82"/>
        <v>1</v>
      </c>
    </row>
    <row r="2565" spans="1:19" x14ac:dyDescent="0.25">
      <c r="A2565" t="s">
        <v>3698</v>
      </c>
      <c r="B2565" t="s">
        <v>1199</v>
      </c>
      <c r="C2565">
        <v>0.19500000000000001</v>
      </c>
      <c r="D2565">
        <v>15.3</v>
      </c>
      <c r="E2565">
        <v>0</v>
      </c>
      <c r="F2565">
        <v>6</v>
      </c>
      <c r="G2565">
        <v>5.46</v>
      </c>
      <c r="H2565" t="s">
        <v>3631</v>
      </c>
      <c r="I2565" s="1">
        <v>37111</v>
      </c>
      <c r="J2565" s="1">
        <v>37344</v>
      </c>
      <c r="K2565" s="1">
        <v>37358</v>
      </c>
      <c r="L2565" s="1">
        <v>37358</v>
      </c>
      <c r="M2565" s="1">
        <v>37358</v>
      </c>
      <c r="N2565" s="1">
        <v>37358</v>
      </c>
      <c r="O2565" t="s">
        <v>1117</v>
      </c>
      <c r="P2565">
        <v>1</v>
      </c>
      <c r="Q2565" t="s">
        <v>3632</v>
      </c>
      <c r="R2565">
        <f t="shared" si="81"/>
        <v>15</v>
      </c>
      <c r="S2565">
        <f t="shared" si="82"/>
        <v>0</v>
      </c>
    </row>
    <row r="2566" spans="1:19" x14ac:dyDescent="0.25">
      <c r="A2566" t="s">
        <v>3699</v>
      </c>
      <c r="B2566" t="s">
        <v>4028</v>
      </c>
      <c r="C2566">
        <v>0.4</v>
      </c>
      <c r="D2566">
        <v>355.6</v>
      </c>
      <c r="E2566">
        <v>0</v>
      </c>
      <c r="F2566">
        <v>5.9</v>
      </c>
      <c r="G2566">
        <v>5.9</v>
      </c>
      <c r="H2566" t="s">
        <v>3631</v>
      </c>
      <c r="I2566" s="1">
        <v>37133</v>
      </c>
      <c r="J2566" s="1">
        <v>37344</v>
      </c>
      <c r="K2566" s="1">
        <v>37365</v>
      </c>
      <c r="L2566" s="1">
        <v>37365</v>
      </c>
      <c r="M2566" s="1">
        <v>37358</v>
      </c>
      <c r="N2566" s="1">
        <v>37358</v>
      </c>
      <c r="O2566" t="s">
        <v>1117</v>
      </c>
      <c r="P2566">
        <v>2</v>
      </c>
      <c r="Q2566" t="s">
        <v>3632</v>
      </c>
      <c r="R2566">
        <f t="shared" si="81"/>
        <v>15</v>
      </c>
      <c r="S2566">
        <f t="shared" si="82"/>
        <v>1</v>
      </c>
    </row>
    <row r="2567" spans="1:19" x14ac:dyDescent="0.25">
      <c r="A2567" t="s">
        <v>3700</v>
      </c>
      <c r="B2567" t="s">
        <v>4028</v>
      </c>
      <c r="C2567">
        <v>0.4</v>
      </c>
      <c r="D2567">
        <v>63.7</v>
      </c>
      <c r="E2567">
        <v>0</v>
      </c>
      <c r="F2567">
        <v>10</v>
      </c>
      <c r="G2567">
        <v>4.6879999999999997</v>
      </c>
      <c r="H2567" t="s">
        <v>3631</v>
      </c>
      <c r="I2567" s="1">
        <v>37304</v>
      </c>
      <c r="J2567" s="1">
        <v>37342</v>
      </c>
      <c r="K2567" s="1">
        <v>37342</v>
      </c>
      <c r="L2567" s="1">
        <v>37342</v>
      </c>
      <c r="M2567" s="1">
        <v>37342</v>
      </c>
      <c r="N2567" s="1">
        <v>37389</v>
      </c>
      <c r="O2567" t="s">
        <v>1114</v>
      </c>
      <c r="P2567">
        <v>1</v>
      </c>
      <c r="Q2567" t="s">
        <v>3632</v>
      </c>
      <c r="R2567">
        <f t="shared" si="81"/>
        <v>20</v>
      </c>
      <c r="S2567">
        <f t="shared" si="82"/>
        <v>0</v>
      </c>
    </row>
    <row r="2568" spans="1:19" x14ac:dyDescent="0.25">
      <c r="A2568" t="s">
        <v>3701</v>
      </c>
      <c r="B2568" t="s">
        <v>4028</v>
      </c>
      <c r="C2568">
        <v>0.4</v>
      </c>
      <c r="D2568">
        <v>63.7</v>
      </c>
      <c r="E2568">
        <v>0</v>
      </c>
      <c r="F2568">
        <v>2</v>
      </c>
      <c r="G2568">
        <v>2</v>
      </c>
      <c r="H2568" t="s">
        <v>3631</v>
      </c>
      <c r="I2568" s="1">
        <v>37113</v>
      </c>
      <c r="J2568" s="1">
        <v>37340</v>
      </c>
      <c r="K2568" s="1">
        <v>37377</v>
      </c>
      <c r="L2568" s="1">
        <v>37377</v>
      </c>
      <c r="M2568" s="1">
        <v>37340</v>
      </c>
      <c r="N2568" s="1">
        <v>37389</v>
      </c>
      <c r="O2568" t="s">
        <v>1117</v>
      </c>
      <c r="P2568">
        <v>1</v>
      </c>
      <c r="Q2568" t="s">
        <v>3632</v>
      </c>
      <c r="R2568">
        <f t="shared" si="81"/>
        <v>20</v>
      </c>
      <c r="S2568">
        <f t="shared" si="82"/>
        <v>1</v>
      </c>
    </row>
    <row r="2569" spans="1:19" x14ac:dyDescent="0.25">
      <c r="A2569" t="s">
        <v>3702</v>
      </c>
      <c r="B2569" t="s">
        <v>1199</v>
      </c>
      <c r="C2569">
        <v>0.4</v>
      </c>
      <c r="D2569">
        <v>292.10000000000002</v>
      </c>
      <c r="E2569">
        <v>0</v>
      </c>
      <c r="F2569">
        <v>18</v>
      </c>
      <c r="G2569">
        <v>10.5</v>
      </c>
      <c r="H2569" t="s">
        <v>3631</v>
      </c>
      <c r="I2569" s="1">
        <v>37133</v>
      </c>
      <c r="J2569" s="1">
        <v>37344</v>
      </c>
      <c r="K2569" s="1">
        <v>37358</v>
      </c>
      <c r="L2569" s="1">
        <v>37358</v>
      </c>
      <c r="M2569" s="1">
        <v>37358</v>
      </c>
      <c r="N2569" s="1">
        <v>37358</v>
      </c>
      <c r="O2569" t="s">
        <v>1117</v>
      </c>
      <c r="P2569">
        <v>14</v>
      </c>
      <c r="Q2569" t="s">
        <v>3632</v>
      </c>
      <c r="R2569">
        <f t="shared" si="81"/>
        <v>15</v>
      </c>
      <c r="S2569">
        <f t="shared" si="82"/>
        <v>0</v>
      </c>
    </row>
    <row r="2570" spans="1:19" x14ac:dyDescent="0.25">
      <c r="A2570" t="s">
        <v>3703</v>
      </c>
      <c r="B2570" t="s">
        <v>4026</v>
      </c>
      <c r="C2570">
        <v>0.15</v>
      </c>
      <c r="D2570">
        <v>305</v>
      </c>
      <c r="E2570">
        <v>0</v>
      </c>
      <c r="F2570">
        <v>18.3</v>
      </c>
      <c r="G2570">
        <v>18.3</v>
      </c>
      <c r="H2570" t="s">
        <v>3631</v>
      </c>
      <c r="I2570" s="1">
        <v>37159</v>
      </c>
      <c r="J2570" s="1">
        <v>37342</v>
      </c>
      <c r="K2570" s="1">
        <v>37349</v>
      </c>
      <c r="L2570" s="1">
        <v>37349</v>
      </c>
      <c r="M2570" s="1">
        <v>37349</v>
      </c>
      <c r="N2570" s="1">
        <v>37349</v>
      </c>
      <c r="O2570" t="s">
        <v>1117</v>
      </c>
      <c r="P2570">
        <v>1</v>
      </c>
      <c r="Q2570" t="s">
        <v>3632</v>
      </c>
      <c r="R2570">
        <f t="shared" si="81"/>
        <v>14</v>
      </c>
      <c r="S2570">
        <f t="shared" si="82"/>
        <v>1</v>
      </c>
    </row>
    <row r="2571" spans="1:19" x14ac:dyDescent="0.25">
      <c r="A2571" t="s">
        <v>3704</v>
      </c>
      <c r="B2571" t="s">
        <v>1199</v>
      </c>
      <c r="C2571">
        <v>0.4</v>
      </c>
      <c r="D2571">
        <v>330.2</v>
      </c>
      <c r="E2571">
        <v>0</v>
      </c>
      <c r="F2571">
        <v>19.05</v>
      </c>
      <c r="G2571">
        <v>19.05</v>
      </c>
      <c r="H2571" t="s">
        <v>3631</v>
      </c>
      <c r="I2571" s="1">
        <v>37133</v>
      </c>
      <c r="J2571" s="1">
        <v>37344</v>
      </c>
      <c r="K2571" s="1">
        <v>37365</v>
      </c>
      <c r="L2571" s="1">
        <v>37365</v>
      </c>
      <c r="M2571" s="1">
        <v>37358</v>
      </c>
      <c r="N2571" s="1">
        <v>37358</v>
      </c>
      <c r="O2571" t="s">
        <v>1117</v>
      </c>
      <c r="P2571">
        <v>1</v>
      </c>
      <c r="Q2571" t="s">
        <v>3632</v>
      </c>
      <c r="R2571">
        <f t="shared" si="81"/>
        <v>15</v>
      </c>
      <c r="S2571">
        <f t="shared" si="82"/>
        <v>1</v>
      </c>
    </row>
    <row r="2572" spans="1:19" x14ac:dyDescent="0.25">
      <c r="A2572" t="s">
        <v>3705</v>
      </c>
      <c r="B2572" t="s">
        <v>1199</v>
      </c>
      <c r="C2572">
        <v>0.4</v>
      </c>
      <c r="D2572">
        <v>355.6</v>
      </c>
      <c r="E2572">
        <v>0</v>
      </c>
      <c r="F2572">
        <v>4.99</v>
      </c>
      <c r="G2572">
        <v>4.99</v>
      </c>
      <c r="H2572" t="s">
        <v>3631</v>
      </c>
      <c r="I2572" s="1">
        <v>37133</v>
      </c>
      <c r="J2572" s="1">
        <v>37344</v>
      </c>
      <c r="K2572" s="1">
        <v>37366</v>
      </c>
      <c r="L2572" s="1">
        <v>37366</v>
      </c>
      <c r="M2572" s="1">
        <v>37359</v>
      </c>
      <c r="N2572" s="1">
        <v>37359</v>
      </c>
      <c r="O2572" t="s">
        <v>1117</v>
      </c>
      <c r="P2572">
        <v>2</v>
      </c>
      <c r="Q2572" t="s">
        <v>3632</v>
      </c>
      <c r="R2572">
        <f t="shared" si="81"/>
        <v>15</v>
      </c>
      <c r="S2572">
        <f t="shared" si="82"/>
        <v>1</v>
      </c>
    </row>
    <row r="2573" spans="1:19" x14ac:dyDescent="0.25">
      <c r="A2573" t="s">
        <v>3706</v>
      </c>
      <c r="B2573" t="s">
        <v>4028</v>
      </c>
      <c r="C2573">
        <v>0.1</v>
      </c>
      <c r="D2573">
        <v>381</v>
      </c>
      <c r="E2573">
        <v>0</v>
      </c>
      <c r="F2573">
        <v>6</v>
      </c>
      <c r="G2573">
        <v>6</v>
      </c>
      <c r="H2573" t="s">
        <v>3631</v>
      </c>
      <c r="I2573" s="1">
        <v>37131</v>
      </c>
      <c r="J2573" s="1">
        <v>37344</v>
      </c>
      <c r="K2573" s="1">
        <v>37372</v>
      </c>
      <c r="L2573" s="1">
        <v>37372</v>
      </c>
      <c r="M2573" s="1">
        <v>37365</v>
      </c>
      <c r="N2573" s="1">
        <v>37365</v>
      </c>
      <c r="O2573" t="s">
        <v>1117</v>
      </c>
      <c r="P2573">
        <v>2</v>
      </c>
      <c r="Q2573" t="s">
        <v>3632</v>
      </c>
      <c r="R2573">
        <f t="shared" si="81"/>
        <v>16</v>
      </c>
      <c r="S2573">
        <f t="shared" si="82"/>
        <v>1</v>
      </c>
    </row>
    <row r="2574" spans="1:19" x14ac:dyDescent="0.25">
      <c r="A2574" t="s">
        <v>3707</v>
      </c>
      <c r="B2574" t="s">
        <v>3521</v>
      </c>
      <c r="C2574">
        <v>0.4</v>
      </c>
      <c r="D2574">
        <v>98</v>
      </c>
      <c r="E2574">
        <v>0</v>
      </c>
      <c r="F2574">
        <v>15</v>
      </c>
      <c r="G2574">
        <v>15</v>
      </c>
      <c r="H2574" t="s">
        <v>3631</v>
      </c>
      <c r="I2574" s="1">
        <v>37304</v>
      </c>
      <c r="J2574" s="1">
        <v>37313</v>
      </c>
      <c r="K2574" t="s">
        <v>1124</v>
      </c>
      <c r="L2574" t="s">
        <v>1124</v>
      </c>
      <c r="M2574" s="1">
        <v>37335</v>
      </c>
      <c r="N2574" s="1">
        <v>37386</v>
      </c>
      <c r="O2574" t="s">
        <v>1117</v>
      </c>
      <c r="P2574">
        <v>1</v>
      </c>
      <c r="Q2574" t="s">
        <v>3632</v>
      </c>
      <c r="R2574">
        <f t="shared" si="81"/>
        <v>19</v>
      </c>
      <c r="S2574">
        <f t="shared" si="82"/>
        <v>1</v>
      </c>
    </row>
    <row r="2575" spans="1:19" x14ac:dyDescent="0.25">
      <c r="A2575" t="s">
        <v>3708</v>
      </c>
      <c r="B2575" t="s">
        <v>1199</v>
      </c>
      <c r="C2575">
        <v>0.3</v>
      </c>
      <c r="D2575">
        <v>113</v>
      </c>
      <c r="E2575">
        <v>0</v>
      </c>
      <c r="F2575">
        <v>15</v>
      </c>
      <c r="G2575">
        <v>15</v>
      </c>
      <c r="H2575" t="s">
        <v>3631</v>
      </c>
      <c r="I2575" s="1">
        <v>37304</v>
      </c>
      <c r="J2575" s="1">
        <v>37313</v>
      </c>
      <c r="K2575" s="1">
        <v>37327</v>
      </c>
      <c r="L2575" s="1">
        <v>37327</v>
      </c>
      <c r="M2575" s="1">
        <v>37318</v>
      </c>
      <c r="N2575" s="1">
        <v>37386</v>
      </c>
      <c r="O2575" t="s">
        <v>1117</v>
      </c>
      <c r="P2575">
        <v>2</v>
      </c>
      <c r="Q2575" t="s">
        <v>3632</v>
      </c>
      <c r="R2575">
        <f t="shared" si="81"/>
        <v>19</v>
      </c>
      <c r="S2575">
        <f t="shared" si="82"/>
        <v>1</v>
      </c>
    </row>
    <row r="2576" spans="1:19" x14ac:dyDescent="0.25">
      <c r="A2576" t="s">
        <v>3709</v>
      </c>
      <c r="B2576" t="s">
        <v>1199</v>
      </c>
      <c r="C2576">
        <v>0.1</v>
      </c>
      <c r="D2576">
        <v>533</v>
      </c>
      <c r="E2576">
        <v>0</v>
      </c>
      <c r="F2576">
        <v>12</v>
      </c>
      <c r="G2576">
        <v>12</v>
      </c>
      <c r="H2576" t="s">
        <v>3631</v>
      </c>
      <c r="I2576" s="1">
        <v>37131</v>
      </c>
      <c r="J2576" s="1">
        <v>37344</v>
      </c>
      <c r="K2576" t="s">
        <v>1124</v>
      </c>
      <c r="L2576" t="s">
        <v>1124</v>
      </c>
      <c r="M2576" s="1">
        <v>37372</v>
      </c>
      <c r="N2576" s="1">
        <v>37372</v>
      </c>
      <c r="O2576" t="s">
        <v>1117</v>
      </c>
      <c r="P2576">
        <v>1</v>
      </c>
      <c r="Q2576" t="s">
        <v>3632</v>
      </c>
      <c r="R2576">
        <f t="shared" si="81"/>
        <v>17</v>
      </c>
      <c r="S2576">
        <f t="shared" si="82"/>
        <v>1</v>
      </c>
    </row>
    <row r="2577" spans="1:19" x14ac:dyDescent="0.25">
      <c r="A2577" t="s">
        <v>3710</v>
      </c>
      <c r="B2577" t="s">
        <v>4028</v>
      </c>
      <c r="C2577">
        <v>0.4</v>
      </c>
      <c r="D2577">
        <v>292.10000000000002</v>
      </c>
      <c r="E2577">
        <v>0</v>
      </c>
      <c r="F2577">
        <v>12.701000000000001</v>
      </c>
      <c r="G2577">
        <v>12.701000000000001</v>
      </c>
      <c r="H2577" t="s">
        <v>3631</v>
      </c>
      <c r="I2577" s="1">
        <v>37159</v>
      </c>
      <c r="J2577" s="1">
        <v>37342</v>
      </c>
      <c r="K2577" s="1">
        <v>37356</v>
      </c>
      <c r="L2577" s="1">
        <v>37356</v>
      </c>
      <c r="M2577" s="1">
        <v>37356</v>
      </c>
      <c r="N2577" s="1">
        <v>37358</v>
      </c>
      <c r="O2577" t="s">
        <v>1117</v>
      </c>
      <c r="P2577">
        <v>5</v>
      </c>
      <c r="Q2577" t="s">
        <v>3632</v>
      </c>
      <c r="R2577">
        <f t="shared" si="81"/>
        <v>15</v>
      </c>
      <c r="S2577">
        <f t="shared" si="82"/>
        <v>1</v>
      </c>
    </row>
    <row r="2578" spans="1:19" x14ac:dyDescent="0.25">
      <c r="A2578" t="s">
        <v>3711</v>
      </c>
      <c r="B2578" t="s">
        <v>1199</v>
      </c>
      <c r="C2578">
        <v>0.4</v>
      </c>
      <c r="D2578">
        <v>355.6</v>
      </c>
      <c r="E2578">
        <v>0</v>
      </c>
      <c r="F2578">
        <v>9.9789999999999992</v>
      </c>
      <c r="G2578">
        <v>9.9789999999999992</v>
      </c>
      <c r="H2578" t="s">
        <v>3631</v>
      </c>
      <c r="I2578" s="1">
        <v>37159</v>
      </c>
      <c r="J2578" s="1">
        <v>37342</v>
      </c>
      <c r="K2578" s="1">
        <v>37349</v>
      </c>
      <c r="L2578" s="1">
        <v>37349</v>
      </c>
      <c r="M2578" s="1">
        <v>37349</v>
      </c>
      <c r="N2578" s="1">
        <v>37358</v>
      </c>
      <c r="O2578" t="s">
        <v>1117</v>
      </c>
      <c r="P2578">
        <v>2</v>
      </c>
      <c r="Q2578" t="s">
        <v>3632</v>
      </c>
      <c r="R2578">
        <f t="shared" si="81"/>
        <v>15</v>
      </c>
      <c r="S2578">
        <f t="shared" si="82"/>
        <v>1</v>
      </c>
    </row>
    <row r="2579" spans="1:19" x14ac:dyDescent="0.25">
      <c r="A2579" t="s">
        <v>3712</v>
      </c>
      <c r="B2579" t="s">
        <v>4027</v>
      </c>
      <c r="C2579">
        <v>0.4</v>
      </c>
      <c r="D2579">
        <v>330.2</v>
      </c>
      <c r="E2579">
        <v>0</v>
      </c>
      <c r="F2579">
        <v>9.9789999999999992</v>
      </c>
      <c r="G2579">
        <v>6.5449999999999999</v>
      </c>
      <c r="H2579" t="s">
        <v>3631</v>
      </c>
      <c r="I2579" s="1">
        <v>37159</v>
      </c>
      <c r="J2579" s="1">
        <v>37342</v>
      </c>
      <c r="K2579" s="1">
        <v>37356</v>
      </c>
      <c r="L2579" s="1">
        <v>37356</v>
      </c>
      <c r="M2579" s="1">
        <v>37356</v>
      </c>
      <c r="N2579" s="1">
        <v>37358</v>
      </c>
      <c r="O2579" t="s">
        <v>1117</v>
      </c>
      <c r="P2579">
        <v>4</v>
      </c>
      <c r="Q2579" t="s">
        <v>3632</v>
      </c>
      <c r="R2579">
        <f t="shared" si="81"/>
        <v>15</v>
      </c>
      <c r="S2579">
        <f t="shared" si="82"/>
        <v>0</v>
      </c>
    </row>
    <row r="2580" spans="1:19" x14ac:dyDescent="0.25">
      <c r="A2580" t="s">
        <v>3713</v>
      </c>
      <c r="B2580" t="s">
        <v>1199</v>
      </c>
      <c r="C2580">
        <v>0.38100000000000001</v>
      </c>
      <c r="D2580">
        <v>203.2</v>
      </c>
      <c r="E2580">
        <v>0</v>
      </c>
      <c r="F2580">
        <v>18.143999999999998</v>
      </c>
      <c r="G2580">
        <v>18.143999999999998</v>
      </c>
      <c r="H2580" t="s">
        <v>3631</v>
      </c>
      <c r="I2580" s="1">
        <v>37126</v>
      </c>
      <c r="J2580" s="1">
        <v>37310</v>
      </c>
      <c r="K2580" t="s">
        <v>1124</v>
      </c>
      <c r="L2580" t="s">
        <v>1124</v>
      </c>
      <c r="M2580" s="1">
        <v>37334</v>
      </c>
      <c r="N2580" s="1">
        <v>37334</v>
      </c>
      <c r="O2580" t="s">
        <v>1117</v>
      </c>
      <c r="P2580">
        <v>1</v>
      </c>
      <c r="Q2580" t="s">
        <v>3632</v>
      </c>
      <c r="R2580">
        <f t="shared" si="81"/>
        <v>12</v>
      </c>
      <c r="S2580">
        <f t="shared" si="82"/>
        <v>1</v>
      </c>
    </row>
    <row r="2581" spans="1:19" x14ac:dyDescent="0.25">
      <c r="A2581" t="s">
        <v>3714</v>
      </c>
      <c r="B2581" t="s">
        <v>1199</v>
      </c>
      <c r="C2581">
        <v>0.38100000000000001</v>
      </c>
      <c r="D2581">
        <v>203.2</v>
      </c>
      <c r="E2581">
        <v>0</v>
      </c>
      <c r="F2581">
        <v>9.0719999999999992</v>
      </c>
      <c r="G2581">
        <v>9.0719999999999992</v>
      </c>
      <c r="H2581" t="s">
        <v>3631</v>
      </c>
      <c r="I2581" s="1">
        <v>37126</v>
      </c>
      <c r="J2581" s="1">
        <v>37309</v>
      </c>
      <c r="K2581" s="1">
        <v>37334</v>
      </c>
      <c r="L2581" s="1">
        <v>37334</v>
      </c>
      <c r="M2581" s="1">
        <v>37334</v>
      </c>
      <c r="N2581" s="1">
        <v>37334</v>
      </c>
      <c r="O2581" t="s">
        <v>1117</v>
      </c>
      <c r="P2581">
        <v>2</v>
      </c>
      <c r="Q2581" t="s">
        <v>3632</v>
      </c>
      <c r="R2581">
        <f t="shared" si="81"/>
        <v>12</v>
      </c>
      <c r="S2581">
        <f t="shared" si="82"/>
        <v>1</v>
      </c>
    </row>
    <row r="2582" spans="1:19" x14ac:dyDescent="0.25">
      <c r="A2582" t="s">
        <v>3715</v>
      </c>
      <c r="B2582" t="s">
        <v>3521</v>
      </c>
      <c r="C2582">
        <v>0.50800000000000001</v>
      </c>
      <c r="D2582">
        <v>609.6</v>
      </c>
      <c r="E2582">
        <v>0</v>
      </c>
      <c r="F2582">
        <v>9.0719999999999992</v>
      </c>
      <c r="G2582">
        <v>9.0719999999999992</v>
      </c>
      <c r="H2582" t="s">
        <v>3631</v>
      </c>
      <c r="I2582" s="1">
        <v>37126</v>
      </c>
      <c r="J2582" s="1">
        <v>37314</v>
      </c>
      <c r="K2582" s="1">
        <v>37324</v>
      </c>
      <c r="L2582" s="1">
        <v>37324</v>
      </c>
      <c r="M2582" s="1">
        <v>37322</v>
      </c>
      <c r="N2582" s="1">
        <v>37322</v>
      </c>
      <c r="O2582" t="s">
        <v>1117</v>
      </c>
      <c r="P2582">
        <v>1</v>
      </c>
      <c r="Q2582" t="s">
        <v>3632</v>
      </c>
      <c r="R2582">
        <f t="shared" si="81"/>
        <v>10</v>
      </c>
      <c r="S2582">
        <f t="shared" si="82"/>
        <v>1</v>
      </c>
    </row>
    <row r="2583" spans="1:19" x14ac:dyDescent="0.25">
      <c r="A2583" t="s">
        <v>3716</v>
      </c>
      <c r="B2583" t="s">
        <v>1199</v>
      </c>
      <c r="C2583">
        <v>0.38100000000000001</v>
      </c>
      <c r="D2583">
        <v>203.2</v>
      </c>
      <c r="E2583">
        <v>0</v>
      </c>
      <c r="F2583">
        <v>18.143999999999998</v>
      </c>
      <c r="G2583">
        <v>18.143999999999998</v>
      </c>
      <c r="H2583" t="s">
        <v>3631</v>
      </c>
      <c r="I2583" s="1">
        <v>37126</v>
      </c>
      <c r="J2583" s="1">
        <v>37311</v>
      </c>
      <c r="K2583" t="s">
        <v>1124</v>
      </c>
      <c r="L2583" t="s">
        <v>1124</v>
      </c>
      <c r="M2583" s="1">
        <v>37323</v>
      </c>
      <c r="N2583" s="1">
        <v>37334</v>
      </c>
      <c r="O2583" t="s">
        <v>1117</v>
      </c>
      <c r="P2583">
        <v>2</v>
      </c>
      <c r="Q2583" t="s">
        <v>3632</v>
      </c>
      <c r="R2583">
        <f t="shared" si="81"/>
        <v>12</v>
      </c>
      <c r="S2583">
        <f t="shared" si="82"/>
        <v>1</v>
      </c>
    </row>
    <row r="2584" spans="1:19" x14ac:dyDescent="0.25">
      <c r="A2584" t="s">
        <v>3717</v>
      </c>
      <c r="B2584" t="s">
        <v>1199</v>
      </c>
      <c r="C2584">
        <v>0.38100000000000001</v>
      </c>
      <c r="D2584">
        <v>203.2</v>
      </c>
      <c r="E2584">
        <v>0</v>
      </c>
      <c r="F2584">
        <v>18.143999999999998</v>
      </c>
      <c r="G2584">
        <v>18.143999999999998</v>
      </c>
      <c r="H2584" t="s">
        <v>3631</v>
      </c>
      <c r="I2584" s="1">
        <v>37126</v>
      </c>
      <c r="J2584" s="1">
        <v>37308</v>
      </c>
      <c r="K2584" t="s">
        <v>1124</v>
      </c>
      <c r="L2584" t="s">
        <v>1124</v>
      </c>
      <c r="M2584" s="1">
        <v>37333</v>
      </c>
      <c r="N2584" s="1">
        <v>37334</v>
      </c>
      <c r="O2584" t="s">
        <v>1117</v>
      </c>
      <c r="P2584">
        <v>1</v>
      </c>
      <c r="Q2584" t="s">
        <v>3632</v>
      </c>
      <c r="R2584">
        <f t="shared" si="81"/>
        <v>12</v>
      </c>
      <c r="S2584">
        <f t="shared" si="82"/>
        <v>1</v>
      </c>
    </row>
    <row r="2585" spans="1:19" x14ac:dyDescent="0.25">
      <c r="A2585" t="s">
        <v>3718</v>
      </c>
      <c r="B2585" t="s">
        <v>4028</v>
      </c>
      <c r="C2585">
        <v>0.4</v>
      </c>
      <c r="D2585">
        <v>98</v>
      </c>
      <c r="E2585">
        <v>0</v>
      </c>
      <c r="F2585">
        <v>5</v>
      </c>
      <c r="G2585">
        <v>5</v>
      </c>
      <c r="H2585" t="s">
        <v>3631</v>
      </c>
      <c r="I2585" s="1">
        <v>37159</v>
      </c>
      <c r="J2585" s="1">
        <v>37339</v>
      </c>
      <c r="K2585" s="1">
        <v>37350</v>
      </c>
      <c r="L2585" s="1">
        <v>37350</v>
      </c>
      <c r="M2585" s="1">
        <v>37350</v>
      </c>
      <c r="N2585" s="1">
        <v>37386</v>
      </c>
      <c r="O2585" t="s">
        <v>1117</v>
      </c>
      <c r="P2585">
        <v>1</v>
      </c>
      <c r="Q2585" t="s">
        <v>3632</v>
      </c>
      <c r="R2585">
        <f t="shared" si="81"/>
        <v>19</v>
      </c>
      <c r="S2585">
        <f t="shared" si="82"/>
        <v>1</v>
      </c>
    </row>
    <row r="2586" spans="1:19" x14ac:dyDescent="0.25">
      <c r="A2586" t="s">
        <v>3719</v>
      </c>
      <c r="B2586" t="s">
        <v>3601</v>
      </c>
      <c r="C2586">
        <v>0.3</v>
      </c>
      <c r="D2586">
        <v>368.3</v>
      </c>
      <c r="E2586">
        <v>0</v>
      </c>
      <c r="F2586">
        <v>5.9</v>
      </c>
      <c r="G2586">
        <v>5.9</v>
      </c>
      <c r="H2586" t="s">
        <v>3631</v>
      </c>
      <c r="I2586" s="1">
        <v>37133</v>
      </c>
      <c r="J2586" s="1">
        <v>37344</v>
      </c>
      <c r="K2586" s="1">
        <v>37372</v>
      </c>
      <c r="L2586" s="1">
        <v>37372</v>
      </c>
      <c r="M2586" s="1">
        <v>37365</v>
      </c>
      <c r="N2586" s="1">
        <v>37365</v>
      </c>
      <c r="O2586" t="s">
        <v>1117</v>
      </c>
      <c r="P2586">
        <v>10</v>
      </c>
      <c r="Q2586" t="s">
        <v>3632</v>
      </c>
      <c r="R2586">
        <f t="shared" si="81"/>
        <v>16</v>
      </c>
      <c r="S2586">
        <f t="shared" si="82"/>
        <v>1</v>
      </c>
    </row>
    <row r="2587" spans="1:19" x14ac:dyDescent="0.25">
      <c r="A2587" t="s">
        <v>3720</v>
      </c>
      <c r="B2587" t="s">
        <v>4026</v>
      </c>
      <c r="C2587">
        <v>0.254</v>
      </c>
      <c r="D2587">
        <v>110.00700000000001</v>
      </c>
      <c r="E2587">
        <v>0</v>
      </c>
      <c r="F2587">
        <v>15</v>
      </c>
      <c r="G2587">
        <v>14.135</v>
      </c>
      <c r="H2587" t="s">
        <v>3631</v>
      </c>
      <c r="I2587" s="1">
        <v>37109</v>
      </c>
      <c r="J2587" s="1">
        <v>37343</v>
      </c>
      <c r="K2587" s="1">
        <v>37357</v>
      </c>
      <c r="L2587" s="1">
        <v>37357</v>
      </c>
      <c r="M2587" s="1">
        <v>37357</v>
      </c>
      <c r="N2587" s="1">
        <v>37357</v>
      </c>
      <c r="O2587" t="s">
        <v>1117</v>
      </c>
      <c r="P2587">
        <v>1</v>
      </c>
      <c r="Q2587" t="s">
        <v>3632</v>
      </c>
      <c r="R2587">
        <f t="shared" si="81"/>
        <v>15</v>
      </c>
      <c r="S2587">
        <f t="shared" si="82"/>
        <v>0</v>
      </c>
    </row>
    <row r="2588" spans="1:19" x14ac:dyDescent="0.25">
      <c r="A2588" t="s">
        <v>3721</v>
      </c>
      <c r="B2588" t="s">
        <v>1199</v>
      </c>
      <c r="C2588">
        <v>0.3</v>
      </c>
      <c r="D2588">
        <v>469.9</v>
      </c>
      <c r="E2588">
        <v>0</v>
      </c>
      <c r="F2588">
        <v>3.7</v>
      </c>
      <c r="G2588">
        <v>3.7</v>
      </c>
      <c r="H2588" t="s">
        <v>3631</v>
      </c>
      <c r="I2588" s="1">
        <v>37109</v>
      </c>
      <c r="J2588" s="1">
        <v>37343</v>
      </c>
      <c r="K2588" s="1">
        <v>37364</v>
      </c>
      <c r="L2588" s="1">
        <v>37364</v>
      </c>
      <c r="M2588" s="1">
        <v>37357</v>
      </c>
      <c r="N2588" s="1">
        <v>37357</v>
      </c>
      <c r="O2588" t="s">
        <v>1117</v>
      </c>
      <c r="P2588">
        <v>1</v>
      </c>
      <c r="Q2588" t="s">
        <v>3632</v>
      </c>
      <c r="R2588">
        <f t="shared" si="81"/>
        <v>15</v>
      </c>
      <c r="S2588">
        <f t="shared" si="82"/>
        <v>1</v>
      </c>
    </row>
    <row r="2589" spans="1:19" x14ac:dyDescent="0.25">
      <c r="A2589" t="s">
        <v>3722</v>
      </c>
      <c r="B2589" t="s">
        <v>4028</v>
      </c>
      <c r="C2589">
        <v>0.4</v>
      </c>
      <c r="D2589">
        <v>368.3</v>
      </c>
      <c r="E2589">
        <v>0</v>
      </c>
      <c r="F2589">
        <v>4.2</v>
      </c>
      <c r="G2589">
        <v>3.2210000000000001</v>
      </c>
      <c r="H2589" t="s">
        <v>3631</v>
      </c>
      <c r="I2589" s="1">
        <v>37111</v>
      </c>
      <c r="J2589" s="1">
        <v>37343</v>
      </c>
      <c r="K2589" s="1">
        <v>37378</v>
      </c>
      <c r="L2589" s="1">
        <v>37378</v>
      </c>
      <c r="M2589" s="1">
        <v>37343</v>
      </c>
      <c r="N2589" s="1">
        <v>37343</v>
      </c>
      <c r="O2589" t="s">
        <v>1117</v>
      </c>
      <c r="P2589">
        <v>1</v>
      </c>
      <c r="Q2589" t="s">
        <v>3632</v>
      </c>
      <c r="R2589">
        <f t="shared" si="81"/>
        <v>13</v>
      </c>
      <c r="S2589">
        <f t="shared" si="82"/>
        <v>0</v>
      </c>
    </row>
    <row r="2590" spans="1:19" x14ac:dyDescent="0.25">
      <c r="A2590" t="s">
        <v>3723</v>
      </c>
      <c r="B2590" t="s">
        <v>4028</v>
      </c>
      <c r="C2590">
        <v>0.18</v>
      </c>
      <c r="D2590">
        <v>615</v>
      </c>
      <c r="E2590">
        <v>0</v>
      </c>
      <c r="F2590">
        <v>15</v>
      </c>
      <c r="G2590">
        <v>15</v>
      </c>
      <c r="H2590" t="s">
        <v>3631</v>
      </c>
      <c r="I2590" s="1">
        <v>37131</v>
      </c>
      <c r="J2590" s="1">
        <v>37341</v>
      </c>
      <c r="K2590" s="1">
        <v>37355</v>
      </c>
      <c r="L2590" s="1">
        <v>37355</v>
      </c>
      <c r="M2590" s="1">
        <v>37355</v>
      </c>
      <c r="N2590" s="1">
        <v>37355</v>
      </c>
      <c r="O2590" t="s">
        <v>1117</v>
      </c>
      <c r="P2590">
        <v>2</v>
      </c>
      <c r="Q2590" t="s">
        <v>3632</v>
      </c>
      <c r="R2590">
        <f t="shared" si="81"/>
        <v>15</v>
      </c>
      <c r="S2590">
        <f t="shared" si="82"/>
        <v>1</v>
      </c>
    </row>
    <row r="2591" spans="1:19" x14ac:dyDescent="0.25">
      <c r="A2591" t="s">
        <v>3724</v>
      </c>
      <c r="B2591" t="s">
        <v>1199</v>
      </c>
      <c r="C2591">
        <v>0.5</v>
      </c>
      <c r="D2591">
        <v>31.2</v>
      </c>
      <c r="E2591">
        <v>0</v>
      </c>
      <c r="F2591">
        <v>5</v>
      </c>
      <c r="G2591">
        <v>3.613</v>
      </c>
      <c r="H2591" t="s">
        <v>3631</v>
      </c>
      <c r="I2591" s="1">
        <v>37116</v>
      </c>
      <c r="J2591" s="1">
        <v>37340</v>
      </c>
      <c r="K2591" s="1">
        <v>37347</v>
      </c>
      <c r="L2591" s="1">
        <v>37347</v>
      </c>
      <c r="M2591" s="1">
        <v>37347</v>
      </c>
      <c r="N2591" s="1">
        <v>37347</v>
      </c>
      <c r="O2591" t="s">
        <v>1117</v>
      </c>
      <c r="P2591">
        <v>3</v>
      </c>
      <c r="Q2591" t="s">
        <v>3632</v>
      </c>
      <c r="R2591">
        <f t="shared" si="81"/>
        <v>14</v>
      </c>
      <c r="S2591">
        <f t="shared" si="82"/>
        <v>0</v>
      </c>
    </row>
    <row r="2592" spans="1:19" x14ac:dyDescent="0.25">
      <c r="A2592" t="s">
        <v>3725</v>
      </c>
      <c r="B2592" t="s">
        <v>4027</v>
      </c>
      <c r="C2592">
        <v>0.4</v>
      </c>
      <c r="D2592">
        <v>54.3</v>
      </c>
      <c r="E2592">
        <v>0</v>
      </c>
      <c r="F2592">
        <v>6</v>
      </c>
      <c r="G2592">
        <v>3.9710000000000001</v>
      </c>
      <c r="H2592" t="s">
        <v>3631</v>
      </c>
      <c r="I2592" s="1">
        <v>37159</v>
      </c>
      <c r="J2592" s="1">
        <v>37339</v>
      </c>
      <c r="K2592" s="1">
        <v>37362</v>
      </c>
      <c r="L2592" s="1">
        <v>37362</v>
      </c>
      <c r="M2592" s="1">
        <v>37362</v>
      </c>
      <c r="N2592" s="1">
        <v>37362</v>
      </c>
      <c r="O2592" t="s">
        <v>1117</v>
      </c>
      <c r="P2592">
        <v>2</v>
      </c>
      <c r="Q2592" t="s">
        <v>3632</v>
      </c>
      <c r="R2592">
        <f t="shared" si="81"/>
        <v>16</v>
      </c>
      <c r="S2592">
        <f t="shared" si="82"/>
        <v>0</v>
      </c>
    </row>
    <row r="2593" spans="1:19" x14ac:dyDescent="0.25">
      <c r="A2593" t="s">
        <v>3726</v>
      </c>
      <c r="B2593" t="s">
        <v>4026</v>
      </c>
      <c r="C2593">
        <v>0.4</v>
      </c>
      <c r="D2593">
        <v>54.3</v>
      </c>
      <c r="E2593">
        <v>0</v>
      </c>
      <c r="F2593">
        <v>6</v>
      </c>
      <c r="G2593">
        <v>6</v>
      </c>
      <c r="H2593" t="s">
        <v>3631</v>
      </c>
      <c r="I2593" s="1">
        <v>37116</v>
      </c>
      <c r="J2593" s="1">
        <v>37340</v>
      </c>
      <c r="K2593" s="1">
        <v>37355</v>
      </c>
      <c r="L2593" s="1">
        <v>37355</v>
      </c>
      <c r="M2593" s="1">
        <v>37355</v>
      </c>
      <c r="N2593" s="1">
        <v>37362</v>
      </c>
      <c r="O2593" t="s">
        <v>1117</v>
      </c>
      <c r="P2593">
        <v>2</v>
      </c>
      <c r="Q2593" t="s">
        <v>3632</v>
      </c>
      <c r="R2593">
        <f t="shared" si="81"/>
        <v>16</v>
      </c>
      <c r="S2593">
        <f t="shared" si="82"/>
        <v>1</v>
      </c>
    </row>
    <row r="2594" spans="1:19" x14ac:dyDescent="0.25">
      <c r="A2594" t="s">
        <v>3727</v>
      </c>
      <c r="B2594" t="s">
        <v>1199</v>
      </c>
      <c r="C2594">
        <v>0.4</v>
      </c>
      <c r="D2594">
        <v>44.5</v>
      </c>
      <c r="E2594">
        <v>0</v>
      </c>
      <c r="F2594">
        <v>15</v>
      </c>
      <c r="G2594">
        <v>15</v>
      </c>
      <c r="H2594" t="s">
        <v>3631</v>
      </c>
      <c r="I2594" s="1">
        <v>37116</v>
      </c>
      <c r="J2594" s="1">
        <v>37340</v>
      </c>
      <c r="K2594" s="1">
        <v>37354</v>
      </c>
      <c r="L2594" s="1">
        <v>37354</v>
      </c>
      <c r="M2594" s="1">
        <v>37354</v>
      </c>
      <c r="N2594" s="1">
        <v>37354</v>
      </c>
      <c r="O2594" t="s">
        <v>1117</v>
      </c>
      <c r="P2594">
        <v>1</v>
      </c>
      <c r="Q2594" t="s">
        <v>3632</v>
      </c>
      <c r="R2594">
        <f t="shared" si="81"/>
        <v>15</v>
      </c>
      <c r="S2594">
        <f t="shared" si="82"/>
        <v>1</v>
      </c>
    </row>
    <row r="2595" spans="1:19" x14ac:dyDescent="0.25">
      <c r="A2595" t="s">
        <v>3728</v>
      </c>
      <c r="B2595" t="s">
        <v>3521</v>
      </c>
      <c r="C2595">
        <v>0.4</v>
      </c>
      <c r="D2595">
        <v>44.5</v>
      </c>
      <c r="E2595">
        <v>0</v>
      </c>
      <c r="F2595">
        <v>11</v>
      </c>
      <c r="G2595">
        <v>9.9120000000000008</v>
      </c>
      <c r="H2595" t="s">
        <v>3631</v>
      </c>
      <c r="I2595" s="1">
        <v>37159</v>
      </c>
      <c r="J2595" s="1">
        <v>37339</v>
      </c>
      <c r="K2595" s="1">
        <v>37354</v>
      </c>
      <c r="L2595" s="1">
        <v>37354</v>
      </c>
      <c r="M2595" s="1">
        <v>37354</v>
      </c>
      <c r="N2595" s="1">
        <v>37354</v>
      </c>
      <c r="O2595" t="s">
        <v>1117</v>
      </c>
      <c r="P2595">
        <v>1</v>
      </c>
      <c r="Q2595" t="s">
        <v>3632</v>
      </c>
      <c r="R2595">
        <f t="shared" si="81"/>
        <v>15</v>
      </c>
      <c r="S2595">
        <f t="shared" si="82"/>
        <v>0</v>
      </c>
    </row>
    <row r="2596" spans="1:19" x14ac:dyDescent="0.25">
      <c r="A2596" t="s">
        <v>3729</v>
      </c>
      <c r="B2596" t="s">
        <v>1199</v>
      </c>
      <c r="C2596">
        <v>0.4</v>
      </c>
      <c r="D2596">
        <v>46.7</v>
      </c>
      <c r="E2596">
        <v>0</v>
      </c>
      <c r="F2596">
        <v>3</v>
      </c>
      <c r="G2596">
        <v>3</v>
      </c>
      <c r="H2596" t="s">
        <v>3631</v>
      </c>
      <c r="I2596" s="1">
        <v>37116</v>
      </c>
      <c r="J2596" s="1">
        <v>37340</v>
      </c>
      <c r="K2596" s="1">
        <v>37358</v>
      </c>
      <c r="L2596" s="1">
        <v>37358</v>
      </c>
      <c r="M2596" s="1">
        <v>37358</v>
      </c>
      <c r="N2596" s="1">
        <v>37358</v>
      </c>
      <c r="O2596" t="s">
        <v>1117</v>
      </c>
      <c r="P2596">
        <v>1</v>
      </c>
      <c r="Q2596" t="s">
        <v>3632</v>
      </c>
      <c r="R2596">
        <f t="shared" si="81"/>
        <v>15</v>
      </c>
      <c r="S2596">
        <f t="shared" si="82"/>
        <v>1</v>
      </c>
    </row>
    <row r="2597" spans="1:19" x14ac:dyDescent="0.25">
      <c r="A2597" t="s">
        <v>3730</v>
      </c>
      <c r="B2597" t="s">
        <v>1199</v>
      </c>
      <c r="C2597">
        <v>0.15</v>
      </c>
      <c r="D2597">
        <v>627</v>
      </c>
      <c r="E2597">
        <v>0</v>
      </c>
      <c r="F2597">
        <v>5</v>
      </c>
      <c r="G2597">
        <v>5</v>
      </c>
      <c r="H2597" t="s">
        <v>3631</v>
      </c>
      <c r="I2597" s="1">
        <v>37112</v>
      </c>
      <c r="J2597" s="1">
        <v>37343</v>
      </c>
      <c r="K2597" s="1">
        <v>37371</v>
      </c>
      <c r="L2597" s="1">
        <v>37371</v>
      </c>
      <c r="M2597" s="1">
        <v>37371</v>
      </c>
      <c r="N2597" s="1">
        <v>37371</v>
      </c>
      <c r="O2597" t="s">
        <v>1117</v>
      </c>
      <c r="P2597">
        <v>1</v>
      </c>
      <c r="Q2597" t="s">
        <v>3632</v>
      </c>
      <c r="R2597">
        <f t="shared" si="81"/>
        <v>17</v>
      </c>
      <c r="S2597">
        <f t="shared" si="82"/>
        <v>1</v>
      </c>
    </row>
    <row r="2598" spans="1:19" x14ac:dyDescent="0.25">
      <c r="A2598" t="s">
        <v>3731</v>
      </c>
      <c r="B2598" t="s">
        <v>4026</v>
      </c>
      <c r="C2598">
        <v>0.4</v>
      </c>
      <c r="D2598">
        <v>36.700000000000003</v>
      </c>
      <c r="E2598">
        <v>0</v>
      </c>
      <c r="F2598">
        <v>2</v>
      </c>
      <c r="G2598">
        <v>2</v>
      </c>
      <c r="H2598" t="s">
        <v>3631</v>
      </c>
      <c r="I2598" s="1">
        <v>37116</v>
      </c>
      <c r="J2598" s="1">
        <v>37340</v>
      </c>
      <c r="K2598" s="1">
        <v>37340</v>
      </c>
      <c r="L2598" s="1">
        <v>37340</v>
      </c>
      <c r="M2598" s="1">
        <v>37340</v>
      </c>
      <c r="N2598" s="1">
        <v>37340</v>
      </c>
      <c r="O2598" t="s">
        <v>1114</v>
      </c>
      <c r="P2598">
        <v>2</v>
      </c>
      <c r="Q2598" t="s">
        <v>3632</v>
      </c>
      <c r="R2598">
        <f t="shared" si="81"/>
        <v>13</v>
      </c>
      <c r="S2598">
        <f t="shared" si="82"/>
        <v>1</v>
      </c>
    </row>
    <row r="2599" spans="1:19" x14ac:dyDescent="0.25">
      <c r="A2599" t="s">
        <v>3732</v>
      </c>
      <c r="B2599" t="s">
        <v>4026</v>
      </c>
      <c r="C2599">
        <v>0.2</v>
      </c>
      <c r="D2599">
        <v>609</v>
      </c>
      <c r="E2599">
        <v>0</v>
      </c>
      <c r="F2599">
        <v>2</v>
      </c>
      <c r="G2599">
        <v>2</v>
      </c>
      <c r="H2599" t="s">
        <v>3631</v>
      </c>
      <c r="I2599" s="1">
        <v>37112</v>
      </c>
      <c r="J2599" s="1">
        <v>37343</v>
      </c>
      <c r="K2599" s="1">
        <v>37350</v>
      </c>
      <c r="L2599" s="1">
        <v>37350</v>
      </c>
      <c r="M2599" s="1">
        <v>37350</v>
      </c>
      <c r="N2599" s="1">
        <v>37350</v>
      </c>
      <c r="O2599" t="s">
        <v>1117</v>
      </c>
      <c r="P2599">
        <v>5</v>
      </c>
      <c r="Q2599" t="s">
        <v>3632</v>
      </c>
      <c r="R2599">
        <f t="shared" si="81"/>
        <v>14</v>
      </c>
      <c r="S2599">
        <f t="shared" si="82"/>
        <v>1</v>
      </c>
    </row>
    <row r="2600" spans="1:19" x14ac:dyDescent="0.25">
      <c r="A2600" t="s">
        <v>3733</v>
      </c>
      <c r="B2600" t="s">
        <v>1199</v>
      </c>
      <c r="C2600">
        <v>0.2</v>
      </c>
      <c r="D2600">
        <v>505</v>
      </c>
      <c r="E2600">
        <v>0</v>
      </c>
      <c r="F2600">
        <v>2</v>
      </c>
      <c r="G2600">
        <v>2</v>
      </c>
      <c r="H2600" t="s">
        <v>3631</v>
      </c>
      <c r="I2600" s="1">
        <v>37112</v>
      </c>
      <c r="J2600" s="1">
        <v>37343</v>
      </c>
      <c r="K2600" s="1">
        <v>37343</v>
      </c>
      <c r="L2600" s="1">
        <v>37343</v>
      </c>
      <c r="M2600" s="1">
        <v>37343</v>
      </c>
      <c r="N2600" s="1">
        <v>37343</v>
      </c>
      <c r="O2600" t="s">
        <v>1114</v>
      </c>
      <c r="P2600">
        <v>7</v>
      </c>
      <c r="Q2600" t="s">
        <v>3632</v>
      </c>
      <c r="R2600">
        <f t="shared" si="81"/>
        <v>13</v>
      </c>
      <c r="S2600">
        <f t="shared" si="82"/>
        <v>1</v>
      </c>
    </row>
    <row r="2601" spans="1:19" x14ac:dyDescent="0.25">
      <c r="A2601" t="s">
        <v>3734</v>
      </c>
      <c r="B2601" t="s">
        <v>4028</v>
      </c>
      <c r="C2601">
        <v>0.15</v>
      </c>
      <c r="D2601">
        <v>537</v>
      </c>
      <c r="E2601">
        <v>0</v>
      </c>
      <c r="F2601">
        <v>2</v>
      </c>
      <c r="G2601">
        <v>2</v>
      </c>
      <c r="H2601" t="s">
        <v>3631</v>
      </c>
      <c r="I2601" s="1">
        <v>37112</v>
      </c>
      <c r="J2601" s="1">
        <v>37343</v>
      </c>
      <c r="K2601" s="1">
        <v>37344</v>
      </c>
      <c r="L2601" s="1">
        <v>37344</v>
      </c>
      <c r="M2601" s="1">
        <v>37343</v>
      </c>
      <c r="N2601" s="1">
        <v>37343</v>
      </c>
      <c r="O2601" t="s">
        <v>1117</v>
      </c>
      <c r="P2601">
        <v>10</v>
      </c>
      <c r="Q2601" t="s">
        <v>3632</v>
      </c>
      <c r="R2601">
        <f t="shared" si="81"/>
        <v>13</v>
      </c>
      <c r="S2601">
        <f t="shared" si="82"/>
        <v>1</v>
      </c>
    </row>
    <row r="2602" spans="1:19" x14ac:dyDescent="0.25">
      <c r="A2602" t="s">
        <v>3735</v>
      </c>
      <c r="B2602" t="s">
        <v>4028</v>
      </c>
      <c r="C2602">
        <v>0.15</v>
      </c>
      <c r="D2602">
        <v>670</v>
      </c>
      <c r="E2602">
        <v>0</v>
      </c>
      <c r="F2602">
        <v>14</v>
      </c>
      <c r="G2602">
        <v>14</v>
      </c>
      <c r="H2602" t="s">
        <v>3631</v>
      </c>
      <c r="I2602" s="1">
        <v>37112</v>
      </c>
      <c r="J2602" s="1">
        <v>37343</v>
      </c>
      <c r="K2602" s="1">
        <v>37343</v>
      </c>
      <c r="L2602" s="1">
        <v>37343</v>
      </c>
      <c r="M2602" s="1">
        <v>37343</v>
      </c>
      <c r="N2602" s="1">
        <v>37343</v>
      </c>
      <c r="O2602" t="s">
        <v>1114</v>
      </c>
      <c r="P2602">
        <v>3</v>
      </c>
      <c r="Q2602" t="s">
        <v>3632</v>
      </c>
      <c r="R2602">
        <f t="shared" si="81"/>
        <v>13</v>
      </c>
      <c r="S2602">
        <f t="shared" si="82"/>
        <v>1</v>
      </c>
    </row>
    <row r="2603" spans="1:19" x14ac:dyDescent="0.25">
      <c r="A2603" t="s">
        <v>3736</v>
      </c>
      <c r="B2603" t="s">
        <v>4026</v>
      </c>
      <c r="C2603">
        <v>0.15</v>
      </c>
      <c r="D2603">
        <v>454</v>
      </c>
      <c r="E2603">
        <v>0</v>
      </c>
      <c r="F2603">
        <v>8</v>
      </c>
      <c r="G2603">
        <v>8</v>
      </c>
      <c r="H2603" t="s">
        <v>3631</v>
      </c>
      <c r="I2603" s="1">
        <v>37112</v>
      </c>
      <c r="J2603" s="1">
        <v>37343</v>
      </c>
      <c r="K2603" s="1">
        <v>37364</v>
      </c>
      <c r="L2603" s="1">
        <v>37364</v>
      </c>
      <c r="M2603" s="1">
        <v>37364</v>
      </c>
      <c r="N2603" s="1">
        <v>37364</v>
      </c>
      <c r="O2603" t="s">
        <v>1117</v>
      </c>
      <c r="P2603">
        <v>1</v>
      </c>
      <c r="Q2603" t="s">
        <v>3632</v>
      </c>
      <c r="R2603">
        <f t="shared" si="81"/>
        <v>16</v>
      </c>
      <c r="S2603">
        <f t="shared" si="82"/>
        <v>1</v>
      </c>
    </row>
    <row r="2604" spans="1:19" x14ac:dyDescent="0.25">
      <c r="A2604" t="s">
        <v>3737</v>
      </c>
      <c r="B2604" t="s">
        <v>4028</v>
      </c>
      <c r="C2604">
        <v>0.15</v>
      </c>
      <c r="D2604">
        <v>670</v>
      </c>
      <c r="E2604">
        <v>0</v>
      </c>
      <c r="F2604">
        <v>14</v>
      </c>
      <c r="G2604">
        <v>14</v>
      </c>
      <c r="H2604" t="s">
        <v>3631</v>
      </c>
      <c r="I2604" s="1">
        <v>37353</v>
      </c>
      <c r="J2604" s="1">
        <v>37392</v>
      </c>
      <c r="K2604" t="s">
        <v>1124</v>
      </c>
      <c r="L2604" t="s">
        <v>1124</v>
      </c>
      <c r="M2604" t="s">
        <v>1124</v>
      </c>
      <c r="N2604" s="1">
        <v>37343</v>
      </c>
      <c r="O2604" t="s">
        <v>1117</v>
      </c>
      <c r="P2604">
        <v>3</v>
      </c>
      <c r="Q2604" t="s">
        <v>3632</v>
      </c>
      <c r="R2604">
        <f t="shared" si="81"/>
        <v>13</v>
      </c>
      <c r="S2604">
        <f t="shared" si="82"/>
        <v>0</v>
      </c>
    </row>
    <row r="2605" spans="1:19" x14ac:dyDescent="0.25">
      <c r="A2605" t="s">
        <v>3738</v>
      </c>
      <c r="B2605" t="s">
        <v>1199</v>
      </c>
      <c r="C2605">
        <v>0.15</v>
      </c>
      <c r="D2605">
        <v>350</v>
      </c>
      <c r="E2605">
        <v>0</v>
      </c>
      <c r="F2605">
        <v>3</v>
      </c>
      <c r="G2605">
        <v>3</v>
      </c>
      <c r="H2605" t="s">
        <v>3631</v>
      </c>
      <c r="I2605" s="1">
        <v>37123</v>
      </c>
      <c r="J2605" s="1">
        <v>37341</v>
      </c>
      <c r="K2605" s="1">
        <v>37371</v>
      </c>
      <c r="L2605" s="1">
        <v>37371</v>
      </c>
      <c r="M2605" s="1">
        <v>37371</v>
      </c>
      <c r="N2605" s="1">
        <v>37371</v>
      </c>
      <c r="O2605" t="s">
        <v>1117</v>
      </c>
      <c r="P2605">
        <v>1</v>
      </c>
      <c r="Q2605" t="s">
        <v>3632</v>
      </c>
      <c r="R2605">
        <f t="shared" si="81"/>
        <v>17</v>
      </c>
      <c r="S2605">
        <f t="shared" si="82"/>
        <v>1</v>
      </c>
    </row>
    <row r="2606" spans="1:19" x14ac:dyDescent="0.25">
      <c r="A2606" t="s">
        <v>3739</v>
      </c>
      <c r="B2606" t="s">
        <v>4028</v>
      </c>
      <c r="C2606">
        <v>0.12</v>
      </c>
      <c r="D2606">
        <v>440</v>
      </c>
      <c r="E2606">
        <v>0</v>
      </c>
      <c r="F2606">
        <v>3</v>
      </c>
      <c r="G2606">
        <v>3</v>
      </c>
      <c r="H2606" t="s">
        <v>3631</v>
      </c>
      <c r="I2606" s="1">
        <v>37107</v>
      </c>
      <c r="J2606" s="1">
        <v>37340</v>
      </c>
      <c r="K2606" t="s">
        <v>1124</v>
      </c>
      <c r="L2606" t="s">
        <v>1124</v>
      </c>
      <c r="M2606" s="1">
        <v>37352</v>
      </c>
      <c r="N2606" s="1">
        <v>37352</v>
      </c>
      <c r="O2606" t="s">
        <v>1117</v>
      </c>
      <c r="P2606">
        <v>1</v>
      </c>
      <c r="Q2606" t="s">
        <v>3632</v>
      </c>
      <c r="R2606">
        <f t="shared" si="81"/>
        <v>14</v>
      </c>
      <c r="S2606">
        <f t="shared" si="82"/>
        <v>1</v>
      </c>
    </row>
    <row r="2607" spans="1:19" x14ac:dyDescent="0.25">
      <c r="A2607" t="s">
        <v>3740</v>
      </c>
      <c r="B2607" t="s">
        <v>1199</v>
      </c>
      <c r="C2607">
        <v>0.1</v>
      </c>
      <c r="D2607">
        <v>110</v>
      </c>
      <c r="E2607">
        <v>0</v>
      </c>
      <c r="F2607">
        <v>3</v>
      </c>
      <c r="G2607">
        <v>3</v>
      </c>
      <c r="H2607" t="s">
        <v>3631</v>
      </c>
      <c r="I2607" s="1">
        <v>37123</v>
      </c>
      <c r="J2607" s="1">
        <v>37341</v>
      </c>
      <c r="K2607" s="1">
        <v>37371</v>
      </c>
      <c r="L2607" s="1">
        <v>37371</v>
      </c>
      <c r="M2607" s="1">
        <v>37371</v>
      </c>
      <c r="N2607" s="1">
        <v>37371</v>
      </c>
      <c r="O2607" t="s">
        <v>1117</v>
      </c>
      <c r="P2607">
        <v>1</v>
      </c>
      <c r="Q2607" t="s">
        <v>3632</v>
      </c>
      <c r="R2607">
        <f t="shared" si="81"/>
        <v>17</v>
      </c>
      <c r="S2607">
        <f t="shared" si="82"/>
        <v>1</v>
      </c>
    </row>
    <row r="2608" spans="1:19" x14ac:dyDescent="0.25">
      <c r="A2608" t="s">
        <v>3741</v>
      </c>
      <c r="B2608" t="s">
        <v>1199</v>
      </c>
      <c r="C2608">
        <v>0.2</v>
      </c>
      <c r="D2608">
        <v>430</v>
      </c>
      <c r="E2608">
        <v>0</v>
      </c>
      <c r="F2608">
        <v>2</v>
      </c>
      <c r="G2608">
        <v>2</v>
      </c>
      <c r="H2608" t="s">
        <v>3631</v>
      </c>
      <c r="I2608" s="1">
        <v>37112</v>
      </c>
      <c r="J2608" s="1">
        <v>37343</v>
      </c>
      <c r="K2608" s="1">
        <v>37364</v>
      </c>
      <c r="L2608" s="1">
        <v>37364</v>
      </c>
      <c r="M2608" s="1">
        <v>37364</v>
      </c>
      <c r="N2608" s="1">
        <v>37364</v>
      </c>
      <c r="O2608" t="s">
        <v>1117</v>
      </c>
      <c r="P2608">
        <v>6</v>
      </c>
      <c r="Q2608" t="s">
        <v>3632</v>
      </c>
      <c r="R2608">
        <f t="shared" si="81"/>
        <v>16</v>
      </c>
      <c r="S2608">
        <f t="shared" si="82"/>
        <v>1</v>
      </c>
    </row>
    <row r="2609" spans="1:19" x14ac:dyDescent="0.25">
      <c r="A2609" t="s">
        <v>3742</v>
      </c>
      <c r="B2609" t="s">
        <v>4028</v>
      </c>
      <c r="C2609">
        <v>0.4</v>
      </c>
      <c r="D2609">
        <v>330.2</v>
      </c>
      <c r="E2609">
        <v>0</v>
      </c>
      <c r="F2609">
        <v>18</v>
      </c>
      <c r="G2609">
        <v>18</v>
      </c>
      <c r="H2609" t="s">
        <v>3631</v>
      </c>
      <c r="I2609" s="1">
        <v>37133</v>
      </c>
      <c r="J2609" s="1">
        <v>37344</v>
      </c>
      <c r="K2609" s="1">
        <v>37358</v>
      </c>
      <c r="L2609" s="1">
        <v>37358</v>
      </c>
      <c r="M2609" s="1">
        <v>37358</v>
      </c>
      <c r="N2609" s="1">
        <v>37358</v>
      </c>
      <c r="O2609" t="s">
        <v>1117</v>
      </c>
      <c r="P2609">
        <v>5</v>
      </c>
      <c r="Q2609" t="s">
        <v>3632</v>
      </c>
      <c r="R2609">
        <f t="shared" si="81"/>
        <v>15</v>
      </c>
      <c r="S2609">
        <f t="shared" si="82"/>
        <v>1</v>
      </c>
    </row>
    <row r="2610" spans="1:19" x14ac:dyDescent="0.25">
      <c r="A2610" t="s">
        <v>3743</v>
      </c>
      <c r="B2610" t="s">
        <v>1199</v>
      </c>
      <c r="C2610">
        <v>0.15</v>
      </c>
      <c r="D2610">
        <v>350</v>
      </c>
      <c r="E2610">
        <v>0</v>
      </c>
      <c r="F2610">
        <v>3</v>
      </c>
      <c r="G2610">
        <v>3</v>
      </c>
      <c r="H2610" t="s">
        <v>3631</v>
      </c>
      <c r="I2610" s="1">
        <v>37159</v>
      </c>
      <c r="J2610" s="1">
        <v>37339</v>
      </c>
      <c r="K2610" s="1">
        <v>37356</v>
      </c>
      <c r="L2610" s="1">
        <v>37356</v>
      </c>
      <c r="M2610" s="1">
        <v>37356</v>
      </c>
      <c r="N2610" s="1">
        <v>37371</v>
      </c>
      <c r="O2610" t="s">
        <v>1117</v>
      </c>
      <c r="P2610">
        <v>1</v>
      </c>
      <c r="Q2610" t="s">
        <v>3632</v>
      </c>
      <c r="R2610">
        <f t="shared" si="81"/>
        <v>17</v>
      </c>
      <c r="S2610">
        <f t="shared" si="82"/>
        <v>1</v>
      </c>
    </row>
    <row r="2611" spans="1:19" x14ac:dyDescent="0.25">
      <c r="A2611" t="s">
        <v>3744</v>
      </c>
      <c r="B2611" t="s">
        <v>4026</v>
      </c>
      <c r="C2611">
        <v>0.15</v>
      </c>
      <c r="D2611">
        <v>360</v>
      </c>
      <c r="E2611">
        <v>0</v>
      </c>
      <c r="F2611">
        <v>36</v>
      </c>
      <c r="G2611">
        <v>29.056000000000001</v>
      </c>
      <c r="H2611" t="s">
        <v>3631</v>
      </c>
      <c r="I2611" s="1">
        <v>36929</v>
      </c>
      <c r="J2611" s="1">
        <v>36977</v>
      </c>
      <c r="K2611" s="1">
        <v>37318</v>
      </c>
      <c r="L2611" s="1">
        <v>37318</v>
      </c>
      <c r="M2611" t="s">
        <v>1124</v>
      </c>
      <c r="N2611" s="1">
        <v>37350</v>
      </c>
      <c r="O2611" t="s">
        <v>1117</v>
      </c>
      <c r="P2611">
        <v>2</v>
      </c>
      <c r="Q2611" t="s">
        <v>3632</v>
      </c>
      <c r="R2611">
        <f t="shared" si="81"/>
        <v>14</v>
      </c>
      <c r="S2611">
        <f t="shared" si="82"/>
        <v>0</v>
      </c>
    </row>
    <row r="2612" spans="1:19" x14ac:dyDescent="0.25">
      <c r="A2612" t="s">
        <v>3745</v>
      </c>
      <c r="B2612" t="s">
        <v>4028</v>
      </c>
      <c r="C2612">
        <v>0.25</v>
      </c>
      <c r="D2612">
        <v>330</v>
      </c>
      <c r="E2612">
        <v>0</v>
      </c>
      <c r="F2612">
        <v>38</v>
      </c>
      <c r="G2612">
        <v>29.849</v>
      </c>
      <c r="H2612" t="s">
        <v>3631</v>
      </c>
      <c r="I2612" s="1">
        <v>36929</v>
      </c>
      <c r="J2612" s="1">
        <v>36977</v>
      </c>
      <c r="K2612" s="1">
        <v>37344</v>
      </c>
      <c r="L2612" s="1">
        <v>37344</v>
      </c>
      <c r="M2612" t="s">
        <v>1124</v>
      </c>
      <c r="N2612" s="1">
        <f t="shared" ref="N2612:N2613" si="83">L2612</f>
        <v>37344</v>
      </c>
      <c r="O2612" t="s">
        <v>1117</v>
      </c>
      <c r="P2612">
        <v>1</v>
      </c>
      <c r="Q2612" t="s">
        <v>3632</v>
      </c>
      <c r="R2612">
        <f t="shared" si="81"/>
        <v>13</v>
      </c>
      <c r="S2612">
        <f t="shared" si="82"/>
        <v>0</v>
      </c>
    </row>
    <row r="2613" spans="1:19" x14ac:dyDescent="0.25">
      <c r="A2613" t="s">
        <v>3746</v>
      </c>
      <c r="B2613" t="s">
        <v>1199</v>
      </c>
      <c r="C2613">
        <v>0.25</v>
      </c>
      <c r="D2613">
        <v>470</v>
      </c>
      <c r="E2613">
        <v>0</v>
      </c>
      <c r="F2613">
        <v>39</v>
      </c>
      <c r="G2613">
        <v>33.591999999999999</v>
      </c>
      <c r="H2613" t="s">
        <v>3631</v>
      </c>
      <c r="I2613" s="1">
        <v>36931</v>
      </c>
      <c r="J2613" s="1">
        <v>36977</v>
      </c>
      <c r="K2613" s="1">
        <v>37318</v>
      </c>
      <c r="L2613" s="1">
        <v>37318</v>
      </c>
      <c r="M2613" t="s">
        <v>1124</v>
      </c>
      <c r="N2613" s="1">
        <f t="shared" si="83"/>
        <v>37318</v>
      </c>
      <c r="O2613" t="s">
        <v>1117</v>
      </c>
      <c r="P2613">
        <v>3</v>
      </c>
      <c r="Q2613" t="s">
        <v>3632</v>
      </c>
      <c r="R2613">
        <f t="shared" si="81"/>
        <v>10</v>
      </c>
      <c r="S2613">
        <f t="shared" si="82"/>
        <v>0</v>
      </c>
    </row>
    <row r="2614" spans="1:19" x14ac:dyDescent="0.25">
      <c r="A2614" t="s">
        <v>3747</v>
      </c>
      <c r="B2614" t="s">
        <v>4028</v>
      </c>
      <c r="C2614">
        <v>0.28000000000000003</v>
      </c>
      <c r="D2614">
        <v>207</v>
      </c>
      <c r="E2614">
        <v>0</v>
      </c>
      <c r="F2614">
        <v>2</v>
      </c>
      <c r="G2614">
        <v>2</v>
      </c>
      <c r="H2614" t="s">
        <v>3631</v>
      </c>
      <c r="I2614" s="1">
        <v>37293</v>
      </c>
      <c r="J2614" s="1">
        <v>37308</v>
      </c>
      <c r="K2614" t="s">
        <v>1124</v>
      </c>
      <c r="L2614" t="s">
        <v>1124</v>
      </c>
      <c r="M2614" s="1">
        <v>37328</v>
      </c>
      <c r="N2614" s="1">
        <v>37392</v>
      </c>
      <c r="O2614" t="s">
        <v>1117</v>
      </c>
      <c r="P2614">
        <v>4</v>
      </c>
      <c r="Q2614" t="s">
        <v>3632</v>
      </c>
      <c r="R2614">
        <f t="shared" si="81"/>
        <v>20</v>
      </c>
      <c r="S2614">
        <f t="shared" si="82"/>
        <v>1</v>
      </c>
    </row>
    <row r="2615" spans="1:19" x14ac:dyDescent="0.25">
      <c r="A2615" t="s">
        <v>3748</v>
      </c>
      <c r="B2615" t="s">
        <v>1199</v>
      </c>
      <c r="C2615">
        <v>0.28000000000000003</v>
      </c>
      <c r="D2615">
        <v>207</v>
      </c>
      <c r="E2615">
        <v>0</v>
      </c>
      <c r="F2615">
        <v>2</v>
      </c>
      <c r="G2615">
        <v>2</v>
      </c>
      <c r="H2615" t="s">
        <v>3631</v>
      </c>
      <c r="I2615" s="1">
        <v>37304</v>
      </c>
      <c r="J2615" s="1">
        <v>37308</v>
      </c>
      <c r="K2615" s="1">
        <v>37328</v>
      </c>
      <c r="L2615" s="1">
        <v>37328</v>
      </c>
      <c r="M2615" s="1">
        <v>37326</v>
      </c>
      <c r="N2615" s="1">
        <v>37392</v>
      </c>
      <c r="O2615" t="s">
        <v>1117</v>
      </c>
      <c r="P2615">
        <v>4</v>
      </c>
      <c r="Q2615" t="s">
        <v>3632</v>
      </c>
      <c r="R2615">
        <f t="shared" si="81"/>
        <v>20</v>
      </c>
      <c r="S2615">
        <f t="shared" si="82"/>
        <v>1</v>
      </c>
    </row>
    <row r="2616" spans="1:19" x14ac:dyDescent="0.25">
      <c r="A2616" t="s">
        <v>3749</v>
      </c>
      <c r="B2616" t="s">
        <v>3631</v>
      </c>
      <c r="C2616">
        <v>0.15</v>
      </c>
      <c r="D2616">
        <v>360</v>
      </c>
      <c r="E2616">
        <v>0</v>
      </c>
      <c r="F2616">
        <v>10</v>
      </c>
      <c r="G2616">
        <v>10</v>
      </c>
      <c r="H2616" t="s">
        <v>3631</v>
      </c>
      <c r="I2616" s="1">
        <v>37112</v>
      </c>
      <c r="J2616" s="1">
        <v>37343</v>
      </c>
      <c r="K2616" s="1">
        <v>37350</v>
      </c>
      <c r="L2616" s="1">
        <v>37350</v>
      </c>
      <c r="M2616" s="1">
        <v>37350</v>
      </c>
      <c r="N2616" s="1">
        <v>37350</v>
      </c>
      <c r="O2616" t="s">
        <v>1117</v>
      </c>
      <c r="P2616">
        <v>1</v>
      </c>
      <c r="Q2616" t="s">
        <v>3632</v>
      </c>
      <c r="R2616">
        <f t="shared" si="81"/>
        <v>14</v>
      </c>
      <c r="S2616">
        <f t="shared" si="82"/>
        <v>1</v>
      </c>
    </row>
    <row r="2617" spans="1:19" x14ac:dyDescent="0.25">
      <c r="A2617" t="s">
        <v>3750</v>
      </c>
      <c r="B2617" t="s">
        <v>4028</v>
      </c>
      <c r="C2617">
        <v>0.2</v>
      </c>
      <c r="D2617">
        <v>94</v>
      </c>
      <c r="E2617">
        <v>0</v>
      </c>
      <c r="F2617">
        <v>25</v>
      </c>
      <c r="G2617">
        <v>13.958</v>
      </c>
      <c r="H2617" t="s">
        <v>3631</v>
      </c>
      <c r="I2617" s="1">
        <v>37159</v>
      </c>
      <c r="J2617" s="1">
        <v>37339</v>
      </c>
      <c r="K2617" s="1">
        <v>37345</v>
      </c>
      <c r="L2617" s="1">
        <v>37345</v>
      </c>
      <c r="M2617" s="1">
        <v>37345</v>
      </c>
      <c r="N2617" s="1">
        <v>37345</v>
      </c>
      <c r="O2617" t="s">
        <v>1117</v>
      </c>
      <c r="P2617">
        <v>10</v>
      </c>
      <c r="Q2617" t="s">
        <v>3632</v>
      </c>
      <c r="R2617">
        <f t="shared" si="81"/>
        <v>13</v>
      </c>
      <c r="S2617">
        <f t="shared" si="82"/>
        <v>0</v>
      </c>
    </row>
    <row r="2618" spans="1:19" x14ac:dyDescent="0.25">
      <c r="A2618" t="s">
        <v>3751</v>
      </c>
      <c r="B2618" t="s">
        <v>4028</v>
      </c>
      <c r="C2618">
        <v>0.28000000000000003</v>
      </c>
      <c r="D2618">
        <v>207</v>
      </c>
      <c r="E2618">
        <v>0</v>
      </c>
      <c r="F2618">
        <v>2</v>
      </c>
      <c r="G2618">
        <v>2</v>
      </c>
      <c r="H2618" t="s">
        <v>3631</v>
      </c>
      <c r="I2618" s="1">
        <v>37352</v>
      </c>
      <c r="J2618" s="1">
        <v>37392</v>
      </c>
      <c r="K2618" t="s">
        <v>1124</v>
      </c>
      <c r="L2618" t="s">
        <v>1124</v>
      </c>
      <c r="M2618" s="1">
        <v>37392</v>
      </c>
      <c r="N2618" s="1">
        <v>37392</v>
      </c>
      <c r="O2618" t="s">
        <v>1117</v>
      </c>
      <c r="P2618">
        <v>4</v>
      </c>
      <c r="Q2618" t="s">
        <v>3632</v>
      </c>
      <c r="R2618">
        <f t="shared" si="81"/>
        <v>20</v>
      </c>
      <c r="S2618">
        <f t="shared" si="82"/>
        <v>1</v>
      </c>
    </row>
    <row r="2619" spans="1:19" x14ac:dyDescent="0.25">
      <c r="A2619" t="s">
        <v>3752</v>
      </c>
      <c r="B2619" t="s">
        <v>1199</v>
      </c>
      <c r="C2619">
        <v>0.05</v>
      </c>
      <c r="D2619">
        <v>360</v>
      </c>
      <c r="E2619">
        <v>0</v>
      </c>
      <c r="F2619">
        <v>2.5</v>
      </c>
      <c r="G2619">
        <v>2.5</v>
      </c>
      <c r="H2619" t="s">
        <v>3631</v>
      </c>
      <c r="I2619" s="1">
        <v>37159</v>
      </c>
      <c r="J2619" s="1">
        <v>37339</v>
      </c>
      <c r="K2619" s="1">
        <v>37375</v>
      </c>
      <c r="L2619" s="1">
        <v>37375</v>
      </c>
      <c r="M2619" s="1">
        <v>37368</v>
      </c>
      <c r="N2619" s="1">
        <v>37368</v>
      </c>
      <c r="O2619" t="s">
        <v>1117</v>
      </c>
      <c r="P2619">
        <v>1</v>
      </c>
      <c r="Q2619" t="s">
        <v>3632</v>
      </c>
      <c r="R2619">
        <f t="shared" si="81"/>
        <v>17</v>
      </c>
      <c r="S2619">
        <f t="shared" si="82"/>
        <v>1</v>
      </c>
    </row>
    <row r="2620" spans="1:19" x14ac:dyDescent="0.25">
      <c r="A2620" t="s">
        <v>3753</v>
      </c>
      <c r="B2620" t="s">
        <v>1199</v>
      </c>
      <c r="C2620">
        <v>0.3</v>
      </c>
      <c r="D2620">
        <v>320</v>
      </c>
      <c r="E2620">
        <v>0</v>
      </c>
      <c r="F2620">
        <v>12</v>
      </c>
      <c r="G2620">
        <v>12</v>
      </c>
      <c r="H2620" t="s">
        <v>3631</v>
      </c>
      <c r="I2620" s="1">
        <v>37353</v>
      </c>
      <c r="J2620" s="1">
        <v>37392</v>
      </c>
      <c r="K2620" t="s">
        <v>1124</v>
      </c>
      <c r="L2620" t="s">
        <v>1124</v>
      </c>
      <c r="M2620" t="s">
        <v>1124</v>
      </c>
      <c r="N2620" s="1">
        <v>37339</v>
      </c>
      <c r="O2620" t="s">
        <v>1117</v>
      </c>
      <c r="P2620">
        <v>4</v>
      </c>
      <c r="Q2620" t="s">
        <v>3754</v>
      </c>
      <c r="R2620">
        <f t="shared" si="81"/>
        <v>13</v>
      </c>
      <c r="S2620">
        <f t="shared" si="82"/>
        <v>0</v>
      </c>
    </row>
    <row r="2621" spans="1:19" x14ac:dyDescent="0.25">
      <c r="A2621" t="s">
        <v>3755</v>
      </c>
      <c r="B2621" t="s">
        <v>4028</v>
      </c>
      <c r="C2621">
        <v>0.3</v>
      </c>
      <c r="D2621">
        <v>300</v>
      </c>
      <c r="E2621">
        <v>0</v>
      </c>
      <c r="F2621">
        <v>6</v>
      </c>
      <c r="G2621">
        <v>6</v>
      </c>
      <c r="H2621" t="s">
        <v>3631</v>
      </c>
      <c r="I2621" s="1">
        <v>37159</v>
      </c>
      <c r="J2621" s="1">
        <v>37339</v>
      </c>
      <c r="K2621" s="1">
        <v>37339</v>
      </c>
      <c r="L2621" s="1">
        <v>37339</v>
      </c>
      <c r="M2621" s="1">
        <v>37339</v>
      </c>
      <c r="N2621" s="1">
        <v>37385</v>
      </c>
      <c r="O2621" t="s">
        <v>1114</v>
      </c>
      <c r="P2621">
        <v>3</v>
      </c>
      <c r="Q2621" t="s">
        <v>3754</v>
      </c>
      <c r="R2621">
        <f t="shared" si="81"/>
        <v>19</v>
      </c>
      <c r="S2621">
        <f t="shared" si="82"/>
        <v>1</v>
      </c>
    </row>
    <row r="2622" spans="1:19" x14ac:dyDescent="0.25">
      <c r="A2622" t="s">
        <v>3756</v>
      </c>
      <c r="B2622" t="s">
        <v>1199</v>
      </c>
      <c r="C2622">
        <v>0.3</v>
      </c>
      <c r="D2622">
        <v>300</v>
      </c>
      <c r="E2622">
        <v>0</v>
      </c>
      <c r="F2622">
        <v>7</v>
      </c>
      <c r="G2622">
        <v>7</v>
      </c>
      <c r="H2622" t="s">
        <v>3631</v>
      </c>
      <c r="I2622" s="1">
        <v>37159</v>
      </c>
      <c r="J2622" s="1">
        <v>37339</v>
      </c>
      <c r="K2622" s="1">
        <v>37345</v>
      </c>
      <c r="L2622" s="1">
        <v>37345</v>
      </c>
      <c r="M2622" s="1">
        <v>37345</v>
      </c>
      <c r="N2622" s="1">
        <v>37385</v>
      </c>
      <c r="O2622" t="s">
        <v>1117</v>
      </c>
      <c r="P2622">
        <v>1</v>
      </c>
      <c r="Q2622" t="s">
        <v>3754</v>
      </c>
      <c r="R2622">
        <f t="shared" si="81"/>
        <v>19</v>
      </c>
      <c r="S2622">
        <f t="shared" si="82"/>
        <v>1</v>
      </c>
    </row>
    <row r="2623" spans="1:19" x14ac:dyDescent="0.25">
      <c r="A2623" t="s">
        <v>3757</v>
      </c>
      <c r="B2623" t="s">
        <v>1199</v>
      </c>
      <c r="C2623">
        <v>0.3</v>
      </c>
      <c r="D2623">
        <v>320</v>
      </c>
      <c r="E2623">
        <v>0</v>
      </c>
      <c r="F2623">
        <v>15</v>
      </c>
      <c r="G2623">
        <v>15</v>
      </c>
      <c r="H2623" t="s">
        <v>3631</v>
      </c>
      <c r="I2623" s="1">
        <v>37159</v>
      </c>
      <c r="J2623" s="1">
        <v>37339</v>
      </c>
      <c r="K2623" s="1">
        <v>37339</v>
      </c>
      <c r="L2623" s="1">
        <v>37339</v>
      </c>
      <c r="M2623" s="1">
        <v>37339</v>
      </c>
      <c r="N2623" s="1">
        <v>37339</v>
      </c>
      <c r="O2623" t="s">
        <v>1114</v>
      </c>
      <c r="P2623">
        <v>2</v>
      </c>
      <c r="Q2623" t="s">
        <v>3754</v>
      </c>
      <c r="R2623">
        <f t="shared" si="81"/>
        <v>13</v>
      </c>
      <c r="S2623">
        <f t="shared" si="82"/>
        <v>1</v>
      </c>
    </row>
    <row r="2624" spans="1:19" x14ac:dyDescent="0.25">
      <c r="A2624" t="s">
        <v>3758</v>
      </c>
      <c r="B2624" t="s">
        <v>1199</v>
      </c>
      <c r="C2624">
        <v>0.3</v>
      </c>
      <c r="D2624">
        <v>300</v>
      </c>
      <c r="E2624">
        <v>0</v>
      </c>
      <c r="F2624">
        <v>7</v>
      </c>
      <c r="G2624">
        <v>7</v>
      </c>
      <c r="H2624" t="s">
        <v>3631</v>
      </c>
      <c r="I2624" s="1">
        <v>37353</v>
      </c>
      <c r="J2624" s="1">
        <v>37392</v>
      </c>
      <c r="K2624" t="s">
        <v>1124</v>
      </c>
      <c r="L2624" t="s">
        <v>1124</v>
      </c>
      <c r="M2624" s="1">
        <v>37385</v>
      </c>
      <c r="N2624" s="1">
        <v>37385</v>
      </c>
      <c r="O2624" t="s">
        <v>1117</v>
      </c>
      <c r="P2624">
        <v>1</v>
      </c>
      <c r="Q2624" t="s">
        <v>3754</v>
      </c>
      <c r="R2624">
        <f t="shared" si="81"/>
        <v>19</v>
      </c>
      <c r="S2624">
        <f t="shared" si="82"/>
        <v>1</v>
      </c>
    </row>
    <row r="2625" spans="1:19" x14ac:dyDescent="0.25">
      <c r="A2625" t="s">
        <v>3759</v>
      </c>
      <c r="B2625" t="s">
        <v>4026</v>
      </c>
      <c r="C2625">
        <v>0.3</v>
      </c>
      <c r="D2625">
        <v>300</v>
      </c>
      <c r="E2625">
        <v>0</v>
      </c>
      <c r="F2625">
        <v>6</v>
      </c>
      <c r="G2625">
        <v>6</v>
      </c>
      <c r="H2625" t="s">
        <v>3631</v>
      </c>
      <c r="I2625" s="1">
        <v>37353</v>
      </c>
      <c r="J2625" s="1">
        <v>37392</v>
      </c>
      <c r="K2625" t="s">
        <v>1124</v>
      </c>
      <c r="L2625" t="s">
        <v>1124</v>
      </c>
      <c r="M2625" s="1">
        <v>37384</v>
      </c>
      <c r="N2625" s="1">
        <v>37385</v>
      </c>
      <c r="O2625" t="s">
        <v>1117</v>
      </c>
      <c r="P2625">
        <v>3</v>
      </c>
      <c r="Q2625" t="s">
        <v>3754</v>
      </c>
      <c r="R2625">
        <f t="shared" si="81"/>
        <v>19</v>
      </c>
      <c r="S2625">
        <f t="shared" si="82"/>
        <v>1</v>
      </c>
    </row>
    <row r="2626" spans="1:19" x14ac:dyDescent="0.25">
      <c r="A2626" t="s">
        <v>3760</v>
      </c>
      <c r="B2626" t="s">
        <v>4027</v>
      </c>
      <c r="C2626">
        <v>0.3</v>
      </c>
      <c r="D2626">
        <v>320</v>
      </c>
      <c r="E2626">
        <v>0</v>
      </c>
      <c r="F2626">
        <v>15</v>
      </c>
      <c r="G2626">
        <v>15</v>
      </c>
      <c r="H2626" t="s">
        <v>3631</v>
      </c>
      <c r="I2626" s="1">
        <v>37353</v>
      </c>
      <c r="J2626" s="1">
        <v>37392</v>
      </c>
      <c r="K2626" t="s">
        <v>1124</v>
      </c>
      <c r="L2626" t="s">
        <v>1124</v>
      </c>
      <c r="M2626" t="s">
        <v>1124</v>
      </c>
      <c r="N2626" s="1">
        <v>37339</v>
      </c>
      <c r="O2626" t="s">
        <v>1117</v>
      </c>
      <c r="P2626">
        <v>2</v>
      </c>
      <c r="Q2626" t="s">
        <v>3754</v>
      </c>
      <c r="R2626">
        <f t="shared" si="81"/>
        <v>13</v>
      </c>
      <c r="S2626">
        <f t="shared" si="82"/>
        <v>0</v>
      </c>
    </row>
    <row r="2627" spans="1:19" x14ac:dyDescent="0.25">
      <c r="A2627" t="s">
        <v>3761</v>
      </c>
      <c r="B2627" t="s">
        <v>4026</v>
      </c>
      <c r="C2627">
        <v>0.3</v>
      </c>
      <c r="D2627">
        <v>320</v>
      </c>
      <c r="E2627">
        <v>0</v>
      </c>
      <c r="F2627">
        <v>12</v>
      </c>
      <c r="G2627">
        <v>12</v>
      </c>
      <c r="H2627" t="s">
        <v>3631</v>
      </c>
      <c r="I2627" s="1">
        <v>37159</v>
      </c>
      <c r="J2627" s="1">
        <v>37339</v>
      </c>
      <c r="K2627" s="1">
        <v>37339</v>
      </c>
      <c r="L2627" s="1">
        <v>37339</v>
      </c>
      <c r="M2627" s="1">
        <v>37339</v>
      </c>
      <c r="N2627" s="1">
        <v>37339</v>
      </c>
      <c r="O2627" t="s">
        <v>1114</v>
      </c>
      <c r="P2627">
        <v>4</v>
      </c>
      <c r="Q2627" t="s">
        <v>3754</v>
      </c>
      <c r="R2627">
        <f t="shared" ref="R2627:R2690" si="84">WEEKNUM(N2627,1)</f>
        <v>13</v>
      </c>
      <c r="S2627">
        <f t="shared" ref="S2627:S2690" si="85">IF(AND(F2627=G2627, M2627&lt;=N2627), 1,0)</f>
        <v>1</v>
      </c>
    </row>
    <row r="2628" spans="1:19" x14ac:dyDescent="0.25">
      <c r="A2628" t="s">
        <v>3762</v>
      </c>
      <c r="B2628" t="s">
        <v>4028</v>
      </c>
      <c r="C2628">
        <v>0.3</v>
      </c>
      <c r="D2628">
        <v>113</v>
      </c>
      <c r="E2628">
        <v>0</v>
      </c>
      <c r="F2628">
        <v>15</v>
      </c>
      <c r="G2628">
        <v>13.406000000000001</v>
      </c>
      <c r="H2628" t="s">
        <v>3631</v>
      </c>
      <c r="I2628" s="1">
        <v>37352</v>
      </c>
      <c r="J2628" s="1">
        <v>37386</v>
      </c>
      <c r="K2628" t="s">
        <v>1124</v>
      </c>
      <c r="L2628" t="s">
        <v>1124</v>
      </c>
      <c r="M2628" s="1">
        <v>37386</v>
      </c>
      <c r="N2628" s="1">
        <v>37386</v>
      </c>
      <c r="O2628" t="s">
        <v>1117</v>
      </c>
      <c r="P2628">
        <v>2</v>
      </c>
      <c r="Q2628" t="s">
        <v>3632</v>
      </c>
      <c r="R2628">
        <f t="shared" si="84"/>
        <v>19</v>
      </c>
      <c r="S2628">
        <f t="shared" si="85"/>
        <v>0</v>
      </c>
    </row>
    <row r="2629" spans="1:19" x14ac:dyDescent="0.25">
      <c r="A2629" t="s">
        <v>3763</v>
      </c>
      <c r="B2629" t="s">
        <v>4028</v>
      </c>
      <c r="C2629">
        <v>0.4</v>
      </c>
      <c r="D2629">
        <v>98</v>
      </c>
      <c r="E2629">
        <v>0</v>
      </c>
      <c r="F2629">
        <v>15</v>
      </c>
      <c r="G2629">
        <v>11.33</v>
      </c>
      <c r="H2629" t="s">
        <v>3631</v>
      </c>
      <c r="I2629" s="1">
        <v>37352</v>
      </c>
      <c r="J2629" s="1">
        <v>37386</v>
      </c>
      <c r="K2629" t="s">
        <v>1124</v>
      </c>
      <c r="L2629" t="s">
        <v>1124</v>
      </c>
      <c r="M2629" s="1">
        <v>37386</v>
      </c>
      <c r="N2629" s="1">
        <v>37386</v>
      </c>
      <c r="O2629" t="s">
        <v>1117</v>
      </c>
      <c r="P2629">
        <v>1</v>
      </c>
      <c r="Q2629" t="s">
        <v>3632</v>
      </c>
      <c r="R2629">
        <f t="shared" si="84"/>
        <v>19</v>
      </c>
      <c r="S2629">
        <f t="shared" si="85"/>
        <v>0</v>
      </c>
    </row>
    <row r="2630" spans="1:19" x14ac:dyDescent="0.25">
      <c r="A2630" t="s">
        <v>3764</v>
      </c>
      <c r="B2630" t="s">
        <v>4027</v>
      </c>
      <c r="C2630">
        <v>0.2</v>
      </c>
      <c r="D2630">
        <v>304.8</v>
      </c>
      <c r="E2630">
        <v>0</v>
      </c>
      <c r="F2630">
        <v>18.143999999999998</v>
      </c>
      <c r="G2630">
        <v>18.143999999999998</v>
      </c>
      <c r="H2630" t="s">
        <v>3631</v>
      </c>
      <c r="I2630" s="1">
        <v>37131</v>
      </c>
      <c r="J2630" s="1">
        <v>37312</v>
      </c>
      <c r="K2630" t="s">
        <v>1124</v>
      </c>
      <c r="L2630" t="s">
        <v>1124</v>
      </c>
      <c r="M2630" s="1">
        <v>37337</v>
      </c>
      <c r="N2630" s="1">
        <v>37340</v>
      </c>
      <c r="O2630" t="s">
        <v>1117</v>
      </c>
      <c r="P2630">
        <v>5</v>
      </c>
      <c r="Q2630" t="s">
        <v>3632</v>
      </c>
      <c r="R2630">
        <f t="shared" si="84"/>
        <v>13</v>
      </c>
      <c r="S2630">
        <f t="shared" si="85"/>
        <v>1</v>
      </c>
    </row>
    <row r="2631" spans="1:19" x14ac:dyDescent="0.25">
      <c r="A2631" t="s">
        <v>3765</v>
      </c>
      <c r="B2631" t="s">
        <v>1199</v>
      </c>
      <c r="C2631">
        <v>0.2</v>
      </c>
      <c r="D2631">
        <v>304.8</v>
      </c>
      <c r="E2631">
        <v>0</v>
      </c>
      <c r="F2631">
        <v>18.143999999999998</v>
      </c>
      <c r="G2631">
        <v>18.143999999999998</v>
      </c>
      <c r="H2631" t="s">
        <v>3631</v>
      </c>
      <c r="I2631" s="1">
        <v>37131</v>
      </c>
      <c r="J2631" s="1">
        <v>37310</v>
      </c>
      <c r="K2631" t="s">
        <v>1124</v>
      </c>
      <c r="L2631" t="s">
        <v>1124</v>
      </c>
      <c r="M2631" s="1">
        <v>37337</v>
      </c>
      <c r="N2631" s="1">
        <v>37340</v>
      </c>
      <c r="O2631" t="s">
        <v>1117</v>
      </c>
      <c r="P2631">
        <v>4</v>
      </c>
      <c r="Q2631" t="s">
        <v>3632</v>
      </c>
      <c r="R2631">
        <f t="shared" si="84"/>
        <v>13</v>
      </c>
      <c r="S2631">
        <f t="shared" si="85"/>
        <v>1</v>
      </c>
    </row>
    <row r="2632" spans="1:19" x14ac:dyDescent="0.25">
      <c r="A2632" t="s">
        <v>3766</v>
      </c>
      <c r="B2632" t="s">
        <v>1199</v>
      </c>
      <c r="C2632">
        <v>0.2</v>
      </c>
      <c r="D2632">
        <v>304.8</v>
      </c>
      <c r="E2632">
        <v>0</v>
      </c>
      <c r="F2632">
        <v>18.143999999999998</v>
      </c>
      <c r="G2632">
        <v>18.143999999999998</v>
      </c>
      <c r="H2632" t="s">
        <v>3631</v>
      </c>
      <c r="I2632" s="1">
        <v>37131</v>
      </c>
      <c r="J2632" s="1">
        <v>37313</v>
      </c>
      <c r="K2632" s="1">
        <v>37340</v>
      </c>
      <c r="L2632" s="1">
        <v>37340</v>
      </c>
      <c r="M2632" s="1">
        <v>37340</v>
      </c>
      <c r="N2632" s="1">
        <v>37340</v>
      </c>
      <c r="O2632" t="s">
        <v>1117</v>
      </c>
      <c r="P2632">
        <v>3</v>
      </c>
      <c r="Q2632" t="s">
        <v>3632</v>
      </c>
      <c r="R2632">
        <f t="shared" si="84"/>
        <v>13</v>
      </c>
      <c r="S2632">
        <f t="shared" si="85"/>
        <v>1</v>
      </c>
    </row>
    <row r="2633" spans="1:19" x14ac:dyDescent="0.25">
      <c r="A2633" t="s">
        <v>3767</v>
      </c>
      <c r="B2633" t="s">
        <v>4027</v>
      </c>
      <c r="C2633">
        <v>0.2</v>
      </c>
      <c r="D2633">
        <v>304.8</v>
      </c>
      <c r="E2633">
        <v>0</v>
      </c>
      <c r="F2633">
        <v>18.143999999999998</v>
      </c>
      <c r="G2633">
        <v>18.143999999999998</v>
      </c>
      <c r="H2633" t="s">
        <v>3631</v>
      </c>
      <c r="I2633" s="1">
        <v>37131</v>
      </c>
      <c r="J2633" s="1">
        <v>37309</v>
      </c>
      <c r="K2633" t="s">
        <v>1124</v>
      </c>
      <c r="L2633" t="s">
        <v>1124</v>
      </c>
      <c r="M2633" s="1">
        <v>37337</v>
      </c>
      <c r="N2633" s="1">
        <v>37340</v>
      </c>
      <c r="O2633" t="s">
        <v>1117</v>
      </c>
      <c r="P2633">
        <v>1</v>
      </c>
      <c r="Q2633" t="s">
        <v>3632</v>
      </c>
      <c r="R2633">
        <f t="shared" si="84"/>
        <v>13</v>
      </c>
      <c r="S2633">
        <f t="shared" si="85"/>
        <v>1</v>
      </c>
    </row>
    <row r="2634" spans="1:19" x14ac:dyDescent="0.25">
      <c r="A2634" t="s">
        <v>3768</v>
      </c>
      <c r="B2634" t="s">
        <v>1199</v>
      </c>
      <c r="C2634">
        <v>0.19500000000000001</v>
      </c>
      <c r="D2634">
        <v>139.1</v>
      </c>
      <c r="E2634">
        <v>0</v>
      </c>
      <c r="F2634">
        <v>2</v>
      </c>
      <c r="G2634">
        <v>2</v>
      </c>
      <c r="H2634" t="s">
        <v>3631</v>
      </c>
      <c r="I2634" s="1">
        <v>37110</v>
      </c>
      <c r="J2634" s="1">
        <v>37344</v>
      </c>
      <c r="K2634" s="1">
        <v>37372</v>
      </c>
      <c r="L2634" s="1">
        <v>37372</v>
      </c>
      <c r="M2634" s="1">
        <v>37365</v>
      </c>
      <c r="N2634" s="1">
        <v>37365</v>
      </c>
      <c r="O2634" t="s">
        <v>1117</v>
      </c>
      <c r="P2634">
        <v>3</v>
      </c>
      <c r="Q2634" t="s">
        <v>3632</v>
      </c>
      <c r="R2634">
        <f t="shared" si="84"/>
        <v>16</v>
      </c>
      <c r="S2634">
        <f t="shared" si="85"/>
        <v>1</v>
      </c>
    </row>
    <row r="2635" spans="1:19" x14ac:dyDescent="0.25">
      <c r="A2635" t="s">
        <v>3769</v>
      </c>
      <c r="B2635" t="s">
        <v>1199</v>
      </c>
      <c r="C2635">
        <v>0.15</v>
      </c>
      <c r="D2635">
        <v>189.5</v>
      </c>
      <c r="E2635">
        <v>0</v>
      </c>
      <c r="F2635">
        <v>3</v>
      </c>
      <c r="G2635">
        <v>3</v>
      </c>
      <c r="H2635" t="s">
        <v>3631</v>
      </c>
      <c r="I2635" s="1">
        <v>37111</v>
      </c>
      <c r="J2635" s="1">
        <v>37344</v>
      </c>
      <c r="K2635" s="1">
        <v>37372</v>
      </c>
      <c r="L2635" s="1">
        <v>37372</v>
      </c>
      <c r="M2635" s="1">
        <v>37365</v>
      </c>
      <c r="N2635" s="1">
        <v>37365</v>
      </c>
      <c r="O2635" t="s">
        <v>1117</v>
      </c>
      <c r="P2635">
        <v>14</v>
      </c>
      <c r="Q2635" t="s">
        <v>3632</v>
      </c>
      <c r="R2635">
        <f t="shared" si="84"/>
        <v>16</v>
      </c>
      <c r="S2635">
        <f t="shared" si="85"/>
        <v>1</v>
      </c>
    </row>
    <row r="2636" spans="1:19" x14ac:dyDescent="0.25">
      <c r="A2636" t="s">
        <v>3770</v>
      </c>
      <c r="B2636" t="s">
        <v>1199</v>
      </c>
      <c r="C2636">
        <v>0.15</v>
      </c>
      <c r="D2636">
        <v>172</v>
      </c>
      <c r="E2636">
        <v>0</v>
      </c>
      <c r="F2636">
        <v>8</v>
      </c>
      <c r="G2636">
        <v>8</v>
      </c>
      <c r="H2636" t="s">
        <v>3631</v>
      </c>
      <c r="I2636" s="1">
        <v>37111</v>
      </c>
      <c r="J2636" s="1">
        <v>37344</v>
      </c>
      <c r="K2636" s="1">
        <v>37375</v>
      </c>
      <c r="L2636" s="1">
        <v>37375</v>
      </c>
      <c r="M2636" s="1">
        <v>37366</v>
      </c>
      <c r="N2636" s="1">
        <v>37366</v>
      </c>
      <c r="O2636" t="s">
        <v>1117</v>
      </c>
      <c r="P2636">
        <v>11</v>
      </c>
      <c r="Q2636" t="s">
        <v>3632</v>
      </c>
      <c r="R2636">
        <f t="shared" si="84"/>
        <v>16</v>
      </c>
      <c r="S2636">
        <f t="shared" si="85"/>
        <v>1</v>
      </c>
    </row>
    <row r="2637" spans="1:19" x14ac:dyDescent="0.25">
      <c r="A2637" t="s">
        <v>3771</v>
      </c>
      <c r="B2637" t="s">
        <v>4028</v>
      </c>
      <c r="C2637">
        <v>0.15</v>
      </c>
      <c r="D2637">
        <v>169.4</v>
      </c>
      <c r="E2637">
        <v>0</v>
      </c>
      <c r="F2637">
        <v>5</v>
      </c>
      <c r="G2637">
        <v>5</v>
      </c>
      <c r="H2637" t="s">
        <v>3631</v>
      </c>
      <c r="I2637" s="1">
        <v>37111</v>
      </c>
      <c r="J2637" s="1">
        <v>37344</v>
      </c>
      <c r="K2637" s="1">
        <v>37373</v>
      </c>
      <c r="L2637" s="1">
        <v>37373</v>
      </c>
      <c r="M2637" s="1">
        <v>37366</v>
      </c>
      <c r="N2637" s="1">
        <v>37366</v>
      </c>
      <c r="O2637" t="s">
        <v>1117</v>
      </c>
      <c r="P2637">
        <v>12</v>
      </c>
      <c r="Q2637" t="s">
        <v>3632</v>
      </c>
      <c r="R2637">
        <f t="shared" si="84"/>
        <v>16</v>
      </c>
      <c r="S2637">
        <f t="shared" si="85"/>
        <v>1</v>
      </c>
    </row>
    <row r="2638" spans="1:19" x14ac:dyDescent="0.25">
      <c r="A2638" t="s">
        <v>3772</v>
      </c>
      <c r="B2638" t="s">
        <v>1199</v>
      </c>
      <c r="C2638">
        <v>0.19500000000000001</v>
      </c>
      <c r="D2638">
        <v>136</v>
      </c>
      <c r="E2638">
        <v>0</v>
      </c>
      <c r="F2638">
        <v>10</v>
      </c>
      <c r="G2638">
        <v>10</v>
      </c>
      <c r="H2638" t="s">
        <v>3631</v>
      </c>
      <c r="I2638" s="1">
        <v>37110</v>
      </c>
      <c r="J2638" s="1">
        <v>37344</v>
      </c>
      <c r="K2638" s="1">
        <v>37351</v>
      </c>
      <c r="L2638" s="1">
        <v>37351</v>
      </c>
      <c r="M2638" s="1">
        <v>37351</v>
      </c>
      <c r="N2638" s="1">
        <v>37351</v>
      </c>
      <c r="O2638" t="s">
        <v>1117</v>
      </c>
      <c r="P2638">
        <v>1</v>
      </c>
      <c r="Q2638" t="s">
        <v>3632</v>
      </c>
      <c r="R2638">
        <f t="shared" si="84"/>
        <v>14</v>
      </c>
      <c r="S2638">
        <f t="shared" si="85"/>
        <v>1</v>
      </c>
    </row>
    <row r="2639" spans="1:19" x14ac:dyDescent="0.25">
      <c r="A2639" t="s">
        <v>3773</v>
      </c>
      <c r="B2639" t="s">
        <v>1199</v>
      </c>
      <c r="C2639">
        <v>0.19500000000000001</v>
      </c>
      <c r="D2639">
        <v>186</v>
      </c>
      <c r="E2639">
        <v>0</v>
      </c>
      <c r="F2639">
        <v>2</v>
      </c>
      <c r="G2639">
        <v>2</v>
      </c>
      <c r="H2639" t="s">
        <v>3631</v>
      </c>
      <c r="I2639" s="1">
        <v>37110</v>
      </c>
      <c r="J2639" s="1">
        <v>37344</v>
      </c>
      <c r="K2639" s="1">
        <v>37372</v>
      </c>
      <c r="L2639" s="1">
        <v>37372</v>
      </c>
      <c r="M2639" s="1">
        <v>37365</v>
      </c>
      <c r="N2639" s="1">
        <v>37365</v>
      </c>
      <c r="O2639" t="s">
        <v>1117</v>
      </c>
      <c r="P2639">
        <v>9</v>
      </c>
      <c r="Q2639" t="s">
        <v>3632</v>
      </c>
      <c r="R2639">
        <f t="shared" si="84"/>
        <v>16</v>
      </c>
      <c r="S2639">
        <f t="shared" si="85"/>
        <v>1</v>
      </c>
    </row>
    <row r="2640" spans="1:19" x14ac:dyDescent="0.25">
      <c r="A2640" t="s">
        <v>3774</v>
      </c>
      <c r="B2640" t="s">
        <v>1199</v>
      </c>
      <c r="C2640">
        <v>0.15</v>
      </c>
      <c r="D2640">
        <v>201.1</v>
      </c>
      <c r="E2640">
        <v>0</v>
      </c>
      <c r="F2640">
        <v>12</v>
      </c>
      <c r="G2640">
        <v>12</v>
      </c>
      <c r="H2640" t="s">
        <v>3631</v>
      </c>
      <c r="I2640" s="1">
        <v>37111</v>
      </c>
      <c r="J2640" s="1">
        <v>37344</v>
      </c>
      <c r="K2640" s="1">
        <v>37372</v>
      </c>
      <c r="L2640" s="1">
        <v>37372</v>
      </c>
      <c r="M2640" s="1">
        <v>37366</v>
      </c>
      <c r="N2640" s="1">
        <v>37366</v>
      </c>
      <c r="O2640" t="s">
        <v>1117</v>
      </c>
      <c r="P2640">
        <v>15</v>
      </c>
      <c r="Q2640" t="s">
        <v>3632</v>
      </c>
      <c r="R2640">
        <f t="shared" si="84"/>
        <v>16</v>
      </c>
      <c r="S2640">
        <f t="shared" si="85"/>
        <v>1</v>
      </c>
    </row>
    <row r="2641" spans="1:19" x14ac:dyDescent="0.25">
      <c r="A2641" t="s">
        <v>3775</v>
      </c>
      <c r="B2641" t="s">
        <v>4026</v>
      </c>
      <c r="C2641">
        <v>0.19500000000000001</v>
      </c>
      <c r="D2641">
        <v>138.5</v>
      </c>
      <c r="E2641">
        <v>0</v>
      </c>
      <c r="F2641">
        <v>10</v>
      </c>
      <c r="G2641">
        <v>10</v>
      </c>
      <c r="H2641" t="s">
        <v>3631</v>
      </c>
      <c r="I2641" s="1">
        <v>37110</v>
      </c>
      <c r="J2641" s="1">
        <v>37344</v>
      </c>
      <c r="K2641" s="1">
        <v>37372</v>
      </c>
      <c r="L2641" s="1">
        <v>37372</v>
      </c>
      <c r="M2641" s="1">
        <v>37365</v>
      </c>
      <c r="N2641" s="1">
        <v>37365</v>
      </c>
      <c r="O2641" t="s">
        <v>1117</v>
      </c>
      <c r="P2641">
        <v>2</v>
      </c>
      <c r="Q2641" t="s">
        <v>3632</v>
      </c>
      <c r="R2641">
        <f t="shared" si="84"/>
        <v>16</v>
      </c>
      <c r="S2641">
        <f t="shared" si="85"/>
        <v>1</v>
      </c>
    </row>
    <row r="2642" spans="1:19" x14ac:dyDescent="0.25">
      <c r="A2642" t="s">
        <v>3776</v>
      </c>
      <c r="B2642" t="s">
        <v>1199</v>
      </c>
      <c r="C2642">
        <v>0.15</v>
      </c>
      <c r="D2642">
        <v>198.9</v>
      </c>
      <c r="E2642">
        <v>0</v>
      </c>
      <c r="F2642">
        <v>11</v>
      </c>
      <c r="G2642">
        <v>11</v>
      </c>
      <c r="H2642" t="s">
        <v>3631</v>
      </c>
      <c r="I2642" s="1">
        <v>37111</v>
      </c>
      <c r="J2642" s="1">
        <v>37344</v>
      </c>
      <c r="K2642" s="1">
        <v>37372</v>
      </c>
      <c r="L2642" s="1">
        <v>37372</v>
      </c>
      <c r="M2642" s="1">
        <v>37365</v>
      </c>
      <c r="N2642" s="1">
        <v>37365</v>
      </c>
      <c r="O2642" t="s">
        <v>1117</v>
      </c>
      <c r="P2642">
        <v>16</v>
      </c>
      <c r="Q2642" t="s">
        <v>3632</v>
      </c>
      <c r="R2642">
        <f t="shared" si="84"/>
        <v>16</v>
      </c>
      <c r="S2642">
        <f t="shared" si="85"/>
        <v>1</v>
      </c>
    </row>
    <row r="2643" spans="1:19" x14ac:dyDescent="0.25">
      <c r="A2643" t="s">
        <v>3777</v>
      </c>
      <c r="B2643" t="s">
        <v>1199</v>
      </c>
      <c r="C2643">
        <v>0.19500000000000001</v>
      </c>
      <c r="D2643">
        <v>160.19999999999999</v>
      </c>
      <c r="E2643">
        <v>0</v>
      </c>
      <c r="F2643">
        <v>15</v>
      </c>
      <c r="G2643">
        <v>11.247999999999999</v>
      </c>
      <c r="H2643" t="s">
        <v>3631</v>
      </c>
      <c r="I2643" s="1">
        <v>37110</v>
      </c>
      <c r="J2643" s="1">
        <v>37344</v>
      </c>
      <c r="K2643" s="1">
        <v>37372</v>
      </c>
      <c r="L2643" s="1">
        <v>37372</v>
      </c>
      <c r="M2643" s="1">
        <v>37365</v>
      </c>
      <c r="N2643" s="1">
        <v>37365</v>
      </c>
      <c r="O2643" t="s">
        <v>1117</v>
      </c>
      <c r="P2643">
        <v>8</v>
      </c>
      <c r="Q2643" t="s">
        <v>3632</v>
      </c>
      <c r="R2643">
        <f t="shared" si="84"/>
        <v>16</v>
      </c>
      <c r="S2643">
        <f t="shared" si="85"/>
        <v>0</v>
      </c>
    </row>
    <row r="2644" spans="1:19" x14ac:dyDescent="0.25">
      <c r="A2644" t="s">
        <v>3778</v>
      </c>
      <c r="B2644" t="s">
        <v>1199</v>
      </c>
      <c r="C2644">
        <v>0.38</v>
      </c>
      <c r="D2644">
        <v>475</v>
      </c>
      <c r="E2644">
        <v>0</v>
      </c>
      <c r="F2644">
        <v>3</v>
      </c>
      <c r="G2644">
        <v>3</v>
      </c>
      <c r="H2644" t="s">
        <v>3631</v>
      </c>
      <c r="I2644" s="1">
        <v>37132</v>
      </c>
      <c r="J2644" s="1">
        <v>37309</v>
      </c>
      <c r="K2644" s="1">
        <v>37338</v>
      </c>
      <c r="L2644" s="1">
        <v>37338</v>
      </c>
      <c r="M2644" s="1">
        <v>37338</v>
      </c>
      <c r="N2644" s="1">
        <v>37338</v>
      </c>
      <c r="O2644" t="s">
        <v>1117</v>
      </c>
      <c r="P2644">
        <v>2</v>
      </c>
      <c r="Q2644" t="s">
        <v>3632</v>
      </c>
      <c r="R2644">
        <f t="shared" si="84"/>
        <v>12</v>
      </c>
      <c r="S2644">
        <f t="shared" si="85"/>
        <v>1</v>
      </c>
    </row>
    <row r="2645" spans="1:19" x14ac:dyDescent="0.25">
      <c r="A2645" t="s">
        <v>3779</v>
      </c>
      <c r="B2645" t="s">
        <v>1199</v>
      </c>
      <c r="C2645">
        <v>0.28000000000000003</v>
      </c>
      <c r="D2645">
        <v>43.89</v>
      </c>
      <c r="E2645">
        <v>0</v>
      </c>
      <c r="F2645">
        <v>22</v>
      </c>
      <c r="G2645">
        <v>21.318000000000001</v>
      </c>
      <c r="H2645" t="s">
        <v>3631</v>
      </c>
      <c r="I2645" s="1">
        <v>37124</v>
      </c>
      <c r="J2645" s="1">
        <v>37345</v>
      </c>
      <c r="K2645" s="1">
        <v>37383</v>
      </c>
      <c r="L2645" s="1">
        <v>37383</v>
      </c>
      <c r="M2645" s="1">
        <v>37359</v>
      </c>
      <c r="N2645" s="1">
        <v>37372</v>
      </c>
      <c r="O2645" t="s">
        <v>1117</v>
      </c>
      <c r="P2645">
        <v>1</v>
      </c>
      <c r="Q2645" t="s">
        <v>3632</v>
      </c>
      <c r="R2645">
        <f t="shared" si="84"/>
        <v>17</v>
      </c>
      <c r="S2645">
        <f t="shared" si="85"/>
        <v>0</v>
      </c>
    </row>
    <row r="2646" spans="1:19" x14ac:dyDescent="0.25">
      <c r="A2646" t="s">
        <v>3780</v>
      </c>
      <c r="B2646" t="s">
        <v>1199</v>
      </c>
      <c r="C2646">
        <v>0.28000000000000003</v>
      </c>
      <c r="D2646">
        <v>43.89</v>
      </c>
      <c r="E2646">
        <v>0</v>
      </c>
      <c r="F2646">
        <v>22</v>
      </c>
      <c r="G2646">
        <v>22</v>
      </c>
      <c r="H2646" t="s">
        <v>3631</v>
      </c>
      <c r="I2646" s="1">
        <v>37124</v>
      </c>
      <c r="J2646" s="1">
        <v>37344</v>
      </c>
      <c r="K2646" s="1">
        <v>37383</v>
      </c>
      <c r="L2646" s="1">
        <v>37383</v>
      </c>
      <c r="M2646" s="1">
        <v>37358</v>
      </c>
      <c r="N2646" s="1">
        <v>37372</v>
      </c>
      <c r="O2646" t="s">
        <v>1117</v>
      </c>
      <c r="P2646">
        <v>1</v>
      </c>
      <c r="Q2646" t="s">
        <v>3632</v>
      </c>
      <c r="R2646">
        <f t="shared" si="84"/>
        <v>17</v>
      </c>
      <c r="S2646">
        <f t="shared" si="85"/>
        <v>1</v>
      </c>
    </row>
    <row r="2647" spans="1:19" x14ac:dyDescent="0.25">
      <c r="A2647" t="s">
        <v>3781</v>
      </c>
      <c r="B2647" t="s">
        <v>4027</v>
      </c>
      <c r="C2647">
        <v>0.28000000000000003</v>
      </c>
      <c r="D2647">
        <v>43.89</v>
      </c>
      <c r="E2647">
        <v>0</v>
      </c>
      <c r="F2647">
        <v>22</v>
      </c>
      <c r="G2647">
        <v>22</v>
      </c>
      <c r="H2647" t="s">
        <v>3631</v>
      </c>
      <c r="I2647" s="1">
        <v>37159</v>
      </c>
      <c r="J2647" s="1">
        <v>37314</v>
      </c>
      <c r="K2647" s="1">
        <v>37383</v>
      </c>
      <c r="L2647" s="1">
        <v>37383</v>
      </c>
      <c r="M2647" s="1">
        <v>37334</v>
      </c>
      <c r="N2647" s="1">
        <v>37334</v>
      </c>
      <c r="O2647" t="s">
        <v>1117</v>
      </c>
      <c r="P2647">
        <v>6</v>
      </c>
      <c r="Q2647" t="s">
        <v>3632</v>
      </c>
      <c r="R2647">
        <f t="shared" si="84"/>
        <v>12</v>
      </c>
      <c r="S2647">
        <f t="shared" si="85"/>
        <v>1</v>
      </c>
    </row>
    <row r="2648" spans="1:19" x14ac:dyDescent="0.25">
      <c r="A2648" t="s">
        <v>3782</v>
      </c>
      <c r="B2648" t="s">
        <v>4027</v>
      </c>
      <c r="C2648">
        <v>0.4</v>
      </c>
      <c r="D2648">
        <v>160</v>
      </c>
      <c r="E2648">
        <v>0</v>
      </c>
      <c r="F2648">
        <v>3</v>
      </c>
      <c r="G2648">
        <v>3</v>
      </c>
      <c r="H2648" t="s">
        <v>3631</v>
      </c>
      <c r="I2648" s="1">
        <v>37132</v>
      </c>
      <c r="J2648" s="1">
        <v>37325</v>
      </c>
      <c r="K2648" s="1">
        <v>37334</v>
      </c>
      <c r="L2648" s="1">
        <v>37334</v>
      </c>
      <c r="M2648" s="1">
        <v>37334</v>
      </c>
      <c r="N2648" s="1">
        <v>37334</v>
      </c>
      <c r="O2648" t="s">
        <v>1117</v>
      </c>
      <c r="P2648">
        <v>3</v>
      </c>
      <c r="Q2648" t="s">
        <v>3632</v>
      </c>
      <c r="R2648">
        <f t="shared" si="84"/>
        <v>12</v>
      </c>
      <c r="S2648">
        <f t="shared" si="85"/>
        <v>1</v>
      </c>
    </row>
    <row r="2649" spans="1:19" x14ac:dyDescent="0.25">
      <c r="A2649" t="s">
        <v>3783</v>
      </c>
      <c r="B2649" t="s">
        <v>4028</v>
      </c>
      <c r="C2649">
        <v>0.28000000000000003</v>
      </c>
      <c r="D2649">
        <v>43.89</v>
      </c>
      <c r="E2649">
        <v>0</v>
      </c>
      <c r="F2649">
        <v>22</v>
      </c>
      <c r="G2649">
        <v>22</v>
      </c>
      <c r="H2649" t="s">
        <v>3631</v>
      </c>
      <c r="I2649" s="1">
        <v>37126</v>
      </c>
      <c r="J2649" s="1">
        <v>37344</v>
      </c>
      <c r="K2649" s="1">
        <v>37383</v>
      </c>
      <c r="L2649" s="1">
        <v>37383</v>
      </c>
      <c r="M2649" s="1">
        <v>37358</v>
      </c>
      <c r="N2649" s="1">
        <v>37372</v>
      </c>
      <c r="O2649" t="s">
        <v>1117</v>
      </c>
      <c r="P2649">
        <v>1</v>
      </c>
      <c r="Q2649" t="s">
        <v>3632</v>
      </c>
      <c r="R2649">
        <f t="shared" si="84"/>
        <v>17</v>
      </c>
      <c r="S2649">
        <f t="shared" si="85"/>
        <v>1</v>
      </c>
    </row>
    <row r="2650" spans="1:19" x14ac:dyDescent="0.25">
      <c r="A2650" t="s">
        <v>3784</v>
      </c>
      <c r="B2650" t="s">
        <v>1199</v>
      </c>
      <c r="C2650">
        <v>0.28000000000000003</v>
      </c>
      <c r="D2650">
        <v>43.89</v>
      </c>
      <c r="E2650">
        <v>0</v>
      </c>
      <c r="F2650">
        <v>22</v>
      </c>
      <c r="G2650">
        <v>22</v>
      </c>
      <c r="H2650" t="s">
        <v>3631</v>
      </c>
      <c r="I2650" s="1">
        <v>37159</v>
      </c>
      <c r="J2650" s="1">
        <v>37314</v>
      </c>
      <c r="K2650" s="1">
        <v>37383</v>
      </c>
      <c r="L2650" s="1">
        <v>37383</v>
      </c>
      <c r="M2650" s="1">
        <v>37334</v>
      </c>
      <c r="N2650" s="1">
        <v>37334</v>
      </c>
      <c r="O2650" t="s">
        <v>1117</v>
      </c>
      <c r="P2650">
        <v>7</v>
      </c>
      <c r="Q2650" t="s">
        <v>3632</v>
      </c>
      <c r="R2650">
        <f t="shared" si="84"/>
        <v>12</v>
      </c>
      <c r="S2650">
        <f t="shared" si="85"/>
        <v>1</v>
      </c>
    </row>
    <row r="2651" spans="1:19" x14ac:dyDescent="0.25">
      <c r="A2651" t="s">
        <v>3785</v>
      </c>
      <c r="B2651" t="s">
        <v>4027</v>
      </c>
      <c r="C2651">
        <v>0.28000000000000003</v>
      </c>
      <c r="D2651">
        <v>43.89</v>
      </c>
      <c r="E2651">
        <v>0</v>
      </c>
      <c r="F2651">
        <v>22</v>
      </c>
      <c r="G2651">
        <v>22</v>
      </c>
      <c r="H2651" t="s">
        <v>3631</v>
      </c>
      <c r="I2651" s="1">
        <v>37159</v>
      </c>
      <c r="J2651" s="1">
        <v>37338</v>
      </c>
      <c r="K2651" s="1">
        <v>37383</v>
      </c>
      <c r="L2651" s="1">
        <v>37383</v>
      </c>
      <c r="M2651" s="1">
        <v>37359</v>
      </c>
      <c r="N2651" s="1">
        <v>37372</v>
      </c>
      <c r="O2651" t="s">
        <v>1117</v>
      </c>
      <c r="P2651">
        <v>5</v>
      </c>
      <c r="Q2651" t="s">
        <v>3632</v>
      </c>
      <c r="R2651">
        <f t="shared" si="84"/>
        <v>17</v>
      </c>
      <c r="S2651">
        <f t="shared" si="85"/>
        <v>1</v>
      </c>
    </row>
    <row r="2652" spans="1:19" x14ac:dyDescent="0.25">
      <c r="A2652" t="s">
        <v>3786</v>
      </c>
      <c r="B2652" t="s">
        <v>4026</v>
      </c>
      <c r="C2652">
        <v>0.28000000000000003</v>
      </c>
      <c r="D2652">
        <v>43.89</v>
      </c>
      <c r="E2652">
        <v>0</v>
      </c>
      <c r="F2652">
        <v>22</v>
      </c>
      <c r="G2652">
        <v>22</v>
      </c>
      <c r="H2652" t="s">
        <v>3631</v>
      </c>
      <c r="I2652" s="1">
        <v>37159</v>
      </c>
      <c r="J2652" s="1">
        <v>37314</v>
      </c>
      <c r="K2652" s="1">
        <v>37383</v>
      </c>
      <c r="L2652" s="1">
        <v>37383</v>
      </c>
      <c r="M2652" s="1">
        <v>37333</v>
      </c>
      <c r="N2652" s="1">
        <v>37334</v>
      </c>
      <c r="O2652" t="s">
        <v>1117</v>
      </c>
      <c r="P2652">
        <v>8</v>
      </c>
      <c r="Q2652" t="s">
        <v>3632</v>
      </c>
      <c r="R2652">
        <f t="shared" si="84"/>
        <v>12</v>
      </c>
      <c r="S2652">
        <f t="shared" si="85"/>
        <v>1</v>
      </c>
    </row>
    <row r="2653" spans="1:19" x14ac:dyDescent="0.25">
      <c r="A2653" t="s">
        <v>3787</v>
      </c>
      <c r="B2653" t="s">
        <v>1199</v>
      </c>
      <c r="C2653">
        <v>0.28000000000000003</v>
      </c>
      <c r="D2653">
        <v>43.89</v>
      </c>
      <c r="E2653">
        <v>0</v>
      </c>
      <c r="F2653">
        <v>22</v>
      </c>
      <c r="G2653">
        <v>22</v>
      </c>
      <c r="H2653" t="s">
        <v>3631</v>
      </c>
      <c r="I2653" s="1">
        <v>37124</v>
      </c>
      <c r="J2653" s="1">
        <v>37344</v>
      </c>
      <c r="K2653" s="1">
        <v>37383</v>
      </c>
      <c r="L2653" s="1">
        <v>37383</v>
      </c>
      <c r="M2653" s="1">
        <v>37344</v>
      </c>
      <c r="N2653" s="1">
        <v>37372</v>
      </c>
      <c r="O2653" t="s">
        <v>1117</v>
      </c>
      <c r="P2653">
        <v>2</v>
      </c>
      <c r="Q2653" t="s">
        <v>3632</v>
      </c>
      <c r="R2653">
        <f t="shared" si="84"/>
        <v>17</v>
      </c>
      <c r="S2653">
        <f t="shared" si="85"/>
        <v>1</v>
      </c>
    </row>
    <row r="2654" spans="1:19" x14ac:dyDescent="0.25">
      <c r="A2654" t="s">
        <v>3788</v>
      </c>
      <c r="B2654" t="s">
        <v>4028</v>
      </c>
      <c r="C2654">
        <v>0.28000000000000003</v>
      </c>
      <c r="D2654">
        <v>43.89</v>
      </c>
      <c r="E2654">
        <v>0</v>
      </c>
      <c r="F2654">
        <v>22</v>
      </c>
      <c r="G2654">
        <v>20.986000000000001</v>
      </c>
      <c r="H2654" t="s">
        <v>3631</v>
      </c>
      <c r="I2654" s="1">
        <v>37126</v>
      </c>
      <c r="J2654" s="1">
        <v>37344</v>
      </c>
      <c r="K2654" t="s">
        <v>1124</v>
      </c>
      <c r="L2654" t="s">
        <v>1124</v>
      </c>
      <c r="M2654" s="1">
        <v>37372</v>
      </c>
      <c r="N2654" s="1">
        <v>37372</v>
      </c>
      <c r="O2654" t="s">
        <v>1117</v>
      </c>
      <c r="P2654">
        <v>1</v>
      </c>
      <c r="Q2654" t="s">
        <v>3632</v>
      </c>
      <c r="R2654">
        <f t="shared" si="84"/>
        <v>17</v>
      </c>
      <c r="S2654">
        <f t="shared" si="85"/>
        <v>0</v>
      </c>
    </row>
    <row r="2655" spans="1:19" x14ac:dyDescent="0.25">
      <c r="A2655" t="s">
        <v>3789</v>
      </c>
      <c r="B2655" t="s">
        <v>1199</v>
      </c>
      <c r="C2655">
        <v>0.152</v>
      </c>
      <c r="D2655">
        <v>43.99</v>
      </c>
      <c r="E2655">
        <v>0</v>
      </c>
      <c r="F2655">
        <v>22</v>
      </c>
      <c r="G2655">
        <v>8.6180000000000003</v>
      </c>
      <c r="H2655" t="s">
        <v>3631</v>
      </c>
      <c r="I2655" s="1">
        <v>37159</v>
      </c>
      <c r="J2655" s="1">
        <v>37337</v>
      </c>
      <c r="K2655" s="1">
        <v>37383</v>
      </c>
      <c r="L2655" s="1">
        <v>37383</v>
      </c>
      <c r="M2655" s="1">
        <v>37359</v>
      </c>
      <c r="N2655" s="1">
        <v>37359</v>
      </c>
      <c r="O2655" t="s">
        <v>1117</v>
      </c>
      <c r="P2655">
        <v>4</v>
      </c>
      <c r="Q2655" t="s">
        <v>3632</v>
      </c>
      <c r="R2655">
        <f t="shared" si="84"/>
        <v>15</v>
      </c>
      <c r="S2655">
        <f t="shared" si="85"/>
        <v>0</v>
      </c>
    </row>
    <row r="2656" spans="1:19" x14ac:dyDescent="0.25">
      <c r="A2656" t="s">
        <v>3790</v>
      </c>
      <c r="B2656" t="s">
        <v>4026</v>
      </c>
      <c r="C2656">
        <v>0.152</v>
      </c>
      <c r="D2656">
        <v>43.99</v>
      </c>
      <c r="E2656">
        <v>0</v>
      </c>
      <c r="F2656">
        <v>18</v>
      </c>
      <c r="G2656">
        <v>14.303000000000001</v>
      </c>
      <c r="H2656" t="s">
        <v>3631</v>
      </c>
      <c r="I2656" s="1">
        <v>37107</v>
      </c>
      <c r="J2656" s="1">
        <v>37343</v>
      </c>
      <c r="K2656" s="1">
        <v>37383</v>
      </c>
      <c r="L2656" s="1">
        <v>37383</v>
      </c>
      <c r="M2656" s="1">
        <v>37357</v>
      </c>
      <c r="N2656" s="1">
        <v>37359</v>
      </c>
      <c r="O2656" t="s">
        <v>1117</v>
      </c>
      <c r="P2656">
        <v>1</v>
      </c>
      <c r="Q2656" t="s">
        <v>3632</v>
      </c>
      <c r="R2656">
        <f t="shared" si="84"/>
        <v>15</v>
      </c>
      <c r="S2656">
        <f t="shared" si="85"/>
        <v>0</v>
      </c>
    </row>
    <row r="2657" spans="1:19" x14ac:dyDescent="0.25">
      <c r="A2657" t="s">
        <v>3791</v>
      </c>
      <c r="B2657" t="s">
        <v>4028</v>
      </c>
      <c r="C2657">
        <v>0.152</v>
      </c>
      <c r="D2657">
        <v>43.99</v>
      </c>
      <c r="E2657">
        <v>0</v>
      </c>
      <c r="F2657">
        <v>18</v>
      </c>
      <c r="G2657">
        <v>18</v>
      </c>
      <c r="H2657" t="s">
        <v>3631</v>
      </c>
      <c r="I2657" s="1">
        <v>37132</v>
      </c>
      <c r="J2657" s="1">
        <v>37314</v>
      </c>
      <c r="K2657" t="s">
        <v>1124</v>
      </c>
      <c r="L2657" t="s">
        <v>1124</v>
      </c>
      <c r="M2657" s="1">
        <v>37337</v>
      </c>
      <c r="N2657" s="1">
        <v>37337</v>
      </c>
      <c r="O2657" t="s">
        <v>1117</v>
      </c>
      <c r="P2657">
        <v>2</v>
      </c>
      <c r="Q2657" t="s">
        <v>3632</v>
      </c>
      <c r="R2657">
        <f t="shared" si="84"/>
        <v>12</v>
      </c>
      <c r="S2657">
        <f t="shared" si="85"/>
        <v>1</v>
      </c>
    </row>
    <row r="2658" spans="1:19" x14ac:dyDescent="0.25">
      <c r="A2658" t="s">
        <v>3792</v>
      </c>
      <c r="B2658" t="s">
        <v>1199</v>
      </c>
      <c r="C2658">
        <v>0.28000000000000003</v>
      </c>
      <c r="D2658">
        <v>43.89</v>
      </c>
      <c r="E2658">
        <v>0</v>
      </c>
      <c r="F2658">
        <v>22</v>
      </c>
      <c r="G2658">
        <v>22</v>
      </c>
      <c r="H2658" t="s">
        <v>3631</v>
      </c>
      <c r="I2658" s="1">
        <v>37124</v>
      </c>
      <c r="J2658" s="1">
        <v>37344</v>
      </c>
      <c r="K2658" t="s">
        <v>1124</v>
      </c>
      <c r="L2658" t="s">
        <v>1124</v>
      </c>
      <c r="M2658" s="1">
        <v>37372</v>
      </c>
      <c r="N2658" s="1">
        <v>37372</v>
      </c>
      <c r="O2658" t="s">
        <v>1117</v>
      </c>
      <c r="P2658">
        <v>2</v>
      </c>
      <c r="Q2658" t="s">
        <v>3632</v>
      </c>
      <c r="R2658">
        <f t="shared" si="84"/>
        <v>17</v>
      </c>
      <c r="S2658">
        <f t="shared" si="85"/>
        <v>1</v>
      </c>
    </row>
    <row r="2659" spans="1:19" x14ac:dyDescent="0.25">
      <c r="A2659" t="s">
        <v>3793</v>
      </c>
      <c r="B2659" t="s">
        <v>4028</v>
      </c>
      <c r="C2659">
        <v>0.4</v>
      </c>
      <c r="D2659">
        <v>63.7</v>
      </c>
      <c r="E2659">
        <v>0</v>
      </c>
      <c r="F2659">
        <v>10</v>
      </c>
      <c r="G2659">
        <v>2.9220000000000002</v>
      </c>
      <c r="H2659" t="s">
        <v>3631</v>
      </c>
      <c r="I2659" s="1">
        <v>37352</v>
      </c>
      <c r="J2659" s="1">
        <v>37389</v>
      </c>
      <c r="K2659" t="s">
        <v>1124</v>
      </c>
      <c r="L2659" t="s">
        <v>1124</v>
      </c>
      <c r="M2659" s="1">
        <v>37389</v>
      </c>
      <c r="N2659" s="1">
        <v>37389</v>
      </c>
      <c r="O2659" t="s">
        <v>1117</v>
      </c>
      <c r="P2659">
        <v>1</v>
      </c>
      <c r="Q2659" t="s">
        <v>3632</v>
      </c>
      <c r="R2659">
        <f t="shared" si="84"/>
        <v>20</v>
      </c>
      <c r="S2659">
        <f t="shared" si="85"/>
        <v>0</v>
      </c>
    </row>
    <row r="2660" spans="1:19" x14ac:dyDescent="0.25">
      <c r="A2660" t="s">
        <v>3794</v>
      </c>
      <c r="B2660" t="s">
        <v>4027</v>
      </c>
      <c r="C2660">
        <v>0.2</v>
      </c>
      <c r="D2660">
        <v>543</v>
      </c>
      <c r="E2660">
        <v>0</v>
      </c>
      <c r="F2660">
        <v>3</v>
      </c>
      <c r="G2660">
        <v>3</v>
      </c>
      <c r="H2660" t="s">
        <v>3631</v>
      </c>
      <c r="I2660" s="1">
        <v>37112</v>
      </c>
      <c r="J2660" s="1">
        <v>37343</v>
      </c>
      <c r="K2660" s="1">
        <v>37364</v>
      </c>
      <c r="L2660" s="1">
        <v>37364</v>
      </c>
      <c r="M2660" s="1">
        <v>37364</v>
      </c>
      <c r="N2660" s="1">
        <v>37364</v>
      </c>
      <c r="O2660" t="s">
        <v>1117</v>
      </c>
      <c r="P2660">
        <v>4</v>
      </c>
      <c r="Q2660" t="s">
        <v>3632</v>
      </c>
      <c r="R2660">
        <f t="shared" si="84"/>
        <v>16</v>
      </c>
      <c r="S2660">
        <f t="shared" si="85"/>
        <v>1</v>
      </c>
    </row>
    <row r="2661" spans="1:19" x14ac:dyDescent="0.25">
      <c r="A2661" t="s">
        <v>3795</v>
      </c>
      <c r="B2661" t="s">
        <v>4026</v>
      </c>
      <c r="C2661">
        <v>0.4</v>
      </c>
      <c r="D2661">
        <v>63.7</v>
      </c>
      <c r="E2661">
        <v>0</v>
      </c>
      <c r="F2661">
        <v>10</v>
      </c>
      <c r="G2661">
        <v>10</v>
      </c>
      <c r="H2661" t="s">
        <v>3631</v>
      </c>
      <c r="I2661" s="1">
        <v>37293</v>
      </c>
      <c r="J2661" s="1">
        <v>37308</v>
      </c>
      <c r="K2661" s="1">
        <v>37334</v>
      </c>
      <c r="L2661" s="1">
        <v>37334</v>
      </c>
      <c r="M2661" s="1">
        <v>37334</v>
      </c>
      <c r="N2661" s="1">
        <v>37389</v>
      </c>
      <c r="O2661" t="s">
        <v>1117</v>
      </c>
      <c r="P2661">
        <v>1</v>
      </c>
      <c r="Q2661" t="s">
        <v>3632</v>
      </c>
      <c r="R2661">
        <f t="shared" si="84"/>
        <v>20</v>
      </c>
      <c r="S2661">
        <f t="shared" si="85"/>
        <v>1</v>
      </c>
    </row>
    <row r="2662" spans="1:19" x14ac:dyDescent="0.25">
      <c r="A2662" t="s">
        <v>3796</v>
      </c>
      <c r="B2662" t="s">
        <v>4028</v>
      </c>
      <c r="C2662">
        <v>0.3</v>
      </c>
      <c r="D2662">
        <v>113</v>
      </c>
      <c r="E2662">
        <v>0</v>
      </c>
      <c r="F2662">
        <v>15</v>
      </c>
      <c r="G2662">
        <v>15</v>
      </c>
      <c r="H2662" t="s">
        <v>3631</v>
      </c>
      <c r="I2662" s="1">
        <v>37293</v>
      </c>
      <c r="J2662" s="1">
        <v>37308</v>
      </c>
      <c r="K2662" t="s">
        <v>1124</v>
      </c>
      <c r="L2662" t="s">
        <v>1124</v>
      </c>
      <c r="M2662" s="1">
        <v>37337</v>
      </c>
      <c r="N2662" s="1">
        <v>37386</v>
      </c>
      <c r="O2662" t="s">
        <v>1117</v>
      </c>
      <c r="P2662">
        <v>2</v>
      </c>
      <c r="Q2662" t="s">
        <v>3632</v>
      </c>
      <c r="R2662">
        <f t="shared" si="84"/>
        <v>19</v>
      </c>
      <c r="S2662">
        <f t="shared" si="85"/>
        <v>1</v>
      </c>
    </row>
    <row r="2663" spans="1:19" x14ac:dyDescent="0.25">
      <c r="A2663" t="s">
        <v>3797</v>
      </c>
      <c r="B2663" t="s">
        <v>4026</v>
      </c>
      <c r="C2663">
        <v>0.4</v>
      </c>
      <c r="D2663">
        <v>98</v>
      </c>
      <c r="E2663">
        <v>0</v>
      </c>
      <c r="F2663">
        <v>15</v>
      </c>
      <c r="G2663">
        <v>15</v>
      </c>
      <c r="H2663" t="s">
        <v>3631</v>
      </c>
      <c r="I2663" s="1">
        <v>37293</v>
      </c>
      <c r="J2663" s="1">
        <v>37308</v>
      </c>
      <c r="K2663" t="s">
        <v>1124</v>
      </c>
      <c r="L2663" t="s">
        <v>1124</v>
      </c>
      <c r="M2663" s="1">
        <v>37335</v>
      </c>
      <c r="N2663" s="1">
        <v>37386</v>
      </c>
      <c r="O2663" t="s">
        <v>1117</v>
      </c>
      <c r="P2663">
        <v>1</v>
      </c>
      <c r="Q2663" t="s">
        <v>3632</v>
      </c>
      <c r="R2663">
        <f t="shared" si="84"/>
        <v>19</v>
      </c>
      <c r="S2663">
        <f t="shared" si="85"/>
        <v>1</v>
      </c>
    </row>
    <row r="2664" spans="1:19" x14ac:dyDescent="0.25">
      <c r="A2664" t="s">
        <v>3798</v>
      </c>
      <c r="B2664" t="s">
        <v>4028</v>
      </c>
      <c r="C2664">
        <v>0.15</v>
      </c>
      <c r="D2664">
        <v>660</v>
      </c>
      <c r="E2664">
        <v>0</v>
      </c>
      <c r="F2664">
        <v>10</v>
      </c>
      <c r="G2664">
        <v>10</v>
      </c>
      <c r="H2664" t="s">
        <v>3631</v>
      </c>
      <c r="I2664" s="1">
        <v>37112</v>
      </c>
      <c r="J2664" s="1">
        <v>37343</v>
      </c>
      <c r="K2664" s="1">
        <v>37371</v>
      </c>
      <c r="L2664" s="1">
        <v>37371</v>
      </c>
      <c r="M2664" s="1">
        <v>37371</v>
      </c>
      <c r="N2664" s="1">
        <v>37371</v>
      </c>
      <c r="O2664" t="s">
        <v>1117</v>
      </c>
      <c r="P2664">
        <v>2</v>
      </c>
      <c r="Q2664" t="s">
        <v>3632</v>
      </c>
      <c r="R2664">
        <f t="shared" si="84"/>
        <v>17</v>
      </c>
      <c r="S2664">
        <f t="shared" si="85"/>
        <v>1</v>
      </c>
    </row>
    <row r="2665" spans="1:19" x14ac:dyDescent="0.25">
      <c r="A2665" t="s">
        <v>3799</v>
      </c>
      <c r="B2665" t="s">
        <v>1199</v>
      </c>
      <c r="C2665">
        <v>0.3</v>
      </c>
      <c r="D2665">
        <v>381</v>
      </c>
      <c r="E2665">
        <v>0</v>
      </c>
      <c r="F2665">
        <v>2.27</v>
      </c>
      <c r="G2665">
        <v>2.27</v>
      </c>
      <c r="H2665" t="s">
        <v>3631</v>
      </c>
      <c r="I2665" s="1">
        <v>37133</v>
      </c>
      <c r="J2665" s="1">
        <v>37344</v>
      </c>
      <c r="K2665" s="1">
        <v>37373</v>
      </c>
      <c r="L2665" s="1">
        <v>37373</v>
      </c>
      <c r="M2665" s="1">
        <v>37366</v>
      </c>
      <c r="N2665" s="1">
        <v>37366</v>
      </c>
      <c r="O2665" t="s">
        <v>1117</v>
      </c>
      <c r="P2665">
        <v>13</v>
      </c>
      <c r="Q2665" t="s">
        <v>3632</v>
      </c>
      <c r="R2665">
        <f t="shared" si="84"/>
        <v>16</v>
      </c>
      <c r="S2665">
        <f t="shared" si="85"/>
        <v>1</v>
      </c>
    </row>
    <row r="2666" spans="1:19" x14ac:dyDescent="0.25">
      <c r="A2666" t="s">
        <v>3800</v>
      </c>
      <c r="B2666" t="s">
        <v>4028</v>
      </c>
      <c r="C2666">
        <v>0.4</v>
      </c>
      <c r="D2666">
        <v>406.4</v>
      </c>
      <c r="E2666">
        <v>0</v>
      </c>
      <c r="F2666">
        <v>12.7</v>
      </c>
      <c r="G2666">
        <v>12.7</v>
      </c>
      <c r="H2666" t="s">
        <v>3631</v>
      </c>
      <c r="I2666" s="1">
        <v>37133</v>
      </c>
      <c r="J2666" s="1">
        <v>37344</v>
      </c>
      <c r="K2666" s="1">
        <v>37344</v>
      </c>
      <c r="L2666" s="1">
        <v>37344</v>
      </c>
      <c r="M2666" s="1">
        <v>37344</v>
      </c>
      <c r="N2666" s="1">
        <v>37344</v>
      </c>
      <c r="O2666" t="s">
        <v>1114</v>
      </c>
      <c r="P2666">
        <v>1</v>
      </c>
      <c r="Q2666" t="s">
        <v>3632</v>
      </c>
      <c r="R2666">
        <f t="shared" si="84"/>
        <v>13</v>
      </c>
      <c r="S2666">
        <f t="shared" si="85"/>
        <v>1</v>
      </c>
    </row>
    <row r="2667" spans="1:19" x14ac:dyDescent="0.25">
      <c r="A2667" t="s">
        <v>3801</v>
      </c>
      <c r="B2667" t="s">
        <v>4028</v>
      </c>
      <c r="C2667">
        <v>0.4</v>
      </c>
      <c r="D2667">
        <v>260.35000000000002</v>
      </c>
      <c r="E2667">
        <v>0</v>
      </c>
      <c r="F2667">
        <v>4.54</v>
      </c>
      <c r="G2667">
        <v>4.54</v>
      </c>
      <c r="H2667" t="s">
        <v>3631</v>
      </c>
      <c r="I2667" s="1">
        <v>37133</v>
      </c>
      <c r="J2667" s="1">
        <v>37344</v>
      </c>
      <c r="K2667" t="s">
        <v>1124</v>
      </c>
      <c r="L2667" t="s">
        <v>1124</v>
      </c>
      <c r="M2667" s="1">
        <v>37351</v>
      </c>
      <c r="N2667" s="1">
        <v>37351</v>
      </c>
      <c r="O2667" t="s">
        <v>1117</v>
      </c>
      <c r="P2667">
        <v>4</v>
      </c>
      <c r="Q2667" t="s">
        <v>3632</v>
      </c>
      <c r="R2667">
        <f t="shared" si="84"/>
        <v>14</v>
      </c>
      <c r="S2667">
        <f t="shared" si="85"/>
        <v>1</v>
      </c>
    </row>
    <row r="2668" spans="1:19" x14ac:dyDescent="0.25">
      <c r="A2668" t="s">
        <v>3802</v>
      </c>
      <c r="B2668" t="s">
        <v>4027</v>
      </c>
      <c r="C2668">
        <v>0.3</v>
      </c>
      <c r="D2668">
        <v>355.6</v>
      </c>
      <c r="E2668">
        <v>0</v>
      </c>
      <c r="F2668">
        <v>5.9</v>
      </c>
      <c r="G2668">
        <v>5.9</v>
      </c>
      <c r="H2668" t="s">
        <v>3631</v>
      </c>
      <c r="I2668" s="1">
        <v>37133</v>
      </c>
      <c r="J2668" s="1">
        <v>37344</v>
      </c>
      <c r="K2668" s="1">
        <v>37359</v>
      </c>
      <c r="L2668" s="1">
        <v>37359</v>
      </c>
      <c r="M2668" s="1">
        <v>37358</v>
      </c>
      <c r="N2668" s="1">
        <v>37358</v>
      </c>
      <c r="O2668" t="s">
        <v>1117</v>
      </c>
      <c r="P2668">
        <v>9</v>
      </c>
      <c r="Q2668" t="s">
        <v>3632</v>
      </c>
      <c r="R2668">
        <f t="shared" si="84"/>
        <v>15</v>
      </c>
      <c r="S2668">
        <f t="shared" si="85"/>
        <v>1</v>
      </c>
    </row>
    <row r="2669" spans="1:19" x14ac:dyDescent="0.25">
      <c r="A2669" t="s">
        <v>3803</v>
      </c>
      <c r="B2669" t="s">
        <v>1199</v>
      </c>
      <c r="C2669">
        <v>0.4</v>
      </c>
      <c r="D2669">
        <v>330.2</v>
      </c>
      <c r="E2669">
        <v>0</v>
      </c>
      <c r="F2669">
        <v>7</v>
      </c>
      <c r="G2669">
        <v>7</v>
      </c>
      <c r="H2669" t="s">
        <v>3631</v>
      </c>
      <c r="I2669" s="1">
        <v>37133</v>
      </c>
      <c r="J2669" s="1">
        <v>37314</v>
      </c>
      <c r="K2669" s="1">
        <v>37377</v>
      </c>
      <c r="L2669" s="1">
        <v>37377</v>
      </c>
      <c r="M2669" s="1">
        <v>37331</v>
      </c>
      <c r="N2669" s="1">
        <v>37331</v>
      </c>
      <c r="O2669" t="s">
        <v>1117</v>
      </c>
      <c r="P2669">
        <v>17</v>
      </c>
      <c r="Q2669" t="s">
        <v>3632</v>
      </c>
      <c r="R2669">
        <f t="shared" si="84"/>
        <v>11</v>
      </c>
      <c r="S2669">
        <f t="shared" si="85"/>
        <v>1</v>
      </c>
    </row>
    <row r="2670" spans="1:19" x14ac:dyDescent="0.25">
      <c r="A2670" t="s">
        <v>3804</v>
      </c>
      <c r="B2670" t="s">
        <v>1199</v>
      </c>
      <c r="C2670">
        <v>0.25</v>
      </c>
      <c r="D2670">
        <v>180</v>
      </c>
      <c r="E2670">
        <v>0</v>
      </c>
      <c r="F2670">
        <v>3</v>
      </c>
      <c r="G2670">
        <v>3</v>
      </c>
      <c r="H2670" t="s">
        <v>3631</v>
      </c>
      <c r="I2670" s="1">
        <v>37130</v>
      </c>
      <c r="J2670" s="1">
        <v>37341</v>
      </c>
      <c r="K2670" s="1">
        <v>37375</v>
      </c>
      <c r="L2670" s="1">
        <v>37375</v>
      </c>
      <c r="M2670" s="1">
        <v>37368</v>
      </c>
      <c r="N2670" s="1">
        <v>37368</v>
      </c>
      <c r="O2670" t="s">
        <v>1117</v>
      </c>
      <c r="P2670">
        <v>1</v>
      </c>
      <c r="Q2670" t="s">
        <v>3632</v>
      </c>
      <c r="R2670">
        <f t="shared" si="84"/>
        <v>17</v>
      </c>
      <c r="S2670">
        <f t="shared" si="85"/>
        <v>1</v>
      </c>
    </row>
    <row r="2671" spans="1:19" x14ac:dyDescent="0.25">
      <c r="A2671" t="s">
        <v>3805</v>
      </c>
      <c r="B2671" t="s">
        <v>1199</v>
      </c>
      <c r="C2671">
        <v>0.4</v>
      </c>
      <c r="D2671">
        <v>279.39999999999998</v>
      </c>
      <c r="E2671">
        <v>0</v>
      </c>
      <c r="F2671">
        <v>4.54</v>
      </c>
      <c r="G2671">
        <v>4.54</v>
      </c>
      <c r="H2671" t="s">
        <v>3631</v>
      </c>
      <c r="I2671" s="1">
        <v>37133</v>
      </c>
      <c r="J2671" s="1">
        <v>37344</v>
      </c>
      <c r="K2671" s="1">
        <v>37372</v>
      </c>
      <c r="L2671" s="1">
        <v>37372</v>
      </c>
      <c r="M2671" s="1">
        <v>37365</v>
      </c>
      <c r="N2671" s="1">
        <v>37365</v>
      </c>
      <c r="O2671" t="s">
        <v>1117</v>
      </c>
      <c r="P2671">
        <v>3</v>
      </c>
      <c r="Q2671" t="s">
        <v>3632</v>
      </c>
      <c r="R2671">
        <f t="shared" si="84"/>
        <v>16</v>
      </c>
      <c r="S2671">
        <f t="shared" si="85"/>
        <v>1</v>
      </c>
    </row>
    <row r="2672" spans="1:19" x14ac:dyDescent="0.25">
      <c r="A2672" t="s">
        <v>3806</v>
      </c>
      <c r="B2672" t="s">
        <v>1199</v>
      </c>
      <c r="C2672">
        <v>0.22</v>
      </c>
      <c r="D2672">
        <v>8</v>
      </c>
      <c r="E2672">
        <v>0</v>
      </c>
      <c r="F2672">
        <v>3</v>
      </c>
      <c r="G2672">
        <v>3</v>
      </c>
      <c r="H2672" t="s">
        <v>3631</v>
      </c>
      <c r="I2672" s="1">
        <v>37107</v>
      </c>
      <c r="J2672" s="1">
        <v>37340</v>
      </c>
      <c r="K2672" s="1">
        <v>37347</v>
      </c>
      <c r="L2672" s="1">
        <v>37347</v>
      </c>
      <c r="M2672" s="1">
        <v>37347</v>
      </c>
      <c r="N2672" s="1">
        <v>37347</v>
      </c>
      <c r="O2672" t="s">
        <v>1117</v>
      </c>
      <c r="P2672">
        <v>1</v>
      </c>
      <c r="Q2672" t="s">
        <v>3632</v>
      </c>
      <c r="R2672">
        <f t="shared" si="84"/>
        <v>14</v>
      </c>
      <c r="S2672">
        <f t="shared" si="85"/>
        <v>1</v>
      </c>
    </row>
    <row r="2673" spans="1:19" x14ac:dyDescent="0.25">
      <c r="A2673" t="s">
        <v>3807</v>
      </c>
      <c r="B2673" t="s">
        <v>1199</v>
      </c>
      <c r="C2673">
        <v>0.15</v>
      </c>
      <c r="D2673">
        <v>191.7</v>
      </c>
      <c r="E2673">
        <v>0</v>
      </c>
      <c r="F2673">
        <v>3</v>
      </c>
      <c r="G2673">
        <v>3</v>
      </c>
      <c r="H2673" t="s">
        <v>3631</v>
      </c>
      <c r="I2673" s="1">
        <v>37111</v>
      </c>
      <c r="J2673" s="1">
        <v>37344</v>
      </c>
      <c r="K2673" s="1">
        <v>37372</v>
      </c>
      <c r="L2673" s="1">
        <v>37372</v>
      </c>
      <c r="M2673" s="1">
        <v>37365</v>
      </c>
      <c r="N2673" s="1">
        <v>37365</v>
      </c>
      <c r="O2673" t="s">
        <v>1117</v>
      </c>
      <c r="P2673">
        <v>13</v>
      </c>
      <c r="Q2673" t="s">
        <v>3632</v>
      </c>
      <c r="R2673">
        <f t="shared" si="84"/>
        <v>16</v>
      </c>
      <c r="S2673">
        <f t="shared" si="85"/>
        <v>1</v>
      </c>
    </row>
    <row r="2674" spans="1:19" x14ac:dyDescent="0.25">
      <c r="A2674" t="s">
        <v>3808</v>
      </c>
      <c r="B2674" t="s">
        <v>1199</v>
      </c>
      <c r="C2674">
        <v>0.19500000000000001</v>
      </c>
      <c r="D2674">
        <v>157.69999999999999</v>
      </c>
      <c r="E2674">
        <v>0</v>
      </c>
      <c r="F2674">
        <v>10</v>
      </c>
      <c r="G2674">
        <v>10</v>
      </c>
      <c r="H2674" t="s">
        <v>3631</v>
      </c>
      <c r="I2674" s="1">
        <v>37110</v>
      </c>
      <c r="J2674" s="1">
        <v>37344</v>
      </c>
      <c r="K2674" s="1">
        <v>37366</v>
      </c>
      <c r="L2674" s="1">
        <v>37366</v>
      </c>
      <c r="M2674" s="1">
        <v>37366</v>
      </c>
      <c r="N2674" s="1">
        <v>37366</v>
      </c>
      <c r="O2674" t="s">
        <v>1117</v>
      </c>
      <c r="P2674">
        <v>7</v>
      </c>
      <c r="Q2674" t="s">
        <v>3632</v>
      </c>
      <c r="R2674">
        <f t="shared" si="84"/>
        <v>16</v>
      </c>
      <c r="S2674">
        <f t="shared" si="85"/>
        <v>1</v>
      </c>
    </row>
    <row r="2675" spans="1:19" x14ac:dyDescent="0.25">
      <c r="A2675" t="s">
        <v>3809</v>
      </c>
      <c r="B2675" t="s">
        <v>4026</v>
      </c>
      <c r="C2675">
        <v>0.2</v>
      </c>
      <c r="D2675">
        <v>172.3</v>
      </c>
      <c r="E2675">
        <v>0</v>
      </c>
      <c r="F2675">
        <v>20</v>
      </c>
      <c r="G2675">
        <v>20</v>
      </c>
      <c r="H2675" t="s">
        <v>3631</v>
      </c>
      <c r="I2675" s="1">
        <v>37116</v>
      </c>
      <c r="J2675" s="1">
        <v>37343</v>
      </c>
      <c r="K2675" s="1">
        <v>37357</v>
      </c>
      <c r="L2675" s="1">
        <v>37357</v>
      </c>
      <c r="M2675" s="1">
        <v>37357</v>
      </c>
      <c r="N2675" s="1">
        <v>37357</v>
      </c>
      <c r="O2675" t="s">
        <v>1117</v>
      </c>
      <c r="P2675">
        <v>1</v>
      </c>
      <c r="Q2675" t="s">
        <v>3632</v>
      </c>
      <c r="R2675">
        <f t="shared" si="84"/>
        <v>15</v>
      </c>
      <c r="S2675">
        <f t="shared" si="85"/>
        <v>1</v>
      </c>
    </row>
    <row r="2676" spans="1:19" x14ac:dyDescent="0.25">
      <c r="A2676" t="s">
        <v>3810</v>
      </c>
      <c r="B2676" t="s">
        <v>4026</v>
      </c>
      <c r="C2676">
        <v>0.2</v>
      </c>
      <c r="D2676">
        <v>102</v>
      </c>
      <c r="E2676">
        <v>0</v>
      </c>
      <c r="F2676">
        <v>20</v>
      </c>
      <c r="G2676">
        <v>20</v>
      </c>
      <c r="H2676" t="s">
        <v>3631</v>
      </c>
      <c r="I2676" s="1">
        <v>37116</v>
      </c>
      <c r="J2676" s="1">
        <v>37343</v>
      </c>
      <c r="K2676" s="1">
        <v>37357</v>
      </c>
      <c r="L2676" s="1">
        <v>37357</v>
      </c>
      <c r="M2676" s="1">
        <v>37357</v>
      </c>
      <c r="N2676" s="1">
        <v>37357</v>
      </c>
      <c r="O2676" t="s">
        <v>1117</v>
      </c>
      <c r="P2676">
        <v>1</v>
      </c>
      <c r="Q2676" t="s">
        <v>3632</v>
      </c>
      <c r="R2676">
        <f t="shared" si="84"/>
        <v>15</v>
      </c>
      <c r="S2676">
        <f t="shared" si="85"/>
        <v>1</v>
      </c>
    </row>
    <row r="2677" spans="1:19" x14ac:dyDescent="0.25">
      <c r="A2677" t="s">
        <v>3811</v>
      </c>
      <c r="B2677" t="s">
        <v>4026</v>
      </c>
      <c r="C2677">
        <v>0.4</v>
      </c>
      <c r="D2677">
        <v>292.10000000000002</v>
      </c>
      <c r="E2677">
        <v>0</v>
      </c>
      <c r="F2677">
        <v>7.85</v>
      </c>
      <c r="G2677">
        <v>7.85</v>
      </c>
      <c r="H2677" t="s">
        <v>3631</v>
      </c>
      <c r="I2677" s="1">
        <v>37133</v>
      </c>
      <c r="J2677" s="1">
        <v>37314</v>
      </c>
      <c r="K2677" s="1">
        <v>37377</v>
      </c>
      <c r="L2677" s="1">
        <v>37377</v>
      </c>
      <c r="M2677" s="1">
        <v>37331</v>
      </c>
      <c r="N2677" s="1">
        <v>37331</v>
      </c>
      <c r="O2677" t="s">
        <v>1117</v>
      </c>
      <c r="P2677">
        <v>18</v>
      </c>
      <c r="Q2677" t="s">
        <v>3632</v>
      </c>
      <c r="R2677">
        <f t="shared" si="84"/>
        <v>11</v>
      </c>
      <c r="S2677">
        <f t="shared" si="85"/>
        <v>1</v>
      </c>
    </row>
    <row r="2678" spans="1:19" x14ac:dyDescent="0.25">
      <c r="A2678" t="s">
        <v>3812</v>
      </c>
      <c r="B2678" t="s">
        <v>4027</v>
      </c>
      <c r="C2678">
        <v>0.2</v>
      </c>
      <c r="D2678">
        <v>102</v>
      </c>
      <c r="E2678">
        <v>0</v>
      </c>
      <c r="F2678">
        <v>20</v>
      </c>
      <c r="G2678">
        <v>18.527999999999999</v>
      </c>
      <c r="H2678" t="s">
        <v>3631</v>
      </c>
      <c r="I2678" s="1">
        <v>37116</v>
      </c>
      <c r="J2678" s="1">
        <v>37343</v>
      </c>
      <c r="K2678" s="1">
        <v>37357</v>
      </c>
      <c r="L2678" s="1">
        <v>37357</v>
      </c>
      <c r="M2678" s="1">
        <v>37357</v>
      </c>
      <c r="N2678" s="1">
        <v>37357</v>
      </c>
      <c r="O2678" t="s">
        <v>1117</v>
      </c>
      <c r="P2678">
        <v>1</v>
      </c>
      <c r="Q2678" t="s">
        <v>3632</v>
      </c>
      <c r="R2678">
        <f t="shared" si="84"/>
        <v>15</v>
      </c>
      <c r="S2678">
        <f t="shared" si="85"/>
        <v>0</v>
      </c>
    </row>
    <row r="2679" spans="1:19" x14ac:dyDescent="0.25">
      <c r="A2679" t="s">
        <v>3813</v>
      </c>
      <c r="B2679" t="s">
        <v>4026</v>
      </c>
      <c r="C2679">
        <v>0.3</v>
      </c>
      <c r="D2679">
        <v>155</v>
      </c>
      <c r="E2679">
        <v>0</v>
      </c>
      <c r="F2679">
        <v>5</v>
      </c>
      <c r="G2679">
        <v>5</v>
      </c>
      <c r="H2679" t="s">
        <v>3631</v>
      </c>
      <c r="I2679" s="1">
        <v>37131</v>
      </c>
      <c r="J2679" s="1">
        <v>37339</v>
      </c>
      <c r="K2679" s="1">
        <v>37364</v>
      </c>
      <c r="L2679" s="1">
        <v>37364</v>
      </c>
      <c r="M2679" s="1">
        <v>37359</v>
      </c>
      <c r="N2679" s="1">
        <v>37359</v>
      </c>
      <c r="O2679" t="s">
        <v>1117</v>
      </c>
      <c r="P2679">
        <v>2</v>
      </c>
      <c r="Q2679" t="s">
        <v>3632</v>
      </c>
      <c r="R2679">
        <f t="shared" si="84"/>
        <v>15</v>
      </c>
      <c r="S2679">
        <f t="shared" si="85"/>
        <v>1</v>
      </c>
    </row>
    <row r="2680" spans="1:19" x14ac:dyDescent="0.25">
      <c r="A2680" t="s">
        <v>3814</v>
      </c>
      <c r="B2680" t="s">
        <v>4028</v>
      </c>
      <c r="C2680">
        <v>0.19500000000000001</v>
      </c>
      <c r="D2680">
        <v>15.3</v>
      </c>
      <c r="E2680">
        <v>0</v>
      </c>
      <c r="F2680">
        <v>10</v>
      </c>
      <c r="G2680">
        <v>10</v>
      </c>
      <c r="H2680" t="s">
        <v>3631</v>
      </c>
      <c r="I2680" s="1">
        <v>37110</v>
      </c>
      <c r="J2680" s="1">
        <v>37344</v>
      </c>
      <c r="K2680" s="1">
        <v>37351</v>
      </c>
      <c r="L2680" s="1">
        <v>37351</v>
      </c>
      <c r="M2680" s="1">
        <v>37351</v>
      </c>
      <c r="N2680" s="1">
        <v>37351</v>
      </c>
      <c r="O2680" t="s">
        <v>1117</v>
      </c>
      <c r="P2680">
        <v>2</v>
      </c>
      <c r="Q2680" t="s">
        <v>3632</v>
      </c>
      <c r="R2680">
        <f t="shared" si="84"/>
        <v>14</v>
      </c>
      <c r="S2680">
        <f t="shared" si="85"/>
        <v>1</v>
      </c>
    </row>
    <row r="2681" spans="1:19" x14ac:dyDescent="0.25">
      <c r="A2681" t="s">
        <v>3815</v>
      </c>
      <c r="B2681" t="s">
        <v>1199</v>
      </c>
      <c r="C2681">
        <v>0.2</v>
      </c>
      <c r="D2681">
        <v>17.600000000000001</v>
      </c>
      <c r="E2681">
        <v>0</v>
      </c>
      <c r="F2681">
        <v>2</v>
      </c>
      <c r="G2681">
        <v>2</v>
      </c>
      <c r="H2681" t="s">
        <v>3631</v>
      </c>
      <c r="I2681" s="1">
        <v>37117</v>
      </c>
      <c r="J2681" s="1">
        <v>37338</v>
      </c>
      <c r="K2681" s="1">
        <v>37383</v>
      </c>
      <c r="L2681" s="1">
        <v>37383</v>
      </c>
      <c r="M2681" s="1">
        <v>37352</v>
      </c>
      <c r="N2681" s="1">
        <v>37359</v>
      </c>
      <c r="O2681" t="s">
        <v>1117</v>
      </c>
      <c r="P2681">
        <v>1</v>
      </c>
      <c r="Q2681" t="s">
        <v>3632</v>
      </c>
      <c r="R2681">
        <f t="shared" si="84"/>
        <v>15</v>
      </c>
      <c r="S2681">
        <f t="shared" si="85"/>
        <v>1</v>
      </c>
    </row>
    <row r="2682" spans="1:19" x14ac:dyDescent="0.25">
      <c r="A2682" t="s">
        <v>3816</v>
      </c>
      <c r="B2682" t="s">
        <v>1199</v>
      </c>
      <c r="C2682">
        <v>0.19500000000000001</v>
      </c>
      <c r="D2682">
        <v>15.3</v>
      </c>
      <c r="E2682">
        <v>0</v>
      </c>
      <c r="F2682">
        <v>10</v>
      </c>
      <c r="G2682">
        <v>9.3819999999999997</v>
      </c>
      <c r="H2682" t="s">
        <v>3631</v>
      </c>
      <c r="I2682" s="1">
        <v>37110</v>
      </c>
      <c r="J2682" s="1">
        <v>37344</v>
      </c>
      <c r="K2682" s="1">
        <v>37351</v>
      </c>
      <c r="L2682" s="1">
        <v>37351</v>
      </c>
      <c r="M2682" s="1">
        <v>37351</v>
      </c>
      <c r="N2682" s="1">
        <v>37351</v>
      </c>
      <c r="O2682" t="s">
        <v>1117</v>
      </c>
      <c r="P2682">
        <v>3</v>
      </c>
      <c r="Q2682" t="s">
        <v>3632</v>
      </c>
      <c r="R2682">
        <f t="shared" si="84"/>
        <v>14</v>
      </c>
      <c r="S2682">
        <f t="shared" si="85"/>
        <v>0</v>
      </c>
    </row>
    <row r="2683" spans="1:19" x14ac:dyDescent="0.25">
      <c r="A2683" t="s">
        <v>3817</v>
      </c>
      <c r="B2683" t="s">
        <v>1199</v>
      </c>
      <c r="C2683">
        <v>0.15</v>
      </c>
      <c r="D2683">
        <v>172.3</v>
      </c>
      <c r="E2683">
        <v>0</v>
      </c>
      <c r="F2683">
        <v>20</v>
      </c>
      <c r="G2683">
        <v>20</v>
      </c>
      <c r="H2683" t="s">
        <v>3631</v>
      </c>
      <c r="I2683" s="1">
        <v>37116</v>
      </c>
      <c r="J2683" s="1">
        <v>37343</v>
      </c>
      <c r="K2683" s="1">
        <v>37364</v>
      </c>
      <c r="L2683" s="1">
        <v>37364</v>
      </c>
      <c r="M2683" s="1">
        <v>37364</v>
      </c>
      <c r="N2683" s="1">
        <v>37371</v>
      </c>
      <c r="O2683" t="s">
        <v>1117</v>
      </c>
      <c r="P2683">
        <v>1</v>
      </c>
      <c r="Q2683" t="s">
        <v>3632</v>
      </c>
      <c r="R2683">
        <f t="shared" si="84"/>
        <v>17</v>
      </c>
      <c r="S2683">
        <f t="shared" si="85"/>
        <v>1</v>
      </c>
    </row>
    <row r="2684" spans="1:19" x14ac:dyDescent="0.25">
      <c r="A2684" t="s">
        <v>3818</v>
      </c>
      <c r="B2684" t="s">
        <v>4026</v>
      </c>
      <c r="C2684">
        <v>0.2</v>
      </c>
      <c r="D2684">
        <v>17.600000000000001</v>
      </c>
      <c r="E2684">
        <v>0</v>
      </c>
      <c r="F2684">
        <v>8</v>
      </c>
      <c r="G2684">
        <v>2.5779999999999998</v>
      </c>
      <c r="H2684" t="s">
        <v>3631</v>
      </c>
      <c r="I2684" s="1">
        <v>37159</v>
      </c>
      <c r="J2684" s="1">
        <v>37338</v>
      </c>
      <c r="K2684" s="1">
        <v>37359</v>
      </c>
      <c r="L2684" s="1">
        <v>37359</v>
      </c>
      <c r="M2684" s="1">
        <v>37359</v>
      </c>
      <c r="N2684" s="1">
        <v>37359</v>
      </c>
      <c r="O2684" t="s">
        <v>1117</v>
      </c>
      <c r="P2684">
        <v>1</v>
      </c>
      <c r="Q2684" t="s">
        <v>3632</v>
      </c>
      <c r="R2684">
        <f t="shared" si="84"/>
        <v>15</v>
      </c>
      <c r="S2684">
        <f t="shared" si="85"/>
        <v>0</v>
      </c>
    </row>
    <row r="2685" spans="1:19" x14ac:dyDescent="0.25">
      <c r="A2685" t="s">
        <v>3819</v>
      </c>
      <c r="B2685" t="s">
        <v>1199</v>
      </c>
      <c r="C2685">
        <v>0.2</v>
      </c>
      <c r="D2685">
        <v>162.69999999999999</v>
      </c>
      <c r="E2685">
        <v>0</v>
      </c>
      <c r="F2685">
        <v>2</v>
      </c>
      <c r="G2685">
        <v>2</v>
      </c>
      <c r="H2685" t="s">
        <v>3631</v>
      </c>
      <c r="I2685" s="1">
        <v>37117</v>
      </c>
      <c r="J2685" s="1">
        <v>37339</v>
      </c>
      <c r="K2685" s="1">
        <v>37344</v>
      </c>
      <c r="L2685" s="1">
        <v>37344</v>
      </c>
      <c r="M2685" s="1">
        <v>37344</v>
      </c>
      <c r="N2685" s="1">
        <v>37344</v>
      </c>
      <c r="O2685" t="s">
        <v>1117</v>
      </c>
      <c r="P2685">
        <v>3</v>
      </c>
      <c r="Q2685" t="s">
        <v>3632</v>
      </c>
      <c r="R2685">
        <f t="shared" si="84"/>
        <v>13</v>
      </c>
      <c r="S2685">
        <f t="shared" si="85"/>
        <v>1</v>
      </c>
    </row>
    <row r="2686" spans="1:19" x14ac:dyDescent="0.25">
      <c r="A2686" t="s">
        <v>3820</v>
      </c>
      <c r="B2686" t="s">
        <v>1199</v>
      </c>
      <c r="C2686">
        <v>0.25</v>
      </c>
      <c r="D2686">
        <v>182.3</v>
      </c>
      <c r="E2686">
        <v>0</v>
      </c>
      <c r="F2686">
        <v>8</v>
      </c>
      <c r="G2686">
        <v>8</v>
      </c>
      <c r="H2686" t="s">
        <v>3631</v>
      </c>
      <c r="I2686" s="1">
        <v>37110</v>
      </c>
      <c r="J2686" s="1">
        <v>37344</v>
      </c>
      <c r="K2686" s="1">
        <v>37365</v>
      </c>
      <c r="L2686" s="1">
        <v>37365</v>
      </c>
      <c r="M2686" s="1">
        <v>37365</v>
      </c>
      <c r="N2686" s="1">
        <v>37365</v>
      </c>
      <c r="O2686" t="s">
        <v>1117</v>
      </c>
      <c r="P2686">
        <v>4</v>
      </c>
      <c r="Q2686" t="s">
        <v>3632</v>
      </c>
      <c r="R2686">
        <f t="shared" si="84"/>
        <v>16</v>
      </c>
      <c r="S2686">
        <f t="shared" si="85"/>
        <v>1</v>
      </c>
    </row>
    <row r="2687" spans="1:19" x14ac:dyDescent="0.25">
      <c r="A2687" t="s">
        <v>3821</v>
      </c>
      <c r="B2687" t="s">
        <v>4027</v>
      </c>
      <c r="C2687">
        <v>0.2</v>
      </c>
      <c r="D2687">
        <v>261</v>
      </c>
      <c r="E2687">
        <v>0</v>
      </c>
      <c r="F2687">
        <v>2</v>
      </c>
      <c r="G2687">
        <v>2</v>
      </c>
      <c r="H2687" t="s">
        <v>3631</v>
      </c>
      <c r="I2687" s="1">
        <v>37111</v>
      </c>
      <c r="J2687" s="1">
        <v>37343</v>
      </c>
      <c r="K2687" s="1">
        <v>37350</v>
      </c>
      <c r="L2687" s="1">
        <v>37350</v>
      </c>
      <c r="M2687" s="1">
        <v>37350</v>
      </c>
      <c r="N2687" s="1">
        <v>37350</v>
      </c>
      <c r="O2687" t="s">
        <v>1117</v>
      </c>
      <c r="P2687">
        <v>7</v>
      </c>
      <c r="Q2687" t="s">
        <v>3632</v>
      </c>
      <c r="R2687">
        <f t="shared" si="84"/>
        <v>14</v>
      </c>
      <c r="S2687">
        <f t="shared" si="85"/>
        <v>1</v>
      </c>
    </row>
    <row r="2688" spans="1:19" x14ac:dyDescent="0.25">
      <c r="A2688" t="s">
        <v>3822</v>
      </c>
      <c r="B2688" t="s">
        <v>4027</v>
      </c>
      <c r="C2688">
        <v>0.2</v>
      </c>
      <c r="D2688">
        <v>209.9</v>
      </c>
      <c r="E2688">
        <v>0</v>
      </c>
      <c r="F2688">
        <v>2</v>
      </c>
      <c r="G2688">
        <v>2</v>
      </c>
      <c r="H2688" t="s">
        <v>3631</v>
      </c>
      <c r="I2688" s="1">
        <v>37117</v>
      </c>
      <c r="J2688" s="1">
        <v>37338</v>
      </c>
      <c r="K2688" s="1">
        <v>37352</v>
      </c>
      <c r="L2688" s="1">
        <v>37352</v>
      </c>
      <c r="M2688" s="1">
        <v>37352</v>
      </c>
      <c r="N2688" s="1">
        <v>37352</v>
      </c>
      <c r="O2688" t="s">
        <v>1117</v>
      </c>
      <c r="P2688">
        <v>1</v>
      </c>
      <c r="Q2688" t="s">
        <v>3632</v>
      </c>
      <c r="R2688">
        <f t="shared" si="84"/>
        <v>14</v>
      </c>
      <c r="S2688">
        <f t="shared" si="85"/>
        <v>1</v>
      </c>
    </row>
    <row r="2689" spans="1:19" x14ac:dyDescent="0.25">
      <c r="A2689" t="s">
        <v>3823</v>
      </c>
      <c r="B2689" t="s">
        <v>1199</v>
      </c>
      <c r="C2689">
        <v>0.2</v>
      </c>
      <c r="D2689">
        <v>192.9</v>
      </c>
      <c r="E2689">
        <v>0</v>
      </c>
      <c r="F2689">
        <v>2</v>
      </c>
      <c r="G2689">
        <v>2</v>
      </c>
      <c r="H2689" t="s">
        <v>3631</v>
      </c>
      <c r="I2689" s="1">
        <v>37117</v>
      </c>
      <c r="J2689" s="1">
        <v>37339</v>
      </c>
      <c r="K2689" s="1">
        <v>37373</v>
      </c>
      <c r="L2689" s="1">
        <v>37373</v>
      </c>
      <c r="M2689" s="1">
        <v>37366</v>
      </c>
      <c r="N2689" s="1">
        <v>37366</v>
      </c>
      <c r="O2689" t="s">
        <v>1117</v>
      </c>
      <c r="P2689">
        <v>4</v>
      </c>
      <c r="Q2689" t="s">
        <v>3632</v>
      </c>
      <c r="R2689">
        <f t="shared" si="84"/>
        <v>16</v>
      </c>
      <c r="S2689">
        <f t="shared" si="85"/>
        <v>1</v>
      </c>
    </row>
    <row r="2690" spans="1:19" x14ac:dyDescent="0.25">
      <c r="A2690" t="s">
        <v>3824</v>
      </c>
      <c r="B2690" t="s">
        <v>4028</v>
      </c>
      <c r="C2690">
        <v>0.2</v>
      </c>
      <c r="D2690">
        <v>206.7</v>
      </c>
      <c r="E2690">
        <v>0</v>
      </c>
      <c r="F2690">
        <v>2</v>
      </c>
      <c r="G2690">
        <v>2</v>
      </c>
      <c r="H2690" t="s">
        <v>3631</v>
      </c>
      <c r="I2690" s="1">
        <v>37117</v>
      </c>
      <c r="J2690" s="1">
        <v>37338</v>
      </c>
      <c r="K2690" s="1">
        <v>37368</v>
      </c>
      <c r="L2690" s="1">
        <v>37368</v>
      </c>
      <c r="M2690" s="1">
        <v>37368</v>
      </c>
      <c r="N2690" s="1">
        <v>37368</v>
      </c>
      <c r="O2690" t="s">
        <v>1117</v>
      </c>
      <c r="P2690">
        <v>2</v>
      </c>
      <c r="Q2690" t="s">
        <v>3632</v>
      </c>
      <c r="R2690">
        <f t="shared" si="84"/>
        <v>17</v>
      </c>
      <c r="S2690">
        <f t="shared" si="85"/>
        <v>1</v>
      </c>
    </row>
    <row r="2691" spans="1:19" x14ac:dyDescent="0.25">
      <c r="A2691" t="s">
        <v>3825</v>
      </c>
      <c r="B2691" t="s">
        <v>4028</v>
      </c>
      <c r="C2691">
        <v>0.25</v>
      </c>
      <c r="D2691">
        <v>179.5</v>
      </c>
      <c r="E2691">
        <v>0</v>
      </c>
      <c r="F2691">
        <v>8</v>
      </c>
      <c r="G2691">
        <v>8</v>
      </c>
      <c r="H2691" t="s">
        <v>3631</v>
      </c>
      <c r="I2691" s="1">
        <v>37110</v>
      </c>
      <c r="J2691" s="1">
        <v>37344</v>
      </c>
      <c r="K2691" s="1">
        <v>37345</v>
      </c>
      <c r="L2691" s="1">
        <v>37345</v>
      </c>
      <c r="M2691" s="1">
        <v>37344</v>
      </c>
      <c r="N2691" s="1">
        <v>37344</v>
      </c>
      <c r="O2691" t="s">
        <v>1117</v>
      </c>
      <c r="P2691">
        <v>3</v>
      </c>
      <c r="Q2691" t="s">
        <v>3632</v>
      </c>
      <c r="R2691">
        <f t="shared" ref="R2691:R2754" si="86">WEEKNUM(N2691,1)</f>
        <v>13</v>
      </c>
      <c r="S2691">
        <f t="shared" ref="S2691:S2754" si="87">IF(AND(F2691=G2691, M2691&lt;=N2691), 1,0)</f>
        <v>1</v>
      </c>
    </row>
    <row r="2692" spans="1:19" x14ac:dyDescent="0.25">
      <c r="A2692" t="s">
        <v>3826</v>
      </c>
      <c r="B2692" t="s">
        <v>4028</v>
      </c>
      <c r="C2692">
        <v>0.19500000000000001</v>
      </c>
      <c r="D2692">
        <v>15.3</v>
      </c>
      <c r="E2692">
        <v>0</v>
      </c>
      <c r="F2692">
        <v>2</v>
      </c>
      <c r="G2692">
        <v>2</v>
      </c>
      <c r="H2692" t="s">
        <v>3631</v>
      </c>
      <c r="I2692" s="1">
        <v>37110</v>
      </c>
      <c r="J2692" s="1">
        <v>37344</v>
      </c>
      <c r="K2692" s="1">
        <v>37345</v>
      </c>
      <c r="L2692" s="1">
        <v>37345</v>
      </c>
      <c r="M2692" s="1">
        <v>37344</v>
      </c>
      <c r="N2692" s="1">
        <v>37344</v>
      </c>
      <c r="O2692" t="s">
        <v>1117</v>
      </c>
      <c r="P2692">
        <v>1</v>
      </c>
      <c r="Q2692" t="s">
        <v>3632</v>
      </c>
      <c r="R2692">
        <f t="shared" si="86"/>
        <v>13</v>
      </c>
      <c r="S2692">
        <f t="shared" si="87"/>
        <v>1</v>
      </c>
    </row>
    <row r="2693" spans="1:19" x14ac:dyDescent="0.25">
      <c r="A2693" t="s">
        <v>3827</v>
      </c>
      <c r="B2693" t="s">
        <v>4027</v>
      </c>
      <c r="C2693">
        <v>0.2</v>
      </c>
      <c r="D2693">
        <v>183.5</v>
      </c>
      <c r="E2693">
        <v>0</v>
      </c>
      <c r="F2693">
        <v>12</v>
      </c>
      <c r="G2693">
        <v>9.875</v>
      </c>
      <c r="H2693" t="s">
        <v>3631</v>
      </c>
      <c r="I2693" s="1">
        <v>37111</v>
      </c>
      <c r="J2693" s="1">
        <v>37343</v>
      </c>
      <c r="K2693" s="1">
        <v>37366</v>
      </c>
      <c r="L2693" s="1">
        <v>37366</v>
      </c>
      <c r="M2693" s="1">
        <v>37366</v>
      </c>
      <c r="N2693" s="1">
        <v>37366</v>
      </c>
      <c r="O2693" t="s">
        <v>1117</v>
      </c>
      <c r="P2693">
        <v>8</v>
      </c>
      <c r="Q2693" t="s">
        <v>3632</v>
      </c>
      <c r="R2693">
        <f t="shared" si="86"/>
        <v>16</v>
      </c>
      <c r="S2693">
        <f t="shared" si="87"/>
        <v>0</v>
      </c>
    </row>
    <row r="2694" spans="1:19" x14ac:dyDescent="0.25">
      <c r="A2694" t="s">
        <v>3828</v>
      </c>
      <c r="B2694" t="s">
        <v>1199</v>
      </c>
      <c r="C2694">
        <v>0.3</v>
      </c>
      <c r="D2694">
        <v>260.35000000000002</v>
      </c>
      <c r="E2694">
        <v>0</v>
      </c>
      <c r="F2694">
        <v>2.27</v>
      </c>
      <c r="G2694">
        <v>2.27</v>
      </c>
      <c r="H2694" t="s">
        <v>3631</v>
      </c>
      <c r="I2694" s="1">
        <v>37133</v>
      </c>
      <c r="J2694" s="1">
        <v>37344</v>
      </c>
      <c r="K2694" s="1">
        <v>37383</v>
      </c>
      <c r="L2694" s="1">
        <v>37383</v>
      </c>
      <c r="M2694" s="1">
        <v>37365</v>
      </c>
      <c r="N2694" s="1">
        <v>37365</v>
      </c>
      <c r="O2694" t="s">
        <v>1117</v>
      </c>
      <c r="P2694">
        <v>11</v>
      </c>
      <c r="Q2694" t="s">
        <v>3632</v>
      </c>
      <c r="R2694">
        <f t="shared" si="86"/>
        <v>16</v>
      </c>
      <c r="S2694">
        <f t="shared" si="87"/>
        <v>1</v>
      </c>
    </row>
    <row r="2695" spans="1:19" x14ac:dyDescent="0.25">
      <c r="A2695" t="s">
        <v>3829</v>
      </c>
      <c r="B2695" t="s">
        <v>4028</v>
      </c>
      <c r="C2695">
        <v>0.15</v>
      </c>
      <c r="D2695">
        <v>195</v>
      </c>
      <c r="E2695">
        <v>0</v>
      </c>
      <c r="F2695">
        <v>3.5</v>
      </c>
      <c r="G2695">
        <v>3.5</v>
      </c>
      <c r="H2695" t="s">
        <v>3631</v>
      </c>
      <c r="I2695" s="1">
        <v>37111</v>
      </c>
      <c r="J2695" s="1">
        <v>37343</v>
      </c>
      <c r="K2695" s="1">
        <v>37371</v>
      </c>
      <c r="L2695" s="1">
        <v>37371</v>
      </c>
      <c r="M2695" s="1">
        <v>37364</v>
      </c>
      <c r="N2695" s="1">
        <v>37364</v>
      </c>
      <c r="O2695" t="s">
        <v>1117</v>
      </c>
      <c r="P2695">
        <v>5</v>
      </c>
      <c r="Q2695" t="s">
        <v>3632</v>
      </c>
      <c r="R2695">
        <f t="shared" si="86"/>
        <v>16</v>
      </c>
      <c r="S2695">
        <f t="shared" si="87"/>
        <v>1</v>
      </c>
    </row>
    <row r="2696" spans="1:19" x14ac:dyDescent="0.25">
      <c r="A2696" t="s">
        <v>3830</v>
      </c>
      <c r="B2696" t="s">
        <v>4026</v>
      </c>
      <c r="C2696">
        <v>0.2</v>
      </c>
      <c r="D2696">
        <v>204</v>
      </c>
      <c r="E2696">
        <v>0</v>
      </c>
      <c r="F2696">
        <v>5</v>
      </c>
      <c r="G2696">
        <v>3.653</v>
      </c>
      <c r="H2696" t="s">
        <v>3631</v>
      </c>
      <c r="I2696" s="1">
        <v>37111</v>
      </c>
      <c r="J2696" s="1">
        <v>37343</v>
      </c>
      <c r="K2696" s="1">
        <v>37364</v>
      </c>
      <c r="L2696" s="1">
        <v>37364</v>
      </c>
      <c r="M2696" s="1">
        <v>37364</v>
      </c>
      <c r="N2696" s="1">
        <v>37364</v>
      </c>
      <c r="O2696" t="s">
        <v>1117</v>
      </c>
      <c r="P2696">
        <v>9</v>
      </c>
      <c r="Q2696" t="s">
        <v>3632</v>
      </c>
      <c r="R2696">
        <f t="shared" si="86"/>
        <v>16</v>
      </c>
      <c r="S2696">
        <f t="shared" si="87"/>
        <v>0</v>
      </c>
    </row>
    <row r="2697" spans="1:19" x14ac:dyDescent="0.25">
      <c r="A2697" t="s">
        <v>3831</v>
      </c>
      <c r="B2697" t="s">
        <v>4026</v>
      </c>
      <c r="C2697">
        <v>0.2</v>
      </c>
      <c r="D2697">
        <v>206.7</v>
      </c>
      <c r="E2697">
        <v>0</v>
      </c>
      <c r="F2697">
        <v>8</v>
      </c>
      <c r="G2697">
        <v>8</v>
      </c>
      <c r="H2697" t="s">
        <v>3631</v>
      </c>
      <c r="I2697" s="1">
        <v>37117</v>
      </c>
      <c r="J2697" s="1">
        <v>37338</v>
      </c>
      <c r="K2697" s="1">
        <v>37368</v>
      </c>
      <c r="L2697" s="1">
        <v>37368</v>
      </c>
      <c r="M2697" s="1">
        <v>37368</v>
      </c>
      <c r="N2697" s="1">
        <v>37368</v>
      </c>
      <c r="O2697" t="s">
        <v>1117</v>
      </c>
      <c r="P2697">
        <v>2</v>
      </c>
      <c r="Q2697" t="s">
        <v>3632</v>
      </c>
      <c r="R2697">
        <f t="shared" si="86"/>
        <v>17</v>
      </c>
      <c r="S2697">
        <f t="shared" si="87"/>
        <v>1</v>
      </c>
    </row>
    <row r="2698" spans="1:19" x14ac:dyDescent="0.25">
      <c r="A2698" t="s">
        <v>3832</v>
      </c>
      <c r="B2698" t="s">
        <v>1199</v>
      </c>
      <c r="C2698">
        <v>0.2</v>
      </c>
      <c r="D2698">
        <v>209.9</v>
      </c>
      <c r="E2698">
        <v>0</v>
      </c>
      <c r="F2698">
        <v>2</v>
      </c>
      <c r="G2698">
        <v>2</v>
      </c>
      <c r="H2698" t="s">
        <v>3631</v>
      </c>
      <c r="I2698" s="1">
        <v>37117</v>
      </c>
      <c r="J2698" s="1">
        <v>37338</v>
      </c>
      <c r="K2698" s="1">
        <v>37368</v>
      </c>
      <c r="L2698" s="1">
        <v>37368</v>
      </c>
      <c r="M2698" s="1">
        <v>37368</v>
      </c>
      <c r="N2698" s="1">
        <v>37368</v>
      </c>
      <c r="O2698" t="s">
        <v>1117</v>
      </c>
      <c r="P2698">
        <v>3</v>
      </c>
      <c r="Q2698" t="s">
        <v>3632</v>
      </c>
      <c r="R2698">
        <f t="shared" si="86"/>
        <v>17</v>
      </c>
      <c r="S2698">
        <f t="shared" si="87"/>
        <v>1</v>
      </c>
    </row>
    <row r="2699" spans="1:19" x14ac:dyDescent="0.25">
      <c r="A2699" t="s">
        <v>3833</v>
      </c>
      <c r="B2699" t="s">
        <v>1199</v>
      </c>
      <c r="C2699">
        <v>0.2</v>
      </c>
      <c r="D2699">
        <v>159.6</v>
      </c>
      <c r="E2699">
        <v>0</v>
      </c>
      <c r="F2699">
        <v>2</v>
      </c>
      <c r="G2699">
        <v>2</v>
      </c>
      <c r="H2699" t="s">
        <v>3631</v>
      </c>
      <c r="I2699" s="1">
        <v>37117</v>
      </c>
      <c r="J2699" s="1">
        <v>37338</v>
      </c>
      <c r="K2699" s="1">
        <v>37361</v>
      </c>
      <c r="L2699" s="1">
        <v>37361</v>
      </c>
      <c r="M2699" s="1">
        <v>37361</v>
      </c>
      <c r="N2699" s="1">
        <v>37361</v>
      </c>
      <c r="O2699" t="s">
        <v>1117</v>
      </c>
      <c r="P2699">
        <v>1</v>
      </c>
      <c r="Q2699" t="s">
        <v>3632</v>
      </c>
      <c r="R2699">
        <f t="shared" si="86"/>
        <v>16</v>
      </c>
      <c r="S2699">
        <f t="shared" si="87"/>
        <v>1</v>
      </c>
    </row>
    <row r="2700" spans="1:19" x14ac:dyDescent="0.25">
      <c r="A2700" t="s">
        <v>3834</v>
      </c>
      <c r="B2700" t="s">
        <v>1199</v>
      </c>
      <c r="C2700">
        <v>0.15</v>
      </c>
      <c r="D2700">
        <v>197</v>
      </c>
      <c r="E2700">
        <v>0</v>
      </c>
      <c r="F2700">
        <v>2</v>
      </c>
      <c r="G2700">
        <v>2</v>
      </c>
      <c r="H2700" t="s">
        <v>3631</v>
      </c>
      <c r="I2700" s="1">
        <v>37112</v>
      </c>
      <c r="J2700" s="1">
        <v>37343</v>
      </c>
      <c r="K2700" s="1">
        <v>37350</v>
      </c>
      <c r="L2700" s="1">
        <v>37350</v>
      </c>
      <c r="M2700" s="1">
        <v>37350</v>
      </c>
      <c r="N2700" s="1">
        <v>37350</v>
      </c>
      <c r="O2700" t="s">
        <v>1117</v>
      </c>
      <c r="P2700">
        <v>3</v>
      </c>
      <c r="Q2700" t="s">
        <v>3632</v>
      </c>
      <c r="R2700">
        <f t="shared" si="86"/>
        <v>14</v>
      </c>
      <c r="S2700">
        <f t="shared" si="87"/>
        <v>1</v>
      </c>
    </row>
    <row r="2701" spans="1:19" x14ac:dyDescent="0.25">
      <c r="A2701" t="s">
        <v>3835</v>
      </c>
      <c r="B2701" t="s">
        <v>1199</v>
      </c>
      <c r="C2701">
        <v>0.18</v>
      </c>
      <c r="D2701">
        <v>615</v>
      </c>
      <c r="E2701">
        <v>0</v>
      </c>
      <c r="F2701">
        <v>10</v>
      </c>
      <c r="G2701">
        <v>3.476</v>
      </c>
      <c r="H2701" t="s">
        <v>3631</v>
      </c>
      <c r="I2701" s="1">
        <v>37131</v>
      </c>
      <c r="J2701" s="1">
        <v>37341</v>
      </c>
      <c r="K2701" s="1">
        <v>37355</v>
      </c>
      <c r="L2701" s="1">
        <v>37355</v>
      </c>
      <c r="M2701" s="1">
        <v>37343</v>
      </c>
      <c r="N2701" s="1">
        <v>37355</v>
      </c>
      <c r="O2701" t="s">
        <v>1117</v>
      </c>
      <c r="P2701">
        <v>1</v>
      </c>
      <c r="Q2701" t="s">
        <v>3632</v>
      </c>
      <c r="R2701">
        <f t="shared" si="86"/>
        <v>15</v>
      </c>
      <c r="S2701">
        <f t="shared" si="87"/>
        <v>0</v>
      </c>
    </row>
    <row r="2702" spans="1:19" x14ac:dyDescent="0.25">
      <c r="A2702" t="s">
        <v>3836</v>
      </c>
      <c r="B2702" t="s">
        <v>4028</v>
      </c>
      <c r="C2702">
        <v>0.15</v>
      </c>
      <c r="D2702">
        <v>233</v>
      </c>
      <c r="E2702">
        <v>0</v>
      </c>
      <c r="F2702">
        <v>10</v>
      </c>
      <c r="G2702">
        <v>9.3049999999999997</v>
      </c>
      <c r="H2702" t="s">
        <v>3631</v>
      </c>
      <c r="I2702" s="1">
        <v>37112</v>
      </c>
      <c r="J2702" s="1">
        <v>37343</v>
      </c>
      <c r="K2702" s="1">
        <v>37364</v>
      </c>
      <c r="L2702" s="1">
        <v>37364</v>
      </c>
      <c r="M2702" s="1">
        <v>37364</v>
      </c>
      <c r="N2702" s="1">
        <v>37364</v>
      </c>
      <c r="O2702" t="s">
        <v>1117</v>
      </c>
      <c r="P2702">
        <v>2</v>
      </c>
      <c r="Q2702" t="s">
        <v>3632</v>
      </c>
      <c r="R2702">
        <f t="shared" si="86"/>
        <v>16</v>
      </c>
      <c r="S2702">
        <f t="shared" si="87"/>
        <v>0</v>
      </c>
    </row>
    <row r="2703" spans="1:19" x14ac:dyDescent="0.25">
      <c r="A2703" t="s">
        <v>3837</v>
      </c>
      <c r="B2703" t="s">
        <v>4026</v>
      </c>
      <c r="C2703">
        <v>0.2</v>
      </c>
      <c r="D2703">
        <v>250.7</v>
      </c>
      <c r="E2703">
        <v>0</v>
      </c>
      <c r="F2703">
        <v>5</v>
      </c>
      <c r="G2703">
        <v>2.77</v>
      </c>
      <c r="H2703" t="s">
        <v>3631</v>
      </c>
      <c r="I2703" s="1">
        <v>37117</v>
      </c>
      <c r="J2703" s="1">
        <v>37338</v>
      </c>
      <c r="K2703" s="1">
        <v>37352</v>
      </c>
      <c r="L2703" s="1">
        <v>37352</v>
      </c>
      <c r="M2703" s="1">
        <v>37352</v>
      </c>
      <c r="N2703" s="1">
        <v>37352</v>
      </c>
      <c r="O2703" t="s">
        <v>1117</v>
      </c>
      <c r="P2703">
        <v>1</v>
      </c>
      <c r="Q2703" t="s">
        <v>3632</v>
      </c>
      <c r="R2703">
        <f t="shared" si="86"/>
        <v>14</v>
      </c>
      <c r="S2703">
        <f t="shared" si="87"/>
        <v>0</v>
      </c>
    </row>
    <row r="2704" spans="1:19" x14ac:dyDescent="0.25">
      <c r="A2704" t="s">
        <v>3838</v>
      </c>
      <c r="B2704" t="s">
        <v>4028</v>
      </c>
      <c r="C2704">
        <v>0.4</v>
      </c>
      <c r="D2704">
        <v>150</v>
      </c>
      <c r="E2704">
        <v>0</v>
      </c>
      <c r="F2704">
        <v>2</v>
      </c>
      <c r="G2704">
        <v>2</v>
      </c>
      <c r="H2704" t="s">
        <v>3631</v>
      </c>
      <c r="I2704" s="1">
        <v>37159</v>
      </c>
      <c r="J2704" s="1">
        <v>37342</v>
      </c>
      <c r="K2704" s="1">
        <v>37364</v>
      </c>
      <c r="L2704" s="1">
        <v>37364</v>
      </c>
      <c r="M2704" s="1">
        <v>37364</v>
      </c>
      <c r="N2704" s="1">
        <v>37364</v>
      </c>
      <c r="O2704" t="s">
        <v>1117</v>
      </c>
      <c r="P2704">
        <v>1</v>
      </c>
      <c r="Q2704" t="s">
        <v>3632</v>
      </c>
      <c r="R2704">
        <f t="shared" si="86"/>
        <v>16</v>
      </c>
      <c r="S2704">
        <f t="shared" si="87"/>
        <v>1</v>
      </c>
    </row>
    <row r="2705" spans="1:19" x14ac:dyDescent="0.25">
      <c r="A2705" t="s">
        <v>3839</v>
      </c>
      <c r="B2705" t="s">
        <v>3521</v>
      </c>
      <c r="C2705">
        <v>0.2</v>
      </c>
      <c r="D2705">
        <v>445</v>
      </c>
      <c r="E2705">
        <v>0</v>
      </c>
      <c r="F2705">
        <v>2</v>
      </c>
      <c r="G2705">
        <v>2</v>
      </c>
      <c r="H2705" t="s">
        <v>3631</v>
      </c>
      <c r="I2705" s="1">
        <v>37119</v>
      </c>
      <c r="J2705" s="1">
        <v>37344</v>
      </c>
      <c r="K2705" t="s">
        <v>1124</v>
      </c>
      <c r="L2705" t="s">
        <v>1124</v>
      </c>
      <c r="M2705" s="1">
        <v>37351</v>
      </c>
      <c r="N2705" s="1">
        <v>37351</v>
      </c>
      <c r="O2705" t="s">
        <v>1117</v>
      </c>
      <c r="P2705">
        <v>5</v>
      </c>
      <c r="Q2705" t="s">
        <v>3632</v>
      </c>
      <c r="R2705">
        <f t="shared" si="86"/>
        <v>14</v>
      </c>
      <c r="S2705">
        <f t="shared" si="87"/>
        <v>1</v>
      </c>
    </row>
    <row r="2706" spans="1:19" x14ac:dyDescent="0.25">
      <c r="A2706" t="s">
        <v>3840</v>
      </c>
      <c r="B2706" t="s">
        <v>1199</v>
      </c>
      <c r="C2706">
        <v>0.15</v>
      </c>
      <c r="D2706">
        <v>410</v>
      </c>
      <c r="E2706">
        <v>0</v>
      </c>
      <c r="F2706">
        <v>2.5</v>
      </c>
      <c r="G2706">
        <v>2.5</v>
      </c>
      <c r="H2706" t="s">
        <v>3631</v>
      </c>
      <c r="I2706" s="1">
        <v>37116</v>
      </c>
      <c r="J2706" s="1">
        <v>37340</v>
      </c>
      <c r="K2706" s="1">
        <v>37361</v>
      </c>
      <c r="L2706" s="1">
        <v>37361</v>
      </c>
      <c r="M2706" s="1">
        <v>37361</v>
      </c>
      <c r="N2706" s="1">
        <v>37361</v>
      </c>
      <c r="O2706" t="s">
        <v>1117</v>
      </c>
      <c r="P2706">
        <v>2</v>
      </c>
      <c r="Q2706" t="s">
        <v>3632</v>
      </c>
      <c r="R2706">
        <f t="shared" si="86"/>
        <v>16</v>
      </c>
      <c r="S2706">
        <f t="shared" si="87"/>
        <v>1</v>
      </c>
    </row>
    <row r="2707" spans="1:19" x14ac:dyDescent="0.25">
      <c r="A2707" t="s">
        <v>3841</v>
      </c>
      <c r="B2707" t="s">
        <v>1199</v>
      </c>
      <c r="C2707">
        <v>0.3</v>
      </c>
      <c r="D2707">
        <v>279.39999999999998</v>
      </c>
      <c r="E2707">
        <v>0</v>
      </c>
      <c r="F2707">
        <v>3.4</v>
      </c>
      <c r="G2707">
        <v>2.76</v>
      </c>
      <c r="H2707" t="s">
        <v>3631</v>
      </c>
      <c r="I2707" s="1">
        <v>37133</v>
      </c>
      <c r="J2707" s="1">
        <v>37344</v>
      </c>
      <c r="K2707" s="1">
        <v>37358</v>
      </c>
      <c r="L2707" s="1">
        <v>37358</v>
      </c>
      <c r="M2707" s="1">
        <v>37358</v>
      </c>
      <c r="N2707" s="1">
        <v>37358</v>
      </c>
      <c r="O2707" t="s">
        <v>1117</v>
      </c>
      <c r="P2707">
        <v>8</v>
      </c>
      <c r="Q2707" t="s">
        <v>3632</v>
      </c>
      <c r="R2707">
        <f t="shared" si="86"/>
        <v>15</v>
      </c>
      <c r="S2707">
        <f t="shared" si="87"/>
        <v>0</v>
      </c>
    </row>
    <row r="2708" spans="1:19" x14ac:dyDescent="0.25">
      <c r="A2708" t="s">
        <v>3842</v>
      </c>
      <c r="B2708" t="s">
        <v>1199</v>
      </c>
      <c r="C2708">
        <v>0.15</v>
      </c>
      <c r="D2708">
        <v>370</v>
      </c>
      <c r="E2708">
        <v>0</v>
      </c>
      <c r="F2708">
        <v>2.5</v>
      </c>
      <c r="G2708">
        <v>2.5</v>
      </c>
      <c r="H2708" t="s">
        <v>3631</v>
      </c>
      <c r="I2708" s="1">
        <v>37116</v>
      </c>
      <c r="J2708" s="1">
        <v>37340</v>
      </c>
      <c r="K2708" s="1">
        <v>37361</v>
      </c>
      <c r="L2708" s="1">
        <v>37361</v>
      </c>
      <c r="M2708" s="1">
        <v>37361</v>
      </c>
      <c r="N2708" s="1">
        <v>37361</v>
      </c>
      <c r="O2708" t="s">
        <v>1117</v>
      </c>
      <c r="P2708">
        <v>1</v>
      </c>
      <c r="Q2708" t="s">
        <v>3632</v>
      </c>
      <c r="R2708">
        <f t="shared" si="86"/>
        <v>16</v>
      </c>
      <c r="S2708">
        <f t="shared" si="87"/>
        <v>1</v>
      </c>
    </row>
    <row r="2709" spans="1:19" x14ac:dyDescent="0.25">
      <c r="A2709" t="s">
        <v>3843</v>
      </c>
      <c r="B2709" t="s">
        <v>1199</v>
      </c>
      <c r="C2709">
        <v>0.19500000000000001</v>
      </c>
      <c r="D2709">
        <v>15.3</v>
      </c>
      <c r="E2709">
        <v>0</v>
      </c>
      <c r="F2709">
        <v>10</v>
      </c>
      <c r="G2709">
        <v>10</v>
      </c>
      <c r="H2709" t="s">
        <v>3631</v>
      </c>
      <c r="I2709" s="1">
        <v>37110</v>
      </c>
      <c r="J2709" s="1">
        <v>37344</v>
      </c>
      <c r="K2709" s="1">
        <v>37351</v>
      </c>
      <c r="L2709" s="1">
        <v>37351</v>
      </c>
      <c r="M2709" s="1">
        <v>37351</v>
      </c>
      <c r="N2709" s="1">
        <v>37351</v>
      </c>
      <c r="O2709" t="s">
        <v>1117</v>
      </c>
      <c r="P2709">
        <v>4</v>
      </c>
      <c r="Q2709" t="s">
        <v>3632</v>
      </c>
      <c r="R2709">
        <f t="shared" si="86"/>
        <v>14</v>
      </c>
      <c r="S2709">
        <f t="shared" si="87"/>
        <v>1</v>
      </c>
    </row>
    <row r="2710" spans="1:19" x14ac:dyDescent="0.25">
      <c r="A2710" t="s">
        <v>3844</v>
      </c>
      <c r="B2710" t="s">
        <v>1199</v>
      </c>
      <c r="C2710">
        <v>0.3</v>
      </c>
      <c r="D2710">
        <v>133.35</v>
      </c>
      <c r="E2710">
        <v>0</v>
      </c>
      <c r="F2710">
        <v>2.27</v>
      </c>
      <c r="G2710">
        <v>2.27</v>
      </c>
      <c r="H2710" t="s">
        <v>3631</v>
      </c>
      <c r="I2710" s="1">
        <v>37117</v>
      </c>
      <c r="J2710" s="1">
        <v>37343</v>
      </c>
      <c r="K2710" s="1">
        <v>37364</v>
      </c>
      <c r="L2710" s="1">
        <v>37364</v>
      </c>
      <c r="M2710" s="1">
        <v>37357</v>
      </c>
      <c r="N2710" s="1">
        <v>37357</v>
      </c>
      <c r="O2710" t="s">
        <v>1117</v>
      </c>
      <c r="P2710">
        <v>1</v>
      </c>
      <c r="Q2710" t="s">
        <v>3632</v>
      </c>
      <c r="R2710">
        <f t="shared" si="86"/>
        <v>15</v>
      </c>
      <c r="S2710">
        <f t="shared" si="87"/>
        <v>1</v>
      </c>
    </row>
    <row r="2711" spans="1:19" x14ac:dyDescent="0.25">
      <c r="A2711" t="s">
        <v>3845</v>
      </c>
      <c r="B2711" t="s">
        <v>1199</v>
      </c>
      <c r="C2711">
        <v>0.2</v>
      </c>
      <c r="D2711">
        <v>172.3</v>
      </c>
      <c r="E2711">
        <v>0</v>
      </c>
      <c r="F2711">
        <v>20</v>
      </c>
      <c r="G2711">
        <v>20</v>
      </c>
      <c r="H2711" t="s">
        <v>3631</v>
      </c>
      <c r="I2711" s="1">
        <v>37116</v>
      </c>
      <c r="J2711" s="1">
        <v>37343</v>
      </c>
      <c r="K2711" s="1">
        <v>37357</v>
      </c>
      <c r="L2711" s="1">
        <v>37357</v>
      </c>
      <c r="M2711" s="1">
        <v>37357</v>
      </c>
      <c r="N2711" s="1">
        <v>37357</v>
      </c>
      <c r="O2711" t="s">
        <v>1117</v>
      </c>
      <c r="P2711">
        <v>1</v>
      </c>
      <c r="Q2711" t="s">
        <v>3632</v>
      </c>
      <c r="R2711">
        <f t="shared" si="86"/>
        <v>15</v>
      </c>
      <c r="S2711">
        <f t="shared" si="87"/>
        <v>1</v>
      </c>
    </row>
    <row r="2712" spans="1:19" x14ac:dyDescent="0.25">
      <c r="A2712" t="s">
        <v>3846</v>
      </c>
      <c r="B2712" t="s">
        <v>1199</v>
      </c>
      <c r="C2712">
        <v>0.2</v>
      </c>
      <c r="D2712">
        <v>383</v>
      </c>
      <c r="E2712">
        <v>0</v>
      </c>
      <c r="F2712">
        <v>2</v>
      </c>
      <c r="G2712">
        <v>2</v>
      </c>
      <c r="H2712" t="s">
        <v>3631</v>
      </c>
      <c r="I2712" s="1">
        <v>37119</v>
      </c>
      <c r="J2712" s="1">
        <v>37344</v>
      </c>
      <c r="K2712" s="1">
        <v>37367</v>
      </c>
      <c r="L2712" s="1">
        <v>37367</v>
      </c>
      <c r="M2712" s="1">
        <v>37359</v>
      </c>
      <c r="N2712" s="1">
        <v>37359</v>
      </c>
      <c r="O2712" t="s">
        <v>1117</v>
      </c>
      <c r="P2712">
        <v>6</v>
      </c>
      <c r="Q2712" t="s">
        <v>3632</v>
      </c>
      <c r="R2712">
        <f t="shared" si="86"/>
        <v>15</v>
      </c>
      <c r="S2712">
        <f t="shared" si="87"/>
        <v>1</v>
      </c>
    </row>
    <row r="2713" spans="1:19" x14ac:dyDescent="0.25">
      <c r="A2713" t="s">
        <v>3847</v>
      </c>
      <c r="B2713" t="s">
        <v>1199</v>
      </c>
      <c r="C2713">
        <v>0.25</v>
      </c>
      <c r="D2713">
        <v>550</v>
      </c>
      <c r="E2713">
        <v>0</v>
      </c>
      <c r="F2713">
        <v>9</v>
      </c>
      <c r="G2713">
        <v>9</v>
      </c>
      <c r="H2713" t="s">
        <v>3631</v>
      </c>
      <c r="I2713" s="1">
        <v>37116</v>
      </c>
      <c r="J2713" s="1">
        <v>37338</v>
      </c>
      <c r="K2713" s="1">
        <v>37352</v>
      </c>
      <c r="L2713" s="1">
        <v>37352</v>
      </c>
      <c r="M2713" s="1">
        <v>37352</v>
      </c>
      <c r="N2713" s="1">
        <v>37352</v>
      </c>
      <c r="O2713" t="s">
        <v>1117</v>
      </c>
      <c r="P2713">
        <v>1</v>
      </c>
      <c r="Q2713" t="s">
        <v>3632</v>
      </c>
      <c r="R2713">
        <f t="shared" si="86"/>
        <v>14</v>
      </c>
      <c r="S2713">
        <f t="shared" si="87"/>
        <v>1</v>
      </c>
    </row>
    <row r="2714" spans="1:19" x14ac:dyDescent="0.25">
      <c r="A2714" t="s">
        <v>3848</v>
      </c>
      <c r="B2714" t="s">
        <v>4028</v>
      </c>
      <c r="C2714">
        <v>0.15</v>
      </c>
      <c r="D2714">
        <v>172.3</v>
      </c>
      <c r="E2714">
        <v>0</v>
      </c>
      <c r="F2714">
        <v>20</v>
      </c>
      <c r="G2714">
        <v>20</v>
      </c>
      <c r="H2714" t="s">
        <v>3631</v>
      </c>
      <c r="I2714" s="1">
        <v>37116</v>
      </c>
      <c r="J2714" s="1">
        <v>37343</v>
      </c>
      <c r="K2714" s="1">
        <v>37371</v>
      </c>
      <c r="L2714" s="1">
        <v>37371</v>
      </c>
      <c r="M2714" s="1">
        <v>37371</v>
      </c>
      <c r="N2714" s="1">
        <v>37371</v>
      </c>
      <c r="O2714" t="s">
        <v>1117</v>
      </c>
      <c r="P2714">
        <v>1</v>
      </c>
      <c r="Q2714" t="s">
        <v>3632</v>
      </c>
      <c r="R2714">
        <f t="shared" si="86"/>
        <v>17</v>
      </c>
      <c r="S2714">
        <f t="shared" si="87"/>
        <v>1</v>
      </c>
    </row>
    <row r="2715" spans="1:19" x14ac:dyDescent="0.25">
      <c r="A2715" t="s">
        <v>3849</v>
      </c>
      <c r="B2715" t="s">
        <v>1199</v>
      </c>
      <c r="C2715">
        <v>0.19500000000000001</v>
      </c>
      <c r="D2715">
        <v>15.3</v>
      </c>
      <c r="E2715">
        <v>0</v>
      </c>
      <c r="F2715">
        <v>15</v>
      </c>
      <c r="G2715">
        <v>9.5129999999999999</v>
      </c>
      <c r="H2715" t="s">
        <v>3631</v>
      </c>
      <c r="I2715" s="1">
        <v>37110</v>
      </c>
      <c r="J2715" s="1">
        <v>37344</v>
      </c>
      <c r="K2715" s="1">
        <v>37351</v>
      </c>
      <c r="L2715" s="1">
        <v>37351</v>
      </c>
      <c r="M2715" s="1">
        <v>37351</v>
      </c>
      <c r="N2715" s="1">
        <v>37351</v>
      </c>
      <c r="O2715" t="s">
        <v>1117</v>
      </c>
      <c r="P2715">
        <v>1</v>
      </c>
      <c r="Q2715" t="s">
        <v>3632</v>
      </c>
      <c r="R2715">
        <f t="shared" si="86"/>
        <v>14</v>
      </c>
      <c r="S2715">
        <f t="shared" si="87"/>
        <v>0</v>
      </c>
    </row>
    <row r="2716" spans="1:19" x14ac:dyDescent="0.25">
      <c r="A2716" t="s">
        <v>3850</v>
      </c>
      <c r="B2716" t="s">
        <v>3601</v>
      </c>
      <c r="C2716">
        <v>0.4</v>
      </c>
      <c r="D2716">
        <v>533.4</v>
      </c>
      <c r="E2716">
        <v>0</v>
      </c>
      <c r="F2716">
        <v>9.07</v>
      </c>
      <c r="G2716">
        <v>9.07</v>
      </c>
      <c r="H2716" t="s">
        <v>3631</v>
      </c>
      <c r="I2716" s="1">
        <v>37133</v>
      </c>
      <c r="J2716" s="1">
        <v>37344</v>
      </c>
      <c r="K2716" t="s">
        <v>1124</v>
      </c>
      <c r="L2716" t="s">
        <v>1124</v>
      </c>
      <c r="M2716" s="1">
        <v>37352</v>
      </c>
      <c r="N2716" s="1">
        <v>37352</v>
      </c>
      <c r="O2716" t="s">
        <v>1117</v>
      </c>
      <c r="P2716">
        <v>6</v>
      </c>
      <c r="Q2716" t="s">
        <v>3632</v>
      </c>
      <c r="R2716">
        <f t="shared" si="86"/>
        <v>14</v>
      </c>
      <c r="S2716">
        <f t="shared" si="87"/>
        <v>1</v>
      </c>
    </row>
    <row r="2717" spans="1:19" x14ac:dyDescent="0.25">
      <c r="A2717" t="s">
        <v>3851</v>
      </c>
      <c r="B2717" t="s">
        <v>1199</v>
      </c>
      <c r="C2717">
        <v>1.27</v>
      </c>
      <c r="D2717">
        <v>118.61799999999999</v>
      </c>
      <c r="E2717">
        <v>0</v>
      </c>
      <c r="F2717">
        <v>9.5</v>
      </c>
      <c r="G2717">
        <v>4.5720000000000001</v>
      </c>
      <c r="H2717" t="s">
        <v>3631</v>
      </c>
      <c r="I2717" s="1">
        <v>37117</v>
      </c>
      <c r="J2717" s="1">
        <v>37344</v>
      </c>
      <c r="K2717" t="s">
        <v>1124</v>
      </c>
      <c r="L2717" t="s">
        <v>1124</v>
      </c>
      <c r="M2717" s="1">
        <v>37344</v>
      </c>
      <c r="N2717" s="1">
        <v>37344</v>
      </c>
      <c r="O2717" t="s">
        <v>1117</v>
      </c>
      <c r="P2717">
        <v>1</v>
      </c>
      <c r="Q2717" t="s">
        <v>3632</v>
      </c>
      <c r="R2717">
        <f t="shared" si="86"/>
        <v>13</v>
      </c>
      <c r="S2717">
        <f t="shared" si="87"/>
        <v>0</v>
      </c>
    </row>
    <row r="2718" spans="1:19" x14ac:dyDescent="0.25">
      <c r="A2718" t="s">
        <v>3852</v>
      </c>
      <c r="B2718" t="s">
        <v>3601</v>
      </c>
      <c r="C2718">
        <v>0.25</v>
      </c>
      <c r="D2718">
        <v>360</v>
      </c>
      <c r="E2718">
        <v>0</v>
      </c>
      <c r="F2718">
        <v>3.2</v>
      </c>
      <c r="G2718">
        <v>3.2</v>
      </c>
      <c r="H2718" t="s">
        <v>3631</v>
      </c>
      <c r="I2718" s="1">
        <v>37335</v>
      </c>
      <c r="J2718" s="1">
        <v>37367</v>
      </c>
      <c r="K2718" s="1">
        <v>37374</v>
      </c>
      <c r="L2718" s="1">
        <v>37374</v>
      </c>
      <c r="M2718" s="1">
        <v>37367</v>
      </c>
      <c r="N2718" s="1">
        <v>37367</v>
      </c>
      <c r="O2718" t="s">
        <v>1117</v>
      </c>
      <c r="P2718">
        <v>1</v>
      </c>
      <c r="Q2718" t="s">
        <v>3632</v>
      </c>
      <c r="R2718">
        <f t="shared" si="86"/>
        <v>17</v>
      </c>
      <c r="S2718">
        <f t="shared" si="87"/>
        <v>1</v>
      </c>
    </row>
    <row r="2719" spans="1:19" x14ac:dyDescent="0.25">
      <c r="A2719" t="s">
        <v>3853</v>
      </c>
      <c r="B2719" t="s">
        <v>4028</v>
      </c>
      <c r="C2719">
        <v>0.2</v>
      </c>
      <c r="D2719">
        <v>302</v>
      </c>
      <c r="E2719">
        <v>0</v>
      </c>
      <c r="F2719">
        <v>4</v>
      </c>
      <c r="G2719">
        <v>4</v>
      </c>
      <c r="H2719" t="s">
        <v>3631</v>
      </c>
      <c r="I2719" s="1">
        <v>37343</v>
      </c>
      <c r="J2719" s="1">
        <v>37379</v>
      </c>
      <c r="K2719" t="s">
        <v>1124</v>
      </c>
      <c r="L2719" t="s">
        <v>1124</v>
      </c>
      <c r="M2719" t="s">
        <v>1124</v>
      </c>
      <c r="N2719" s="1">
        <v>37367</v>
      </c>
      <c r="O2719" t="s">
        <v>1117</v>
      </c>
      <c r="P2719">
        <v>1</v>
      </c>
      <c r="Q2719" t="s">
        <v>3632</v>
      </c>
      <c r="R2719">
        <f t="shared" si="86"/>
        <v>17</v>
      </c>
      <c r="S2719">
        <f t="shared" si="87"/>
        <v>0</v>
      </c>
    </row>
    <row r="2720" spans="1:19" x14ac:dyDescent="0.25">
      <c r="A2720" t="s">
        <v>3854</v>
      </c>
      <c r="B2720" t="s">
        <v>4028</v>
      </c>
      <c r="C2720">
        <v>0.28000000000000003</v>
      </c>
      <c r="D2720">
        <v>100</v>
      </c>
      <c r="E2720">
        <v>0</v>
      </c>
      <c r="F2720">
        <v>2</v>
      </c>
      <c r="G2720">
        <v>2</v>
      </c>
      <c r="H2720" t="s">
        <v>3631</v>
      </c>
      <c r="I2720" s="1">
        <v>37192</v>
      </c>
      <c r="J2720" s="1">
        <v>37341</v>
      </c>
      <c r="K2720" s="1">
        <v>37376</v>
      </c>
      <c r="L2720" s="1">
        <v>37376</v>
      </c>
      <c r="M2720" s="1">
        <v>37356</v>
      </c>
      <c r="N2720" s="1">
        <v>37363</v>
      </c>
      <c r="O2720" t="s">
        <v>1117</v>
      </c>
      <c r="P2720">
        <v>3</v>
      </c>
      <c r="Q2720" t="s">
        <v>3632</v>
      </c>
      <c r="R2720">
        <f t="shared" si="86"/>
        <v>16</v>
      </c>
      <c r="S2720">
        <f t="shared" si="87"/>
        <v>1</v>
      </c>
    </row>
    <row r="2721" spans="1:19" x14ac:dyDescent="0.25">
      <c r="A2721" t="s">
        <v>3855</v>
      </c>
      <c r="B2721" t="s">
        <v>1199</v>
      </c>
      <c r="C2721">
        <v>0.25</v>
      </c>
      <c r="D2721">
        <v>440</v>
      </c>
      <c r="E2721">
        <v>0</v>
      </c>
      <c r="F2721">
        <v>3</v>
      </c>
      <c r="G2721">
        <v>3</v>
      </c>
      <c r="H2721" t="s">
        <v>3631</v>
      </c>
      <c r="I2721" s="1">
        <v>37343</v>
      </c>
      <c r="J2721" s="1">
        <v>37379</v>
      </c>
      <c r="K2721" t="s">
        <v>1124</v>
      </c>
      <c r="L2721" t="s">
        <v>1124</v>
      </c>
      <c r="M2721" t="s">
        <v>1124</v>
      </c>
      <c r="N2721" s="1">
        <v>37367</v>
      </c>
      <c r="O2721" t="s">
        <v>1117</v>
      </c>
      <c r="P2721">
        <v>1</v>
      </c>
      <c r="Q2721" t="s">
        <v>3632</v>
      </c>
      <c r="R2721">
        <f t="shared" si="86"/>
        <v>17</v>
      </c>
      <c r="S2721">
        <f t="shared" si="87"/>
        <v>0</v>
      </c>
    </row>
    <row r="2722" spans="1:19" x14ac:dyDescent="0.25">
      <c r="A2722" t="s">
        <v>3856</v>
      </c>
      <c r="B2722" t="s">
        <v>4028</v>
      </c>
      <c r="C2722">
        <v>0.25</v>
      </c>
      <c r="D2722">
        <v>440</v>
      </c>
      <c r="E2722">
        <v>0</v>
      </c>
      <c r="F2722">
        <v>3</v>
      </c>
      <c r="G2722">
        <v>3</v>
      </c>
      <c r="H2722" t="s">
        <v>3631</v>
      </c>
      <c r="I2722" s="1">
        <v>37343</v>
      </c>
      <c r="J2722" s="1">
        <v>37379</v>
      </c>
      <c r="K2722" t="s">
        <v>1124</v>
      </c>
      <c r="L2722" t="s">
        <v>1124</v>
      </c>
      <c r="M2722" t="s">
        <v>1124</v>
      </c>
      <c r="N2722" s="1">
        <v>37367</v>
      </c>
      <c r="O2722" t="s">
        <v>1117</v>
      </c>
      <c r="P2722">
        <v>1</v>
      </c>
      <c r="Q2722" t="s">
        <v>3632</v>
      </c>
      <c r="R2722">
        <f t="shared" si="86"/>
        <v>17</v>
      </c>
      <c r="S2722">
        <f t="shared" si="87"/>
        <v>0</v>
      </c>
    </row>
    <row r="2723" spans="1:19" x14ac:dyDescent="0.25">
      <c r="A2723" t="s">
        <v>3857</v>
      </c>
      <c r="B2723" t="s">
        <v>4028</v>
      </c>
      <c r="C2723">
        <v>0.6</v>
      </c>
      <c r="D2723">
        <v>158</v>
      </c>
      <c r="E2723">
        <v>0</v>
      </c>
      <c r="F2723">
        <v>6</v>
      </c>
      <c r="G2723">
        <v>6</v>
      </c>
      <c r="H2723" t="s">
        <v>3631</v>
      </c>
      <c r="I2723" s="1">
        <v>37110</v>
      </c>
      <c r="J2723" s="1">
        <v>37340</v>
      </c>
      <c r="K2723" s="1">
        <v>37340</v>
      </c>
      <c r="L2723" s="1">
        <v>37340</v>
      </c>
      <c r="M2723" s="1">
        <v>37340</v>
      </c>
      <c r="N2723" s="1">
        <v>37340</v>
      </c>
      <c r="O2723" t="s">
        <v>1114</v>
      </c>
      <c r="P2723">
        <v>2</v>
      </c>
      <c r="Q2723" t="s">
        <v>3632</v>
      </c>
      <c r="R2723">
        <f t="shared" si="86"/>
        <v>13</v>
      </c>
      <c r="S2723">
        <f t="shared" si="87"/>
        <v>1</v>
      </c>
    </row>
    <row r="2724" spans="1:19" x14ac:dyDescent="0.25">
      <c r="A2724" t="s">
        <v>3858</v>
      </c>
      <c r="B2724" t="s">
        <v>1199</v>
      </c>
      <c r="C2724">
        <v>0.25</v>
      </c>
      <c r="D2724">
        <v>220</v>
      </c>
      <c r="E2724">
        <v>0</v>
      </c>
      <c r="F2724">
        <v>2</v>
      </c>
      <c r="G2724">
        <v>2</v>
      </c>
      <c r="H2724" t="s">
        <v>3631</v>
      </c>
      <c r="I2724" s="1">
        <v>37159</v>
      </c>
      <c r="J2724" s="1">
        <v>37339</v>
      </c>
      <c r="K2724" s="1">
        <v>37347</v>
      </c>
      <c r="L2724" s="1">
        <v>37347</v>
      </c>
      <c r="M2724" s="1">
        <v>37347</v>
      </c>
      <c r="N2724" s="1">
        <v>37347</v>
      </c>
      <c r="O2724" t="s">
        <v>1117</v>
      </c>
      <c r="P2724">
        <v>6</v>
      </c>
      <c r="Q2724" t="s">
        <v>3632</v>
      </c>
      <c r="R2724">
        <f t="shared" si="86"/>
        <v>14</v>
      </c>
      <c r="S2724">
        <f t="shared" si="87"/>
        <v>1</v>
      </c>
    </row>
    <row r="2725" spans="1:19" x14ac:dyDescent="0.25">
      <c r="A2725" t="s">
        <v>3859</v>
      </c>
      <c r="B2725" t="s">
        <v>4027</v>
      </c>
      <c r="C2725">
        <v>0.25</v>
      </c>
      <c r="D2725">
        <v>306</v>
      </c>
      <c r="E2725">
        <v>0</v>
      </c>
      <c r="F2725">
        <v>10</v>
      </c>
      <c r="G2725">
        <v>3.698</v>
      </c>
      <c r="H2725" t="s">
        <v>3631</v>
      </c>
      <c r="I2725" s="1">
        <v>37159</v>
      </c>
      <c r="J2725" s="1">
        <v>37339</v>
      </c>
      <c r="K2725" s="1">
        <v>37370</v>
      </c>
      <c r="L2725" s="1">
        <v>37370</v>
      </c>
      <c r="M2725" s="1">
        <v>37360</v>
      </c>
      <c r="N2725" s="1">
        <v>37360</v>
      </c>
      <c r="O2725" t="s">
        <v>1117</v>
      </c>
      <c r="P2725">
        <v>1</v>
      </c>
      <c r="Q2725" t="s">
        <v>3632</v>
      </c>
      <c r="R2725">
        <f t="shared" si="86"/>
        <v>16</v>
      </c>
      <c r="S2725">
        <f t="shared" si="87"/>
        <v>0</v>
      </c>
    </row>
    <row r="2726" spans="1:19" x14ac:dyDescent="0.25">
      <c r="A2726" t="s">
        <v>3860</v>
      </c>
      <c r="B2726" t="s">
        <v>1199</v>
      </c>
      <c r="C2726">
        <v>0.4</v>
      </c>
      <c r="D2726">
        <v>88</v>
      </c>
      <c r="E2726">
        <v>0</v>
      </c>
      <c r="F2726">
        <v>3</v>
      </c>
      <c r="G2726">
        <v>3</v>
      </c>
      <c r="H2726" t="s">
        <v>3631</v>
      </c>
      <c r="I2726" s="1">
        <v>37131</v>
      </c>
      <c r="J2726" s="1">
        <v>37341</v>
      </c>
      <c r="K2726" s="1">
        <v>37350</v>
      </c>
      <c r="L2726" s="1">
        <v>37350</v>
      </c>
      <c r="M2726" s="1">
        <v>37348</v>
      </c>
      <c r="N2726" s="1">
        <v>37348</v>
      </c>
      <c r="O2726" t="s">
        <v>1117</v>
      </c>
      <c r="P2726">
        <v>3</v>
      </c>
      <c r="Q2726" t="s">
        <v>3632</v>
      </c>
      <c r="R2726">
        <f t="shared" si="86"/>
        <v>14</v>
      </c>
      <c r="S2726">
        <f t="shared" si="87"/>
        <v>1</v>
      </c>
    </row>
    <row r="2727" spans="1:19" x14ac:dyDescent="0.25">
      <c r="A2727" t="s">
        <v>3861</v>
      </c>
      <c r="B2727" t="s">
        <v>1199</v>
      </c>
      <c r="C2727">
        <v>0.22</v>
      </c>
      <c r="D2727">
        <v>100</v>
      </c>
      <c r="E2727">
        <v>0</v>
      </c>
      <c r="F2727">
        <v>3</v>
      </c>
      <c r="G2727">
        <v>3</v>
      </c>
      <c r="H2727" t="s">
        <v>3631</v>
      </c>
      <c r="I2727" s="1">
        <v>37192</v>
      </c>
      <c r="J2727" s="1">
        <v>37342</v>
      </c>
      <c r="K2727" s="1">
        <v>37366</v>
      </c>
      <c r="L2727" s="1">
        <v>37366</v>
      </c>
      <c r="M2727" s="1">
        <v>37359</v>
      </c>
      <c r="N2727" s="1">
        <v>37369</v>
      </c>
      <c r="O2727" t="s">
        <v>1117</v>
      </c>
      <c r="P2727">
        <v>2</v>
      </c>
      <c r="Q2727" t="s">
        <v>3632</v>
      </c>
      <c r="R2727">
        <f t="shared" si="86"/>
        <v>17</v>
      </c>
      <c r="S2727">
        <f t="shared" si="87"/>
        <v>1</v>
      </c>
    </row>
    <row r="2728" spans="1:19" x14ac:dyDescent="0.25">
      <c r="A2728" t="s">
        <v>3862</v>
      </c>
      <c r="B2728" t="s">
        <v>4028</v>
      </c>
      <c r="C2728">
        <v>0.2</v>
      </c>
      <c r="D2728">
        <v>204</v>
      </c>
      <c r="E2728">
        <v>0</v>
      </c>
      <c r="F2728">
        <v>2</v>
      </c>
      <c r="G2728">
        <v>2</v>
      </c>
      <c r="H2728" t="s">
        <v>3631</v>
      </c>
      <c r="I2728" s="1">
        <v>37134</v>
      </c>
      <c r="J2728" s="1">
        <v>37341</v>
      </c>
      <c r="K2728" s="1">
        <v>37371</v>
      </c>
      <c r="L2728" s="1">
        <v>37371</v>
      </c>
      <c r="M2728" s="1">
        <v>37362</v>
      </c>
      <c r="N2728" s="1">
        <v>37362</v>
      </c>
      <c r="O2728" t="s">
        <v>1117</v>
      </c>
      <c r="P2728">
        <v>9</v>
      </c>
      <c r="Q2728" t="s">
        <v>3632</v>
      </c>
      <c r="R2728">
        <f t="shared" si="86"/>
        <v>16</v>
      </c>
      <c r="S2728">
        <f t="shared" si="87"/>
        <v>1</v>
      </c>
    </row>
    <row r="2729" spans="1:19" x14ac:dyDescent="0.25">
      <c r="A2729" t="s">
        <v>3863</v>
      </c>
      <c r="B2729" t="s">
        <v>4028</v>
      </c>
      <c r="C2729">
        <v>0.5</v>
      </c>
      <c r="D2729">
        <v>158</v>
      </c>
      <c r="E2729">
        <v>0</v>
      </c>
      <c r="F2729">
        <v>5</v>
      </c>
      <c r="G2729">
        <v>5</v>
      </c>
      <c r="H2729" t="s">
        <v>3631</v>
      </c>
      <c r="I2729" s="1">
        <v>37110</v>
      </c>
      <c r="J2729" s="1">
        <v>37340</v>
      </c>
      <c r="K2729" s="1">
        <v>37367</v>
      </c>
      <c r="L2729" s="1">
        <v>37367</v>
      </c>
      <c r="M2729" s="1">
        <v>37360</v>
      </c>
      <c r="N2729" s="1">
        <v>37360</v>
      </c>
      <c r="O2729" t="s">
        <v>1117</v>
      </c>
      <c r="P2729">
        <v>1</v>
      </c>
      <c r="Q2729" t="s">
        <v>3632</v>
      </c>
      <c r="R2729">
        <f t="shared" si="86"/>
        <v>16</v>
      </c>
      <c r="S2729">
        <f t="shared" si="87"/>
        <v>1</v>
      </c>
    </row>
    <row r="2730" spans="1:19" x14ac:dyDescent="0.25">
      <c r="A2730" t="s">
        <v>3864</v>
      </c>
      <c r="B2730" t="s">
        <v>4028</v>
      </c>
      <c r="C2730">
        <v>0.22</v>
      </c>
      <c r="D2730">
        <v>100</v>
      </c>
      <c r="E2730">
        <v>0</v>
      </c>
      <c r="F2730">
        <v>3</v>
      </c>
      <c r="G2730">
        <v>3</v>
      </c>
      <c r="H2730" t="s">
        <v>3631</v>
      </c>
      <c r="I2730" s="1">
        <v>37192</v>
      </c>
      <c r="J2730" s="1">
        <v>37342</v>
      </c>
      <c r="K2730" s="1">
        <v>37383</v>
      </c>
      <c r="L2730" s="1">
        <v>37383</v>
      </c>
      <c r="M2730" s="1">
        <v>37363</v>
      </c>
      <c r="N2730" s="1">
        <v>37363</v>
      </c>
      <c r="O2730" t="s">
        <v>1117</v>
      </c>
      <c r="P2730">
        <v>2</v>
      </c>
      <c r="Q2730" t="s">
        <v>3632</v>
      </c>
      <c r="R2730">
        <f t="shared" si="86"/>
        <v>16</v>
      </c>
      <c r="S2730">
        <f t="shared" si="87"/>
        <v>1</v>
      </c>
    </row>
    <row r="2731" spans="1:19" x14ac:dyDescent="0.25">
      <c r="A2731" t="s">
        <v>3865</v>
      </c>
      <c r="B2731" t="s">
        <v>3631</v>
      </c>
      <c r="C2731">
        <v>0.2</v>
      </c>
      <c r="D2731">
        <v>100</v>
      </c>
      <c r="E2731">
        <v>0</v>
      </c>
      <c r="F2731">
        <v>2</v>
      </c>
      <c r="G2731">
        <v>2</v>
      </c>
      <c r="H2731" t="s">
        <v>3631</v>
      </c>
      <c r="I2731" s="1">
        <v>37192</v>
      </c>
      <c r="J2731" s="1">
        <v>37341</v>
      </c>
      <c r="K2731" t="s">
        <v>1124</v>
      </c>
      <c r="L2731" t="s">
        <v>1124</v>
      </c>
      <c r="M2731" s="1">
        <v>37362</v>
      </c>
      <c r="N2731" s="1">
        <v>37362</v>
      </c>
      <c r="O2731" t="s">
        <v>1117</v>
      </c>
      <c r="P2731">
        <v>1</v>
      </c>
      <c r="Q2731" t="s">
        <v>3632</v>
      </c>
      <c r="R2731">
        <f t="shared" si="86"/>
        <v>16</v>
      </c>
      <c r="S2731">
        <f t="shared" si="87"/>
        <v>1</v>
      </c>
    </row>
    <row r="2732" spans="1:19" x14ac:dyDescent="0.25">
      <c r="A2732" t="s">
        <v>3866</v>
      </c>
      <c r="B2732" t="s">
        <v>4026</v>
      </c>
      <c r="C2732">
        <v>0.25</v>
      </c>
      <c r="D2732">
        <v>395</v>
      </c>
      <c r="E2732">
        <v>0</v>
      </c>
      <c r="F2732">
        <v>4</v>
      </c>
      <c r="G2732">
        <v>4</v>
      </c>
      <c r="H2732" t="s">
        <v>3631</v>
      </c>
      <c r="I2732" s="1">
        <v>37343</v>
      </c>
      <c r="J2732" s="1">
        <v>37379</v>
      </c>
      <c r="K2732" t="s">
        <v>1124</v>
      </c>
      <c r="L2732" t="s">
        <v>1124</v>
      </c>
      <c r="M2732" t="s">
        <v>1124</v>
      </c>
      <c r="N2732" s="1">
        <v>37367</v>
      </c>
      <c r="O2732" t="s">
        <v>1117</v>
      </c>
      <c r="P2732">
        <v>1</v>
      </c>
      <c r="Q2732" t="s">
        <v>3632</v>
      </c>
      <c r="R2732">
        <f t="shared" si="86"/>
        <v>17</v>
      </c>
      <c r="S2732">
        <f t="shared" si="87"/>
        <v>0</v>
      </c>
    </row>
    <row r="2733" spans="1:19" x14ac:dyDescent="0.25">
      <c r="A2733" t="s">
        <v>3867</v>
      </c>
      <c r="B2733" t="s">
        <v>1199</v>
      </c>
      <c r="C2733">
        <v>0.2</v>
      </c>
      <c r="D2733">
        <v>100</v>
      </c>
      <c r="E2733">
        <v>0</v>
      </c>
      <c r="F2733">
        <v>2</v>
      </c>
      <c r="G2733">
        <v>2</v>
      </c>
      <c r="H2733" t="s">
        <v>3631</v>
      </c>
      <c r="I2733" s="1">
        <v>37192</v>
      </c>
      <c r="J2733" s="1">
        <v>37341</v>
      </c>
      <c r="K2733" t="s">
        <v>1124</v>
      </c>
      <c r="L2733" t="s">
        <v>1124</v>
      </c>
      <c r="M2733" s="1">
        <v>37362</v>
      </c>
      <c r="N2733" s="1">
        <v>37362</v>
      </c>
      <c r="O2733" t="s">
        <v>1117</v>
      </c>
      <c r="P2733">
        <v>1</v>
      </c>
      <c r="Q2733" t="s">
        <v>3632</v>
      </c>
      <c r="R2733">
        <f t="shared" si="86"/>
        <v>16</v>
      </c>
      <c r="S2733">
        <f t="shared" si="87"/>
        <v>1</v>
      </c>
    </row>
    <row r="2734" spans="1:19" x14ac:dyDescent="0.25">
      <c r="A2734" t="s">
        <v>3868</v>
      </c>
      <c r="B2734" t="s">
        <v>1199</v>
      </c>
      <c r="C2734">
        <v>0.22</v>
      </c>
      <c r="D2734">
        <v>100</v>
      </c>
      <c r="E2734">
        <v>0</v>
      </c>
      <c r="F2734">
        <v>3</v>
      </c>
      <c r="G2734">
        <v>3</v>
      </c>
      <c r="H2734" t="s">
        <v>3631</v>
      </c>
      <c r="I2734" s="1">
        <v>37192</v>
      </c>
      <c r="J2734" s="1">
        <v>37342</v>
      </c>
      <c r="K2734" s="1">
        <v>37370</v>
      </c>
      <c r="L2734" s="1">
        <v>37370</v>
      </c>
      <c r="M2734" s="1">
        <v>37363</v>
      </c>
      <c r="N2734" s="1">
        <v>37363</v>
      </c>
      <c r="O2734" t="s">
        <v>1117</v>
      </c>
      <c r="P2734">
        <v>2</v>
      </c>
      <c r="Q2734" t="s">
        <v>3632</v>
      </c>
      <c r="R2734">
        <f t="shared" si="86"/>
        <v>16</v>
      </c>
      <c r="S2734">
        <f t="shared" si="87"/>
        <v>1</v>
      </c>
    </row>
    <row r="2735" spans="1:19" x14ac:dyDescent="0.25">
      <c r="A2735" t="s">
        <v>3869</v>
      </c>
      <c r="B2735" t="s">
        <v>4028</v>
      </c>
      <c r="C2735">
        <v>0.3</v>
      </c>
      <c r="D2735">
        <v>158</v>
      </c>
      <c r="E2735">
        <v>0</v>
      </c>
      <c r="F2735">
        <v>10</v>
      </c>
      <c r="G2735">
        <v>10</v>
      </c>
      <c r="H2735" t="s">
        <v>3631</v>
      </c>
      <c r="I2735" s="1">
        <v>37131</v>
      </c>
      <c r="J2735" s="1">
        <v>37341</v>
      </c>
      <c r="K2735" s="1">
        <v>37383</v>
      </c>
      <c r="L2735" s="1">
        <v>37383</v>
      </c>
      <c r="M2735" s="1">
        <v>37348</v>
      </c>
      <c r="N2735" s="1">
        <v>37349</v>
      </c>
      <c r="O2735" t="s">
        <v>1117</v>
      </c>
      <c r="P2735">
        <v>1</v>
      </c>
      <c r="Q2735" t="s">
        <v>3632</v>
      </c>
      <c r="R2735">
        <f t="shared" si="86"/>
        <v>14</v>
      </c>
      <c r="S2735">
        <f t="shared" si="87"/>
        <v>1</v>
      </c>
    </row>
    <row r="2736" spans="1:19" x14ac:dyDescent="0.25">
      <c r="A2736" t="s">
        <v>3870</v>
      </c>
      <c r="B2736" t="s">
        <v>4026</v>
      </c>
      <c r="C2736">
        <v>0.2</v>
      </c>
      <c r="D2736">
        <v>100</v>
      </c>
      <c r="E2736">
        <v>0</v>
      </c>
      <c r="F2736">
        <v>2</v>
      </c>
      <c r="G2736">
        <v>2</v>
      </c>
      <c r="H2736" t="s">
        <v>3631</v>
      </c>
      <c r="I2736" s="1">
        <v>37192</v>
      </c>
      <c r="J2736" s="1">
        <v>37342</v>
      </c>
      <c r="K2736" s="1">
        <v>37370</v>
      </c>
      <c r="L2736" s="1">
        <v>37370</v>
      </c>
      <c r="M2736" s="1">
        <v>37363</v>
      </c>
      <c r="N2736" s="1">
        <v>37370</v>
      </c>
      <c r="O2736" t="s">
        <v>1117</v>
      </c>
      <c r="P2736">
        <v>1</v>
      </c>
      <c r="Q2736" t="s">
        <v>3632</v>
      </c>
      <c r="R2736">
        <f t="shared" si="86"/>
        <v>17</v>
      </c>
      <c r="S2736">
        <f t="shared" si="87"/>
        <v>1</v>
      </c>
    </row>
    <row r="2737" spans="1:19" x14ac:dyDescent="0.25">
      <c r="A2737" t="s">
        <v>3871</v>
      </c>
      <c r="B2737" t="s">
        <v>1199</v>
      </c>
      <c r="C2737">
        <v>0.28000000000000003</v>
      </c>
      <c r="D2737">
        <v>100</v>
      </c>
      <c r="E2737">
        <v>0</v>
      </c>
      <c r="F2737">
        <v>2</v>
      </c>
      <c r="G2737">
        <v>2</v>
      </c>
      <c r="H2737" t="s">
        <v>3631</v>
      </c>
      <c r="I2737" s="1">
        <v>37192</v>
      </c>
      <c r="J2737" s="1">
        <v>37341</v>
      </c>
      <c r="K2737" s="1">
        <v>37356</v>
      </c>
      <c r="L2737" s="1">
        <v>37356</v>
      </c>
      <c r="M2737" s="1">
        <v>37356</v>
      </c>
      <c r="N2737" s="1">
        <v>37363</v>
      </c>
      <c r="O2737" t="s">
        <v>1117</v>
      </c>
      <c r="P2737">
        <v>3</v>
      </c>
      <c r="Q2737" t="s">
        <v>3632</v>
      </c>
      <c r="R2737">
        <f t="shared" si="86"/>
        <v>16</v>
      </c>
      <c r="S2737">
        <f t="shared" si="87"/>
        <v>1</v>
      </c>
    </row>
    <row r="2738" spans="1:19" x14ac:dyDescent="0.25">
      <c r="A2738" t="s">
        <v>3872</v>
      </c>
      <c r="B2738" t="s">
        <v>1199</v>
      </c>
      <c r="C2738">
        <v>0.25</v>
      </c>
      <c r="D2738">
        <v>440</v>
      </c>
      <c r="E2738">
        <v>0</v>
      </c>
      <c r="F2738">
        <v>3</v>
      </c>
      <c r="G2738">
        <v>3</v>
      </c>
      <c r="H2738" t="s">
        <v>3631</v>
      </c>
      <c r="I2738" s="1">
        <v>37335</v>
      </c>
      <c r="J2738" s="1">
        <v>37367</v>
      </c>
      <c r="K2738" t="s">
        <v>1124</v>
      </c>
      <c r="L2738" t="s">
        <v>1124</v>
      </c>
      <c r="M2738" s="1">
        <v>37367</v>
      </c>
      <c r="N2738" s="1">
        <v>37367</v>
      </c>
      <c r="O2738" t="s">
        <v>1117</v>
      </c>
      <c r="P2738">
        <v>1</v>
      </c>
      <c r="Q2738" t="s">
        <v>3632</v>
      </c>
      <c r="R2738">
        <f t="shared" si="86"/>
        <v>17</v>
      </c>
      <c r="S2738">
        <f t="shared" si="87"/>
        <v>1</v>
      </c>
    </row>
    <row r="2739" spans="1:19" x14ac:dyDescent="0.25">
      <c r="A2739" t="s">
        <v>3873</v>
      </c>
      <c r="B2739" t="s">
        <v>1199</v>
      </c>
      <c r="C2739">
        <v>0.28000000000000003</v>
      </c>
      <c r="D2739">
        <v>100</v>
      </c>
      <c r="E2739">
        <v>0</v>
      </c>
      <c r="F2739">
        <v>2</v>
      </c>
      <c r="G2739">
        <v>2</v>
      </c>
      <c r="H2739" t="s">
        <v>3631</v>
      </c>
      <c r="I2739" s="1">
        <v>37192</v>
      </c>
      <c r="J2739" s="1">
        <v>37342</v>
      </c>
      <c r="K2739" s="1">
        <v>37383</v>
      </c>
      <c r="L2739" s="1">
        <v>37383</v>
      </c>
      <c r="M2739" s="1">
        <v>37349</v>
      </c>
      <c r="N2739" s="1">
        <v>37355</v>
      </c>
      <c r="O2739" t="s">
        <v>1117</v>
      </c>
      <c r="P2739">
        <v>3</v>
      </c>
      <c r="Q2739" t="s">
        <v>3632</v>
      </c>
      <c r="R2739">
        <f t="shared" si="86"/>
        <v>15</v>
      </c>
      <c r="S2739">
        <f t="shared" si="87"/>
        <v>1</v>
      </c>
    </row>
    <row r="2740" spans="1:19" x14ac:dyDescent="0.25">
      <c r="A2740" t="s">
        <v>3874</v>
      </c>
      <c r="B2740" t="s">
        <v>1199</v>
      </c>
      <c r="C2740">
        <v>0.34</v>
      </c>
      <c r="D2740">
        <v>100</v>
      </c>
      <c r="E2740">
        <v>0</v>
      </c>
      <c r="F2740">
        <v>2</v>
      </c>
      <c r="G2740">
        <v>2</v>
      </c>
      <c r="H2740" t="s">
        <v>3631</v>
      </c>
      <c r="I2740" s="1">
        <v>37111</v>
      </c>
      <c r="J2740" s="1">
        <v>37340</v>
      </c>
      <c r="K2740" s="1">
        <v>37368</v>
      </c>
      <c r="L2740" s="1">
        <v>37368</v>
      </c>
      <c r="M2740" s="1">
        <v>37361</v>
      </c>
      <c r="N2740" s="1">
        <v>37361</v>
      </c>
      <c r="O2740" t="s">
        <v>1117</v>
      </c>
      <c r="P2740">
        <v>2</v>
      </c>
      <c r="Q2740" t="s">
        <v>3632</v>
      </c>
      <c r="R2740">
        <f t="shared" si="86"/>
        <v>16</v>
      </c>
      <c r="S2740">
        <f t="shared" si="87"/>
        <v>1</v>
      </c>
    </row>
    <row r="2741" spans="1:19" x14ac:dyDescent="0.25">
      <c r="A2741" t="s">
        <v>3875</v>
      </c>
      <c r="B2741" t="s">
        <v>4027</v>
      </c>
      <c r="C2741">
        <v>0.26</v>
      </c>
      <c r="D2741">
        <v>100</v>
      </c>
      <c r="E2741">
        <v>0</v>
      </c>
      <c r="F2741">
        <v>2.5</v>
      </c>
      <c r="G2741">
        <v>2.5</v>
      </c>
      <c r="H2741" t="s">
        <v>3631</v>
      </c>
      <c r="I2741" s="1">
        <v>37111</v>
      </c>
      <c r="J2741" s="1">
        <v>37340</v>
      </c>
      <c r="K2741" s="1">
        <v>37370</v>
      </c>
      <c r="L2741" s="1">
        <v>37370</v>
      </c>
      <c r="M2741" s="1">
        <v>37362</v>
      </c>
      <c r="N2741" s="1">
        <v>37362</v>
      </c>
      <c r="O2741" t="s">
        <v>1117</v>
      </c>
      <c r="P2741">
        <v>1</v>
      </c>
      <c r="Q2741" t="s">
        <v>3632</v>
      </c>
      <c r="R2741">
        <f t="shared" si="86"/>
        <v>16</v>
      </c>
      <c r="S2741">
        <f t="shared" si="87"/>
        <v>1</v>
      </c>
    </row>
    <row r="2742" spans="1:19" x14ac:dyDescent="0.25">
      <c r="A2742" t="s">
        <v>3876</v>
      </c>
      <c r="B2742" t="s">
        <v>1199</v>
      </c>
      <c r="C2742">
        <v>0.2</v>
      </c>
      <c r="D2742">
        <v>100</v>
      </c>
      <c r="E2742">
        <v>0</v>
      </c>
      <c r="F2742">
        <v>2</v>
      </c>
      <c r="G2742">
        <v>2</v>
      </c>
      <c r="H2742" t="s">
        <v>3631</v>
      </c>
      <c r="I2742" s="1">
        <v>37192</v>
      </c>
      <c r="J2742" s="1">
        <v>37341</v>
      </c>
      <c r="K2742" s="1">
        <v>37366</v>
      </c>
      <c r="L2742" s="1">
        <v>37366</v>
      </c>
      <c r="M2742" s="1">
        <v>37359</v>
      </c>
      <c r="N2742" s="1">
        <v>37362</v>
      </c>
      <c r="O2742" t="s">
        <v>1117</v>
      </c>
      <c r="P2742">
        <v>1</v>
      </c>
      <c r="Q2742" t="s">
        <v>3632</v>
      </c>
      <c r="R2742">
        <f t="shared" si="86"/>
        <v>16</v>
      </c>
      <c r="S2742">
        <f t="shared" si="87"/>
        <v>1</v>
      </c>
    </row>
    <row r="2743" spans="1:19" x14ac:dyDescent="0.25">
      <c r="A2743" t="s">
        <v>3877</v>
      </c>
      <c r="B2743" t="s">
        <v>1199</v>
      </c>
      <c r="C2743">
        <v>0.28000000000000003</v>
      </c>
      <c r="D2743">
        <v>100</v>
      </c>
      <c r="E2743">
        <v>0</v>
      </c>
      <c r="F2743">
        <v>2</v>
      </c>
      <c r="G2743">
        <v>2</v>
      </c>
      <c r="H2743" t="s">
        <v>3631</v>
      </c>
      <c r="I2743" s="1">
        <v>37192</v>
      </c>
      <c r="J2743" s="1">
        <v>37342</v>
      </c>
      <c r="K2743" t="s">
        <v>1124</v>
      </c>
      <c r="L2743" t="s">
        <v>1124</v>
      </c>
      <c r="M2743" s="1">
        <v>37355</v>
      </c>
      <c r="N2743" s="1">
        <v>37355</v>
      </c>
      <c r="O2743" t="s">
        <v>1117</v>
      </c>
      <c r="P2743">
        <v>3</v>
      </c>
      <c r="Q2743" t="s">
        <v>3632</v>
      </c>
      <c r="R2743">
        <f t="shared" si="86"/>
        <v>15</v>
      </c>
      <c r="S2743">
        <f t="shared" si="87"/>
        <v>1</v>
      </c>
    </row>
    <row r="2744" spans="1:19" x14ac:dyDescent="0.25">
      <c r="A2744" t="s">
        <v>3878</v>
      </c>
      <c r="B2744" t="s">
        <v>4028</v>
      </c>
      <c r="C2744">
        <v>0.5</v>
      </c>
      <c r="D2744">
        <v>158</v>
      </c>
      <c r="E2744">
        <v>0</v>
      </c>
      <c r="F2744">
        <v>4</v>
      </c>
      <c r="G2744">
        <v>4</v>
      </c>
      <c r="H2744" t="s">
        <v>3631</v>
      </c>
      <c r="I2744" s="1">
        <v>37110</v>
      </c>
      <c r="J2744" s="1">
        <v>37340</v>
      </c>
      <c r="K2744" s="1">
        <v>37347</v>
      </c>
      <c r="L2744" s="1">
        <v>37347</v>
      </c>
      <c r="M2744" s="1">
        <v>37347</v>
      </c>
      <c r="N2744" s="1">
        <v>37360</v>
      </c>
      <c r="O2744" t="s">
        <v>1117</v>
      </c>
      <c r="P2744">
        <v>3</v>
      </c>
      <c r="Q2744" t="s">
        <v>3632</v>
      </c>
      <c r="R2744">
        <f t="shared" si="86"/>
        <v>16</v>
      </c>
      <c r="S2744">
        <f t="shared" si="87"/>
        <v>1</v>
      </c>
    </row>
    <row r="2745" spans="1:19" x14ac:dyDescent="0.25">
      <c r="A2745" t="s">
        <v>3879</v>
      </c>
      <c r="B2745" t="s">
        <v>4026</v>
      </c>
      <c r="C2745">
        <v>0.3</v>
      </c>
      <c r="D2745">
        <v>158</v>
      </c>
      <c r="E2745">
        <v>0</v>
      </c>
      <c r="F2745">
        <v>4</v>
      </c>
      <c r="G2745">
        <v>4</v>
      </c>
      <c r="H2745" t="s">
        <v>3631</v>
      </c>
      <c r="I2745" s="1">
        <v>37131</v>
      </c>
      <c r="J2745" s="1">
        <v>37315</v>
      </c>
      <c r="K2745" t="s">
        <v>1124</v>
      </c>
      <c r="L2745" t="s">
        <v>1124</v>
      </c>
      <c r="M2745" s="1">
        <v>37337</v>
      </c>
      <c r="N2745" s="1">
        <v>37349</v>
      </c>
      <c r="O2745" t="s">
        <v>1117</v>
      </c>
      <c r="P2745">
        <v>2</v>
      </c>
      <c r="Q2745" t="s">
        <v>3632</v>
      </c>
      <c r="R2745">
        <f t="shared" si="86"/>
        <v>14</v>
      </c>
      <c r="S2745">
        <f t="shared" si="87"/>
        <v>1</v>
      </c>
    </row>
    <row r="2746" spans="1:19" x14ac:dyDescent="0.25">
      <c r="A2746" t="s">
        <v>3880</v>
      </c>
      <c r="B2746" t="s">
        <v>4028</v>
      </c>
      <c r="C2746">
        <v>0.6</v>
      </c>
      <c r="D2746">
        <v>104</v>
      </c>
      <c r="E2746">
        <v>0</v>
      </c>
      <c r="F2746">
        <v>4</v>
      </c>
      <c r="G2746">
        <v>4</v>
      </c>
      <c r="H2746" t="s">
        <v>3631</v>
      </c>
      <c r="I2746" s="1">
        <v>37110</v>
      </c>
      <c r="J2746" s="1">
        <v>37339</v>
      </c>
      <c r="K2746" s="1">
        <v>37348</v>
      </c>
      <c r="L2746" s="1">
        <v>37348</v>
      </c>
      <c r="M2746" s="1">
        <v>37348</v>
      </c>
      <c r="N2746" s="1">
        <v>37348</v>
      </c>
      <c r="O2746" t="s">
        <v>1117</v>
      </c>
      <c r="P2746">
        <v>2</v>
      </c>
      <c r="Q2746" t="s">
        <v>3632</v>
      </c>
      <c r="R2746">
        <f t="shared" si="86"/>
        <v>14</v>
      </c>
      <c r="S2746">
        <f t="shared" si="87"/>
        <v>1</v>
      </c>
    </row>
    <row r="2747" spans="1:19" x14ac:dyDescent="0.25">
      <c r="A2747" t="s">
        <v>3881</v>
      </c>
      <c r="B2747" t="s">
        <v>4028</v>
      </c>
      <c r="C2747">
        <v>0.5</v>
      </c>
      <c r="D2747">
        <v>60</v>
      </c>
      <c r="E2747">
        <v>0</v>
      </c>
      <c r="F2747">
        <v>5.45</v>
      </c>
      <c r="G2747">
        <v>5.45</v>
      </c>
      <c r="H2747" t="s">
        <v>3631</v>
      </c>
      <c r="I2747" s="1">
        <v>37159</v>
      </c>
      <c r="J2747" s="1">
        <v>37339</v>
      </c>
      <c r="K2747" s="1">
        <v>37354</v>
      </c>
      <c r="L2747" s="1">
        <v>37354</v>
      </c>
      <c r="M2747" s="1">
        <v>37354</v>
      </c>
      <c r="N2747" s="1">
        <v>37354</v>
      </c>
      <c r="O2747" t="s">
        <v>1117</v>
      </c>
      <c r="P2747">
        <v>8</v>
      </c>
      <c r="Q2747" t="s">
        <v>3632</v>
      </c>
      <c r="R2747">
        <f t="shared" si="86"/>
        <v>15</v>
      </c>
      <c r="S2747">
        <f t="shared" si="87"/>
        <v>1</v>
      </c>
    </row>
    <row r="2748" spans="1:19" x14ac:dyDescent="0.25">
      <c r="A2748" t="s">
        <v>3882</v>
      </c>
      <c r="B2748" t="s">
        <v>3631</v>
      </c>
      <c r="C2748">
        <v>0.2</v>
      </c>
      <c r="D2748">
        <v>100</v>
      </c>
      <c r="E2748">
        <v>0</v>
      </c>
      <c r="F2748">
        <v>3</v>
      </c>
      <c r="G2748">
        <v>3</v>
      </c>
      <c r="H2748" t="s">
        <v>3631</v>
      </c>
      <c r="I2748" s="1">
        <v>37131</v>
      </c>
      <c r="J2748" s="1">
        <v>37341</v>
      </c>
      <c r="K2748" s="1">
        <v>37369</v>
      </c>
      <c r="L2748" s="1">
        <v>37369</v>
      </c>
      <c r="M2748" s="1">
        <v>37362</v>
      </c>
      <c r="N2748" s="1">
        <v>37362</v>
      </c>
      <c r="O2748" t="s">
        <v>1117</v>
      </c>
      <c r="P2748">
        <v>1</v>
      </c>
      <c r="Q2748" t="s">
        <v>3632</v>
      </c>
      <c r="R2748">
        <f t="shared" si="86"/>
        <v>16</v>
      </c>
      <c r="S2748">
        <f t="shared" si="87"/>
        <v>1</v>
      </c>
    </row>
    <row r="2749" spans="1:19" x14ac:dyDescent="0.25">
      <c r="A2749" t="s">
        <v>3883</v>
      </c>
      <c r="B2749" t="s">
        <v>1199</v>
      </c>
      <c r="C2749">
        <v>0.5</v>
      </c>
      <c r="D2749">
        <v>90</v>
      </c>
      <c r="E2749">
        <v>0</v>
      </c>
      <c r="F2749">
        <v>25.5</v>
      </c>
      <c r="G2749">
        <v>25.084</v>
      </c>
      <c r="H2749" t="s">
        <v>3631</v>
      </c>
      <c r="I2749" s="1">
        <v>37159</v>
      </c>
      <c r="J2749" s="1">
        <v>37339</v>
      </c>
      <c r="K2749" s="1">
        <v>37354</v>
      </c>
      <c r="L2749" s="1">
        <v>37354</v>
      </c>
      <c r="M2749" s="1">
        <v>37354</v>
      </c>
      <c r="N2749" s="1">
        <v>37361</v>
      </c>
      <c r="O2749" t="s">
        <v>1117</v>
      </c>
      <c r="P2749">
        <v>7</v>
      </c>
      <c r="Q2749" t="s">
        <v>3632</v>
      </c>
      <c r="R2749">
        <f t="shared" si="86"/>
        <v>16</v>
      </c>
      <c r="S2749">
        <f t="shared" si="87"/>
        <v>0</v>
      </c>
    </row>
    <row r="2750" spans="1:19" x14ac:dyDescent="0.25">
      <c r="A2750" t="s">
        <v>3884</v>
      </c>
      <c r="B2750" t="s">
        <v>1199</v>
      </c>
      <c r="C2750">
        <v>0.2</v>
      </c>
      <c r="D2750">
        <v>158</v>
      </c>
      <c r="E2750">
        <v>0</v>
      </c>
      <c r="F2750">
        <v>5</v>
      </c>
      <c r="G2750">
        <v>5</v>
      </c>
      <c r="H2750" t="s">
        <v>3631</v>
      </c>
      <c r="I2750" s="1">
        <v>37131</v>
      </c>
      <c r="J2750" s="1">
        <v>37341</v>
      </c>
      <c r="K2750" s="1">
        <v>37369</v>
      </c>
      <c r="L2750" s="1">
        <v>37369</v>
      </c>
      <c r="M2750" s="1">
        <v>37362</v>
      </c>
      <c r="N2750" s="1">
        <v>37371</v>
      </c>
      <c r="O2750" t="s">
        <v>1117</v>
      </c>
      <c r="P2750">
        <v>1</v>
      </c>
      <c r="Q2750" t="s">
        <v>3632</v>
      </c>
      <c r="R2750">
        <f t="shared" si="86"/>
        <v>17</v>
      </c>
      <c r="S2750">
        <f t="shared" si="87"/>
        <v>1</v>
      </c>
    </row>
    <row r="2751" spans="1:19" x14ac:dyDescent="0.25">
      <c r="A2751" t="s">
        <v>3885</v>
      </c>
      <c r="B2751" t="s">
        <v>4028</v>
      </c>
      <c r="C2751">
        <v>0.25</v>
      </c>
      <c r="D2751">
        <v>395</v>
      </c>
      <c r="E2751">
        <v>0</v>
      </c>
      <c r="F2751">
        <v>4</v>
      </c>
      <c r="G2751">
        <v>4</v>
      </c>
      <c r="H2751" t="s">
        <v>3631</v>
      </c>
      <c r="I2751" s="1">
        <v>37343</v>
      </c>
      <c r="J2751" s="1">
        <v>37379</v>
      </c>
      <c r="K2751" t="s">
        <v>1124</v>
      </c>
      <c r="L2751" t="s">
        <v>1124</v>
      </c>
      <c r="M2751" t="s">
        <v>1124</v>
      </c>
      <c r="N2751" s="1">
        <v>37367</v>
      </c>
      <c r="O2751" t="s">
        <v>1117</v>
      </c>
      <c r="P2751">
        <v>1</v>
      </c>
      <c r="Q2751" t="s">
        <v>3632</v>
      </c>
      <c r="R2751">
        <f t="shared" si="86"/>
        <v>17</v>
      </c>
      <c r="S2751">
        <f t="shared" si="87"/>
        <v>0</v>
      </c>
    </row>
    <row r="2752" spans="1:19" x14ac:dyDescent="0.25">
      <c r="A2752" t="s">
        <v>3886</v>
      </c>
      <c r="B2752" t="s">
        <v>4028</v>
      </c>
      <c r="C2752">
        <v>0.2</v>
      </c>
      <c r="D2752">
        <v>158</v>
      </c>
      <c r="E2752">
        <v>0</v>
      </c>
      <c r="F2752">
        <v>10</v>
      </c>
      <c r="G2752">
        <v>10</v>
      </c>
      <c r="H2752" t="s">
        <v>3631</v>
      </c>
      <c r="I2752" s="1">
        <v>37123</v>
      </c>
      <c r="J2752" s="1">
        <v>37340</v>
      </c>
      <c r="K2752" s="1">
        <v>37383</v>
      </c>
      <c r="L2752" s="1">
        <v>37383</v>
      </c>
      <c r="M2752" s="1">
        <v>37371</v>
      </c>
      <c r="N2752" s="1">
        <v>37371</v>
      </c>
      <c r="O2752" t="s">
        <v>1117</v>
      </c>
      <c r="P2752">
        <v>1</v>
      </c>
      <c r="Q2752" t="s">
        <v>3632</v>
      </c>
      <c r="R2752">
        <f t="shared" si="86"/>
        <v>17</v>
      </c>
      <c r="S2752">
        <f t="shared" si="87"/>
        <v>1</v>
      </c>
    </row>
    <row r="2753" spans="1:19" x14ac:dyDescent="0.25">
      <c r="A2753" t="s">
        <v>3887</v>
      </c>
      <c r="B2753" t="s">
        <v>4028</v>
      </c>
      <c r="C2753">
        <v>0.25</v>
      </c>
      <c r="D2753">
        <v>360</v>
      </c>
      <c r="E2753">
        <v>0</v>
      </c>
      <c r="F2753">
        <v>3.2</v>
      </c>
      <c r="G2753">
        <v>3.2</v>
      </c>
      <c r="H2753" t="s">
        <v>3631</v>
      </c>
      <c r="I2753" s="1">
        <v>37343</v>
      </c>
      <c r="J2753" s="1">
        <v>37379</v>
      </c>
      <c r="K2753" t="s">
        <v>1124</v>
      </c>
      <c r="L2753" t="s">
        <v>1124</v>
      </c>
      <c r="M2753" t="s">
        <v>1124</v>
      </c>
      <c r="N2753" s="1">
        <v>37367</v>
      </c>
      <c r="O2753" t="s">
        <v>1117</v>
      </c>
      <c r="P2753">
        <v>1</v>
      </c>
      <c r="Q2753" t="s">
        <v>3632</v>
      </c>
      <c r="R2753">
        <f t="shared" si="86"/>
        <v>17</v>
      </c>
      <c r="S2753">
        <f t="shared" si="87"/>
        <v>0</v>
      </c>
    </row>
    <row r="2754" spans="1:19" x14ac:dyDescent="0.25">
      <c r="A2754" t="s">
        <v>3888</v>
      </c>
      <c r="B2754" t="s">
        <v>4028</v>
      </c>
      <c r="C2754">
        <v>0.25</v>
      </c>
      <c r="D2754">
        <v>515</v>
      </c>
      <c r="E2754">
        <v>0</v>
      </c>
      <c r="F2754">
        <v>10</v>
      </c>
      <c r="G2754">
        <v>10</v>
      </c>
      <c r="H2754" t="s">
        <v>3631</v>
      </c>
      <c r="I2754" s="1">
        <v>37353</v>
      </c>
      <c r="J2754" s="1">
        <v>37392</v>
      </c>
      <c r="K2754" t="s">
        <v>1124</v>
      </c>
      <c r="L2754" t="s">
        <v>1124</v>
      </c>
      <c r="M2754" t="s">
        <v>1124</v>
      </c>
      <c r="N2754" s="1">
        <v>37351</v>
      </c>
      <c r="O2754" t="s">
        <v>1117</v>
      </c>
      <c r="P2754">
        <v>1</v>
      </c>
      <c r="Q2754" t="s">
        <v>3632</v>
      </c>
      <c r="R2754">
        <f t="shared" si="86"/>
        <v>14</v>
      </c>
      <c r="S2754">
        <f t="shared" si="87"/>
        <v>0</v>
      </c>
    </row>
    <row r="2755" spans="1:19" x14ac:dyDescent="0.25">
      <c r="A2755" t="s">
        <v>3889</v>
      </c>
      <c r="B2755" t="s">
        <v>4026</v>
      </c>
      <c r="C2755">
        <v>0.25</v>
      </c>
      <c r="D2755">
        <v>440</v>
      </c>
      <c r="E2755">
        <v>0</v>
      </c>
      <c r="F2755">
        <v>3</v>
      </c>
      <c r="G2755">
        <v>3</v>
      </c>
      <c r="H2755" t="s">
        <v>3631</v>
      </c>
      <c r="I2755" s="1">
        <v>37343</v>
      </c>
      <c r="J2755" s="1">
        <v>37379</v>
      </c>
      <c r="K2755" t="s">
        <v>1124</v>
      </c>
      <c r="L2755" t="s">
        <v>1124</v>
      </c>
      <c r="M2755" t="s">
        <v>1124</v>
      </c>
      <c r="N2755" s="1">
        <v>37367</v>
      </c>
      <c r="O2755" t="s">
        <v>1117</v>
      </c>
      <c r="P2755">
        <v>1</v>
      </c>
      <c r="Q2755" t="s">
        <v>3632</v>
      </c>
      <c r="R2755">
        <f t="shared" ref="R2755:R2818" si="88">WEEKNUM(N2755,1)</f>
        <v>17</v>
      </c>
      <c r="S2755">
        <f t="shared" ref="S2755:S2818" si="89">IF(AND(F2755=G2755, M2755&lt;=N2755), 1,0)</f>
        <v>0</v>
      </c>
    </row>
    <row r="2756" spans="1:19" x14ac:dyDescent="0.25">
      <c r="A2756" t="s">
        <v>3890</v>
      </c>
      <c r="B2756" t="s">
        <v>4026</v>
      </c>
      <c r="C2756">
        <v>0.2</v>
      </c>
      <c r="D2756">
        <v>302</v>
      </c>
      <c r="E2756">
        <v>0</v>
      </c>
      <c r="F2756">
        <v>4</v>
      </c>
      <c r="G2756">
        <v>4</v>
      </c>
      <c r="H2756" t="s">
        <v>3631</v>
      </c>
      <c r="I2756" s="1">
        <v>37335</v>
      </c>
      <c r="J2756" s="1">
        <v>37367</v>
      </c>
      <c r="K2756" t="s">
        <v>1124</v>
      </c>
      <c r="L2756" t="s">
        <v>1124</v>
      </c>
      <c r="M2756" s="1">
        <v>37367</v>
      </c>
      <c r="N2756" s="1">
        <v>37367</v>
      </c>
      <c r="O2756" t="s">
        <v>1117</v>
      </c>
      <c r="P2756">
        <v>1</v>
      </c>
      <c r="Q2756" t="s">
        <v>3632</v>
      </c>
      <c r="R2756">
        <f t="shared" si="88"/>
        <v>17</v>
      </c>
      <c r="S2756">
        <f t="shared" si="89"/>
        <v>1</v>
      </c>
    </row>
    <row r="2757" spans="1:19" x14ac:dyDescent="0.25">
      <c r="A2757" t="s">
        <v>3891</v>
      </c>
      <c r="B2757" t="s">
        <v>1199</v>
      </c>
      <c r="C2757">
        <v>0.25</v>
      </c>
      <c r="D2757">
        <v>405</v>
      </c>
      <c r="E2757">
        <v>0</v>
      </c>
      <c r="F2757">
        <v>8</v>
      </c>
      <c r="G2757">
        <v>8</v>
      </c>
      <c r="H2757" t="s">
        <v>3631</v>
      </c>
      <c r="I2757" s="1">
        <v>37335</v>
      </c>
      <c r="J2757" s="1">
        <v>37367</v>
      </c>
      <c r="K2757" s="1">
        <v>37368</v>
      </c>
      <c r="L2757" s="1">
        <v>37368</v>
      </c>
      <c r="M2757" s="1">
        <v>37367</v>
      </c>
      <c r="N2757" s="1">
        <v>37367</v>
      </c>
      <c r="O2757" t="s">
        <v>1117</v>
      </c>
      <c r="P2757">
        <v>1</v>
      </c>
      <c r="Q2757" t="s">
        <v>3632</v>
      </c>
      <c r="R2757">
        <f t="shared" si="88"/>
        <v>17</v>
      </c>
      <c r="S2757">
        <f t="shared" si="89"/>
        <v>1</v>
      </c>
    </row>
    <row r="2758" spans="1:19" x14ac:dyDescent="0.25">
      <c r="A2758" t="s">
        <v>3892</v>
      </c>
      <c r="B2758" t="s">
        <v>1199</v>
      </c>
      <c r="C2758">
        <v>0.5</v>
      </c>
      <c r="D2758">
        <v>430</v>
      </c>
      <c r="E2758">
        <v>0</v>
      </c>
      <c r="F2758">
        <v>4</v>
      </c>
      <c r="G2758">
        <v>4</v>
      </c>
      <c r="H2758" t="s">
        <v>3631</v>
      </c>
      <c r="I2758" s="1">
        <v>37123</v>
      </c>
      <c r="J2758" s="1">
        <v>37341</v>
      </c>
      <c r="K2758" s="1">
        <v>37355</v>
      </c>
      <c r="L2758" s="1">
        <v>37355</v>
      </c>
      <c r="M2758" s="1">
        <v>37355</v>
      </c>
      <c r="N2758" s="1">
        <v>37355</v>
      </c>
      <c r="O2758" t="s">
        <v>1117</v>
      </c>
      <c r="P2758">
        <v>1</v>
      </c>
      <c r="Q2758" t="s">
        <v>3632</v>
      </c>
      <c r="R2758">
        <f t="shared" si="88"/>
        <v>15</v>
      </c>
      <c r="S2758">
        <f t="shared" si="89"/>
        <v>1</v>
      </c>
    </row>
    <row r="2759" spans="1:19" x14ac:dyDescent="0.25">
      <c r="A2759" t="s">
        <v>3893</v>
      </c>
      <c r="B2759" t="s">
        <v>1199</v>
      </c>
      <c r="C2759">
        <v>0.2</v>
      </c>
      <c r="D2759">
        <v>100</v>
      </c>
      <c r="E2759">
        <v>0</v>
      </c>
      <c r="F2759">
        <v>2</v>
      </c>
      <c r="G2759">
        <v>2</v>
      </c>
      <c r="H2759" t="s">
        <v>3631</v>
      </c>
      <c r="I2759" s="1">
        <v>37192</v>
      </c>
      <c r="J2759" s="1">
        <v>37342</v>
      </c>
      <c r="K2759" s="1">
        <v>37377</v>
      </c>
      <c r="L2759" s="1">
        <v>37377</v>
      </c>
      <c r="M2759" s="1">
        <v>37370</v>
      </c>
      <c r="N2759" s="1">
        <v>37370</v>
      </c>
      <c r="O2759" t="s">
        <v>1117</v>
      </c>
      <c r="P2759">
        <v>1</v>
      </c>
      <c r="Q2759" t="s">
        <v>3632</v>
      </c>
      <c r="R2759">
        <f t="shared" si="88"/>
        <v>17</v>
      </c>
      <c r="S2759">
        <f t="shared" si="89"/>
        <v>1</v>
      </c>
    </row>
    <row r="2760" spans="1:19" x14ac:dyDescent="0.25">
      <c r="A2760" t="s">
        <v>3894</v>
      </c>
      <c r="B2760" t="s">
        <v>1199</v>
      </c>
      <c r="C2760">
        <v>0.25</v>
      </c>
      <c r="D2760">
        <v>545</v>
      </c>
      <c r="E2760">
        <v>0</v>
      </c>
      <c r="F2760">
        <v>4</v>
      </c>
      <c r="G2760">
        <v>4</v>
      </c>
      <c r="H2760" t="s">
        <v>3631</v>
      </c>
      <c r="I2760" s="1">
        <v>37335</v>
      </c>
      <c r="J2760" s="1">
        <v>37367</v>
      </c>
      <c r="K2760" t="s">
        <v>1124</v>
      </c>
      <c r="L2760" t="s">
        <v>1124</v>
      </c>
      <c r="M2760" s="1">
        <v>37367</v>
      </c>
      <c r="N2760" s="1">
        <v>37367</v>
      </c>
      <c r="O2760" t="s">
        <v>1117</v>
      </c>
      <c r="P2760">
        <v>1</v>
      </c>
      <c r="Q2760" t="s">
        <v>3632</v>
      </c>
      <c r="R2760">
        <f t="shared" si="88"/>
        <v>17</v>
      </c>
      <c r="S2760">
        <f t="shared" si="89"/>
        <v>1</v>
      </c>
    </row>
    <row r="2761" spans="1:19" x14ac:dyDescent="0.25">
      <c r="A2761" t="s">
        <v>3895</v>
      </c>
      <c r="B2761" t="s">
        <v>1199</v>
      </c>
      <c r="C2761">
        <v>0.3</v>
      </c>
      <c r="D2761">
        <v>158</v>
      </c>
      <c r="E2761">
        <v>0</v>
      </c>
      <c r="F2761">
        <v>10</v>
      </c>
      <c r="G2761">
        <v>10</v>
      </c>
      <c r="H2761" t="s">
        <v>3631</v>
      </c>
      <c r="I2761" s="1">
        <v>37192</v>
      </c>
      <c r="J2761" s="1">
        <v>37342</v>
      </c>
      <c r="K2761" s="1">
        <v>37349</v>
      </c>
      <c r="L2761" s="1">
        <v>37349</v>
      </c>
      <c r="M2761" s="1">
        <v>37349</v>
      </c>
      <c r="N2761" s="1">
        <v>37349</v>
      </c>
      <c r="O2761" t="s">
        <v>1117</v>
      </c>
      <c r="P2761">
        <v>1</v>
      </c>
      <c r="Q2761" t="s">
        <v>3632</v>
      </c>
      <c r="R2761">
        <f t="shared" si="88"/>
        <v>14</v>
      </c>
      <c r="S2761">
        <f t="shared" si="89"/>
        <v>1</v>
      </c>
    </row>
    <row r="2762" spans="1:19" x14ac:dyDescent="0.25">
      <c r="A2762" t="s">
        <v>3896</v>
      </c>
      <c r="B2762" t="s">
        <v>1199</v>
      </c>
      <c r="C2762">
        <v>0.25</v>
      </c>
      <c r="D2762">
        <v>545</v>
      </c>
      <c r="E2762">
        <v>0</v>
      </c>
      <c r="F2762">
        <v>4</v>
      </c>
      <c r="G2762">
        <v>4</v>
      </c>
      <c r="H2762" t="s">
        <v>3631</v>
      </c>
      <c r="I2762" s="1">
        <v>37343</v>
      </c>
      <c r="J2762" s="1">
        <v>37379</v>
      </c>
      <c r="K2762" t="s">
        <v>1124</v>
      </c>
      <c r="L2762" t="s">
        <v>1124</v>
      </c>
      <c r="M2762" t="s">
        <v>1124</v>
      </c>
      <c r="N2762" s="1">
        <v>37367</v>
      </c>
      <c r="O2762" t="s">
        <v>1117</v>
      </c>
      <c r="P2762">
        <v>1</v>
      </c>
      <c r="Q2762" t="s">
        <v>3632</v>
      </c>
      <c r="R2762">
        <f t="shared" si="88"/>
        <v>17</v>
      </c>
      <c r="S2762">
        <f t="shared" si="89"/>
        <v>0</v>
      </c>
    </row>
    <row r="2763" spans="1:19" x14ac:dyDescent="0.25">
      <c r="A2763" t="s">
        <v>3897</v>
      </c>
      <c r="B2763" t="s">
        <v>3521</v>
      </c>
      <c r="C2763">
        <v>0.2</v>
      </c>
      <c r="D2763">
        <v>302</v>
      </c>
      <c r="E2763">
        <v>0</v>
      </c>
      <c r="F2763">
        <v>4</v>
      </c>
      <c r="G2763">
        <v>4</v>
      </c>
      <c r="H2763" t="s">
        <v>3631</v>
      </c>
      <c r="I2763" s="1">
        <v>37343</v>
      </c>
      <c r="J2763" s="1">
        <v>37379</v>
      </c>
      <c r="K2763" t="s">
        <v>1124</v>
      </c>
      <c r="L2763" t="s">
        <v>1124</v>
      </c>
      <c r="M2763" t="s">
        <v>1124</v>
      </c>
      <c r="N2763" s="1">
        <v>37367</v>
      </c>
      <c r="O2763" t="s">
        <v>1117</v>
      </c>
      <c r="P2763">
        <v>1</v>
      </c>
      <c r="Q2763" t="s">
        <v>3632</v>
      </c>
      <c r="R2763">
        <f t="shared" si="88"/>
        <v>17</v>
      </c>
      <c r="S2763">
        <f t="shared" si="89"/>
        <v>0</v>
      </c>
    </row>
    <row r="2764" spans="1:19" x14ac:dyDescent="0.25">
      <c r="A2764" t="s">
        <v>3898</v>
      </c>
      <c r="B2764" t="s">
        <v>4027</v>
      </c>
      <c r="C2764">
        <v>0.22</v>
      </c>
      <c r="D2764">
        <v>100</v>
      </c>
      <c r="E2764">
        <v>0</v>
      </c>
      <c r="F2764">
        <v>3</v>
      </c>
      <c r="G2764">
        <v>3</v>
      </c>
      <c r="H2764" t="s">
        <v>3631</v>
      </c>
      <c r="I2764" s="1">
        <v>37192</v>
      </c>
      <c r="J2764" s="1">
        <v>37341</v>
      </c>
      <c r="K2764" s="1">
        <v>37383</v>
      </c>
      <c r="L2764" s="1">
        <v>37383</v>
      </c>
      <c r="M2764" s="1">
        <v>37369</v>
      </c>
      <c r="N2764" s="1">
        <v>37369</v>
      </c>
      <c r="O2764" t="s">
        <v>1117</v>
      </c>
      <c r="P2764">
        <v>2</v>
      </c>
      <c r="Q2764" t="s">
        <v>3632</v>
      </c>
      <c r="R2764">
        <f t="shared" si="88"/>
        <v>17</v>
      </c>
      <c r="S2764">
        <f t="shared" si="89"/>
        <v>1</v>
      </c>
    </row>
    <row r="2765" spans="1:19" x14ac:dyDescent="0.25">
      <c r="A2765" t="s">
        <v>3899</v>
      </c>
      <c r="B2765" t="s">
        <v>1199</v>
      </c>
      <c r="C2765">
        <v>0.2</v>
      </c>
      <c r="D2765">
        <v>516</v>
      </c>
      <c r="E2765">
        <v>0</v>
      </c>
      <c r="F2765">
        <v>2</v>
      </c>
      <c r="G2765">
        <v>2</v>
      </c>
      <c r="H2765" t="s">
        <v>3631</v>
      </c>
      <c r="I2765" s="1">
        <v>37123</v>
      </c>
      <c r="J2765" s="1">
        <v>37340</v>
      </c>
      <c r="K2765" s="1">
        <v>37354</v>
      </c>
      <c r="L2765" s="1">
        <v>37354</v>
      </c>
      <c r="M2765" s="1">
        <v>37354</v>
      </c>
      <c r="N2765" s="1">
        <v>37354</v>
      </c>
      <c r="O2765" t="s">
        <v>1117</v>
      </c>
      <c r="P2765">
        <v>1</v>
      </c>
      <c r="Q2765" t="s">
        <v>3632</v>
      </c>
      <c r="R2765">
        <f t="shared" si="88"/>
        <v>15</v>
      </c>
      <c r="S2765">
        <f t="shared" si="89"/>
        <v>1</v>
      </c>
    </row>
    <row r="2766" spans="1:19" x14ac:dyDescent="0.25">
      <c r="A2766" t="s">
        <v>3900</v>
      </c>
      <c r="B2766" t="s">
        <v>4026</v>
      </c>
      <c r="C2766">
        <v>0.25</v>
      </c>
      <c r="D2766">
        <v>360</v>
      </c>
      <c r="E2766">
        <v>0</v>
      </c>
      <c r="F2766">
        <v>3.2</v>
      </c>
      <c r="G2766">
        <v>3.2</v>
      </c>
      <c r="H2766" t="s">
        <v>3631</v>
      </c>
      <c r="I2766" s="1">
        <v>37335</v>
      </c>
      <c r="J2766" s="1">
        <v>37367</v>
      </c>
      <c r="K2766" s="1">
        <v>37374</v>
      </c>
      <c r="L2766" s="1">
        <v>37374</v>
      </c>
      <c r="M2766" s="1">
        <v>37367</v>
      </c>
      <c r="N2766" s="1">
        <v>37367</v>
      </c>
      <c r="O2766" t="s">
        <v>1117</v>
      </c>
      <c r="P2766">
        <v>1</v>
      </c>
      <c r="Q2766" t="s">
        <v>3632</v>
      </c>
      <c r="R2766">
        <f t="shared" si="88"/>
        <v>17</v>
      </c>
      <c r="S2766">
        <f t="shared" si="89"/>
        <v>1</v>
      </c>
    </row>
    <row r="2767" spans="1:19" x14ac:dyDescent="0.25">
      <c r="A2767" t="s">
        <v>3901</v>
      </c>
      <c r="B2767" t="s">
        <v>4026</v>
      </c>
      <c r="C2767">
        <v>0.25</v>
      </c>
      <c r="D2767">
        <v>360</v>
      </c>
      <c r="E2767">
        <v>0</v>
      </c>
      <c r="F2767">
        <v>3.2</v>
      </c>
      <c r="G2767">
        <v>3.2</v>
      </c>
      <c r="H2767" t="s">
        <v>3631</v>
      </c>
      <c r="I2767" s="1">
        <v>37343</v>
      </c>
      <c r="J2767" s="1">
        <v>37379</v>
      </c>
      <c r="K2767" t="s">
        <v>1124</v>
      </c>
      <c r="L2767" t="s">
        <v>1124</v>
      </c>
      <c r="M2767" t="s">
        <v>1124</v>
      </c>
      <c r="N2767" s="1">
        <v>37367</v>
      </c>
      <c r="O2767" t="s">
        <v>1117</v>
      </c>
      <c r="P2767">
        <v>1</v>
      </c>
      <c r="Q2767" t="s">
        <v>3632</v>
      </c>
      <c r="R2767">
        <f t="shared" si="88"/>
        <v>17</v>
      </c>
      <c r="S2767">
        <f t="shared" si="89"/>
        <v>0</v>
      </c>
    </row>
    <row r="2768" spans="1:19" x14ac:dyDescent="0.25">
      <c r="A2768" t="s">
        <v>3902</v>
      </c>
      <c r="B2768" t="s">
        <v>1199</v>
      </c>
      <c r="C2768">
        <v>0.25</v>
      </c>
      <c r="D2768">
        <v>405</v>
      </c>
      <c r="E2768">
        <v>0</v>
      </c>
      <c r="F2768">
        <v>8</v>
      </c>
      <c r="G2768">
        <v>8</v>
      </c>
      <c r="H2768" t="s">
        <v>3631</v>
      </c>
      <c r="I2768" s="1">
        <v>37343</v>
      </c>
      <c r="J2768" s="1">
        <v>37379</v>
      </c>
      <c r="K2768" t="s">
        <v>1124</v>
      </c>
      <c r="L2768" t="s">
        <v>1124</v>
      </c>
      <c r="M2768" t="s">
        <v>1124</v>
      </c>
      <c r="N2768" s="1">
        <v>37367</v>
      </c>
      <c r="O2768" t="s">
        <v>1117</v>
      </c>
      <c r="P2768">
        <v>1</v>
      </c>
      <c r="Q2768" t="s">
        <v>3632</v>
      </c>
      <c r="R2768">
        <f t="shared" si="88"/>
        <v>17</v>
      </c>
      <c r="S2768">
        <f t="shared" si="89"/>
        <v>0</v>
      </c>
    </row>
    <row r="2769" spans="1:19" x14ac:dyDescent="0.25">
      <c r="A2769" t="s">
        <v>3903</v>
      </c>
      <c r="B2769" t="s">
        <v>4026</v>
      </c>
      <c r="C2769">
        <v>0.25</v>
      </c>
      <c r="D2769">
        <v>200</v>
      </c>
      <c r="E2769">
        <v>0</v>
      </c>
      <c r="F2769">
        <v>7</v>
      </c>
      <c r="G2769">
        <v>7</v>
      </c>
      <c r="H2769" t="s">
        <v>3631</v>
      </c>
      <c r="I2769" s="1">
        <v>37134</v>
      </c>
      <c r="J2769" s="1">
        <v>37325</v>
      </c>
      <c r="K2769" s="1">
        <v>37348</v>
      </c>
      <c r="L2769" s="1">
        <v>37348</v>
      </c>
      <c r="M2769" s="1">
        <v>37348</v>
      </c>
      <c r="N2769" s="1">
        <v>37355</v>
      </c>
      <c r="O2769" t="s">
        <v>1117</v>
      </c>
      <c r="P2769">
        <v>4</v>
      </c>
      <c r="Q2769" t="s">
        <v>3632</v>
      </c>
      <c r="R2769">
        <f t="shared" si="88"/>
        <v>15</v>
      </c>
      <c r="S2769">
        <f t="shared" si="89"/>
        <v>1</v>
      </c>
    </row>
    <row r="2770" spans="1:19" x14ac:dyDescent="0.25">
      <c r="A2770" t="s">
        <v>3904</v>
      </c>
      <c r="B2770" t="s">
        <v>4026</v>
      </c>
      <c r="C2770">
        <v>0.25</v>
      </c>
      <c r="D2770">
        <v>370</v>
      </c>
      <c r="E2770">
        <v>0</v>
      </c>
      <c r="F2770">
        <v>2</v>
      </c>
      <c r="G2770">
        <v>2</v>
      </c>
      <c r="H2770" t="s">
        <v>3631</v>
      </c>
      <c r="I2770" s="1">
        <v>37116</v>
      </c>
      <c r="J2770" s="1">
        <v>37340</v>
      </c>
      <c r="K2770" s="1">
        <v>37375</v>
      </c>
      <c r="L2770" s="1">
        <v>37375</v>
      </c>
      <c r="M2770" s="1">
        <v>37354</v>
      </c>
      <c r="N2770" s="1">
        <v>37354</v>
      </c>
      <c r="O2770" t="s">
        <v>1117</v>
      </c>
      <c r="P2770">
        <v>1</v>
      </c>
      <c r="Q2770" t="s">
        <v>3632</v>
      </c>
      <c r="R2770">
        <f t="shared" si="88"/>
        <v>15</v>
      </c>
      <c r="S2770">
        <f t="shared" si="89"/>
        <v>1</v>
      </c>
    </row>
    <row r="2771" spans="1:19" x14ac:dyDescent="0.25">
      <c r="A2771" t="s">
        <v>3905</v>
      </c>
      <c r="B2771" t="s">
        <v>4028</v>
      </c>
      <c r="C2771">
        <v>0.25</v>
      </c>
      <c r="D2771">
        <v>425</v>
      </c>
      <c r="E2771">
        <v>0</v>
      </c>
      <c r="F2771">
        <v>2</v>
      </c>
      <c r="G2771">
        <v>2</v>
      </c>
      <c r="H2771" t="s">
        <v>3631</v>
      </c>
      <c r="I2771" s="1">
        <v>37123</v>
      </c>
      <c r="J2771" s="1">
        <v>37341</v>
      </c>
      <c r="K2771" s="1">
        <v>37355</v>
      </c>
      <c r="L2771" s="1">
        <v>37355</v>
      </c>
      <c r="M2771" s="1">
        <v>37355</v>
      </c>
      <c r="N2771" s="1">
        <v>37355</v>
      </c>
      <c r="O2771" t="s">
        <v>1117</v>
      </c>
      <c r="P2771">
        <v>1</v>
      </c>
      <c r="Q2771" t="s">
        <v>3632</v>
      </c>
      <c r="R2771">
        <f t="shared" si="88"/>
        <v>15</v>
      </c>
      <c r="S2771">
        <f t="shared" si="89"/>
        <v>1</v>
      </c>
    </row>
    <row r="2772" spans="1:19" x14ac:dyDescent="0.25">
      <c r="A2772" t="s">
        <v>3906</v>
      </c>
      <c r="B2772" t="s">
        <v>4028</v>
      </c>
      <c r="C2772">
        <v>0.25</v>
      </c>
      <c r="D2772">
        <v>360</v>
      </c>
      <c r="E2772">
        <v>0</v>
      </c>
      <c r="F2772">
        <v>3.2</v>
      </c>
      <c r="G2772">
        <v>3.2</v>
      </c>
      <c r="H2772" t="s">
        <v>3631</v>
      </c>
      <c r="I2772" s="1">
        <v>37343</v>
      </c>
      <c r="J2772" s="1">
        <v>37384</v>
      </c>
      <c r="K2772" t="s">
        <v>1124</v>
      </c>
      <c r="L2772" t="s">
        <v>1124</v>
      </c>
      <c r="M2772" t="s">
        <v>1124</v>
      </c>
      <c r="N2772" s="1">
        <v>37367</v>
      </c>
      <c r="O2772" t="s">
        <v>1117</v>
      </c>
      <c r="P2772">
        <v>1</v>
      </c>
      <c r="Q2772" t="s">
        <v>3632</v>
      </c>
      <c r="R2772">
        <f t="shared" si="88"/>
        <v>17</v>
      </c>
      <c r="S2772">
        <f t="shared" si="89"/>
        <v>0</v>
      </c>
    </row>
    <row r="2773" spans="1:19" x14ac:dyDescent="0.25">
      <c r="A2773" t="s">
        <v>3907</v>
      </c>
      <c r="B2773" t="s">
        <v>1199</v>
      </c>
      <c r="C2773">
        <v>0.2</v>
      </c>
      <c r="D2773">
        <v>302</v>
      </c>
      <c r="E2773">
        <v>0</v>
      </c>
      <c r="F2773">
        <v>4</v>
      </c>
      <c r="G2773">
        <v>4</v>
      </c>
      <c r="H2773" t="s">
        <v>3631</v>
      </c>
      <c r="I2773" s="1">
        <v>37335</v>
      </c>
      <c r="J2773" s="1">
        <v>37367</v>
      </c>
      <c r="K2773" s="1">
        <v>37367</v>
      </c>
      <c r="L2773" s="1">
        <v>37367</v>
      </c>
      <c r="M2773" s="1">
        <v>37367</v>
      </c>
      <c r="N2773" s="1">
        <v>37367</v>
      </c>
      <c r="O2773" t="s">
        <v>1114</v>
      </c>
      <c r="P2773">
        <v>1</v>
      </c>
      <c r="Q2773" t="s">
        <v>3632</v>
      </c>
      <c r="R2773">
        <f t="shared" si="88"/>
        <v>17</v>
      </c>
      <c r="S2773">
        <f t="shared" si="89"/>
        <v>1</v>
      </c>
    </row>
    <row r="2774" spans="1:19" x14ac:dyDescent="0.25">
      <c r="A2774" t="s">
        <v>3908</v>
      </c>
      <c r="B2774" t="s">
        <v>4026</v>
      </c>
      <c r="C2774">
        <v>0.25</v>
      </c>
      <c r="D2774">
        <v>405</v>
      </c>
      <c r="E2774">
        <v>0</v>
      </c>
      <c r="F2774">
        <v>8</v>
      </c>
      <c r="G2774">
        <v>8</v>
      </c>
      <c r="H2774" t="s">
        <v>3631</v>
      </c>
      <c r="I2774" s="1">
        <v>37335</v>
      </c>
      <c r="J2774" s="1">
        <v>37367</v>
      </c>
      <c r="K2774" s="1">
        <v>37367</v>
      </c>
      <c r="L2774" s="1">
        <v>37367</v>
      </c>
      <c r="M2774" s="1">
        <v>37367</v>
      </c>
      <c r="N2774" s="1">
        <v>37367</v>
      </c>
      <c r="O2774" t="s">
        <v>1114</v>
      </c>
      <c r="P2774">
        <v>1</v>
      </c>
      <c r="Q2774" t="s">
        <v>3632</v>
      </c>
      <c r="R2774">
        <f t="shared" si="88"/>
        <v>17</v>
      </c>
      <c r="S2774">
        <f t="shared" si="89"/>
        <v>1</v>
      </c>
    </row>
    <row r="2775" spans="1:19" x14ac:dyDescent="0.25">
      <c r="A2775" t="s">
        <v>3909</v>
      </c>
      <c r="B2775" t="s">
        <v>4026</v>
      </c>
      <c r="C2775">
        <v>0.25</v>
      </c>
      <c r="D2775">
        <v>405</v>
      </c>
      <c r="E2775">
        <v>0</v>
      </c>
      <c r="F2775">
        <v>8</v>
      </c>
      <c r="G2775">
        <v>8</v>
      </c>
      <c r="H2775" t="s">
        <v>3631</v>
      </c>
      <c r="I2775" s="1">
        <v>37343</v>
      </c>
      <c r="J2775" s="1">
        <v>37379</v>
      </c>
      <c r="K2775" t="s">
        <v>1124</v>
      </c>
      <c r="L2775" t="s">
        <v>1124</v>
      </c>
      <c r="M2775" t="s">
        <v>1124</v>
      </c>
      <c r="N2775" s="1">
        <v>37367</v>
      </c>
      <c r="O2775" t="s">
        <v>1117</v>
      </c>
      <c r="P2775">
        <v>1</v>
      </c>
      <c r="Q2775" t="s">
        <v>3632</v>
      </c>
      <c r="R2775">
        <f t="shared" si="88"/>
        <v>17</v>
      </c>
      <c r="S2775">
        <f t="shared" si="89"/>
        <v>0</v>
      </c>
    </row>
    <row r="2776" spans="1:19" x14ac:dyDescent="0.25">
      <c r="A2776" t="s">
        <v>3910</v>
      </c>
      <c r="B2776" t="s">
        <v>4026</v>
      </c>
      <c r="C2776">
        <v>0.25</v>
      </c>
      <c r="D2776">
        <v>395</v>
      </c>
      <c r="E2776">
        <v>0</v>
      </c>
      <c r="F2776">
        <v>2</v>
      </c>
      <c r="G2776">
        <v>2</v>
      </c>
      <c r="H2776" t="s">
        <v>3631</v>
      </c>
      <c r="I2776" s="1">
        <v>37123</v>
      </c>
      <c r="J2776" s="1">
        <v>37340</v>
      </c>
      <c r="K2776" s="1">
        <v>37361</v>
      </c>
      <c r="L2776" s="1">
        <v>37361</v>
      </c>
      <c r="M2776" s="1">
        <v>37354</v>
      </c>
      <c r="N2776" s="1">
        <v>37367</v>
      </c>
      <c r="O2776" t="s">
        <v>1117</v>
      </c>
      <c r="P2776">
        <v>1</v>
      </c>
      <c r="Q2776" t="s">
        <v>3632</v>
      </c>
      <c r="R2776">
        <f t="shared" si="88"/>
        <v>17</v>
      </c>
      <c r="S2776">
        <f t="shared" si="89"/>
        <v>1</v>
      </c>
    </row>
    <row r="2777" spans="1:19" x14ac:dyDescent="0.25">
      <c r="A2777" t="s">
        <v>3911</v>
      </c>
      <c r="B2777" t="s">
        <v>4028</v>
      </c>
      <c r="C2777">
        <v>0.25</v>
      </c>
      <c r="D2777">
        <v>545</v>
      </c>
      <c r="E2777">
        <v>0</v>
      </c>
      <c r="F2777">
        <v>4</v>
      </c>
      <c r="G2777">
        <v>4</v>
      </c>
      <c r="H2777" t="s">
        <v>3631</v>
      </c>
      <c r="I2777" s="1">
        <v>37343</v>
      </c>
      <c r="J2777" s="1">
        <v>37379</v>
      </c>
      <c r="K2777" t="s">
        <v>1124</v>
      </c>
      <c r="L2777" t="s">
        <v>1124</v>
      </c>
      <c r="M2777" t="s">
        <v>1124</v>
      </c>
      <c r="N2777" s="1">
        <v>37367</v>
      </c>
      <c r="O2777" t="s">
        <v>1117</v>
      </c>
      <c r="P2777">
        <v>1</v>
      </c>
      <c r="Q2777" t="s">
        <v>3632</v>
      </c>
      <c r="R2777">
        <f t="shared" si="88"/>
        <v>17</v>
      </c>
      <c r="S2777">
        <f t="shared" si="89"/>
        <v>0</v>
      </c>
    </row>
    <row r="2778" spans="1:19" x14ac:dyDescent="0.25">
      <c r="A2778" t="s">
        <v>3912</v>
      </c>
      <c r="B2778" t="s">
        <v>3601</v>
      </c>
      <c r="C2778">
        <v>0.25</v>
      </c>
      <c r="D2778">
        <v>545</v>
      </c>
      <c r="E2778">
        <v>0</v>
      </c>
      <c r="F2778">
        <v>4</v>
      </c>
      <c r="G2778">
        <v>4</v>
      </c>
      <c r="H2778" t="s">
        <v>3631</v>
      </c>
      <c r="I2778" s="1">
        <v>37343</v>
      </c>
      <c r="J2778" s="1">
        <v>37379</v>
      </c>
      <c r="K2778" t="s">
        <v>1124</v>
      </c>
      <c r="L2778" t="s">
        <v>1124</v>
      </c>
      <c r="M2778" t="s">
        <v>1124</v>
      </c>
      <c r="N2778" s="1">
        <v>37367</v>
      </c>
      <c r="O2778" t="s">
        <v>1117</v>
      </c>
      <c r="P2778">
        <v>1</v>
      </c>
      <c r="Q2778" t="s">
        <v>3632</v>
      </c>
      <c r="R2778">
        <f t="shared" si="88"/>
        <v>17</v>
      </c>
      <c r="S2778">
        <f t="shared" si="89"/>
        <v>0</v>
      </c>
    </row>
    <row r="2779" spans="1:19" x14ac:dyDescent="0.25">
      <c r="A2779" t="s">
        <v>3913</v>
      </c>
      <c r="B2779" t="s">
        <v>4028</v>
      </c>
      <c r="C2779">
        <v>0.25</v>
      </c>
      <c r="D2779">
        <v>500</v>
      </c>
      <c r="E2779">
        <v>0</v>
      </c>
      <c r="F2779">
        <v>4</v>
      </c>
      <c r="G2779">
        <v>4</v>
      </c>
      <c r="H2779" t="s">
        <v>3631</v>
      </c>
      <c r="I2779" s="1">
        <v>37123</v>
      </c>
      <c r="J2779" s="1">
        <v>37341</v>
      </c>
      <c r="K2779" s="1">
        <v>37363</v>
      </c>
      <c r="L2779" s="1">
        <v>37363</v>
      </c>
      <c r="M2779" s="1">
        <v>37356</v>
      </c>
      <c r="N2779" s="1">
        <v>37356</v>
      </c>
      <c r="O2779" t="s">
        <v>1117</v>
      </c>
      <c r="P2779">
        <v>1</v>
      </c>
      <c r="Q2779" t="s">
        <v>3632</v>
      </c>
      <c r="R2779">
        <f t="shared" si="88"/>
        <v>15</v>
      </c>
      <c r="S2779">
        <f t="shared" si="89"/>
        <v>1</v>
      </c>
    </row>
    <row r="2780" spans="1:19" x14ac:dyDescent="0.25">
      <c r="A2780" t="s">
        <v>3914</v>
      </c>
      <c r="B2780" t="s">
        <v>4026</v>
      </c>
      <c r="C2780">
        <v>0.25</v>
      </c>
      <c r="D2780">
        <v>405</v>
      </c>
      <c r="E2780">
        <v>0</v>
      </c>
      <c r="F2780">
        <v>8</v>
      </c>
      <c r="G2780">
        <v>8</v>
      </c>
      <c r="H2780" t="s">
        <v>3631</v>
      </c>
      <c r="I2780" s="1">
        <v>37343</v>
      </c>
      <c r="J2780" s="1">
        <v>37379</v>
      </c>
      <c r="K2780" t="s">
        <v>1124</v>
      </c>
      <c r="L2780" t="s">
        <v>1124</v>
      </c>
      <c r="M2780" t="s">
        <v>1124</v>
      </c>
      <c r="N2780" s="1">
        <v>37367</v>
      </c>
      <c r="O2780" t="s">
        <v>1117</v>
      </c>
      <c r="P2780">
        <v>1</v>
      </c>
      <c r="Q2780" t="s">
        <v>3632</v>
      </c>
      <c r="R2780">
        <f t="shared" si="88"/>
        <v>17</v>
      </c>
      <c r="S2780">
        <f t="shared" si="89"/>
        <v>0</v>
      </c>
    </row>
    <row r="2781" spans="1:19" x14ac:dyDescent="0.25">
      <c r="A2781" t="s">
        <v>3915</v>
      </c>
      <c r="B2781" t="s">
        <v>4028</v>
      </c>
      <c r="C2781">
        <v>0.25</v>
      </c>
      <c r="D2781">
        <v>395</v>
      </c>
      <c r="E2781">
        <v>0</v>
      </c>
      <c r="F2781">
        <v>4</v>
      </c>
      <c r="G2781">
        <v>4</v>
      </c>
      <c r="H2781" t="s">
        <v>3631</v>
      </c>
      <c r="I2781" s="1">
        <v>37335</v>
      </c>
      <c r="J2781" s="1">
        <v>37367</v>
      </c>
      <c r="K2781" s="1">
        <v>37367</v>
      </c>
      <c r="L2781" s="1">
        <v>37367</v>
      </c>
      <c r="M2781" s="1">
        <v>37367</v>
      </c>
      <c r="N2781" s="1">
        <v>37367</v>
      </c>
      <c r="O2781" t="s">
        <v>1114</v>
      </c>
      <c r="P2781">
        <v>1</v>
      </c>
      <c r="Q2781" t="s">
        <v>3632</v>
      </c>
      <c r="R2781">
        <f t="shared" si="88"/>
        <v>17</v>
      </c>
      <c r="S2781">
        <f t="shared" si="89"/>
        <v>1</v>
      </c>
    </row>
    <row r="2782" spans="1:19" x14ac:dyDescent="0.25">
      <c r="A2782" t="s">
        <v>3916</v>
      </c>
      <c r="B2782" t="s">
        <v>4028</v>
      </c>
      <c r="C2782">
        <v>0.25</v>
      </c>
      <c r="D2782">
        <v>490</v>
      </c>
      <c r="E2782">
        <v>0</v>
      </c>
      <c r="F2782">
        <v>20</v>
      </c>
      <c r="G2782">
        <v>16.5</v>
      </c>
      <c r="H2782" t="s">
        <v>3631</v>
      </c>
      <c r="I2782" s="1">
        <v>37107</v>
      </c>
      <c r="J2782" s="1">
        <v>37338</v>
      </c>
      <c r="K2782" s="1">
        <v>37353</v>
      </c>
      <c r="L2782" s="1">
        <v>37353</v>
      </c>
      <c r="M2782" s="1">
        <v>37353</v>
      </c>
      <c r="N2782" s="1">
        <v>37353</v>
      </c>
      <c r="O2782" t="s">
        <v>1117</v>
      </c>
      <c r="P2782">
        <v>1</v>
      </c>
      <c r="Q2782" t="s">
        <v>3632</v>
      </c>
      <c r="R2782">
        <f t="shared" si="88"/>
        <v>15</v>
      </c>
      <c r="S2782">
        <f t="shared" si="89"/>
        <v>0</v>
      </c>
    </row>
    <row r="2783" spans="1:19" x14ac:dyDescent="0.25">
      <c r="A2783" t="s">
        <v>3917</v>
      </c>
      <c r="B2783" t="s">
        <v>1199</v>
      </c>
      <c r="C2783">
        <v>0.22500000000000001</v>
      </c>
      <c r="D2783">
        <v>580</v>
      </c>
      <c r="E2783">
        <v>0</v>
      </c>
      <c r="F2783">
        <v>34</v>
      </c>
      <c r="G2783">
        <v>34</v>
      </c>
      <c r="H2783" t="s">
        <v>3631</v>
      </c>
      <c r="I2783" s="1">
        <v>37107</v>
      </c>
      <c r="J2783" s="1">
        <v>37338</v>
      </c>
      <c r="K2783" s="1">
        <v>37367</v>
      </c>
      <c r="L2783" s="1">
        <v>37367</v>
      </c>
      <c r="M2783" s="1">
        <v>37366</v>
      </c>
      <c r="N2783" s="1">
        <v>37366</v>
      </c>
      <c r="O2783" t="s">
        <v>1117</v>
      </c>
      <c r="P2783">
        <v>1</v>
      </c>
      <c r="Q2783" t="s">
        <v>3632</v>
      </c>
      <c r="R2783">
        <f t="shared" si="88"/>
        <v>16</v>
      </c>
      <c r="S2783">
        <f t="shared" si="89"/>
        <v>1</v>
      </c>
    </row>
    <row r="2784" spans="1:19" x14ac:dyDescent="0.25">
      <c r="A2784" t="s">
        <v>3918</v>
      </c>
      <c r="B2784" t="s">
        <v>4028</v>
      </c>
      <c r="C2784">
        <v>0.25</v>
      </c>
      <c r="D2784">
        <v>540</v>
      </c>
      <c r="E2784">
        <v>0</v>
      </c>
      <c r="F2784">
        <v>20</v>
      </c>
      <c r="G2784">
        <v>20</v>
      </c>
      <c r="H2784" t="s">
        <v>3631</v>
      </c>
      <c r="I2784" s="1">
        <v>37107</v>
      </c>
      <c r="J2784" s="1">
        <v>37338</v>
      </c>
      <c r="K2784" s="1">
        <v>37345</v>
      </c>
      <c r="L2784" s="1">
        <v>37345</v>
      </c>
      <c r="M2784" s="1">
        <v>37345</v>
      </c>
      <c r="N2784" s="1">
        <v>37345</v>
      </c>
      <c r="O2784" t="s">
        <v>1117</v>
      </c>
      <c r="P2784">
        <v>1</v>
      </c>
      <c r="Q2784" t="s">
        <v>3632</v>
      </c>
      <c r="R2784">
        <f t="shared" si="88"/>
        <v>13</v>
      </c>
      <c r="S2784">
        <f t="shared" si="89"/>
        <v>1</v>
      </c>
    </row>
    <row r="2785" spans="1:19" x14ac:dyDescent="0.25">
      <c r="A2785" t="s">
        <v>3919</v>
      </c>
      <c r="B2785" t="s">
        <v>4028</v>
      </c>
      <c r="C2785">
        <v>0.2</v>
      </c>
      <c r="D2785">
        <v>500</v>
      </c>
      <c r="E2785">
        <v>0</v>
      </c>
      <c r="F2785">
        <v>29</v>
      </c>
      <c r="G2785">
        <v>29</v>
      </c>
      <c r="H2785" t="s">
        <v>3631</v>
      </c>
      <c r="I2785" s="1">
        <v>37107</v>
      </c>
      <c r="J2785" s="1">
        <v>37338</v>
      </c>
      <c r="K2785" t="s">
        <v>1124</v>
      </c>
      <c r="L2785" t="s">
        <v>1124</v>
      </c>
      <c r="M2785" s="1">
        <v>37374</v>
      </c>
      <c r="N2785" s="1">
        <v>37374</v>
      </c>
      <c r="O2785" t="s">
        <v>1117</v>
      </c>
      <c r="P2785">
        <v>1</v>
      </c>
      <c r="Q2785" t="s">
        <v>3632</v>
      </c>
      <c r="R2785">
        <f t="shared" si="88"/>
        <v>18</v>
      </c>
      <c r="S2785">
        <f t="shared" si="89"/>
        <v>1</v>
      </c>
    </row>
    <row r="2786" spans="1:19" x14ac:dyDescent="0.25">
      <c r="A2786" t="s">
        <v>3920</v>
      </c>
      <c r="B2786" t="s">
        <v>1199</v>
      </c>
      <c r="C2786">
        <v>0.2</v>
      </c>
      <c r="D2786">
        <v>400</v>
      </c>
      <c r="E2786">
        <v>0</v>
      </c>
      <c r="F2786">
        <v>12</v>
      </c>
      <c r="G2786">
        <v>12</v>
      </c>
      <c r="H2786" t="s">
        <v>3631</v>
      </c>
      <c r="I2786" s="1">
        <v>37107</v>
      </c>
      <c r="J2786" s="1">
        <v>37338</v>
      </c>
      <c r="K2786" s="1">
        <v>37361</v>
      </c>
      <c r="L2786" s="1">
        <v>37361</v>
      </c>
      <c r="M2786" s="1">
        <v>37361</v>
      </c>
      <c r="N2786" s="1">
        <v>37361</v>
      </c>
      <c r="O2786" t="s">
        <v>1117</v>
      </c>
      <c r="P2786">
        <v>1</v>
      </c>
      <c r="Q2786" t="s">
        <v>3632</v>
      </c>
      <c r="R2786">
        <f t="shared" si="88"/>
        <v>16</v>
      </c>
      <c r="S2786">
        <f t="shared" si="89"/>
        <v>1</v>
      </c>
    </row>
    <row r="2787" spans="1:19" x14ac:dyDescent="0.25">
      <c r="A2787" t="s">
        <v>3921</v>
      </c>
      <c r="B2787" t="s">
        <v>4028</v>
      </c>
      <c r="C2787">
        <v>0.25</v>
      </c>
      <c r="D2787">
        <v>225</v>
      </c>
      <c r="E2787">
        <v>0</v>
      </c>
      <c r="F2787">
        <v>2</v>
      </c>
      <c r="G2787">
        <v>2</v>
      </c>
      <c r="H2787" t="s">
        <v>3631</v>
      </c>
      <c r="I2787" s="1">
        <v>37134</v>
      </c>
      <c r="J2787" s="1">
        <v>37341</v>
      </c>
      <c r="K2787" s="1">
        <v>37362</v>
      </c>
      <c r="L2787" s="1">
        <v>37362</v>
      </c>
      <c r="M2787" s="1">
        <v>37355</v>
      </c>
      <c r="N2787" s="1">
        <v>37355</v>
      </c>
      <c r="O2787" t="s">
        <v>1117</v>
      </c>
      <c r="P2787">
        <v>11</v>
      </c>
      <c r="Q2787" t="s">
        <v>3632</v>
      </c>
      <c r="R2787">
        <f t="shared" si="88"/>
        <v>15</v>
      </c>
      <c r="S2787">
        <f t="shared" si="89"/>
        <v>1</v>
      </c>
    </row>
    <row r="2788" spans="1:19" x14ac:dyDescent="0.25">
      <c r="A2788" t="s">
        <v>3922</v>
      </c>
      <c r="B2788" t="s">
        <v>1199</v>
      </c>
      <c r="C2788">
        <v>0.25</v>
      </c>
      <c r="D2788">
        <v>390</v>
      </c>
      <c r="E2788">
        <v>0</v>
      </c>
      <c r="F2788">
        <v>26</v>
      </c>
      <c r="G2788">
        <v>25.536000000000001</v>
      </c>
      <c r="H2788" t="s">
        <v>3631</v>
      </c>
      <c r="I2788" s="1">
        <v>37107</v>
      </c>
      <c r="J2788" s="1">
        <v>37338</v>
      </c>
      <c r="K2788" s="1">
        <v>37366</v>
      </c>
      <c r="L2788" s="1">
        <v>37366</v>
      </c>
      <c r="M2788" s="1">
        <v>37359</v>
      </c>
      <c r="N2788" s="1">
        <v>37359</v>
      </c>
      <c r="O2788" t="s">
        <v>1117</v>
      </c>
      <c r="P2788">
        <v>1</v>
      </c>
      <c r="Q2788" t="s">
        <v>3632</v>
      </c>
      <c r="R2788">
        <f t="shared" si="88"/>
        <v>15</v>
      </c>
      <c r="S2788">
        <f t="shared" si="89"/>
        <v>0</v>
      </c>
    </row>
    <row r="2789" spans="1:19" x14ac:dyDescent="0.25">
      <c r="A2789" t="s">
        <v>3923</v>
      </c>
      <c r="B2789" t="s">
        <v>4026</v>
      </c>
      <c r="C2789">
        <v>0.2</v>
      </c>
      <c r="D2789">
        <v>188</v>
      </c>
      <c r="E2789">
        <v>0</v>
      </c>
      <c r="F2789">
        <v>4</v>
      </c>
      <c r="G2789">
        <v>4</v>
      </c>
      <c r="H2789" t="s">
        <v>3631</v>
      </c>
      <c r="I2789" s="1">
        <v>37134</v>
      </c>
      <c r="J2789" s="1">
        <v>37325</v>
      </c>
      <c r="K2789" s="1">
        <v>37376</v>
      </c>
      <c r="L2789" s="1">
        <v>37376</v>
      </c>
      <c r="M2789" s="1">
        <v>37355</v>
      </c>
      <c r="N2789" s="1">
        <v>37355</v>
      </c>
      <c r="O2789" t="s">
        <v>1117</v>
      </c>
      <c r="P2789">
        <v>2</v>
      </c>
      <c r="Q2789" t="s">
        <v>3632</v>
      </c>
      <c r="R2789">
        <f t="shared" si="88"/>
        <v>15</v>
      </c>
      <c r="S2789">
        <f t="shared" si="89"/>
        <v>1</v>
      </c>
    </row>
    <row r="2790" spans="1:19" x14ac:dyDescent="0.25">
      <c r="A2790" t="s">
        <v>3924</v>
      </c>
      <c r="B2790" t="s">
        <v>4028</v>
      </c>
      <c r="C2790">
        <v>0.2</v>
      </c>
      <c r="D2790">
        <v>400</v>
      </c>
      <c r="E2790">
        <v>0</v>
      </c>
      <c r="F2790">
        <v>8</v>
      </c>
      <c r="G2790">
        <v>8</v>
      </c>
      <c r="H2790" t="s">
        <v>3631</v>
      </c>
      <c r="I2790" s="1">
        <v>37119</v>
      </c>
      <c r="J2790" s="1">
        <v>37344</v>
      </c>
      <c r="K2790" s="1">
        <v>37372</v>
      </c>
      <c r="L2790" s="1">
        <v>37372</v>
      </c>
      <c r="M2790" s="1">
        <v>37365</v>
      </c>
      <c r="N2790" s="1">
        <v>37365</v>
      </c>
      <c r="O2790" t="s">
        <v>1117</v>
      </c>
      <c r="P2790">
        <v>2</v>
      </c>
      <c r="Q2790" t="s">
        <v>3632</v>
      </c>
      <c r="R2790">
        <f t="shared" si="88"/>
        <v>16</v>
      </c>
      <c r="S2790">
        <f t="shared" si="89"/>
        <v>1</v>
      </c>
    </row>
    <row r="2791" spans="1:19" x14ac:dyDescent="0.25">
      <c r="A2791" t="s">
        <v>3925</v>
      </c>
      <c r="B2791" t="s">
        <v>1199</v>
      </c>
      <c r="C2791">
        <v>0.25</v>
      </c>
      <c r="D2791">
        <v>390</v>
      </c>
      <c r="E2791">
        <v>0</v>
      </c>
      <c r="F2791">
        <v>3</v>
      </c>
      <c r="G2791">
        <v>3</v>
      </c>
      <c r="H2791" t="s">
        <v>3631</v>
      </c>
      <c r="I2791" s="1">
        <v>37119</v>
      </c>
      <c r="J2791" s="1">
        <v>37344</v>
      </c>
      <c r="K2791" s="1">
        <v>37358</v>
      </c>
      <c r="L2791" s="1">
        <v>37358</v>
      </c>
      <c r="M2791" s="1">
        <v>37358</v>
      </c>
      <c r="N2791" s="1">
        <v>37358</v>
      </c>
      <c r="O2791" t="s">
        <v>1117</v>
      </c>
      <c r="P2791">
        <v>1</v>
      </c>
      <c r="Q2791" t="s">
        <v>3632</v>
      </c>
      <c r="R2791">
        <f t="shared" si="88"/>
        <v>15</v>
      </c>
      <c r="S2791">
        <f t="shared" si="89"/>
        <v>1</v>
      </c>
    </row>
    <row r="2792" spans="1:19" x14ac:dyDescent="0.25">
      <c r="A2792" t="s">
        <v>3926</v>
      </c>
      <c r="B2792" t="s">
        <v>3631</v>
      </c>
      <c r="C2792">
        <v>0.2</v>
      </c>
      <c r="D2792">
        <v>302</v>
      </c>
      <c r="E2792">
        <v>0</v>
      </c>
      <c r="F2792">
        <v>4</v>
      </c>
      <c r="G2792">
        <v>4</v>
      </c>
      <c r="H2792" t="s">
        <v>3631</v>
      </c>
      <c r="I2792" s="1">
        <v>37343</v>
      </c>
      <c r="J2792" s="1">
        <v>37379</v>
      </c>
      <c r="K2792" t="s">
        <v>1124</v>
      </c>
      <c r="L2792" t="s">
        <v>1124</v>
      </c>
      <c r="M2792" t="s">
        <v>1124</v>
      </c>
      <c r="N2792" s="1">
        <v>37367</v>
      </c>
      <c r="O2792" t="s">
        <v>1117</v>
      </c>
      <c r="P2792">
        <v>1</v>
      </c>
      <c r="Q2792" t="s">
        <v>3632</v>
      </c>
      <c r="R2792">
        <f t="shared" si="88"/>
        <v>17</v>
      </c>
      <c r="S2792">
        <f t="shared" si="89"/>
        <v>0</v>
      </c>
    </row>
    <row r="2793" spans="1:19" x14ac:dyDescent="0.25">
      <c r="A2793" t="s">
        <v>3927</v>
      </c>
      <c r="B2793" t="s">
        <v>1199</v>
      </c>
      <c r="C2793">
        <v>0.25</v>
      </c>
      <c r="D2793">
        <v>306</v>
      </c>
      <c r="E2793">
        <v>0</v>
      </c>
      <c r="F2793">
        <v>13</v>
      </c>
      <c r="G2793">
        <v>13</v>
      </c>
      <c r="H2793" t="s">
        <v>3631</v>
      </c>
      <c r="I2793" s="1">
        <v>37134</v>
      </c>
      <c r="J2793" s="1">
        <v>37341</v>
      </c>
      <c r="K2793" s="1">
        <v>37362</v>
      </c>
      <c r="L2793" s="1">
        <v>37362</v>
      </c>
      <c r="M2793" s="1">
        <v>37356</v>
      </c>
      <c r="N2793" s="1">
        <v>37360</v>
      </c>
      <c r="O2793" t="s">
        <v>1117</v>
      </c>
      <c r="P2793">
        <v>6</v>
      </c>
      <c r="Q2793" t="s">
        <v>3632</v>
      </c>
      <c r="R2793">
        <f t="shared" si="88"/>
        <v>16</v>
      </c>
      <c r="S2793">
        <f t="shared" si="89"/>
        <v>1</v>
      </c>
    </row>
    <row r="2794" spans="1:19" x14ac:dyDescent="0.25">
      <c r="A2794" t="s">
        <v>3928</v>
      </c>
      <c r="B2794" t="s">
        <v>1199</v>
      </c>
      <c r="C2794">
        <v>0.25</v>
      </c>
      <c r="D2794">
        <v>200</v>
      </c>
      <c r="E2794">
        <v>0</v>
      </c>
      <c r="F2794">
        <v>7</v>
      </c>
      <c r="G2794">
        <v>7</v>
      </c>
      <c r="H2794" t="s">
        <v>3631</v>
      </c>
      <c r="I2794" s="1">
        <v>37134</v>
      </c>
      <c r="J2794" s="1">
        <v>37341</v>
      </c>
      <c r="K2794" s="1">
        <v>37369</v>
      </c>
      <c r="L2794" s="1">
        <v>37369</v>
      </c>
      <c r="M2794" s="1">
        <v>37355</v>
      </c>
      <c r="N2794" s="1">
        <v>37355</v>
      </c>
      <c r="O2794" t="s">
        <v>1117</v>
      </c>
      <c r="P2794">
        <v>10</v>
      </c>
      <c r="Q2794" t="s">
        <v>3632</v>
      </c>
      <c r="R2794">
        <f t="shared" si="88"/>
        <v>15</v>
      </c>
      <c r="S2794">
        <f t="shared" si="89"/>
        <v>1</v>
      </c>
    </row>
    <row r="2795" spans="1:19" x14ac:dyDescent="0.25">
      <c r="A2795" t="s">
        <v>3929</v>
      </c>
      <c r="B2795" t="s">
        <v>4028</v>
      </c>
      <c r="C2795">
        <v>0.22500000000000001</v>
      </c>
      <c r="D2795">
        <v>510</v>
      </c>
      <c r="E2795">
        <v>0</v>
      </c>
      <c r="F2795">
        <v>17</v>
      </c>
      <c r="G2795">
        <v>17</v>
      </c>
      <c r="H2795" t="s">
        <v>3631</v>
      </c>
      <c r="I2795" s="1">
        <v>37107</v>
      </c>
      <c r="J2795" s="1">
        <v>37338</v>
      </c>
      <c r="K2795" t="s">
        <v>1124</v>
      </c>
      <c r="L2795" t="s">
        <v>1124</v>
      </c>
      <c r="M2795" s="1">
        <v>37380</v>
      </c>
      <c r="N2795" s="1">
        <v>37380</v>
      </c>
      <c r="O2795" t="s">
        <v>1117</v>
      </c>
      <c r="P2795">
        <v>1</v>
      </c>
      <c r="Q2795" t="s">
        <v>3632</v>
      </c>
      <c r="R2795">
        <f t="shared" si="88"/>
        <v>18</v>
      </c>
      <c r="S2795">
        <f t="shared" si="89"/>
        <v>1</v>
      </c>
    </row>
    <row r="2796" spans="1:19" x14ac:dyDescent="0.25">
      <c r="A2796" t="s">
        <v>3930</v>
      </c>
      <c r="B2796" t="s">
        <v>4028</v>
      </c>
      <c r="C2796">
        <v>0.25</v>
      </c>
      <c r="D2796">
        <v>440</v>
      </c>
      <c r="E2796">
        <v>0</v>
      </c>
      <c r="F2796">
        <v>3</v>
      </c>
      <c r="G2796">
        <v>3</v>
      </c>
      <c r="H2796" t="s">
        <v>3631</v>
      </c>
      <c r="I2796" s="1">
        <v>37335</v>
      </c>
      <c r="J2796" s="1">
        <v>37367</v>
      </c>
      <c r="K2796" s="1">
        <v>37374</v>
      </c>
      <c r="L2796" s="1">
        <v>37374</v>
      </c>
      <c r="M2796" s="1">
        <v>37367</v>
      </c>
      <c r="N2796" s="1">
        <v>37367</v>
      </c>
      <c r="O2796" t="s">
        <v>1117</v>
      </c>
      <c r="P2796">
        <v>1</v>
      </c>
      <c r="Q2796" t="s">
        <v>3632</v>
      </c>
      <c r="R2796">
        <f t="shared" si="88"/>
        <v>17</v>
      </c>
      <c r="S2796">
        <f t="shared" si="89"/>
        <v>1</v>
      </c>
    </row>
    <row r="2797" spans="1:19" x14ac:dyDescent="0.25">
      <c r="A2797" t="s">
        <v>3931</v>
      </c>
      <c r="B2797" t="s">
        <v>1199</v>
      </c>
      <c r="C2797">
        <v>0.2</v>
      </c>
      <c r="D2797">
        <v>429.76799999999997</v>
      </c>
      <c r="E2797">
        <v>0</v>
      </c>
      <c r="F2797">
        <v>9</v>
      </c>
      <c r="G2797">
        <v>9</v>
      </c>
      <c r="H2797" t="s">
        <v>3631</v>
      </c>
      <c r="I2797" s="1">
        <v>37111</v>
      </c>
      <c r="J2797" s="1">
        <v>37343</v>
      </c>
      <c r="K2797" s="1">
        <v>37373</v>
      </c>
      <c r="L2797" s="1">
        <v>37373</v>
      </c>
      <c r="M2797" s="1">
        <v>37364</v>
      </c>
      <c r="N2797" s="1">
        <v>37364</v>
      </c>
      <c r="O2797" t="s">
        <v>1117</v>
      </c>
      <c r="P2797">
        <v>2</v>
      </c>
      <c r="Q2797" t="s">
        <v>3632</v>
      </c>
      <c r="R2797">
        <f t="shared" si="88"/>
        <v>16</v>
      </c>
      <c r="S2797">
        <f t="shared" si="89"/>
        <v>1</v>
      </c>
    </row>
    <row r="2798" spans="1:19" x14ac:dyDescent="0.25">
      <c r="A2798" t="s">
        <v>3932</v>
      </c>
      <c r="B2798" t="s">
        <v>4028</v>
      </c>
      <c r="C2798">
        <v>0.22</v>
      </c>
      <c r="D2798">
        <v>100</v>
      </c>
      <c r="E2798">
        <v>0</v>
      </c>
      <c r="F2798">
        <v>3</v>
      </c>
      <c r="G2798">
        <v>3</v>
      </c>
      <c r="H2798" t="s">
        <v>3631</v>
      </c>
      <c r="I2798" s="1">
        <v>37131</v>
      </c>
      <c r="J2798" s="1">
        <v>37341</v>
      </c>
      <c r="K2798" s="1">
        <v>37383</v>
      </c>
      <c r="L2798" s="1">
        <v>37383</v>
      </c>
      <c r="M2798" s="1">
        <v>37369</v>
      </c>
      <c r="N2798" s="1">
        <v>37369</v>
      </c>
      <c r="O2798" t="s">
        <v>1117</v>
      </c>
      <c r="P2798">
        <v>2</v>
      </c>
      <c r="Q2798" t="s">
        <v>3632</v>
      </c>
      <c r="R2798">
        <f t="shared" si="88"/>
        <v>17</v>
      </c>
      <c r="S2798">
        <f t="shared" si="89"/>
        <v>1</v>
      </c>
    </row>
    <row r="2799" spans="1:19" x14ac:dyDescent="0.25">
      <c r="A2799" t="s">
        <v>3933</v>
      </c>
      <c r="B2799" t="s">
        <v>4028</v>
      </c>
      <c r="C2799">
        <v>0.5</v>
      </c>
      <c r="D2799">
        <v>90</v>
      </c>
      <c r="E2799">
        <v>0</v>
      </c>
      <c r="F2799">
        <v>21.35</v>
      </c>
      <c r="G2799">
        <v>21.35</v>
      </c>
      <c r="H2799" t="s">
        <v>3631</v>
      </c>
      <c r="I2799" s="1">
        <v>37159</v>
      </c>
      <c r="J2799" s="1">
        <v>37339</v>
      </c>
      <c r="K2799" s="1">
        <v>37361</v>
      </c>
      <c r="L2799" s="1">
        <v>37361</v>
      </c>
      <c r="M2799" s="1">
        <v>37361</v>
      </c>
      <c r="N2799" s="1">
        <v>37361</v>
      </c>
      <c r="O2799" t="s">
        <v>1117</v>
      </c>
      <c r="P2799">
        <v>6</v>
      </c>
      <c r="Q2799" t="s">
        <v>3632</v>
      </c>
      <c r="R2799">
        <f t="shared" si="88"/>
        <v>16</v>
      </c>
      <c r="S2799">
        <f t="shared" si="89"/>
        <v>1</v>
      </c>
    </row>
    <row r="2800" spans="1:19" x14ac:dyDescent="0.25">
      <c r="A2800" t="s">
        <v>3934</v>
      </c>
      <c r="B2800" t="s">
        <v>4026</v>
      </c>
      <c r="C2800">
        <v>0.5</v>
      </c>
      <c r="D2800">
        <v>90</v>
      </c>
      <c r="E2800">
        <v>0</v>
      </c>
      <c r="F2800">
        <v>25.5</v>
      </c>
      <c r="G2800">
        <v>25.5</v>
      </c>
      <c r="H2800" t="s">
        <v>3631</v>
      </c>
      <c r="I2800" s="1">
        <v>37159</v>
      </c>
      <c r="J2800" s="1">
        <v>37339</v>
      </c>
      <c r="K2800" s="1">
        <v>37362</v>
      </c>
      <c r="L2800" s="1">
        <v>37362</v>
      </c>
      <c r="M2800" s="1">
        <v>37361</v>
      </c>
      <c r="N2800" s="1">
        <v>37361</v>
      </c>
      <c r="O2800" t="s">
        <v>1117</v>
      </c>
      <c r="P2800">
        <v>2</v>
      </c>
      <c r="Q2800" t="s">
        <v>3632</v>
      </c>
      <c r="R2800">
        <f t="shared" si="88"/>
        <v>16</v>
      </c>
      <c r="S2800">
        <f t="shared" si="89"/>
        <v>1</v>
      </c>
    </row>
    <row r="2801" spans="1:19" x14ac:dyDescent="0.25">
      <c r="A2801" t="s">
        <v>3935</v>
      </c>
      <c r="B2801" t="s">
        <v>4026</v>
      </c>
      <c r="C2801">
        <v>0.20300000000000001</v>
      </c>
      <c r="D2801">
        <v>469.9</v>
      </c>
      <c r="E2801">
        <v>0</v>
      </c>
      <c r="F2801">
        <v>4.2</v>
      </c>
      <c r="G2801">
        <v>4.2</v>
      </c>
      <c r="H2801" t="s">
        <v>3631</v>
      </c>
      <c r="I2801" s="1">
        <v>37111</v>
      </c>
      <c r="J2801" s="1">
        <v>37343</v>
      </c>
      <c r="K2801" s="1">
        <v>37364</v>
      </c>
      <c r="L2801" s="1">
        <v>37364</v>
      </c>
      <c r="M2801" s="1">
        <v>37364</v>
      </c>
      <c r="N2801" s="1">
        <v>37364</v>
      </c>
      <c r="O2801" t="s">
        <v>1117</v>
      </c>
      <c r="P2801">
        <v>3</v>
      </c>
      <c r="Q2801" t="s">
        <v>3632</v>
      </c>
      <c r="R2801">
        <f t="shared" si="88"/>
        <v>16</v>
      </c>
      <c r="S2801">
        <f t="shared" si="89"/>
        <v>1</v>
      </c>
    </row>
    <row r="2802" spans="1:19" x14ac:dyDescent="0.25">
      <c r="A2802" t="s">
        <v>3936</v>
      </c>
      <c r="B2802" t="s">
        <v>4028</v>
      </c>
      <c r="C2802">
        <v>0.5</v>
      </c>
      <c r="D2802">
        <v>60</v>
      </c>
      <c r="E2802">
        <v>0</v>
      </c>
      <c r="F2802">
        <v>8.1</v>
      </c>
      <c r="G2802">
        <v>8.1</v>
      </c>
      <c r="H2802" t="s">
        <v>3631</v>
      </c>
      <c r="I2802" s="1">
        <v>37159</v>
      </c>
      <c r="J2802" s="1">
        <v>37339</v>
      </c>
      <c r="K2802" s="1">
        <v>37353</v>
      </c>
      <c r="L2802" s="1">
        <v>37353</v>
      </c>
      <c r="M2802" s="1">
        <v>37353</v>
      </c>
      <c r="N2802" s="1">
        <v>37361</v>
      </c>
      <c r="O2802" t="s">
        <v>1117</v>
      </c>
      <c r="P2802">
        <v>4</v>
      </c>
      <c r="Q2802" t="s">
        <v>3632</v>
      </c>
      <c r="R2802">
        <f t="shared" si="88"/>
        <v>16</v>
      </c>
      <c r="S2802">
        <f t="shared" si="89"/>
        <v>1</v>
      </c>
    </row>
    <row r="2803" spans="1:19" x14ac:dyDescent="0.25">
      <c r="A2803" t="s">
        <v>3937</v>
      </c>
      <c r="B2803" t="s">
        <v>1199</v>
      </c>
      <c r="C2803">
        <v>0.20300000000000001</v>
      </c>
      <c r="D2803">
        <v>177.8</v>
      </c>
      <c r="E2803">
        <v>0</v>
      </c>
      <c r="F2803">
        <v>2.2000000000000002</v>
      </c>
      <c r="G2803">
        <v>2.2000000000000002</v>
      </c>
      <c r="H2803" t="s">
        <v>3631</v>
      </c>
      <c r="I2803" s="1">
        <v>37111</v>
      </c>
      <c r="J2803" s="1">
        <v>37343</v>
      </c>
      <c r="K2803" s="1">
        <v>37364</v>
      </c>
      <c r="L2803" s="1">
        <v>37364</v>
      </c>
      <c r="M2803" s="1">
        <v>37364</v>
      </c>
      <c r="N2803" s="1">
        <v>37364</v>
      </c>
      <c r="O2803" t="s">
        <v>1117</v>
      </c>
      <c r="P2803">
        <v>1</v>
      </c>
      <c r="Q2803" t="s">
        <v>3632</v>
      </c>
      <c r="R2803">
        <f t="shared" si="88"/>
        <v>16</v>
      </c>
      <c r="S2803">
        <f t="shared" si="89"/>
        <v>1</v>
      </c>
    </row>
    <row r="2804" spans="1:19" x14ac:dyDescent="0.25">
      <c r="A2804" t="s">
        <v>3938</v>
      </c>
      <c r="B2804" t="s">
        <v>3631</v>
      </c>
      <c r="C2804">
        <v>0.5</v>
      </c>
      <c r="D2804">
        <v>60</v>
      </c>
      <c r="E2804">
        <v>0</v>
      </c>
      <c r="F2804">
        <v>5.45</v>
      </c>
      <c r="G2804">
        <v>0.56999999999999995</v>
      </c>
      <c r="H2804" t="s">
        <v>3631</v>
      </c>
      <c r="I2804" s="1">
        <v>37159</v>
      </c>
      <c r="J2804" s="1">
        <v>37339</v>
      </c>
      <c r="K2804" s="1">
        <v>37361</v>
      </c>
      <c r="L2804" s="1">
        <v>37361</v>
      </c>
      <c r="M2804" s="1">
        <v>37361</v>
      </c>
      <c r="N2804" s="1">
        <v>37361</v>
      </c>
      <c r="O2804" t="s">
        <v>1117</v>
      </c>
      <c r="P2804">
        <v>3</v>
      </c>
      <c r="Q2804" t="s">
        <v>3632</v>
      </c>
      <c r="R2804">
        <f t="shared" si="88"/>
        <v>16</v>
      </c>
      <c r="S2804">
        <f t="shared" si="89"/>
        <v>0</v>
      </c>
    </row>
    <row r="2805" spans="1:19" x14ac:dyDescent="0.25">
      <c r="A2805" t="s">
        <v>3939</v>
      </c>
      <c r="B2805" t="s">
        <v>1199</v>
      </c>
      <c r="C2805">
        <v>0.5</v>
      </c>
      <c r="D2805">
        <v>90</v>
      </c>
      <c r="E2805">
        <v>0</v>
      </c>
      <c r="F2805">
        <v>20.309999999999999</v>
      </c>
      <c r="G2805">
        <v>20.309999999999999</v>
      </c>
      <c r="H2805" t="s">
        <v>3631</v>
      </c>
      <c r="I2805" s="1">
        <v>37159</v>
      </c>
      <c r="J2805" s="1">
        <v>37339</v>
      </c>
      <c r="K2805" s="1">
        <v>37355</v>
      </c>
      <c r="L2805" s="1">
        <v>37355</v>
      </c>
      <c r="M2805" s="1">
        <v>37355</v>
      </c>
      <c r="N2805" s="1">
        <v>37361</v>
      </c>
      <c r="O2805" t="s">
        <v>1117</v>
      </c>
      <c r="P2805">
        <v>1</v>
      </c>
      <c r="Q2805" t="s">
        <v>3632</v>
      </c>
      <c r="R2805">
        <f t="shared" si="88"/>
        <v>16</v>
      </c>
      <c r="S2805">
        <f t="shared" si="89"/>
        <v>1</v>
      </c>
    </row>
    <row r="2806" spans="1:19" x14ac:dyDescent="0.25">
      <c r="A2806" t="s">
        <v>3940</v>
      </c>
      <c r="B2806" t="s">
        <v>4026</v>
      </c>
      <c r="C2806">
        <v>0.4</v>
      </c>
      <c r="D2806">
        <v>158</v>
      </c>
      <c r="E2806">
        <v>0</v>
      </c>
      <c r="F2806">
        <v>6</v>
      </c>
      <c r="G2806">
        <v>6</v>
      </c>
      <c r="H2806" t="s">
        <v>3631</v>
      </c>
      <c r="I2806" s="1">
        <v>37192</v>
      </c>
      <c r="J2806" s="1">
        <v>37341</v>
      </c>
      <c r="K2806" s="1">
        <v>37348</v>
      </c>
      <c r="L2806" s="1">
        <v>37348</v>
      </c>
      <c r="M2806" s="1">
        <v>37348</v>
      </c>
      <c r="N2806" s="1">
        <v>37348</v>
      </c>
      <c r="O2806" t="s">
        <v>1117</v>
      </c>
      <c r="P2806">
        <v>1</v>
      </c>
      <c r="Q2806" t="s">
        <v>3632</v>
      </c>
      <c r="R2806">
        <f t="shared" si="88"/>
        <v>14</v>
      </c>
      <c r="S2806">
        <f t="shared" si="89"/>
        <v>1</v>
      </c>
    </row>
    <row r="2807" spans="1:19" x14ac:dyDescent="0.25">
      <c r="A2807" t="s">
        <v>3941</v>
      </c>
      <c r="B2807" t="s">
        <v>1199</v>
      </c>
      <c r="C2807">
        <v>0.25</v>
      </c>
      <c r="D2807">
        <v>395</v>
      </c>
      <c r="E2807">
        <v>0</v>
      </c>
      <c r="F2807">
        <v>4</v>
      </c>
      <c r="G2807">
        <v>4</v>
      </c>
      <c r="H2807" t="s">
        <v>3631</v>
      </c>
      <c r="I2807" s="1">
        <v>37343</v>
      </c>
      <c r="J2807" s="1">
        <v>37379</v>
      </c>
      <c r="K2807" t="s">
        <v>1124</v>
      </c>
      <c r="L2807" t="s">
        <v>1124</v>
      </c>
      <c r="M2807" t="s">
        <v>1124</v>
      </c>
      <c r="N2807" s="1">
        <v>37367</v>
      </c>
      <c r="O2807" t="s">
        <v>1117</v>
      </c>
      <c r="P2807">
        <v>1</v>
      </c>
      <c r="Q2807" t="s">
        <v>3632</v>
      </c>
      <c r="R2807">
        <f t="shared" si="88"/>
        <v>17</v>
      </c>
      <c r="S2807">
        <f t="shared" si="89"/>
        <v>0</v>
      </c>
    </row>
    <row r="2808" spans="1:19" x14ac:dyDescent="0.25">
      <c r="A2808" t="s">
        <v>3942</v>
      </c>
      <c r="B2808" t="s">
        <v>1199</v>
      </c>
      <c r="C2808">
        <v>0.25</v>
      </c>
      <c r="D2808">
        <v>460</v>
      </c>
      <c r="E2808">
        <v>0</v>
      </c>
      <c r="F2808">
        <v>6</v>
      </c>
      <c r="G2808">
        <v>6</v>
      </c>
      <c r="H2808" t="s">
        <v>3631</v>
      </c>
      <c r="I2808" s="1">
        <v>37116</v>
      </c>
      <c r="J2808" s="1">
        <v>37340</v>
      </c>
      <c r="K2808" t="s">
        <v>1124</v>
      </c>
      <c r="L2808" t="s">
        <v>1124</v>
      </c>
      <c r="M2808" s="1">
        <v>37363</v>
      </c>
      <c r="N2808" s="1">
        <v>37363</v>
      </c>
      <c r="O2808" t="s">
        <v>1117</v>
      </c>
      <c r="P2808">
        <v>1</v>
      </c>
      <c r="Q2808" t="s">
        <v>3632</v>
      </c>
      <c r="R2808">
        <f t="shared" si="88"/>
        <v>16</v>
      </c>
      <c r="S2808">
        <f t="shared" si="89"/>
        <v>1</v>
      </c>
    </row>
    <row r="2809" spans="1:19" x14ac:dyDescent="0.25">
      <c r="A2809" t="s">
        <v>3943</v>
      </c>
      <c r="B2809" t="s">
        <v>4028</v>
      </c>
      <c r="C2809">
        <v>0.25</v>
      </c>
      <c r="D2809">
        <v>395</v>
      </c>
      <c r="E2809">
        <v>0</v>
      </c>
      <c r="F2809">
        <v>4</v>
      </c>
      <c r="G2809">
        <v>4</v>
      </c>
      <c r="H2809" t="s">
        <v>3631</v>
      </c>
      <c r="I2809" s="1">
        <v>37335</v>
      </c>
      <c r="J2809" s="1">
        <v>37367</v>
      </c>
      <c r="K2809" s="1">
        <v>37383</v>
      </c>
      <c r="L2809" s="1">
        <v>37383</v>
      </c>
      <c r="M2809" s="1">
        <v>37367</v>
      </c>
      <c r="N2809" s="1">
        <v>37367</v>
      </c>
      <c r="O2809" t="s">
        <v>1117</v>
      </c>
      <c r="P2809">
        <v>1</v>
      </c>
      <c r="Q2809" t="s">
        <v>3632</v>
      </c>
      <c r="R2809">
        <f t="shared" si="88"/>
        <v>17</v>
      </c>
      <c r="S2809">
        <f t="shared" si="89"/>
        <v>1</v>
      </c>
    </row>
    <row r="2810" spans="1:19" x14ac:dyDescent="0.25">
      <c r="A2810" t="s">
        <v>3944</v>
      </c>
      <c r="B2810" t="s">
        <v>1199</v>
      </c>
      <c r="C2810">
        <v>0.2</v>
      </c>
      <c r="D2810">
        <v>160</v>
      </c>
      <c r="E2810">
        <v>0</v>
      </c>
      <c r="F2810">
        <v>2</v>
      </c>
      <c r="G2810">
        <v>2</v>
      </c>
      <c r="H2810" t="s">
        <v>3631</v>
      </c>
      <c r="I2810" s="1">
        <v>37134</v>
      </c>
      <c r="J2810" s="1">
        <v>37325</v>
      </c>
      <c r="K2810" s="1">
        <v>37375</v>
      </c>
      <c r="L2810" s="1">
        <v>37375</v>
      </c>
      <c r="M2810" s="1">
        <v>37329</v>
      </c>
      <c r="N2810" s="1">
        <v>37329</v>
      </c>
      <c r="O2810" t="s">
        <v>1117</v>
      </c>
      <c r="P2810">
        <v>7</v>
      </c>
      <c r="Q2810" t="s">
        <v>3632</v>
      </c>
      <c r="R2810">
        <f t="shared" si="88"/>
        <v>11</v>
      </c>
      <c r="S2810">
        <f t="shared" si="89"/>
        <v>1</v>
      </c>
    </row>
    <row r="2811" spans="1:19" x14ac:dyDescent="0.25">
      <c r="A2811" t="s">
        <v>3945</v>
      </c>
      <c r="B2811" t="s">
        <v>1199</v>
      </c>
      <c r="C2811">
        <v>0.25</v>
      </c>
      <c r="D2811">
        <v>545</v>
      </c>
      <c r="E2811">
        <v>0</v>
      </c>
      <c r="F2811">
        <v>4</v>
      </c>
      <c r="G2811">
        <v>4</v>
      </c>
      <c r="H2811" t="s">
        <v>3631</v>
      </c>
      <c r="I2811" s="1">
        <v>37335</v>
      </c>
      <c r="J2811" s="1">
        <v>37367</v>
      </c>
      <c r="K2811" s="1">
        <v>37367</v>
      </c>
      <c r="L2811" s="1">
        <v>37367</v>
      </c>
      <c r="M2811" s="1">
        <v>37367</v>
      </c>
      <c r="N2811" s="1">
        <v>37367</v>
      </c>
      <c r="O2811" t="s">
        <v>1114</v>
      </c>
      <c r="P2811">
        <v>1</v>
      </c>
      <c r="Q2811" t="s">
        <v>3632</v>
      </c>
      <c r="R2811">
        <f t="shared" si="88"/>
        <v>17</v>
      </c>
      <c r="S2811">
        <f t="shared" si="89"/>
        <v>1</v>
      </c>
    </row>
    <row r="2812" spans="1:19" x14ac:dyDescent="0.25">
      <c r="A2812" t="s">
        <v>3946</v>
      </c>
      <c r="B2812" t="s">
        <v>1199</v>
      </c>
      <c r="C2812">
        <v>0.25</v>
      </c>
      <c r="D2812">
        <v>225</v>
      </c>
      <c r="E2812">
        <v>0</v>
      </c>
      <c r="F2812">
        <v>2.2999999999999998</v>
      </c>
      <c r="G2812">
        <v>2.2999999999999998</v>
      </c>
      <c r="H2812" t="s">
        <v>3631</v>
      </c>
      <c r="I2812" s="1">
        <v>37134</v>
      </c>
      <c r="J2812" s="1">
        <v>37341</v>
      </c>
      <c r="K2812" s="1">
        <v>37376</v>
      </c>
      <c r="L2812" s="1">
        <v>37376</v>
      </c>
      <c r="M2812" s="1">
        <v>37355</v>
      </c>
      <c r="N2812" s="1">
        <v>37355</v>
      </c>
      <c r="O2812" t="s">
        <v>1117</v>
      </c>
      <c r="P2812">
        <v>5</v>
      </c>
      <c r="Q2812" t="s">
        <v>3632</v>
      </c>
      <c r="R2812">
        <f t="shared" si="88"/>
        <v>15</v>
      </c>
      <c r="S2812">
        <f t="shared" si="89"/>
        <v>1</v>
      </c>
    </row>
    <row r="2813" spans="1:19" x14ac:dyDescent="0.25">
      <c r="A2813" t="s">
        <v>3947</v>
      </c>
      <c r="B2813" t="s">
        <v>4026</v>
      </c>
      <c r="C2813">
        <v>0.249</v>
      </c>
      <c r="D2813">
        <v>517.14400000000001</v>
      </c>
      <c r="E2813">
        <v>0</v>
      </c>
      <c r="F2813">
        <v>9.0719999999999992</v>
      </c>
      <c r="G2813">
        <v>5.42</v>
      </c>
      <c r="H2813" t="s">
        <v>3631</v>
      </c>
      <c r="I2813" s="1">
        <v>37126</v>
      </c>
      <c r="J2813" s="1">
        <v>37344</v>
      </c>
      <c r="K2813" s="1">
        <v>37365</v>
      </c>
      <c r="L2813" s="1">
        <v>37365</v>
      </c>
      <c r="M2813" s="1">
        <v>37365</v>
      </c>
      <c r="N2813" s="1">
        <v>37365</v>
      </c>
      <c r="O2813" t="s">
        <v>1117</v>
      </c>
      <c r="P2813">
        <v>1</v>
      </c>
      <c r="Q2813" t="s">
        <v>3632</v>
      </c>
      <c r="R2813">
        <f t="shared" si="88"/>
        <v>16</v>
      </c>
      <c r="S2813">
        <f t="shared" si="89"/>
        <v>0</v>
      </c>
    </row>
    <row r="2814" spans="1:19" x14ac:dyDescent="0.25">
      <c r="A2814" t="s">
        <v>3948</v>
      </c>
      <c r="B2814" t="s">
        <v>1199</v>
      </c>
      <c r="C2814">
        <v>0.25</v>
      </c>
      <c r="D2814">
        <v>405</v>
      </c>
      <c r="E2814">
        <v>0</v>
      </c>
      <c r="F2814">
        <v>20</v>
      </c>
      <c r="G2814">
        <v>20</v>
      </c>
      <c r="H2814" t="s">
        <v>3631</v>
      </c>
      <c r="I2814" s="1">
        <v>37123</v>
      </c>
      <c r="J2814" s="1">
        <v>37340</v>
      </c>
      <c r="K2814" s="1">
        <v>37378</v>
      </c>
      <c r="L2814" s="1">
        <v>37378</v>
      </c>
      <c r="M2814" s="1">
        <v>37348</v>
      </c>
      <c r="N2814" s="1">
        <v>37367</v>
      </c>
      <c r="O2814" t="s">
        <v>1117</v>
      </c>
      <c r="P2814">
        <v>1</v>
      </c>
      <c r="Q2814" t="s">
        <v>3632</v>
      </c>
      <c r="R2814">
        <f t="shared" si="88"/>
        <v>17</v>
      </c>
      <c r="S2814">
        <f t="shared" si="89"/>
        <v>1</v>
      </c>
    </row>
    <row r="2815" spans="1:19" x14ac:dyDescent="0.25">
      <c r="A2815" t="s">
        <v>3949</v>
      </c>
      <c r="B2815" t="s">
        <v>4028</v>
      </c>
      <c r="C2815">
        <v>0.22</v>
      </c>
      <c r="D2815">
        <v>100</v>
      </c>
      <c r="E2815">
        <v>0</v>
      </c>
      <c r="F2815">
        <v>3</v>
      </c>
      <c r="G2815">
        <v>3</v>
      </c>
      <c r="H2815" t="s">
        <v>3631</v>
      </c>
      <c r="I2815" s="1">
        <v>37192</v>
      </c>
      <c r="J2815" s="1">
        <v>37341</v>
      </c>
      <c r="K2815" s="1">
        <v>37383</v>
      </c>
      <c r="L2815" s="1">
        <v>37383</v>
      </c>
      <c r="M2815" s="1">
        <v>37369</v>
      </c>
      <c r="N2815" s="1">
        <v>37369</v>
      </c>
      <c r="O2815" t="s">
        <v>1117</v>
      </c>
      <c r="P2815">
        <v>2</v>
      </c>
      <c r="Q2815" t="s">
        <v>3632</v>
      </c>
      <c r="R2815">
        <f t="shared" si="88"/>
        <v>17</v>
      </c>
      <c r="S2815">
        <f t="shared" si="89"/>
        <v>1</v>
      </c>
    </row>
    <row r="2816" spans="1:19" x14ac:dyDescent="0.25">
      <c r="A2816" t="s">
        <v>3950</v>
      </c>
      <c r="B2816" t="s">
        <v>1199</v>
      </c>
      <c r="C2816">
        <v>0.28000000000000003</v>
      </c>
      <c r="D2816">
        <v>100</v>
      </c>
      <c r="E2816">
        <v>0</v>
      </c>
      <c r="F2816">
        <v>2</v>
      </c>
      <c r="G2816">
        <v>2</v>
      </c>
      <c r="H2816" t="s">
        <v>3631</v>
      </c>
      <c r="I2816" s="1">
        <v>37192</v>
      </c>
      <c r="J2816" s="1">
        <v>37342</v>
      </c>
      <c r="K2816" s="1">
        <v>37377</v>
      </c>
      <c r="L2816" s="1">
        <v>37377</v>
      </c>
      <c r="M2816" s="1">
        <v>37363</v>
      </c>
      <c r="N2816" s="1">
        <v>37363</v>
      </c>
      <c r="O2816" t="s">
        <v>1117</v>
      </c>
      <c r="P2816">
        <v>3</v>
      </c>
      <c r="Q2816" t="s">
        <v>3632</v>
      </c>
      <c r="R2816">
        <f t="shared" si="88"/>
        <v>16</v>
      </c>
      <c r="S2816">
        <f t="shared" si="89"/>
        <v>1</v>
      </c>
    </row>
    <row r="2817" spans="1:19" x14ac:dyDescent="0.25">
      <c r="A2817" t="s">
        <v>3951</v>
      </c>
      <c r="B2817" t="s">
        <v>4028</v>
      </c>
      <c r="C2817">
        <v>0.5</v>
      </c>
      <c r="D2817">
        <v>118.745</v>
      </c>
      <c r="E2817">
        <v>0</v>
      </c>
      <c r="F2817">
        <v>18.143999999999998</v>
      </c>
      <c r="G2817">
        <v>2.214</v>
      </c>
      <c r="H2817" t="s">
        <v>3631</v>
      </c>
      <c r="I2817" s="1">
        <v>37107</v>
      </c>
      <c r="J2817" s="1">
        <v>37342</v>
      </c>
      <c r="K2817" s="1">
        <v>37383</v>
      </c>
      <c r="L2817" s="1">
        <v>37383</v>
      </c>
      <c r="M2817" s="1">
        <v>37370</v>
      </c>
      <c r="N2817" s="1">
        <v>37370</v>
      </c>
      <c r="O2817" t="s">
        <v>1117</v>
      </c>
      <c r="P2817">
        <v>1</v>
      </c>
      <c r="Q2817" t="s">
        <v>3632</v>
      </c>
      <c r="R2817">
        <f t="shared" si="88"/>
        <v>17</v>
      </c>
      <c r="S2817">
        <f t="shared" si="89"/>
        <v>0</v>
      </c>
    </row>
    <row r="2818" spans="1:19" x14ac:dyDescent="0.25">
      <c r="A2818" t="s">
        <v>3952</v>
      </c>
      <c r="B2818" t="s">
        <v>1199</v>
      </c>
      <c r="C2818">
        <v>0.40600000000000003</v>
      </c>
      <c r="D2818">
        <v>273.05</v>
      </c>
      <c r="E2818">
        <v>0</v>
      </c>
      <c r="F2818">
        <v>18.143999999999998</v>
      </c>
      <c r="G2818">
        <v>18.143999999999998</v>
      </c>
      <c r="H2818" t="s">
        <v>3631</v>
      </c>
      <c r="I2818" s="1">
        <v>37126</v>
      </c>
      <c r="J2818" s="1">
        <v>37312</v>
      </c>
      <c r="K2818" s="1">
        <v>37383</v>
      </c>
      <c r="L2818" s="1">
        <v>37383</v>
      </c>
      <c r="M2818" s="1">
        <v>37327</v>
      </c>
      <c r="N2818" s="1">
        <v>37327</v>
      </c>
      <c r="O2818" t="s">
        <v>1117</v>
      </c>
      <c r="P2818">
        <v>1</v>
      </c>
      <c r="Q2818" t="s">
        <v>3632</v>
      </c>
      <c r="R2818">
        <f t="shared" si="88"/>
        <v>11</v>
      </c>
      <c r="S2818">
        <f t="shared" si="89"/>
        <v>1</v>
      </c>
    </row>
    <row r="2819" spans="1:19" x14ac:dyDescent="0.25">
      <c r="A2819" t="s">
        <v>3953</v>
      </c>
      <c r="B2819" t="s">
        <v>4028</v>
      </c>
      <c r="C2819">
        <v>0.50800000000000001</v>
      </c>
      <c r="D2819">
        <v>273.05</v>
      </c>
      <c r="E2819">
        <v>0</v>
      </c>
      <c r="F2819">
        <v>18.143999999999998</v>
      </c>
      <c r="G2819">
        <v>18.143999999999998</v>
      </c>
      <c r="H2819" t="s">
        <v>3631</v>
      </c>
      <c r="I2819" s="1">
        <v>37126</v>
      </c>
      <c r="J2819" s="1">
        <v>37313</v>
      </c>
      <c r="K2819" s="1">
        <v>37363</v>
      </c>
      <c r="L2819" s="1">
        <v>37363</v>
      </c>
      <c r="M2819" s="1">
        <v>37356</v>
      </c>
      <c r="N2819" s="1">
        <v>37356</v>
      </c>
      <c r="O2819" t="s">
        <v>1117</v>
      </c>
      <c r="P2819">
        <v>1</v>
      </c>
      <c r="Q2819" t="s">
        <v>3632</v>
      </c>
      <c r="R2819">
        <f t="shared" ref="R2819:R2882" si="90">WEEKNUM(N2819,1)</f>
        <v>15</v>
      </c>
      <c r="S2819">
        <f t="shared" ref="S2819:S2882" si="91">IF(AND(F2819=G2819, M2819&lt;=N2819), 1,0)</f>
        <v>1</v>
      </c>
    </row>
    <row r="2820" spans="1:19" x14ac:dyDescent="0.25">
      <c r="A2820" t="s">
        <v>3954</v>
      </c>
      <c r="B2820" t="s">
        <v>1199</v>
      </c>
      <c r="C2820">
        <v>0.2</v>
      </c>
      <c r="D2820">
        <v>505</v>
      </c>
      <c r="E2820">
        <v>0</v>
      </c>
      <c r="F2820">
        <v>19</v>
      </c>
      <c r="G2820">
        <v>19</v>
      </c>
      <c r="H2820" t="s">
        <v>3631</v>
      </c>
      <c r="I2820" s="1">
        <v>37131</v>
      </c>
      <c r="J2820" s="1">
        <v>37308</v>
      </c>
      <c r="K2820" s="1">
        <v>37375</v>
      </c>
      <c r="L2820" s="1">
        <v>37375</v>
      </c>
      <c r="M2820" s="1">
        <v>37351</v>
      </c>
      <c r="N2820" s="1">
        <v>37352</v>
      </c>
      <c r="O2820" t="s">
        <v>1117</v>
      </c>
      <c r="P2820">
        <v>1</v>
      </c>
      <c r="Q2820" t="s">
        <v>3632</v>
      </c>
      <c r="R2820">
        <f t="shared" si="90"/>
        <v>14</v>
      </c>
      <c r="S2820">
        <f t="shared" si="91"/>
        <v>1</v>
      </c>
    </row>
    <row r="2821" spans="1:19" x14ac:dyDescent="0.25">
      <c r="A2821" t="s">
        <v>3955</v>
      </c>
      <c r="B2821" t="s">
        <v>3521</v>
      </c>
      <c r="C2821">
        <v>0.38100000000000001</v>
      </c>
      <c r="D2821">
        <v>231.77500000000001</v>
      </c>
      <c r="E2821">
        <v>0</v>
      </c>
      <c r="F2821">
        <v>9.0719999999999992</v>
      </c>
      <c r="G2821">
        <v>9.0719999999999992</v>
      </c>
      <c r="H2821" t="s">
        <v>3631</v>
      </c>
      <c r="I2821" s="1">
        <v>37133</v>
      </c>
      <c r="J2821" s="1">
        <v>37344</v>
      </c>
      <c r="K2821" s="1">
        <v>37344</v>
      </c>
      <c r="L2821" s="1">
        <v>37344</v>
      </c>
      <c r="M2821" s="1">
        <v>37344</v>
      </c>
      <c r="N2821" s="1">
        <v>37365</v>
      </c>
      <c r="O2821" t="s">
        <v>1114</v>
      </c>
      <c r="P2821">
        <v>1</v>
      </c>
      <c r="Q2821" t="s">
        <v>3632</v>
      </c>
      <c r="R2821">
        <f t="shared" si="90"/>
        <v>16</v>
      </c>
      <c r="S2821">
        <f t="shared" si="91"/>
        <v>1</v>
      </c>
    </row>
    <row r="2822" spans="1:19" x14ac:dyDescent="0.25">
      <c r="A2822" t="s">
        <v>3956</v>
      </c>
      <c r="B2822" t="s">
        <v>4026</v>
      </c>
      <c r="C2822">
        <v>0.63500000000000001</v>
      </c>
      <c r="D2822">
        <v>122.55500000000001</v>
      </c>
      <c r="E2822">
        <v>0</v>
      </c>
      <c r="F2822">
        <v>18.143999999999998</v>
      </c>
      <c r="G2822">
        <v>18.143999999999998</v>
      </c>
      <c r="H2822" t="s">
        <v>3631</v>
      </c>
      <c r="I2822" s="1">
        <v>37126</v>
      </c>
      <c r="J2822" s="1">
        <v>37344</v>
      </c>
      <c r="K2822" s="1">
        <v>37383</v>
      </c>
      <c r="L2822" s="1">
        <v>37383</v>
      </c>
      <c r="M2822" s="1">
        <v>37358</v>
      </c>
      <c r="N2822" s="1">
        <v>37358</v>
      </c>
      <c r="O2822" t="s">
        <v>1117</v>
      </c>
      <c r="P2822">
        <v>1</v>
      </c>
      <c r="Q2822" t="s">
        <v>3632</v>
      </c>
      <c r="R2822">
        <f t="shared" si="90"/>
        <v>15</v>
      </c>
      <c r="S2822">
        <f t="shared" si="91"/>
        <v>1</v>
      </c>
    </row>
    <row r="2823" spans="1:19" x14ac:dyDescent="0.25">
      <c r="A2823" t="s">
        <v>3957</v>
      </c>
      <c r="B2823" t="s">
        <v>1199</v>
      </c>
      <c r="C2823">
        <v>0.81299999999999994</v>
      </c>
      <c r="D2823">
        <v>209.55</v>
      </c>
      <c r="E2823">
        <v>0</v>
      </c>
      <c r="F2823">
        <v>4.5359999999999996</v>
      </c>
      <c r="G2823">
        <v>4.5359999999999996</v>
      </c>
      <c r="H2823" t="s">
        <v>3631</v>
      </c>
      <c r="I2823" s="1">
        <v>37131</v>
      </c>
      <c r="J2823" s="1">
        <v>37344</v>
      </c>
      <c r="K2823" s="1">
        <v>37383</v>
      </c>
      <c r="L2823" s="1">
        <v>37383</v>
      </c>
      <c r="M2823" s="1">
        <v>37358</v>
      </c>
      <c r="N2823" s="1">
        <v>37358</v>
      </c>
      <c r="O2823" t="s">
        <v>1117</v>
      </c>
      <c r="P2823">
        <v>1</v>
      </c>
      <c r="Q2823" t="s">
        <v>3632</v>
      </c>
      <c r="R2823">
        <f t="shared" si="90"/>
        <v>15</v>
      </c>
      <c r="S2823">
        <f t="shared" si="91"/>
        <v>1</v>
      </c>
    </row>
    <row r="2824" spans="1:19" x14ac:dyDescent="0.25">
      <c r="A2824" t="s">
        <v>3958</v>
      </c>
      <c r="B2824" t="s">
        <v>1199</v>
      </c>
      <c r="C2824">
        <v>0.45700000000000002</v>
      </c>
      <c r="D2824">
        <v>231.77500000000001</v>
      </c>
      <c r="E2824">
        <v>0</v>
      </c>
      <c r="F2824">
        <v>3.629</v>
      </c>
      <c r="G2824">
        <v>3.629</v>
      </c>
      <c r="H2824" t="s">
        <v>3631</v>
      </c>
      <c r="I2824" s="1">
        <v>37132</v>
      </c>
      <c r="J2824" s="1">
        <v>37325</v>
      </c>
      <c r="K2824" s="1">
        <v>37341</v>
      </c>
      <c r="L2824" s="1">
        <v>37341</v>
      </c>
      <c r="M2824" s="1">
        <v>37341</v>
      </c>
      <c r="N2824" s="1">
        <v>37341</v>
      </c>
      <c r="O2824" t="s">
        <v>1117</v>
      </c>
      <c r="P2824">
        <v>1</v>
      </c>
      <c r="Q2824" t="s">
        <v>3632</v>
      </c>
      <c r="R2824">
        <f t="shared" si="90"/>
        <v>13</v>
      </c>
      <c r="S2824">
        <f t="shared" si="91"/>
        <v>1</v>
      </c>
    </row>
    <row r="2825" spans="1:19" x14ac:dyDescent="0.25">
      <c r="A2825" t="s">
        <v>3959</v>
      </c>
      <c r="B2825" t="s">
        <v>3631</v>
      </c>
      <c r="C2825">
        <v>0.38100000000000001</v>
      </c>
      <c r="D2825">
        <v>231.77500000000001</v>
      </c>
      <c r="E2825">
        <v>0</v>
      </c>
      <c r="F2825">
        <v>4.5359999999999996</v>
      </c>
      <c r="G2825">
        <v>4.5359999999999996</v>
      </c>
      <c r="H2825" t="s">
        <v>3631</v>
      </c>
      <c r="I2825" s="1">
        <v>37132</v>
      </c>
      <c r="J2825" s="1">
        <v>37325</v>
      </c>
      <c r="K2825" s="1">
        <v>37357</v>
      </c>
      <c r="L2825" s="1">
        <v>37357</v>
      </c>
      <c r="M2825" s="1">
        <v>37357</v>
      </c>
      <c r="N2825" s="1">
        <v>37363</v>
      </c>
      <c r="O2825" t="s">
        <v>1117</v>
      </c>
      <c r="P2825">
        <v>1</v>
      </c>
      <c r="Q2825" t="s">
        <v>3632</v>
      </c>
      <c r="R2825">
        <f t="shared" si="90"/>
        <v>16</v>
      </c>
      <c r="S2825">
        <f t="shared" si="91"/>
        <v>1</v>
      </c>
    </row>
    <row r="2826" spans="1:19" x14ac:dyDescent="0.25">
      <c r="A2826" t="s">
        <v>3960</v>
      </c>
      <c r="B2826" t="s">
        <v>4026</v>
      </c>
      <c r="C2826">
        <v>0.50800000000000001</v>
      </c>
      <c r="D2826">
        <v>293.37</v>
      </c>
      <c r="E2826">
        <v>0</v>
      </c>
      <c r="F2826">
        <v>6.8040000000000003</v>
      </c>
      <c r="G2826">
        <v>6.8040000000000003</v>
      </c>
      <c r="H2826" t="s">
        <v>3631</v>
      </c>
      <c r="I2826" s="1">
        <v>37107</v>
      </c>
      <c r="J2826" s="1">
        <v>37342</v>
      </c>
      <c r="K2826" s="1">
        <v>37363</v>
      </c>
      <c r="L2826" s="1">
        <v>37363</v>
      </c>
      <c r="M2826" s="1">
        <v>37363</v>
      </c>
      <c r="N2826" s="1">
        <v>37363</v>
      </c>
      <c r="O2826" t="s">
        <v>1117</v>
      </c>
      <c r="P2826">
        <v>2</v>
      </c>
      <c r="Q2826" t="s">
        <v>3632</v>
      </c>
      <c r="R2826">
        <f t="shared" si="90"/>
        <v>16</v>
      </c>
      <c r="S2826">
        <f t="shared" si="91"/>
        <v>1</v>
      </c>
    </row>
    <row r="2827" spans="1:19" x14ac:dyDescent="0.25">
      <c r="A2827" t="s">
        <v>3961</v>
      </c>
      <c r="B2827" t="s">
        <v>1199</v>
      </c>
      <c r="C2827">
        <v>0.2</v>
      </c>
      <c r="D2827">
        <v>530</v>
      </c>
      <c r="E2827">
        <v>0</v>
      </c>
      <c r="F2827">
        <v>24</v>
      </c>
      <c r="G2827">
        <v>8.5609999999999999</v>
      </c>
      <c r="H2827" t="s">
        <v>3631</v>
      </c>
      <c r="I2827" s="1">
        <v>37116</v>
      </c>
      <c r="J2827" s="1">
        <v>37338</v>
      </c>
      <c r="K2827" s="1">
        <v>37375</v>
      </c>
      <c r="L2827" s="1">
        <v>37375</v>
      </c>
      <c r="M2827" s="1">
        <v>37346</v>
      </c>
      <c r="N2827" s="1">
        <v>37346</v>
      </c>
      <c r="O2827" t="s">
        <v>1117</v>
      </c>
      <c r="P2827">
        <v>3</v>
      </c>
      <c r="Q2827" t="s">
        <v>3632</v>
      </c>
      <c r="R2827">
        <f t="shared" si="90"/>
        <v>14</v>
      </c>
      <c r="S2827">
        <f t="shared" si="91"/>
        <v>0</v>
      </c>
    </row>
    <row r="2828" spans="1:19" x14ac:dyDescent="0.25">
      <c r="A2828" t="s">
        <v>3962</v>
      </c>
      <c r="B2828" t="s">
        <v>1199</v>
      </c>
      <c r="C2828">
        <v>0.2</v>
      </c>
      <c r="D2828">
        <v>685</v>
      </c>
      <c r="E2828">
        <v>0</v>
      </c>
      <c r="F2828">
        <v>6</v>
      </c>
      <c r="G2828">
        <v>6</v>
      </c>
      <c r="H2828" t="s">
        <v>3631</v>
      </c>
      <c r="I2828" s="1">
        <v>37116</v>
      </c>
      <c r="J2828" s="1">
        <v>37338</v>
      </c>
      <c r="K2828" s="1">
        <v>37376</v>
      </c>
      <c r="L2828" s="1">
        <v>37376</v>
      </c>
      <c r="M2828" s="1">
        <v>37352</v>
      </c>
      <c r="N2828" s="1">
        <v>37352</v>
      </c>
      <c r="O2828" t="s">
        <v>1117</v>
      </c>
      <c r="P2828">
        <v>1</v>
      </c>
      <c r="Q2828" t="s">
        <v>3632</v>
      </c>
      <c r="R2828">
        <f t="shared" si="90"/>
        <v>14</v>
      </c>
      <c r="S2828">
        <f t="shared" si="91"/>
        <v>1</v>
      </c>
    </row>
    <row r="2829" spans="1:19" x14ac:dyDescent="0.25">
      <c r="A2829" t="s">
        <v>3963</v>
      </c>
      <c r="B2829" t="s">
        <v>1199</v>
      </c>
      <c r="C2829">
        <v>0.2</v>
      </c>
      <c r="D2829">
        <v>460</v>
      </c>
      <c r="E2829">
        <v>0</v>
      </c>
      <c r="F2829">
        <v>4</v>
      </c>
      <c r="G2829">
        <v>4</v>
      </c>
      <c r="H2829" t="s">
        <v>3631</v>
      </c>
      <c r="I2829" s="1">
        <v>37116</v>
      </c>
      <c r="J2829" s="1">
        <v>37314</v>
      </c>
      <c r="K2829" s="1">
        <v>37372</v>
      </c>
      <c r="L2829" s="1">
        <v>37372</v>
      </c>
      <c r="M2829" s="1">
        <v>37352</v>
      </c>
      <c r="N2829" s="1">
        <v>37352</v>
      </c>
      <c r="O2829" t="s">
        <v>1117</v>
      </c>
      <c r="P2829">
        <v>7</v>
      </c>
      <c r="Q2829" t="s">
        <v>3632</v>
      </c>
      <c r="R2829">
        <f t="shared" si="90"/>
        <v>14</v>
      </c>
      <c r="S2829">
        <f t="shared" si="91"/>
        <v>1</v>
      </c>
    </row>
    <row r="2830" spans="1:19" x14ac:dyDescent="0.25">
      <c r="A2830" t="s">
        <v>3964</v>
      </c>
      <c r="B2830" t="s">
        <v>1199</v>
      </c>
      <c r="C2830">
        <v>0.25</v>
      </c>
      <c r="D2830">
        <v>460</v>
      </c>
      <c r="E2830">
        <v>0</v>
      </c>
      <c r="F2830">
        <v>3</v>
      </c>
      <c r="G2830">
        <v>3</v>
      </c>
      <c r="H2830" t="s">
        <v>3631</v>
      </c>
      <c r="I2830" s="1">
        <v>37116</v>
      </c>
      <c r="J2830" s="1">
        <v>37338</v>
      </c>
      <c r="K2830" s="1">
        <v>37367</v>
      </c>
      <c r="L2830" s="1">
        <v>37367</v>
      </c>
      <c r="M2830" s="1">
        <v>37367</v>
      </c>
      <c r="N2830" s="1">
        <v>37367</v>
      </c>
      <c r="O2830" t="s">
        <v>1117</v>
      </c>
      <c r="P2830">
        <v>5</v>
      </c>
      <c r="Q2830" t="s">
        <v>3632</v>
      </c>
      <c r="R2830">
        <f t="shared" si="90"/>
        <v>17</v>
      </c>
      <c r="S2830">
        <f t="shared" si="91"/>
        <v>1</v>
      </c>
    </row>
    <row r="2831" spans="1:19" x14ac:dyDescent="0.25">
      <c r="A2831" t="s">
        <v>3965</v>
      </c>
      <c r="B2831" t="s">
        <v>1199</v>
      </c>
      <c r="C2831">
        <v>0.2</v>
      </c>
      <c r="D2831">
        <v>375</v>
      </c>
      <c r="E2831">
        <v>0</v>
      </c>
      <c r="F2831">
        <v>7</v>
      </c>
      <c r="G2831">
        <v>7</v>
      </c>
      <c r="H2831" t="s">
        <v>3631</v>
      </c>
      <c r="I2831" s="1">
        <v>37116</v>
      </c>
      <c r="J2831" s="1">
        <v>37338</v>
      </c>
      <c r="K2831" s="1">
        <v>37383</v>
      </c>
      <c r="L2831" s="1">
        <v>37383</v>
      </c>
      <c r="M2831" s="1">
        <v>37360</v>
      </c>
      <c r="N2831" s="1">
        <v>37360</v>
      </c>
      <c r="O2831" t="s">
        <v>1117</v>
      </c>
      <c r="P2831">
        <v>6</v>
      </c>
      <c r="Q2831" t="s">
        <v>3632</v>
      </c>
      <c r="R2831">
        <f t="shared" si="90"/>
        <v>16</v>
      </c>
      <c r="S2831">
        <f t="shared" si="91"/>
        <v>1</v>
      </c>
    </row>
    <row r="2832" spans="1:19" x14ac:dyDescent="0.25">
      <c r="A2832" t="s">
        <v>3966</v>
      </c>
      <c r="B2832" t="s">
        <v>1199</v>
      </c>
      <c r="C2832">
        <v>0.25</v>
      </c>
      <c r="D2832">
        <v>610</v>
      </c>
      <c r="E2832">
        <v>0</v>
      </c>
      <c r="F2832">
        <v>8</v>
      </c>
      <c r="G2832">
        <v>8</v>
      </c>
      <c r="H2832" t="s">
        <v>3631</v>
      </c>
      <c r="I2832" s="1">
        <v>37112</v>
      </c>
      <c r="J2832" s="1">
        <v>37338</v>
      </c>
      <c r="K2832" s="1">
        <v>37367</v>
      </c>
      <c r="L2832" s="1">
        <v>37367</v>
      </c>
      <c r="M2832" s="1">
        <v>37367</v>
      </c>
      <c r="N2832" s="1">
        <v>37367</v>
      </c>
      <c r="O2832" t="s">
        <v>1117</v>
      </c>
      <c r="P2832">
        <v>1</v>
      </c>
      <c r="Q2832" t="s">
        <v>3632</v>
      </c>
      <c r="R2832">
        <f t="shared" si="90"/>
        <v>17</v>
      </c>
      <c r="S2832">
        <f t="shared" si="91"/>
        <v>1</v>
      </c>
    </row>
    <row r="2833" spans="1:19" x14ac:dyDescent="0.25">
      <c r="A2833" t="s">
        <v>3967</v>
      </c>
      <c r="B2833" t="s">
        <v>1199</v>
      </c>
      <c r="C2833">
        <v>0.22500000000000001</v>
      </c>
      <c r="D2833">
        <v>500</v>
      </c>
      <c r="E2833">
        <v>0</v>
      </c>
      <c r="F2833">
        <v>10</v>
      </c>
      <c r="G2833">
        <v>10</v>
      </c>
      <c r="H2833" t="s">
        <v>3631</v>
      </c>
      <c r="I2833" s="1">
        <v>37107</v>
      </c>
      <c r="J2833" s="1">
        <v>37338</v>
      </c>
      <c r="K2833" s="1">
        <v>37366</v>
      </c>
      <c r="L2833" s="1">
        <v>37366</v>
      </c>
      <c r="M2833" s="1">
        <v>37366</v>
      </c>
      <c r="N2833" s="1">
        <v>37366</v>
      </c>
      <c r="O2833" t="s">
        <v>1117</v>
      </c>
      <c r="P2833">
        <v>1</v>
      </c>
      <c r="Q2833" t="s">
        <v>3632</v>
      </c>
      <c r="R2833">
        <f t="shared" si="90"/>
        <v>16</v>
      </c>
      <c r="S2833">
        <f t="shared" si="91"/>
        <v>1</v>
      </c>
    </row>
    <row r="2834" spans="1:19" x14ac:dyDescent="0.25">
      <c r="A2834" t="s">
        <v>3968</v>
      </c>
      <c r="B2834" t="s">
        <v>1199</v>
      </c>
      <c r="C2834">
        <v>0.20300000000000001</v>
      </c>
      <c r="D2834">
        <v>548.64</v>
      </c>
      <c r="E2834">
        <v>0</v>
      </c>
      <c r="F2834">
        <v>6.8</v>
      </c>
      <c r="G2834">
        <v>5.81</v>
      </c>
      <c r="H2834" t="s">
        <v>3631</v>
      </c>
      <c r="I2834" s="1">
        <v>37117</v>
      </c>
      <c r="J2834" s="1">
        <v>37344</v>
      </c>
      <c r="K2834" s="1">
        <v>37370</v>
      </c>
      <c r="L2834" s="1">
        <v>37370</v>
      </c>
      <c r="M2834" s="1">
        <v>37370</v>
      </c>
      <c r="N2834" s="1">
        <v>37370</v>
      </c>
      <c r="O2834" t="s">
        <v>1117</v>
      </c>
      <c r="P2834">
        <v>3</v>
      </c>
      <c r="Q2834" t="s">
        <v>3632</v>
      </c>
      <c r="R2834">
        <f t="shared" si="90"/>
        <v>17</v>
      </c>
      <c r="S2834">
        <f t="shared" si="91"/>
        <v>0</v>
      </c>
    </row>
    <row r="2835" spans="1:19" x14ac:dyDescent="0.25">
      <c r="A2835" t="s">
        <v>3969</v>
      </c>
      <c r="B2835" t="s">
        <v>4028</v>
      </c>
      <c r="C2835">
        <v>0.81299999999999994</v>
      </c>
      <c r="D2835">
        <v>88.9</v>
      </c>
      <c r="E2835">
        <v>0</v>
      </c>
      <c r="F2835">
        <v>4.5359999999999996</v>
      </c>
      <c r="G2835">
        <v>4.5359999999999996</v>
      </c>
      <c r="H2835" t="s">
        <v>3631</v>
      </c>
      <c r="I2835" s="1">
        <v>37159</v>
      </c>
      <c r="J2835" s="1">
        <v>37342</v>
      </c>
      <c r="K2835" s="1">
        <v>37383</v>
      </c>
      <c r="L2835" s="1">
        <v>37383</v>
      </c>
      <c r="M2835" s="1">
        <v>37363</v>
      </c>
      <c r="N2835" s="1">
        <v>37363</v>
      </c>
      <c r="O2835" t="s">
        <v>1117</v>
      </c>
      <c r="P2835">
        <v>1</v>
      </c>
      <c r="Q2835" t="s">
        <v>3632</v>
      </c>
      <c r="R2835">
        <f t="shared" si="90"/>
        <v>16</v>
      </c>
      <c r="S2835">
        <f t="shared" si="91"/>
        <v>1</v>
      </c>
    </row>
    <row r="2836" spans="1:19" x14ac:dyDescent="0.25">
      <c r="A2836" t="s">
        <v>3970</v>
      </c>
      <c r="B2836" t="s">
        <v>4028</v>
      </c>
      <c r="C2836">
        <v>0.6</v>
      </c>
      <c r="D2836">
        <v>12.8</v>
      </c>
      <c r="E2836">
        <v>0</v>
      </c>
      <c r="F2836">
        <v>3</v>
      </c>
      <c r="G2836">
        <v>3</v>
      </c>
      <c r="H2836" t="s">
        <v>3631</v>
      </c>
      <c r="I2836" s="1">
        <v>37159</v>
      </c>
      <c r="J2836" s="1">
        <v>37339</v>
      </c>
      <c r="K2836" s="1">
        <v>37383</v>
      </c>
      <c r="L2836" s="1">
        <v>37383</v>
      </c>
      <c r="M2836" s="1">
        <v>37347</v>
      </c>
      <c r="N2836" s="1">
        <v>37347</v>
      </c>
      <c r="O2836" t="s">
        <v>1117</v>
      </c>
      <c r="P2836">
        <v>1</v>
      </c>
      <c r="Q2836" t="s">
        <v>3632</v>
      </c>
      <c r="R2836">
        <f t="shared" si="90"/>
        <v>14</v>
      </c>
      <c r="S2836">
        <f t="shared" si="91"/>
        <v>1</v>
      </c>
    </row>
    <row r="2837" spans="1:19" x14ac:dyDescent="0.25">
      <c r="A2837" t="s">
        <v>3971</v>
      </c>
      <c r="B2837" t="s">
        <v>1199</v>
      </c>
      <c r="C2837">
        <v>0.38100000000000001</v>
      </c>
      <c r="D2837">
        <v>233.68</v>
      </c>
      <c r="E2837">
        <v>0</v>
      </c>
      <c r="F2837">
        <v>18.143999999999998</v>
      </c>
      <c r="G2837">
        <v>18.143999999999998</v>
      </c>
      <c r="H2837" t="s">
        <v>3631</v>
      </c>
      <c r="I2837" s="1">
        <v>37304</v>
      </c>
      <c r="J2837" s="1">
        <v>37309</v>
      </c>
      <c r="K2837" s="1">
        <v>37383</v>
      </c>
      <c r="L2837" s="1">
        <v>37383</v>
      </c>
      <c r="M2837" s="1">
        <v>37349</v>
      </c>
      <c r="N2837" s="1">
        <v>37356</v>
      </c>
      <c r="O2837" t="s">
        <v>1117</v>
      </c>
      <c r="P2837">
        <v>1</v>
      </c>
      <c r="Q2837" t="s">
        <v>3632</v>
      </c>
      <c r="R2837">
        <f t="shared" si="90"/>
        <v>15</v>
      </c>
      <c r="S2837">
        <f t="shared" si="91"/>
        <v>1</v>
      </c>
    </row>
    <row r="2838" spans="1:19" x14ac:dyDescent="0.25">
      <c r="A2838" t="s">
        <v>3972</v>
      </c>
      <c r="B2838" t="s">
        <v>4028</v>
      </c>
      <c r="C2838">
        <v>0.40899999999999997</v>
      </c>
      <c r="D2838">
        <v>192.99</v>
      </c>
      <c r="E2838">
        <v>0</v>
      </c>
      <c r="F2838">
        <v>4.5359999999999996</v>
      </c>
      <c r="G2838">
        <v>4.5359999999999996</v>
      </c>
      <c r="H2838" t="s">
        <v>3631</v>
      </c>
      <c r="I2838" s="1">
        <v>37131</v>
      </c>
      <c r="J2838" s="1">
        <v>37344</v>
      </c>
      <c r="K2838" s="1">
        <v>37383</v>
      </c>
      <c r="L2838" s="1">
        <v>37383</v>
      </c>
      <c r="M2838" s="1">
        <v>37351</v>
      </c>
      <c r="N2838" s="1">
        <v>37351</v>
      </c>
      <c r="O2838" t="s">
        <v>1117</v>
      </c>
      <c r="P2838">
        <v>1</v>
      </c>
      <c r="Q2838" t="s">
        <v>3632</v>
      </c>
      <c r="R2838">
        <f t="shared" si="90"/>
        <v>14</v>
      </c>
      <c r="S2838">
        <f t="shared" si="91"/>
        <v>1</v>
      </c>
    </row>
    <row r="2839" spans="1:19" x14ac:dyDescent="0.25">
      <c r="A2839" t="s">
        <v>3973</v>
      </c>
      <c r="B2839" t="s">
        <v>4028</v>
      </c>
      <c r="C2839">
        <v>0.1</v>
      </c>
      <c r="D2839">
        <v>100</v>
      </c>
      <c r="E2839">
        <v>0</v>
      </c>
      <c r="F2839">
        <v>3</v>
      </c>
      <c r="G2839">
        <v>3</v>
      </c>
      <c r="H2839" t="s">
        <v>3631</v>
      </c>
      <c r="I2839" s="1">
        <v>37116</v>
      </c>
      <c r="J2839" s="1">
        <v>37338</v>
      </c>
      <c r="K2839" s="1">
        <v>37344</v>
      </c>
      <c r="L2839" s="1">
        <v>37344</v>
      </c>
      <c r="M2839" s="1">
        <v>37340</v>
      </c>
      <c r="N2839" s="1">
        <v>37340</v>
      </c>
      <c r="O2839" t="s">
        <v>1117</v>
      </c>
      <c r="P2839">
        <v>1</v>
      </c>
      <c r="Q2839" t="s">
        <v>3632</v>
      </c>
      <c r="R2839">
        <f t="shared" si="90"/>
        <v>13</v>
      </c>
      <c r="S2839">
        <f t="shared" si="91"/>
        <v>1</v>
      </c>
    </row>
    <row r="2840" spans="1:19" x14ac:dyDescent="0.25">
      <c r="A2840" t="s">
        <v>3974</v>
      </c>
      <c r="B2840" t="s">
        <v>1199</v>
      </c>
      <c r="C2840">
        <v>0.8</v>
      </c>
      <c r="D2840">
        <v>160</v>
      </c>
      <c r="E2840">
        <v>0</v>
      </c>
      <c r="F2840">
        <v>3</v>
      </c>
      <c r="G2840">
        <v>3</v>
      </c>
      <c r="H2840" t="s">
        <v>3631</v>
      </c>
      <c r="I2840" s="1">
        <v>37134</v>
      </c>
      <c r="J2840" s="1">
        <v>37325</v>
      </c>
      <c r="K2840" t="s">
        <v>1124</v>
      </c>
      <c r="L2840" t="s">
        <v>1124</v>
      </c>
      <c r="M2840" s="1">
        <v>37328</v>
      </c>
      <c r="N2840" s="1">
        <v>37328</v>
      </c>
      <c r="O2840" t="s">
        <v>1117</v>
      </c>
      <c r="P2840">
        <v>5</v>
      </c>
      <c r="Q2840" t="s">
        <v>3632</v>
      </c>
      <c r="R2840">
        <f t="shared" si="90"/>
        <v>11</v>
      </c>
      <c r="S2840">
        <f t="shared" si="91"/>
        <v>1</v>
      </c>
    </row>
    <row r="2841" spans="1:19" x14ac:dyDescent="0.25">
      <c r="A2841" t="s">
        <v>3975</v>
      </c>
      <c r="B2841" t="s">
        <v>1199</v>
      </c>
      <c r="C2841">
        <v>0.2</v>
      </c>
      <c r="D2841">
        <v>505</v>
      </c>
      <c r="E2841">
        <v>0</v>
      </c>
      <c r="F2841">
        <v>19.2</v>
      </c>
      <c r="G2841">
        <v>5.774</v>
      </c>
      <c r="H2841" t="s">
        <v>3631</v>
      </c>
      <c r="I2841" s="1">
        <v>37159</v>
      </c>
      <c r="J2841" s="1">
        <v>37338</v>
      </c>
      <c r="K2841" s="1">
        <v>37352</v>
      </c>
      <c r="L2841" s="1">
        <v>37352</v>
      </c>
      <c r="M2841" s="1">
        <v>37352</v>
      </c>
      <c r="N2841" s="1">
        <v>37352</v>
      </c>
      <c r="O2841" t="s">
        <v>1117</v>
      </c>
      <c r="P2841">
        <v>2</v>
      </c>
      <c r="Q2841" t="s">
        <v>3632</v>
      </c>
      <c r="R2841">
        <f t="shared" si="90"/>
        <v>14</v>
      </c>
      <c r="S2841">
        <f t="shared" si="91"/>
        <v>0</v>
      </c>
    </row>
    <row r="2842" spans="1:19" x14ac:dyDescent="0.25">
      <c r="A2842" t="s">
        <v>3976</v>
      </c>
      <c r="B2842" t="s">
        <v>4028</v>
      </c>
      <c r="C2842">
        <v>0.8</v>
      </c>
      <c r="D2842">
        <v>140</v>
      </c>
      <c r="E2842">
        <v>0</v>
      </c>
      <c r="F2842">
        <v>3</v>
      </c>
      <c r="G2842">
        <v>3</v>
      </c>
      <c r="H2842" t="s">
        <v>3631</v>
      </c>
      <c r="I2842" s="1">
        <v>37134</v>
      </c>
      <c r="J2842" s="1">
        <v>37344</v>
      </c>
      <c r="K2842" t="s">
        <v>1124</v>
      </c>
      <c r="L2842" t="s">
        <v>1124</v>
      </c>
      <c r="M2842" s="1">
        <v>37351</v>
      </c>
      <c r="N2842" s="1">
        <v>37351</v>
      </c>
      <c r="O2842" t="s">
        <v>1117</v>
      </c>
      <c r="P2842">
        <v>3</v>
      </c>
      <c r="Q2842" t="s">
        <v>3632</v>
      </c>
      <c r="R2842">
        <f t="shared" si="90"/>
        <v>14</v>
      </c>
      <c r="S2842">
        <f t="shared" si="91"/>
        <v>1</v>
      </c>
    </row>
    <row r="2843" spans="1:19" x14ac:dyDescent="0.25">
      <c r="A2843" t="s">
        <v>3977</v>
      </c>
      <c r="B2843" t="s">
        <v>4026</v>
      </c>
      <c r="C2843">
        <v>0.40100000000000002</v>
      </c>
      <c r="D2843">
        <v>217.17</v>
      </c>
      <c r="E2843">
        <v>0</v>
      </c>
      <c r="F2843">
        <v>4.5339999999999998</v>
      </c>
      <c r="G2843">
        <v>4.5339999999999998</v>
      </c>
      <c r="H2843" t="s">
        <v>3631</v>
      </c>
      <c r="I2843" s="1">
        <v>37159</v>
      </c>
      <c r="J2843" s="1">
        <v>37342</v>
      </c>
      <c r="K2843" s="1">
        <v>37383</v>
      </c>
      <c r="L2843" s="1">
        <v>37383</v>
      </c>
      <c r="M2843" s="1">
        <v>37370</v>
      </c>
      <c r="N2843" s="1">
        <v>37370</v>
      </c>
      <c r="O2843" t="s">
        <v>1117</v>
      </c>
      <c r="P2843">
        <v>1</v>
      </c>
      <c r="Q2843" t="s">
        <v>3632</v>
      </c>
      <c r="R2843">
        <f t="shared" si="90"/>
        <v>17</v>
      </c>
      <c r="S2843">
        <f t="shared" si="91"/>
        <v>1</v>
      </c>
    </row>
    <row r="2844" spans="1:19" x14ac:dyDescent="0.25">
      <c r="A2844" t="s">
        <v>3978</v>
      </c>
      <c r="B2844" t="s">
        <v>4028</v>
      </c>
      <c r="C2844">
        <v>0.8</v>
      </c>
      <c r="D2844">
        <v>130</v>
      </c>
      <c r="E2844">
        <v>0</v>
      </c>
      <c r="F2844">
        <v>3</v>
      </c>
      <c r="G2844">
        <v>3</v>
      </c>
      <c r="H2844" t="s">
        <v>3631</v>
      </c>
      <c r="I2844" s="1">
        <v>37134</v>
      </c>
      <c r="J2844" s="1">
        <v>37344</v>
      </c>
      <c r="K2844" t="s">
        <v>1124</v>
      </c>
      <c r="L2844" t="s">
        <v>1124</v>
      </c>
      <c r="M2844" s="1">
        <v>37351</v>
      </c>
      <c r="N2844" s="1">
        <v>37351</v>
      </c>
      <c r="O2844" t="s">
        <v>1117</v>
      </c>
      <c r="P2844">
        <v>2</v>
      </c>
      <c r="Q2844" t="s">
        <v>3632</v>
      </c>
      <c r="R2844">
        <f t="shared" si="90"/>
        <v>14</v>
      </c>
      <c r="S2844">
        <f t="shared" si="91"/>
        <v>1</v>
      </c>
    </row>
    <row r="2845" spans="1:19" x14ac:dyDescent="0.25">
      <c r="A2845" t="s">
        <v>3979</v>
      </c>
      <c r="B2845" t="s">
        <v>4028</v>
      </c>
      <c r="C2845">
        <v>0.8</v>
      </c>
      <c r="D2845">
        <v>100</v>
      </c>
      <c r="E2845">
        <v>0</v>
      </c>
      <c r="F2845">
        <v>6</v>
      </c>
      <c r="G2845">
        <v>3.1</v>
      </c>
      <c r="H2845" t="s">
        <v>3631</v>
      </c>
      <c r="I2845" s="1">
        <v>37134</v>
      </c>
      <c r="J2845" s="1">
        <v>37344</v>
      </c>
      <c r="K2845" t="s">
        <v>1124</v>
      </c>
      <c r="L2845" t="s">
        <v>1124</v>
      </c>
      <c r="M2845" s="1">
        <v>37351</v>
      </c>
      <c r="N2845" s="1">
        <v>37351</v>
      </c>
      <c r="O2845" t="s">
        <v>1117</v>
      </c>
      <c r="P2845">
        <v>1</v>
      </c>
      <c r="Q2845" t="s">
        <v>3632</v>
      </c>
      <c r="R2845">
        <f t="shared" si="90"/>
        <v>14</v>
      </c>
      <c r="S2845">
        <f t="shared" si="91"/>
        <v>0</v>
      </c>
    </row>
    <row r="2846" spans="1:19" x14ac:dyDescent="0.25">
      <c r="A2846" t="s">
        <v>3980</v>
      </c>
      <c r="B2846" t="s">
        <v>1199</v>
      </c>
      <c r="C2846">
        <v>0.8</v>
      </c>
      <c r="D2846">
        <v>180</v>
      </c>
      <c r="E2846">
        <v>0</v>
      </c>
      <c r="F2846">
        <v>5</v>
      </c>
      <c r="G2846">
        <v>5</v>
      </c>
      <c r="H2846" t="s">
        <v>3631</v>
      </c>
      <c r="I2846" s="1">
        <v>37134</v>
      </c>
      <c r="J2846" s="1">
        <v>37325</v>
      </c>
      <c r="K2846" t="s">
        <v>1124</v>
      </c>
      <c r="L2846" t="s">
        <v>1124</v>
      </c>
      <c r="M2846" s="1">
        <v>37352</v>
      </c>
      <c r="N2846" s="1">
        <v>37352</v>
      </c>
      <c r="O2846" t="s">
        <v>1117</v>
      </c>
      <c r="P2846">
        <v>4</v>
      </c>
      <c r="Q2846" t="s">
        <v>3632</v>
      </c>
      <c r="R2846">
        <f t="shared" si="90"/>
        <v>14</v>
      </c>
      <c r="S2846">
        <f t="shared" si="91"/>
        <v>1</v>
      </c>
    </row>
    <row r="2847" spans="1:19" x14ac:dyDescent="0.25">
      <c r="A2847" t="s">
        <v>3981</v>
      </c>
      <c r="B2847" t="s">
        <v>4028</v>
      </c>
      <c r="C2847">
        <v>0.3</v>
      </c>
      <c r="D2847">
        <v>440</v>
      </c>
      <c r="E2847">
        <v>0</v>
      </c>
      <c r="F2847">
        <v>3</v>
      </c>
      <c r="G2847">
        <v>3</v>
      </c>
      <c r="H2847" t="s">
        <v>3631</v>
      </c>
      <c r="I2847" s="1">
        <v>37126</v>
      </c>
      <c r="J2847" s="1">
        <v>37315</v>
      </c>
      <c r="K2847" s="1">
        <v>37383</v>
      </c>
      <c r="L2847" s="1">
        <v>37383</v>
      </c>
      <c r="M2847" s="1">
        <v>37336</v>
      </c>
      <c r="N2847" s="1">
        <v>37336</v>
      </c>
      <c r="O2847" t="s">
        <v>1117</v>
      </c>
      <c r="P2847">
        <v>1</v>
      </c>
      <c r="Q2847" t="s">
        <v>3632</v>
      </c>
      <c r="R2847">
        <f t="shared" si="90"/>
        <v>12</v>
      </c>
      <c r="S2847">
        <f t="shared" si="91"/>
        <v>1</v>
      </c>
    </row>
    <row r="2848" spans="1:19" x14ac:dyDescent="0.25">
      <c r="A2848" t="s">
        <v>3982</v>
      </c>
      <c r="B2848" t="s">
        <v>4026</v>
      </c>
      <c r="C2848">
        <v>0.254</v>
      </c>
      <c r="D2848">
        <v>488.95</v>
      </c>
      <c r="E2848">
        <v>0</v>
      </c>
      <c r="F2848">
        <v>9.07</v>
      </c>
      <c r="G2848">
        <v>9.07</v>
      </c>
      <c r="H2848" t="s">
        <v>3631</v>
      </c>
      <c r="I2848" s="1">
        <v>37117</v>
      </c>
      <c r="J2848" s="1">
        <v>37344</v>
      </c>
      <c r="K2848" s="1">
        <v>37365</v>
      </c>
      <c r="L2848" s="1">
        <v>37365</v>
      </c>
      <c r="M2848" s="1">
        <v>37365</v>
      </c>
      <c r="N2848" s="1">
        <v>37365</v>
      </c>
      <c r="O2848" t="s">
        <v>1117</v>
      </c>
      <c r="P2848">
        <v>4</v>
      </c>
      <c r="Q2848" t="s">
        <v>3632</v>
      </c>
      <c r="R2848">
        <f t="shared" si="90"/>
        <v>16</v>
      </c>
      <c r="S2848">
        <f t="shared" si="91"/>
        <v>1</v>
      </c>
    </row>
    <row r="2849" spans="1:19" x14ac:dyDescent="0.25">
      <c r="A2849" t="s">
        <v>3983</v>
      </c>
      <c r="B2849" t="s">
        <v>4028</v>
      </c>
      <c r="C2849">
        <v>0.55900000000000005</v>
      </c>
      <c r="D2849">
        <v>1250</v>
      </c>
      <c r="E2849">
        <v>0</v>
      </c>
      <c r="F2849">
        <v>18.143999999999998</v>
      </c>
      <c r="G2849">
        <v>18.143999999999998</v>
      </c>
      <c r="H2849" t="s">
        <v>3631</v>
      </c>
      <c r="I2849" s="1">
        <v>37124</v>
      </c>
      <c r="J2849" s="1">
        <v>37344</v>
      </c>
      <c r="K2849" s="1">
        <v>37351</v>
      </c>
      <c r="L2849" s="1">
        <v>37351</v>
      </c>
      <c r="M2849" s="1">
        <v>37351</v>
      </c>
      <c r="N2849" s="1">
        <v>37351</v>
      </c>
      <c r="O2849" t="s">
        <v>1117</v>
      </c>
      <c r="P2849">
        <v>3</v>
      </c>
      <c r="Q2849" t="s">
        <v>3632</v>
      </c>
      <c r="R2849">
        <f t="shared" si="90"/>
        <v>14</v>
      </c>
      <c r="S2849">
        <f t="shared" si="91"/>
        <v>1</v>
      </c>
    </row>
    <row r="2850" spans="1:19" x14ac:dyDescent="0.25">
      <c r="A2850" t="s">
        <v>3984</v>
      </c>
      <c r="B2850" t="s">
        <v>4028</v>
      </c>
      <c r="C2850">
        <v>0.2</v>
      </c>
      <c r="D2850">
        <v>505</v>
      </c>
      <c r="E2850">
        <v>0</v>
      </c>
      <c r="F2850">
        <v>8</v>
      </c>
      <c r="G2850">
        <v>8</v>
      </c>
      <c r="H2850" t="s">
        <v>3631</v>
      </c>
      <c r="I2850" s="1">
        <v>37131</v>
      </c>
      <c r="J2850" s="1">
        <v>37339</v>
      </c>
      <c r="K2850" s="1">
        <v>37352</v>
      </c>
      <c r="L2850" s="1">
        <v>37352</v>
      </c>
      <c r="M2850" s="1">
        <v>37352</v>
      </c>
      <c r="N2850" s="1">
        <v>37352</v>
      </c>
      <c r="O2850" t="s">
        <v>1117</v>
      </c>
      <c r="P2850">
        <v>1</v>
      </c>
      <c r="Q2850" t="s">
        <v>3632</v>
      </c>
      <c r="R2850">
        <f t="shared" si="90"/>
        <v>14</v>
      </c>
      <c r="S2850">
        <f t="shared" si="91"/>
        <v>1</v>
      </c>
    </row>
    <row r="2851" spans="1:19" x14ac:dyDescent="0.25">
      <c r="A2851" t="s">
        <v>3985</v>
      </c>
      <c r="B2851" t="s">
        <v>4026</v>
      </c>
      <c r="C2851">
        <v>0.50800000000000001</v>
      </c>
      <c r="D2851">
        <v>231.77500000000001</v>
      </c>
      <c r="E2851">
        <v>0</v>
      </c>
      <c r="F2851">
        <v>4.5359999999999996</v>
      </c>
      <c r="G2851">
        <v>4.5359999999999996</v>
      </c>
      <c r="H2851" t="s">
        <v>3631</v>
      </c>
      <c r="I2851" s="1">
        <v>37126</v>
      </c>
      <c r="J2851" s="1">
        <v>37315</v>
      </c>
      <c r="K2851" s="1">
        <v>37360</v>
      </c>
      <c r="L2851" s="1">
        <v>37360</v>
      </c>
      <c r="M2851" s="1">
        <v>37360</v>
      </c>
      <c r="N2851" s="1">
        <v>37360</v>
      </c>
      <c r="O2851" t="s">
        <v>1117</v>
      </c>
      <c r="P2851">
        <v>1</v>
      </c>
      <c r="Q2851" t="s">
        <v>3632</v>
      </c>
      <c r="R2851">
        <f t="shared" si="90"/>
        <v>16</v>
      </c>
      <c r="S2851">
        <f t="shared" si="91"/>
        <v>1</v>
      </c>
    </row>
    <row r="2852" spans="1:19" x14ac:dyDescent="0.25">
      <c r="A2852" t="s">
        <v>3986</v>
      </c>
      <c r="B2852" t="s">
        <v>4027</v>
      </c>
      <c r="C2852">
        <v>0.5</v>
      </c>
      <c r="D2852">
        <v>1250</v>
      </c>
      <c r="E2852">
        <v>0</v>
      </c>
      <c r="F2852">
        <v>18</v>
      </c>
      <c r="G2852">
        <v>18</v>
      </c>
      <c r="H2852" t="s">
        <v>3631</v>
      </c>
      <c r="I2852" s="1">
        <v>37134</v>
      </c>
      <c r="J2852" s="1">
        <v>37325</v>
      </c>
      <c r="K2852" s="1">
        <v>37325</v>
      </c>
      <c r="L2852" s="1">
        <v>37325</v>
      </c>
      <c r="M2852" t="s">
        <v>1124</v>
      </c>
      <c r="N2852" s="1">
        <v>37325</v>
      </c>
      <c r="O2852" t="s">
        <v>1114</v>
      </c>
      <c r="P2852">
        <v>1</v>
      </c>
      <c r="Q2852" t="s">
        <v>3632</v>
      </c>
      <c r="R2852">
        <f t="shared" si="90"/>
        <v>11</v>
      </c>
      <c r="S2852">
        <f t="shared" si="91"/>
        <v>0</v>
      </c>
    </row>
    <row r="2853" spans="1:19" x14ac:dyDescent="0.25">
      <c r="A2853" t="s">
        <v>3987</v>
      </c>
      <c r="B2853" t="s">
        <v>4027</v>
      </c>
      <c r="C2853">
        <v>0.78700000000000003</v>
      </c>
      <c r="D2853">
        <v>101.6</v>
      </c>
      <c r="E2853">
        <v>0</v>
      </c>
      <c r="F2853">
        <v>18.143999999999998</v>
      </c>
      <c r="G2853">
        <v>18.143999999999998</v>
      </c>
      <c r="H2853" t="s">
        <v>3631</v>
      </c>
      <c r="I2853" s="1">
        <v>37159</v>
      </c>
      <c r="J2853" s="1">
        <v>37342</v>
      </c>
      <c r="K2853" s="1">
        <v>37383</v>
      </c>
      <c r="L2853" s="1">
        <v>37383</v>
      </c>
      <c r="M2853" s="1">
        <v>37363</v>
      </c>
      <c r="N2853" s="1">
        <v>37363</v>
      </c>
      <c r="O2853" t="s">
        <v>1117</v>
      </c>
      <c r="P2853">
        <v>1</v>
      </c>
      <c r="Q2853" t="s">
        <v>3632</v>
      </c>
      <c r="R2853">
        <f t="shared" si="90"/>
        <v>16</v>
      </c>
      <c r="S2853">
        <f t="shared" si="91"/>
        <v>1</v>
      </c>
    </row>
    <row r="2854" spans="1:19" x14ac:dyDescent="0.25">
      <c r="A2854" t="s">
        <v>3988</v>
      </c>
      <c r="B2854" t="s">
        <v>4027</v>
      </c>
      <c r="C2854">
        <v>0.55900000000000005</v>
      </c>
      <c r="D2854">
        <v>1250</v>
      </c>
      <c r="E2854">
        <v>0</v>
      </c>
      <c r="F2854">
        <v>18.143999999999998</v>
      </c>
      <c r="G2854">
        <v>8.11</v>
      </c>
      <c r="H2854" t="s">
        <v>3631</v>
      </c>
      <c r="I2854" s="1">
        <v>37124</v>
      </c>
      <c r="J2854" s="1">
        <v>37344</v>
      </c>
      <c r="K2854" s="1">
        <v>37351</v>
      </c>
      <c r="L2854" s="1">
        <v>37351</v>
      </c>
      <c r="M2854" s="1">
        <v>37351</v>
      </c>
      <c r="N2854" s="1">
        <v>37351</v>
      </c>
      <c r="O2854" t="s">
        <v>1117</v>
      </c>
      <c r="P2854">
        <v>2</v>
      </c>
      <c r="Q2854" t="s">
        <v>3632</v>
      </c>
      <c r="R2854">
        <f t="shared" si="90"/>
        <v>14</v>
      </c>
      <c r="S2854">
        <f t="shared" si="91"/>
        <v>0</v>
      </c>
    </row>
    <row r="2855" spans="1:19" x14ac:dyDescent="0.25">
      <c r="A2855" t="s">
        <v>3989</v>
      </c>
      <c r="B2855" t="s">
        <v>1199</v>
      </c>
      <c r="C2855">
        <v>0.55900000000000005</v>
      </c>
      <c r="D2855">
        <v>1250</v>
      </c>
      <c r="E2855">
        <v>0</v>
      </c>
      <c r="F2855">
        <v>18.143999999999998</v>
      </c>
      <c r="G2855">
        <v>18.143999999999998</v>
      </c>
      <c r="H2855" t="s">
        <v>3631</v>
      </c>
      <c r="I2855" s="1">
        <v>37124</v>
      </c>
      <c r="J2855" s="1">
        <v>37344</v>
      </c>
      <c r="K2855" s="1">
        <v>37344</v>
      </c>
      <c r="L2855" s="1">
        <v>37344</v>
      </c>
      <c r="M2855" s="1">
        <v>37344</v>
      </c>
      <c r="N2855" s="1">
        <v>37344</v>
      </c>
      <c r="O2855" t="s">
        <v>1114</v>
      </c>
      <c r="P2855">
        <v>3</v>
      </c>
      <c r="Q2855" t="s">
        <v>3632</v>
      </c>
      <c r="R2855">
        <f t="shared" si="90"/>
        <v>13</v>
      </c>
      <c r="S2855">
        <f t="shared" si="91"/>
        <v>1</v>
      </c>
    </row>
    <row r="2856" spans="1:19" x14ac:dyDescent="0.25">
      <c r="A2856" t="s">
        <v>3990</v>
      </c>
      <c r="B2856" t="s">
        <v>1199</v>
      </c>
      <c r="C2856">
        <v>0.55900000000000005</v>
      </c>
      <c r="D2856">
        <v>1250</v>
      </c>
      <c r="E2856">
        <v>0</v>
      </c>
      <c r="F2856">
        <v>18.143999999999998</v>
      </c>
      <c r="G2856">
        <v>18.143999999999998</v>
      </c>
      <c r="H2856" t="s">
        <v>3631</v>
      </c>
      <c r="I2856" s="1">
        <v>37353</v>
      </c>
      <c r="J2856" s="1">
        <v>37392</v>
      </c>
      <c r="K2856" t="s">
        <v>1124</v>
      </c>
      <c r="L2856" t="s">
        <v>1124</v>
      </c>
      <c r="M2856" t="s">
        <v>1124</v>
      </c>
      <c r="N2856" s="1">
        <v>37351</v>
      </c>
      <c r="O2856" t="s">
        <v>1117</v>
      </c>
      <c r="P2856">
        <v>1</v>
      </c>
      <c r="Q2856" t="s">
        <v>3632</v>
      </c>
      <c r="R2856">
        <f t="shared" si="90"/>
        <v>14</v>
      </c>
      <c r="S2856">
        <f t="shared" si="91"/>
        <v>0</v>
      </c>
    </row>
    <row r="2857" spans="1:19" x14ac:dyDescent="0.25">
      <c r="A2857" t="s">
        <v>3991</v>
      </c>
      <c r="B2857" t="s">
        <v>4027</v>
      </c>
      <c r="C2857">
        <v>0.55900000000000005</v>
      </c>
      <c r="D2857">
        <v>1250</v>
      </c>
      <c r="E2857">
        <v>0</v>
      </c>
      <c r="F2857">
        <v>18.143999999999998</v>
      </c>
      <c r="G2857">
        <v>8.11</v>
      </c>
      <c r="H2857" t="s">
        <v>3631</v>
      </c>
      <c r="I2857" s="1">
        <v>37124</v>
      </c>
      <c r="J2857" s="1">
        <v>37344</v>
      </c>
      <c r="K2857" s="1">
        <v>37351</v>
      </c>
      <c r="L2857" s="1">
        <v>37351</v>
      </c>
      <c r="M2857" s="1">
        <v>37351</v>
      </c>
      <c r="N2857" s="1">
        <v>37351</v>
      </c>
      <c r="O2857" t="s">
        <v>1117</v>
      </c>
      <c r="P2857">
        <v>1</v>
      </c>
      <c r="Q2857" t="s">
        <v>3632</v>
      </c>
      <c r="R2857">
        <f t="shared" si="90"/>
        <v>14</v>
      </c>
      <c r="S2857">
        <f t="shared" si="91"/>
        <v>0</v>
      </c>
    </row>
    <row r="2858" spans="1:19" x14ac:dyDescent="0.25">
      <c r="A2858" t="s">
        <v>3992</v>
      </c>
      <c r="B2858" t="s">
        <v>1199</v>
      </c>
      <c r="C2858">
        <v>0.254</v>
      </c>
      <c r="D2858">
        <v>355.6</v>
      </c>
      <c r="E2858">
        <v>0</v>
      </c>
      <c r="F2858">
        <v>2.27</v>
      </c>
      <c r="G2858">
        <v>2.27</v>
      </c>
      <c r="H2858" t="s">
        <v>3631</v>
      </c>
      <c r="I2858" s="1">
        <v>37117</v>
      </c>
      <c r="J2858" s="1">
        <v>37344</v>
      </c>
      <c r="K2858" s="1">
        <v>37383</v>
      </c>
      <c r="L2858" s="1">
        <v>37383</v>
      </c>
      <c r="M2858" s="1">
        <v>37358</v>
      </c>
      <c r="N2858" s="1">
        <v>37358</v>
      </c>
      <c r="O2858" t="s">
        <v>1117</v>
      </c>
      <c r="P2858">
        <v>5</v>
      </c>
      <c r="Q2858" t="s">
        <v>3632</v>
      </c>
      <c r="R2858">
        <f t="shared" si="90"/>
        <v>15</v>
      </c>
      <c r="S2858">
        <f t="shared" si="91"/>
        <v>1</v>
      </c>
    </row>
    <row r="2859" spans="1:19" x14ac:dyDescent="0.25">
      <c r="A2859" t="s">
        <v>3993</v>
      </c>
      <c r="B2859" t="s">
        <v>4026</v>
      </c>
      <c r="C2859">
        <v>0.55900000000000005</v>
      </c>
      <c r="D2859">
        <v>1250</v>
      </c>
      <c r="E2859">
        <v>0</v>
      </c>
      <c r="F2859">
        <v>18.143999999999998</v>
      </c>
      <c r="G2859">
        <v>18.143999999999998</v>
      </c>
      <c r="H2859" t="s">
        <v>3631</v>
      </c>
      <c r="I2859" s="1">
        <v>37124</v>
      </c>
      <c r="J2859" s="1">
        <v>37344</v>
      </c>
      <c r="K2859" s="1">
        <v>37344</v>
      </c>
      <c r="L2859" s="1">
        <v>37344</v>
      </c>
      <c r="M2859" s="1">
        <v>37344</v>
      </c>
      <c r="N2859" s="1">
        <v>37344</v>
      </c>
      <c r="O2859" t="s">
        <v>1114</v>
      </c>
      <c r="P2859">
        <v>5</v>
      </c>
      <c r="Q2859" t="s">
        <v>3632</v>
      </c>
      <c r="R2859">
        <f t="shared" si="90"/>
        <v>13</v>
      </c>
      <c r="S2859">
        <f t="shared" si="91"/>
        <v>1</v>
      </c>
    </row>
    <row r="2860" spans="1:19" x14ac:dyDescent="0.25">
      <c r="A2860" t="s">
        <v>3994</v>
      </c>
      <c r="B2860" t="s">
        <v>4028</v>
      </c>
      <c r="C2860">
        <v>0.20300000000000001</v>
      </c>
      <c r="D2860">
        <v>482.6</v>
      </c>
      <c r="E2860">
        <v>0</v>
      </c>
      <c r="F2860">
        <v>4.54</v>
      </c>
      <c r="G2860">
        <v>4.54</v>
      </c>
      <c r="H2860" t="s">
        <v>3631</v>
      </c>
      <c r="I2860" s="1">
        <v>37117</v>
      </c>
      <c r="J2860" s="1">
        <v>37343</v>
      </c>
      <c r="K2860" s="1">
        <v>37375</v>
      </c>
      <c r="L2860" s="1">
        <v>37375</v>
      </c>
      <c r="M2860" s="1">
        <v>37271</v>
      </c>
      <c r="N2860" s="1">
        <v>37271</v>
      </c>
      <c r="O2860" t="s">
        <v>1117</v>
      </c>
      <c r="P2860">
        <v>1</v>
      </c>
      <c r="Q2860" t="s">
        <v>3632</v>
      </c>
      <c r="R2860">
        <f t="shared" si="90"/>
        <v>3</v>
      </c>
      <c r="S2860">
        <f t="shared" si="91"/>
        <v>1</v>
      </c>
    </row>
    <row r="2861" spans="1:19" x14ac:dyDescent="0.25">
      <c r="A2861" t="s">
        <v>3995</v>
      </c>
      <c r="B2861" t="s">
        <v>4028</v>
      </c>
      <c r="C2861">
        <v>0.55900000000000005</v>
      </c>
      <c r="D2861">
        <v>1250</v>
      </c>
      <c r="E2861">
        <v>0</v>
      </c>
      <c r="F2861">
        <v>18.143999999999998</v>
      </c>
      <c r="G2861">
        <v>18.143999999999998</v>
      </c>
      <c r="H2861" t="s">
        <v>3631</v>
      </c>
      <c r="I2861" s="1">
        <v>37124</v>
      </c>
      <c r="J2861" s="1">
        <v>37344</v>
      </c>
      <c r="K2861" s="1">
        <v>37344</v>
      </c>
      <c r="L2861" s="1">
        <v>37344</v>
      </c>
      <c r="M2861" s="1">
        <v>37344</v>
      </c>
      <c r="N2861" s="1">
        <v>37344</v>
      </c>
      <c r="O2861" t="s">
        <v>1114</v>
      </c>
      <c r="P2861">
        <v>4</v>
      </c>
      <c r="Q2861" t="s">
        <v>3632</v>
      </c>
      <c r="R2861">
        <f t="shared" si="90"/>
        <v>13</v>
      </c>
      <c r="S2861">
        <f t="shared" si="91"/>
        <v>1</v>
      </c>
    </row>
    <row r="2862" spans="1:19" x14ac:dyDescent="0.25">
      <c r="A2862" t="s">
        <v>3996</v>
      </c>
      <c r="B2862" t="s">
        <v>4026</v>
      </c>
      <c r="C2862">
        <v>0.20300000000000001</v>
      </c>
      <c r="D2862">
        <v>450.85</v>
      </c>
      <c r="E2862">
        <v>0</v>
      </c>
      <c r="F2862">
        <v>4.54</v>
      </c>
      <c r="G2862">
        <v>3.351</v>
      </c>
      <c r="H2862" t="s">
        <v>3631</v>
      </c>
      <c r="I2862" s="1">
        <v>37117</v>
      </c>
      <c r="J2862" s="1">
        <v>37343</v>
      </c>
      <c r="K2862" s="1">
        <v>37364</v>
      </c>
      <c r="L2862" s="1">
        <v>37364</v>
      </c>
      <c r="M2862" s="1">
        <v>37364</v>
      </c>
      <c r="N2862" s="1">
        <v>37364</v>
      </c>
      <c r="O2862" t="s">
        <v>1117</v>
      </c>
      <c r="P2862">
        <v>2</v>
      </c>
      <c r="Q2862" t="s">
        <v>3632</v>
      </c>
      <c r="R2862">
        <f t="shared" si="90"/>
        <v>16</v>
      </c>
      <c r="S2862">
        <f t="shared" si="91"/>
        <v>0</v>
      </c>
    </row>
    <row r="2863" spans="1:19" x14ac:dyDescent="0.25">
      <c r="A2863" t="s">
        <v>3997</v>
      </c>
      <c r="B2863" t="s">
        <v>1199</v>
      </c>
      <c r="C2863">
        <v>0.254</v>
      </c>
      <c r="D2863">
        <v>410.21</v>
      </c>
      <c r="E2863">
        <v>0</v>
      </c>
      <c r="F2863">
        <v>6.8</v>
      </c>
      <c r="G2863">
        <v>6.8</v>
      </c>
      <c r="H2863" t="s">
        <v>3631</v>
      </c>
      <c r="I2863" s="1">
        <v>37117</v>
      </c>
      <c r="J2863" s="1">
        <v>37344</v>
      </c>
      <c r="K2863" s="1">
        <v>37383</v>
      </c>
      <c r="L2863" s="1">
        <v>37383</v>
      </c>
      <c r="M2863" s="1">
        <v>37365</v>
      </c>
      <c r="N2863" s="1">
        <v>37365</v>
      </c>
      <c r="O2863" t="s">
        <v>1117</v>
      </c>
      <c r="P2863">
        <v>6</v>
      </c>
      <c r="Q2863" t="s">
        <v>3632</v>
      </c>
      <c r="R2863">
        <f t="shared" si="90"/>
        <v>16</v>
      </c>
      <c r="S2863">
        <f t="shared" si="91"/>
        <v>1</v>
      </c>
    </row>
    <row r="2864" spans="1:19" x14ac:dyDescent="0.25">
      <c r="A2864" t="s">
        <v>3998</v>
      </c>
      <c r="B2864" t="s">
        <v>4026</v>
      </c>
      <c r="C2864">
        <v>0.50800000000000001</v>
      </c>
      <c r="D2864">
        <v>293.37</v>
      </c>
      <c r="E2864">
        <v>0</v>
      </c>
      <c r="F2864">
        <v>9.0719999999999992</v>
      </c>
      <c r="G2864">
        <v>9.0719999999999992</v>
      </c>
      <c r="H2864" t="s">
        <v>3631</v>
      </c>
      <c r="I2864" s="1">
        <v>37126</v>
      </c>
      <c r="J2864" s="1">
        <v>37308</v>
      </c>
      <c r="K2864" s="1">
        <v>37383</v>
      </c>
      <c r="L2864" s="1">
        <v>37383</v>
      </c>
      <c r="M2864" s="1">
        <v>37326</v>
      </c>
      <c r="N2864" s="1">
        <v>37363</v>
      </c>
      <c r="O2864" t="s">
        <v>1117</v>
      </c>
      <c r="P2864">
        <v>1</v>
      </c>
      <c r="Q2864" t="s">
        <v>3632</v>
      </c>
      <c r="R2864">
        <f t="shared" si="90"/>
        <v>16</v>
      </c>
      <c r="S2864">
        <f t="shared" si="91"/>
        <v>1</v>
      </c>
    </row>
    <row r="2865" spans="1:19" x14ac:dyDescent="0.25">
      <c r="A2865" t="s">
        <v>3999</v>
      </c>
      <c r="B2865" t="s">
        <v>1199</v>
      </c>
      <c r="C2865">
        <v>0.42899999999999999</v>
      </c>
      <c r="D2865">
        <v>192.989</v>
      </c>
      <c r="E2865">
        <v>0</v>
      </c>
      <c r="F2865">
        <v>4.5359999999999996</v>
      </c>
      <c r="G2865">
        <v>4.5359999999999996</v>
      </c>
      <c r="H2865" t="s">
        <v>3631</v>
      </c>
      <c r="I2865" s="1">
        <v>37159</v>
      </c>
      <c r="J2865" s="1">
        <v>37342</v>
      </c>
      <c r="K2865" s="1">
        <v>37383</v>
      </c>
      <c r="L2865" s="1">
        <v>37383</v>
      </c>
      <c r="M2865" s="1">
        <v>37356</v>
      </c>
      <c r="N2865" s="1">
        <v>37356</v>
      </c>
      <c r="O2865" t="s">
        <v>1117</v>
      </c>
      <c r="P2865">
        <v>1</v>
      </c>
      <c r="Q2865" t="s">
        <v>3632</v>
      </c>
      <c r="R2865">
        <f t="shared" si="90"/>
        <v>15</v>
      </c>
      <c r="S2865">
        <f t="shared" si="91"/>
        <v>1</v>
      </c>
    </row>
    <row r="2866" spans="1:19" x14ac:dyDescent="0.25">
      <c r="A2866" t="s">
        <v>4000</v>
      </c>
      <c r="B2866" t="s">
        <v>1199</v>
      </c>
      <c r="C2866">
        <v>0.51100000000000001</v>
      </c>
      <c r="D2866">
        <v>192.989</v>
      </c>
      <c r="E2866">
        <v>0</v>
      </c>
      <c r="F2866">
        <v>4.5359999999999996</v>
      </c>
      <c r="G2866">
        <v>4.5359999999999996</v>
      </c>
      <c r="H2866" t="s">
        <v>3631</v>
      </c>
      <c r="I2866" s="1">
        <v>37159</v>
      </c>
      <c r="J2866" s="1">
        <v>37342</v>
      </c>
      <c r="K2866" s="1">
        <v>37383</v>
      </c>
      <c r="L2866" s="1">
        <v>37383</v>
      </c>
      <c r="M2866" s="1">
        <v>37356</v>
      </c>
      <c r="N2866" s="1">
        <v>37356</v>
      </c>
      <c r="O2866" t="s">
        <v>1117</v>
      </c>
      <c r="P2866">
        <v>1</v>
      </c>
      <c r="Q2866" t="s">
        <v>3632</v>
      </c>
      <c r="R2866">
        <f t="shared" si="90"/>
        <v>15</v>
      </c>
      <c r="S2866">
        <f t="shared" si="91"/>
        <v>1</v>
      </c>
    </row>
    <row r="2867" spans="1:19" x14ac:dyDescent="0.25">
      <c r="A2867" t="s">
        <v>4001</v>
      </c>
      <c r="B2867" t="s">
        <v>1199</v>
      </c>
      <c r="C2867">
        <v>0.38900000000000001</v>
      </c>
      <c r="D2867">
        <v>217.17</v>
      </c>
      <c r="E2867">
        <v>0</v>
      </c>
      <c r="F2867">
        <v>7.2569999999999997</v>
      </c>
      <c r="G2867">
        <v>7.2569999999999997</v>
      </c>
      <c r="H2867" t="s">
        <v>3631</v>
      </c>
      <c r="I2867" s="1">
        <v>37159</v>
      </c>
      <c r="J2867" s="1">
        <v>37342</v>
      </c>
      <c r="K2867" s="1">
        <v>37383</v>
      </c>
      <c r="L2867" s="1">
        <v>37383</v>
      </c>
      <c r="M2867" s="1">
        <v>37363</v>
      </c>
      <c r="N2867" s="1">
        <v>37363</v>
      </c>
      <c r="O2867" t="s">
        <v>1117</v>
      </c>
      <c r="P2867">
        <v>1</v>
      </c>
      <c r="Q2867" t="s">
        <v>3632</v>
      </c>
      <c r="R2867">
        <f t="shared" si="90"/>
        <v>16</v>
      </c>
      <c r="S2867">
        <f t="shared" si="91"/>
        <v>1</v>
      </c>
    </row>
    <row r="2868" spans="1:19" x14ac:dyDescent="0.25">
      <c r="A2868" t="s">
        <v>4002</v>
      </c>
      <c r="B2868" t="s">
        <v>4027</v>
      </c>
      <c r="C2868">
        <v>0.50800000000000001</v>
      </c>
      <c r="D2868">
        <v>275.58999999999997</v>
      </c>
      <c r="E2868">
        <v>0</v>
      </c>
      <c r="F2868">
        <v>20.41</v>
      </c>
      <c r="G2868">
        <v>20.41</v>
      </c>
      <c r="H2868" t="s">
        <v>3631</v>
      </c>
      <c r="I2868" s="1">
        <v>37107</v>
      </c>
      <c r="J2868" s="1">
        <v>37342</v>
      </c>
      <c r="K2868" s="1">
        <v>37383</v>
      </c>
      <c r="L2868" s="1">
        <v>37383</v>
      </c>
      <c r="M2868" s="1">
        <v>37356</v>
      </c>
      <c r="N2868" s="1">
        <v>37356</v>
      </c>
      <c r="O2868" t="s">
        <v>1117</v>
      </c>
      <c r="P2868">
        <v>1</v>
      </c>
      <c r="Q2868" t="s">
        <v>3632</v>
      </c>
      <c r="R2868">
        <f t="shared" si="90"/>
        <v>15</v>
      </c>
      <c r="S2868">
        <f t="shared" si="91"/>
        <v>1</v>
      </c>
    </row>
    <row r="2869" spans="1:19" x14ac:dyDescent="0.25">
      <c r="A2869" t="s">
        <v>4003</v>
      </c>
      <c r="B2869" t="s">
        <v>4026</v>
      </c>
      <c r="C2869">
        <v>0.38100000000000001</v>
      </c>
      <c r="D2869">
        <v>231.77500000000001</v>
      </c>
      <c r="E2869">
        <v>0</v>
      </c>
      <c r="F2869">
        <v>4.5359999999999996</v>
      </c>
      <c r="G2869">
        <v>4.5359999999999996</v>
      </c>
      <c r="H2869" t="s">
        <v>3631</v>
      </c>
      <c r="I2869" s="1">
        <v>37131</v>
      </c>
      <c r="J2869" s="1">
        <v>37344</v>
      </c>
      <c r="K2869" s="1">
        <v>37383</v>
      </c>
      <c r="L2869" s="1">
        <v>37383</v>
      </c>
      <c r="M2869" s="1">
        <v>37365</v>
      </c>
      <c r="N2869" s="1">
        <v>37365</v>
      </c>
      <c r="O2869" t="s">
        <v>1117</v>
      </c>
      <c r="P2869">
        <v>1</v>
      </c>
      <c r="Q2869" t="s">
        <v>3632</v>
      </c>
      <c r="R2869">
        <f t="shared" si="90"/>
        <v>16</v>
      </c>
      <c r="S2869">
        <f t="shared" si="91"/>
        <v>1</v>
      </c>
    </row>
    <row r="2870" spans="1:19" x14ac:dyDescent="0.25">
      <c r="A2870" t="s">
        <v>4004</v>
      </c>
      <c r="B2870" t="s">
        <v>4028</v>
      </c>
      <c r="C2870">
        <v>0.35599999999999998</v>
      </c>
      <c r="D2870">
        <v>217.17</v>
      </c>
      <c r="E2870">
        <v>0</v>
      </c>
      <c r="F2870">
        <v>4.5339999999999998</v>
      </c>
      <c r="G2870">
        <v>4.5339999999999998</v>
      </c>
      <c r="H2870" t="s">
        <v>3631</v>
      </c>
      <c r="I2870" s="1">
        <v>37159</v>
      </c>
      <c r="J2870" s="1">
        <v>37342</v>
      </c>
      <c r="K2870" t="s">
        <v>1124</v>
      </c>
      <c r="L2870" t="s">
        <v>1124</v>
      </c>
      <c r="M2870" s="1">
        <v>37362</v>
      </c>
      <c r="N2870" s="1">
        <v>37362</v>
      </c>
      <c r="O2870" t="s">
        <v>1117</v>
      </c>
      <c r="P2870">
        <v>1</v>
      </c>
      <c r="Q2870" t="s">
        <v>3632</v>
      </c>
      <c r="R2870">
        <f t="shared" si="90"/>
        <v>16</v>
      </c>
      <c r="S2870">
        <f t="shared" si="91"/>
        <v>1</v>
      </c>
    </row>
    <row r="2871" spans="1:19" x14ac:dyDescent="0.25">
      <c r="A2871" t="s">
        <v>4005</v>
      </c>
      <c r="B2871" t="s">
        <v>1199</v>
      </c>
      <c r="C2871">
        <v>0.30499999999999999</v>
      </c>
      <c r="D2871">
        <v>231.77500000000001</v>
      </c>
      <c r="E2871">
        <v>0</v>
      </c>
      <c r="F2871">
        <v>7.2569999999999997</v>
      </c>
      <c r="G2871">
        <v>7.2569999999999997</v>
      </c>
      <c r="H2871" t="s">
        <v>3631</v>
      </c>
      <c r="I2871" s="1">
        <v>37131</v>
      </c>
      <c r="J2871" s="1">
        <v>37344</v>
      </c>
      <c r="K2871" s="1">
        <v>37383</v>
      </c>
      <c r="L2871" s="1">
        <v>37383</v>
      </c>
      <c r="M2871" s="1">
        <v>37358</v>
      </c>
      <c r="N2871" s="1">
        <v>37358</v>
      </c>
      <c r="O2871" t="s">
        <v>1117</v>
      </c>
      <c r="P2871">
        <v>1</v>
      </c>
      <c r="Q2871" t="s">
        <v>3632</v>
      </c>
      <c r="R2871">
        <f t="shared" si="90"/>
        <v>15</v>
      </c>
      <c r="S2871">
        <f t="shared" si="91"/>
        <v>1</v>
      </c>
    </row>
    <row r="2872" spans="1:19" x14ac:dyDescent="0.25">
      <c r="A2872" t="s">
        <v>4006</v>
      </c>
      <c r="B2872" t="s">
        <v>4026</v>
      </c>
      <c r="C2872">
        <v>0.40600000000000003</v>
      </c>
      <c r="D2872">
        <v>241.3</v>
      </c>
      <c r="E2872">
        <v>0</v>
      </c>
      <c r="F2872">
        <v>4.5359999999999996</v>
      </c>
      <c r="G2872">
        <v>4.5359999999999996</v>
      </c>
      <c r="H2872" t="s">
        <v>3631</v>
      </c>
      <c r="I2872" s="1">
        <v>37107</v>
      </c>
      <c r="J2872" s="1">
        <v>37342</v>
      </c>
      <c r="K2872" s="1">
        <v>37383</v>
      </c>
      <c r="L2872" s="1">
        <v>37383</v>
      </c>
      <c r="M2872" s="1">
        <v>37356</v>
      </c>
      <c r="N2872" s="1">
        <v>37356</v>
      </c>
      <c r="O2872" t="s">
        <v>1117</v>
      </c>
      <c r="P2872">
        <v>1</v>
      </c>
      <c r="Q2872" t="s">
        <v>3632</v>
      </c>
      <c r="R2872">
        <f t="shared" si="90"/>
        <v>15</v>
      </c>
      <c r="S2872">
        <f t="shared" si="91"/>
        <v>1</v>
      </c>
    </row>
    <row r="2873" spans="1:19" x14ac:dyDescent="0.25">
      <c r="A2873" t="s">
        <v>4007</v>
      </c>
      <c r="B2873" t="s">
        <v>1199</v>
      </c>
      <c r="C2873">
        <v>0.50800000000000001</v>
      </c>
      <c r="D2873">
        <v>206.375</v>
      </c>
      <c r="E2873">
        <v>0</v>
      </c>
      <c r="F2873">
        <v>4.5359999999999996</v>
      </c>
      <c r="G2873">
        <v>4.5359999999999996</v>
      </c>
      <c r="H2873" t="s">
        <v>3631</v>
      </c>
      <c r="I2873" s="1">
        <v>37107</v>
      </c>
      <c r="J2873" s="1">
        <v>37342</v>
      </c>
      <c r="K2873" s="1">
        <v>37383</v>
      </c>
      <c r="L2873" s="1">
        <v>37383</v>
      </c>
      <c r="M2873" s="1">
        <v>37363</v>
      </c>
      <c r="N2873" s="1">
        <v>37363</v>
      </c>
      <c r="O2873" t="s">
        <v>1117</v>
      </c>
      <c r="P2873">
        <v>1</v>
      </c>
      <c r="Q2873" t="s">
        <v>3632</v>
      </c>
      <c r="R2873">
        <f t="shared" si="90"/>
        <v>16</v>
      </c>
      <c r="S2873">
        <f t="shared" si="91"/>
        <v>1</v>
      </c>
    </row>
    <row r="2874" spans="1:19" x14ac:dyDescent="0.25">
      <c r="A2874" t="s">
        <v>4008</v>
      </c>
      <c r="B2874" t="s">
        <v>1199</v>
      </c>
      <c r="C2874">
        <v>0.437</v>
      </c>
      <c r="D2874">
        <v>217.17</v>
      </c>
      <c r="E2874">
        <v>0</v>
      </c>
      <c r="F2874">
        <v>7.2569999999999997</v>
      </c>
      <c r="G2874">
        <v>7.2569999999999997</v>
      </c>
      <c r="H2874" t="s">
        <v>3631</v>
      </c>
      <c r="I2874" s="1">
        <v>37159</v>
      </c>
      <c r="J2874" s="1">
        <v>37342</v>
      </c>
      <c r="K2874" s="1">
        <v>37383</v>
      </c>
      <c r="L2874" s="1">
        <v>37383</v>
      </c>
      <c r="M2874" s="1">
        <v>37363</v>
      </c>
      <c r="N2874" s="1">
        <v>37363</v>
      </c>
      <c r="O2874" t="s">
        <v>1117</v>
      </c>
      <c r="P2874">
        <v>1</v>
      </c>
      <c r="Q2874" t="s">
        <v>3632</v>
      </c>
      <c r="R2874">
        <f t="shared" si="90"/>
        <v>16</v>
      </c>
      <c r="S2874">
        <f t="shared" si="91"/>
        <v>1</v>
      </c>
    </row>
    <row r="2875" spans="1:19" x14ac:dyDescent="0.25">
      <c r="A2875" t="s">
        <v>4009</v>
      </c>
      <c r="B2875" t="s">
        <v>1199</v>
      </c>
      <c r="C2875">
        <v>0.38100000000000001</v>
      </c>
      <c r="D2875">
        <v>246.38</v>
      </c>
      <c r="E2875">
        <v>0</v>
      </c>
      <c r="F2875">
        <v>18.143999999999998</v>
      </c>
      <c r="G2875">
        <v>12.394</v>
      </c>
      <c r="H2875" t="s">
        <v>3631</v>
      </c>
      <c r="I2875" s="1">
        <v>37107</v>
      </c>
      <c r="J2875" s="1">
        <v>37342</v>
      </c>
      <c r="K2875" s="1">
        <v>37363</v>
      </c>
      <c r="L2875" s="1">
        <v>37363</v>
      </c>
      <c r="M2875" s="1">
        <v>37356</v>
      </c>
      <c r="N2875" s="1">
        <v>37356</v>
      </c>
      <c r="O2875" t="s">
        <v>1117</v>
      </c>
      <c r="P2875">
        <v>1</v>
      </c>
      <c r="Q2875" t="s">
        <v>3632</v>
      </c>
      <c r="R2875">
        <f t="shared" si="90"/>
        <v>15</v>
      </c>
      <c r="S2875">
        <f t="shared" si="91"/>
        <v>0</v>
      </c>
    </row>
    <row r="2876" spans="1:19" x14ac:dyDescent="0.25">
      <c r="A2876" t="s">
        <v>4010</v>
      </c>
      <c r="B2876" t="s">
        <v>1199</v>
      </c>
      <c r="C2876">
        <v>0.45700000000000002</v>
      </c>
      <c r="D2876">
        <v>217.17</v>
      </c>
      <c r="E2876">
        <v>0</v>
      </c>
      <c r="F2876">
        <v>4.5359999999999996</v>
      </c>
      <c r="G2876">
        <v>4.5359999999999996</v>
      </c>
      <c r="H2876" t="s">
        <v>3631</v>
      </c>
      <c r="I2876" s="1">
        <v>37113</v>
      </c>
      <c r="J2876" s="1">
        <v>37343</v>
      </c>
      <c r="K2876" s="1">
        <v>37383</v>
      </c>
      <c r="L2876" s="1">
        <v>37383</v>
      </c>
      <c r="M2876" s="1">
        <v>37358</v>
      </c>
      <c r="N2876" s="1">
        <v>37358</v>
      </c>
      <c r="O2876" t="s">
        <v>1117</v>
      </c>
      <c r="P2876">
        <v>1</v>
      </c>
      <c r="Q2876" t="s">
        <v>3632</v>
      </c>
      <c r="R2876">
        <f t="shared" si="90"/>
        <v>15</v>
      </c>
      <c r="S2876">
        <f t="shared" si="91"/>
        <v>1</v>
      </c>
    </row>
    <row r="2877" spans="1:19" x14ac:dyDescent="0.25">
      <c r="A2877" t="s">
        <v>4011</v>
      </c>
      <c r="B2877" t="s">
        <v>4026</v>
      </c>
      <c r="C2877">
        <v>0.55900000000000005</v>
      </c>
      <c r="D2877">
        <v>1250</v>
      </c>
      <c r="E2877">
        <v>0</v>
      </c>
      <c r="F2877">
        <v>18.143999999999998</v>
      </c>
      <c r="G2877">
        <v>18.143999999999998</v>
      </c>
      <c r="H2877" t="s">
        <v>3631</v>
      </c>
      <c r="I2877" s="1">
        <v>37124</v>
      </c>
      <c r="J2877" s="1">
        <v>37344</v>
      </c>
      <c r="K2877" s="1">
        <v>37344</v>
      </c>
      <c r="L2877" s="1">
        <v>37344</v>
      </c>
      <c r="M2877" s="1">
        <v>37344</v>
      </c>
      <c r="N2877" s="1">
        <v>37344</v>
      </c>
      <c r="O2877" t="s">
        <v>1114</v>
      </c>
      <c r="P2877">
        <v>2</v>
      </c>
      <c r="Q2877" t="s">
        <v>3632</v>
      </c>
      <c r="R2877">
        <f t="shared" si="90"/>
        <v>13</v>
      </c>
      <c r="S2877">
        <f t="shared" si="91"/>
        <v>1</v>
      </c>
    </row>
    <row r="2878" spans="1:19" x14ac:dyDescent="0.25">
      <c r="A2878" t="s">
        <v>4012</v>
      </c>
      <c r="B2878" t="s">
        <v>1199</v>
      </c>
      <c r="C2878">
        <v>0.63500000000000001</v>
      </c>
      <c r="D2878">
        <v>1250</v>
      </c>
      <c r="E2878">
        <v>0</v>
      </c>
      <c r="F2878">
        <v>18.143999999999998</v>
      </c>
      <c r="G2878">
        <v>18.143999999999998</v>
      </c>
      <c r="H2878" t="s">
        <v>3631</v>
      </c>
      <c r="I2878" s="1">
        <v>37124</v>
      </c>
      <c r="J2878" s="1">
        <v>37344</v>
      </c>
      <c r="K2878" s="1">
        <v>37344</v>
      </c>
      <c r="L2878" s="1">
        <v>37344</v>
      </c>
      <c r="M2878" s="1">
        <v>37344</v>
      </c>
      <c r="N2878" s="1">
        <v>37344</v>
      </c>
      <c r="O2878" t="s">
        <v>1114</v>
      </c>
      <c r="P2878">
        <v>5</v>
      </c>
      <c r="Q2878" t="s">
        <v>3632</v>
      </c>
      <c r="R2878">
        <f t="shared" si="90"/>
        <v>13</v>
      </c>
      <c r="S2878">
        <f t="shared" si="91"/>
        <v>1</v>
      </c>
    </row>
    <row r="2879" spans="1:19" x14ac:dyDescent="0.25">
      <c r="A2879" t="s">
        <v>4013</v>
      </c>
      <c r="B2879" t="s">
        <v>4028</v>
      </c>
      <c r="C2879">
        <v>0.55900000000000005</v>
      </c>
      <c r="D2879">
        <v>1250</v>
      </c>
      <c r="E2879">
        <v>0</v>
      </c>
      <c r="F2879">
        <v>18.143999999999998</v>
      </c>
      <c r="G2879">
        <v>18.143999999999998</v>
      </c>
      <c r="H2879" t="s">
        <v>3631</v>
      </c>
      <c r="I2879" s="1">
        <v>37124</v>
      </c>
      <c r="J2879" s="1">
        <v>37344</v>
      </c>
      <c r="K2879" s="1">
        <v>37344</v>
      </c>
      <c r="L2879" s="1">
        <v>37344</v>
      </c>
      <c r="M2879" s="1">
        <v>37344</v>
      </c>
      <c r="N2879" s="1">
        <v>37344</v>
      </c>
      <c r="O2879" t="s">
        <v>1114</v>
      </c>
      <c r="P2879">
        <v>4</v>
      </c>
      <c r="Q2879" t="s">
        <v>3632</v>
      </c>
      <c r="R2879">
        <f t="shared" si="90"/>
        <v>13</v>
      </c>
      <c r="S2879">
        <f t="shared" si="91"/>
        <v>1</v>
      </c>
    </row>
    <row r="2880" spans="1:19" x14ac:dyDescent="0.25">
      <c r="A2880" t="s">
        <v>4014</v>
      </c>
      <c r="B2880" t="s">
        <v>1199</v>
      </c>
      <c r="C2880">
        <v>0.38100000000000001</v>
      </c>
      <c r="D2880">
        <v>231.77500000000001</v>
      </c>
      <c r="E2880">
        <v>0</v>
      </c>
      <c r="F2880">
        <v>4.5359999999999996</v>
      </c>
      <c r="G2880">
        <v>4.5359999999999996</v>
      </c>
      <c r="H2880" t="s">
        <v>3631</v>
      </c>
      <c r="I2880" s="1">
        <v>37107</v>
      </c>
      <c r="J2880" s="1">
        <v>37342</v>
      </c>
      <c r="K2880" s="1">
        <v>37363</v>
      </c>
      <c r="L2880" s="1">
        <v>37363</v>
      </c>
      <c r="M2880" s="1">
        <v>37363</v>
      </c>
      <c r="N2880" s="1">
        <v>37363</v>
      </c>
      <c r="O2880" t="s">
        <v>1117</v>
      </c>
      <c r="P2880">
        <v>1</v>
      </c>
      <c r="Q2880" t="s">
        <v>3632</v>
      </c>
      <c r="R2880">
        <f t="shared" si="90"/>
        <v>16</v>
      </c>
      <c r="S2880">
        <f t="shared" si="91"/>
        <v>1</v>
      </c>
    </row>
    <row r="2881" spans="1:19" x14ac:dyDescent="0.25">
      <c r="A2881" t="s">
        <v>4015</v>
      </c>
      <c r="B2881" t="s">
        <v>1199</v>
      </c>
      <c r="C2881">
        <v>0.40600000000000003</v>
      </c>
      <c r="D2881">
        <v>285.75</v>
      </c>
      <c r="E2881">
        <v>0</v>
      </c>
      <c r="F2881">
        <v>13.608000000000001</v>
      </c>
      <c r="G2881">
        <v>13.608000000000001</v>
      </c>
      <c r="H2881" t="s">
        <v>3631</v>
      </c>
      <c r="I2881" s="1">
        <v>37107</v>
      </c>
      <c r="J2881" s="1">
        <v>37342</v>
      </c>
      <c r="K2881" s="1">
        <v>37383</v>
      </c>
      <c r="L2881" s="1">
        <v>37383</v>
      </c>
      <c r="M2881" s="1">
        <v>37363</v>
      </c>
      <c r="N2881" s="1">
        <v>37363</v>
      </c>
      <c r="O2881" t="s">
        <v>1117</v>
      </c>
      <c r="P2881">
        <v>1</v>
      </c>
      <c r="Q2881" t="s">
        <v>3632</v>
      </c>
      <c r="R2881">
        <f t="shared" si="90"/>
        <v>16</v>
      </c>
      <c r="S2881">
        <f t="shared" si="91"/>
        <v>1</v>
      </c>
    </row>
    <row r="2882" spans="1:19" x14ac:dyDescent="0.25">
      <c r="A2882" t="s">
        <v>4016</v>
      </c>
      <c r="B2882" t="s">
        <v>1199</v>
      </c>
      <c r="C2882">
        <v>0.55900000000000005</v>
      </c>
      <c r="D2882">
        <v>1250</v>
      </c>
      <c r="E2882">
        <v>0</v>
      </c>
      <c r="F2882">
        <v>18.143999999999998</v>
      </c>
      <c r="G2882">
        <v>18.143999999999998</v>
      </c>
      <c r="H2882" t="s">
        <v>3631</v>
      </c>
      <c r="I2882" s="1">
        <v>37124</v>
      </c>
      <c r="J2882" s="1">
        <v>37344</v>
      </c>
      <c r="K2882" s="1">
        <v>37344</v>
      </c>
      <c r="L2882" s="1">
        <v>37344</v>
      </c>
      <c r="M2882" s="1">
        <v>37344</v>
      </c>
      <c r="N2882" s="1">
        <v>37344</v>
      </c>
      <c r="O2882" t="s">
        <v>1114</v>
      </c>
      <c r="P2882">
        <v>1</v>
      </c>
      <c r="Q2882" t="s">
        <v>3632</v>
      </c>
      <c r="R2882">
        <f t="shared" si="90"/>
        <v>13</v>
      </c>
      <c r="S2882">
        <f t="shared" si="91"/>
        <v>1</v>
      </c>
    </row>
    <row r="2883" spans="1:19" x14ac:dyDescent="0.25">
      <c r="A2883" t="s">
        <v>4017</v>
      </c>
      <c r="B2883" t="s">
        <v>1199</v>
      </c>
      <c r="C2883">
        <v>0.38100000000000001</v>
      </c>
      <c r="D2883">
        <v>233.68</v>
      </c>
      <c r="E2883">
        <v>0</v>
      </c>
      <c r="F2883">
        <v>18.143999999999998</v>
      </c>
      <c r="G2883">
        <v>16.52</v>
      </c>
      <c r="H2883" t="s">
        <v>3631</v>
      </c>
      <c r="I2883" s="1">
        <v>37107</v>
      </c>
      <c r="J2883" s="1">
        <v>37342</v>
      </c>
      <c r="K2883" s="1">
        <v>37363</v>
      </c>
      <c r="L2883" s="1">
        <v>37363</v>
      </c>
      <c r="M2883" s="1">
        <v>37356</v>
      </c>
      <c r="N2883" s="1">
        <v>37356</v>
      </c>
      <c r="O2883" t="s">
        <v>1117</v>
      </c>
      <c r="P2883">
        <v>1</v>
      </c>
      <c r="Q2883" t="s">
        <v>3632</v>
      </c>
      <c r="R2883">
        <f t="shared" ref="R2883:R2890" si="92">WEEKNUM(N2883,1)</f>
        <v>15</v>
      </c>
      <c r="S2883">
        <f t="shared" ref="S2883:S2890" si="93">IF(AND(F2883=G2883, M2883&lt;=N2883), 1,0)</f>
        <v>0</v>
      </c>
    </row>
    <row r="2884" spans="1:19" x14ac:dyDescent="0.25">
      <c r="A2884" t="s">
        <v>4018</v>
      </c>
      <c r="B2884" t="s">
        <v>1199</v>
      </c>
      <c r="C2884">
        <v>0.2</v>
      </c>
      <c r="D2884">
        <v>425</v>
      </c>
      <c r="E2884">
        <v>0</v>
      </c>
      <c r="F2884">
        <v>29</v>
      </c>
      <c r="G2884">
        <v>29</v>
      </c>
      <c r="H2884" t="s">
        <v>3631</v>
      </c>
      <c r="I2884" s="1">
        <v>37116</v>
      </c>
      <c r="J2884" s="1">
        <v>37338</v>
      </c>
      <c r="K2884" s="1">
        <v>37383</v>
      </c>
      <c r="L2884" s="1">
        <v>37383</v>
      </c>
      <c r="M2884" s="1">
        <v>37360</v>
      </c>
      <c r="N2884" s="1">
        <v>37360</v>
      </c>
      <c r="O2884" t="s">
        <v>1117</v>
      </c>
      <c r="P2884">
        <v>4</v>
      </c>
      <c r="Q2884" t="s">
        <v>3632</v>
      </c>
      <c r="R2884">
        <f t="shared" si="92"/>
        <v>16</v>
      </c>
      <c r="S2884">
        <f t="shared" si="93"/>
        <v>1</v>
      </c>
    </row>
    <row r="2885" spans="1:19" x14ac:dyDescent="0.25">
      <c r="A2885" t="s">
        <v>4019</v>
      </c>
      <c r="B2885" t="s">
        <v>4028</v>
      </c>
      <c r="C2885">
        <v>12</v>
      </c>
      <c r="D2885">
        <v>12</v>
      </c>
      <c r="E2885">
        <v>12000</v>
      </c>
      <c r="F2885">
        <v>70</v>
      </c>
      <c r="G2885">
        <v>70</v>
      </c>
      <c r="H2885" t="s">
        <v>4020</v>
      </c>
      <c r="I2885" s="1">
        <v>37299</v>
      </c>
      <c r="J2885" s="1">
        <v>37312</v>
      </c>
      <c r="K2885" s="1">
        <v>37313</v>
      </c>
      <c r="L2885" s="1">
        <v>37313</v>
      </c>
      <c r="M2885" s="1">
        <v>37315</v>
      </c>
      <c r="N2885" s="1">
        <v>37377</v>
      </c>
      <c r="O2885" t="s">
        <v>1117</v>
      </c>
      <c r="P2885">
        <v>2</v>
      </c>
      <c r="Q2885" t="s">
        <v>1115</v>
      </c>
      <c r="R2885">
        <f t="shared" si="92"/>
        <v>18</v>
      </c>
      <c r="S2885">
        <f t="shared" si="93"/>
        <v>1</v>
      </c>
    </row>
    <row r="2886" spans="1:19" x14ac:dyDescent="0.25">
      <c r="A2886" t="s">
        <v>4021</v>
      </c>
      <c r="B2886" t="s">
        <v>4026</v>
      </c>
      <c r="C2886">
        <v>12</v>
      </c>
      <c r="D2886">
        <v>12</v>
      </c>
      <c r="E2886">
        <v>12000</v>
      </c>
      <c r="F2886">
        <v>70</v>
      </c>
      <c r="G2886">
        <v>70</v>
      </c>
      <c r="H2886" t="s">
        <v>4020</v>
      </c>
      <c r="I2886" s="1">
        <v>37299</v>
      </c>
      <c r="J2886" s="1">
        <v>37312</v>
      </c>
      <c r="K2886" s="1">
        <v>37313</v>
      </c>
      <c r="L2886" s="1">
        <v>37313</v>
      </c>
      <c r="M2886" s="1">
        <v>37315</v>
      </c>
      <c r="N2886" s="1">
        <v>37377</v>
      </c>
      <c r="O2886" t="s">
        <v>1117</v>
      </c>
      <c r="P2886">
        <v>1</v>
      </c>
      <c r="Q2886" t="s">
        <v>1115</v>
      </c>
      <c r="R2886">
        <f t="shared" si="92"/>
        <v>18</v>
      </c>
      <c r="S2886">
        <f t="shared" si="93"/>
        <v>1</v>
      </c>
    </row>
    <row r="2887" spans="1:19" x14ac:dyDescent="0.25">
      <c r="A2887" t="s">
        <v>4022</v>
      </c>
      <c r="B2887" t="s">
        <v>1199</v>
      </c>
      <c r="C2887">
        <v>12</v>
      </c>
      <c r="D2887">
        <v>12</v>
      </c>
      <c r="E2887">
        <v>12000</v>
      </c>
      <c r="F2887">
        <v>70</v>
      </c>
      <c r="G2887">
        <v>70</v>
      </c>
      <c r="H2887" t="s">
        <v>4020</v>
      </c>
      <c r="I2887" s="1">
        <v>37304</v>
      </c>
      <c r="J2887" s="1">
        <v>37312</v>
      </c>
      <c r="K2887" s="1">
        <v>37313</v>
      </c>
      <c r="L2887" s="1">
        <v>37313</v>
      </c>
      <c r="M2887" s="1">
        <v>37315</v>
      </c>
      <c r="N2887" s="1">
        <v>37377</v>
      </c>
      <c r="O2887" t="s">
        <v>1117</v>
      </c>
      <c r="P2887">
        <v>1</v>
      </c>
      <c r="Q2887" t="s">
        <v>1115</v>
      </c>
      <c r="R2887">
        <f t="shared" si="92"/>
        <v>18</v>
      </c>
      <c r="S2887">
        <f t="shared" si="93"/>
        <v>1</v>
      </c>
    </row>
    <row r="2888" spans="1:19" x14ac:dyDescent="0.25">
      <c r="A2888" t="s">
        <v>4023</v>
      </c>
      <c r="B2888" t="s">
        <v>1199</v>
      </c>
      <c r="C2888">
        <v>12</v>
      </c>
      <c r="D2888">
        <v>12</v>
      </c>
      <c r="E2888">
        <v>12000</v>
      </c>
      <c r="F2888">
        <v>11.5</v>
      </c>
      <c r="G2888">
        <v>11.5</v>
      </c>
      <c r="H2888" t="s">
        <v>4020</v>
      </c>
      <c r="I2888" s="1">
        <v>37352</v>
      </c>
      <c r="J2888" s="1">
        <v>37392</v>
      </c>
      <c r="K2888" s="1">
        <v>37377</v>
      </c>
      <c r="L2888" s="1">
        <v>37392</v>
      </c>
      <c r="M2888" s="1">
        <v>37377</v>
      </c>
      <c r="N2888" s="1">
        <v>37377</v>
      </c>
      <c r="O2888" t="s">
        <v>1114</v>
      </c>
      <c r="P2888">
        <v>1</v>
      </c>
      <c r="Q2888" t="s">
        <v>1115</v>
      </c>
      <c r="R2888">
        <f t="shared" si="92"/>
        <v>18</v>
      </c>
      <c r="S2888">
        <f t="shared" si="93"/>
        <v>1</v>
      </c>
    </row>
    <row r="2889" spans="1:19" x14ac:dyDescent="0.25">
      <c r="A2889" t="s">
        <v>4024</v>
      </c>
      <c r="B2889" t="s">
        <v>4026</v>
      </c>
      <c r="C2889">
        <v>12</v>
      </c>
      <c r="D2889">
        <v>12</v>
      </c>
      <c r="E2889">
        <v>12000</v>
      </c>
      <c r="F2889">
        <v>70</v>
      </c>
      <c r="G2889">
        <v>70</v>
      </c>
      <c r="H2889" t="s">
        <v>4020</v>
      </c>
      <c r="I2889" s="1">
        <v>37304</v>
      </c>
      <c r="J2889" s="1">
        <v>37312</v>
      </c>
      <c r="K2889" s="1">
        <v>37313</v>
      </c>
      <c r="L2889" s="1">
        <v>37313</v>
      </c>
      <c r="M2889" s="1">
        <v>37315</v>
      </c>
      <c r="N2889" s="1">
        <v>37377</v>
      </c>
      <c r="O2889" t="s">
        <v>1117</v>
      </c>
      <c r="P2889">
        <v>2</v>
      </c>
      <c r="Q2889" t="s">
        <v>1115</v>
      </c>
      <c r="R2889">
        <f t="shared" si="92"/>
        <v>18</v>
      </c>
      <c r="S2889">
        <f t="shared" si="93"/>
        <v>1</v>
      </c>
    </row>
    <row r="2890" spans="1:19" x14ac:dyDescent="0.25">
      <c r="A2890" t="s">
        <v>4025</v>
      </c>
      <c r="B2890" t="s">
        <v>1199</v>
      </c>
      <c r="C2890">
        <v>12</v>
      </c>
      <c r="D2890">
        <v>12</v>
      </c>
      <c r="E2890">
        <v>12000</v>
      </c>
      <c r="F2890">
        <v>11.5</v>
      </c>
      <c r="G2890">
        <v>11.5</v>
      </c>
      <c r="H2890" t="s">
        <v>4020</v>
      </c>
      <c r="I2890" s="1">
        <v>37304</v>
      </c>
      <c r="J2890" s="1">
        <v>37312</v>
      </c>
      <c r="K2890" s="1">
        <v>37313</v>
      </c>
      <c r="L2890" s="1">
        <v>37313</v>
      </c>
      <c r="M2890" s="1">
        <v>37315</v>
      </c>
      <c r="N2890" s="1">
        <v>37377</v>
      </c>
      <c r="O2890" t="s">
        <v>1117</v>
      </c>
      <c r="P2890">
        <v>1</v>
      </c>
      <c r="Q2890" t="s">
        <v>1115</v>
      </c>
      <c r="R2890">
        <f t="shared" si="92"/>
        <v>18</v>
      </c>
      <c r="S2890">
        <f t="shared" si="93"/>
        <v>1</v>
      </c>
    </row>
  </sheetData>
  <autoFilter ref="A1:T2890" xr:uid="{BD97137D-17C2-40AF-A0BC-3DBBC8D5272D}"/>
  <mergeCells count="1">
    <mergeCell ref="AB7:AJ8"/>
  </mergeCells>
  <pageMargins left="0.7" right="0.7" top="0.75" bottom="0.75" header="0.3" footer="0.3"/>
  <pageSetup paperSize="9" orientation="portrait" r:id="rId2"/>
  <drawing r:id="rId3"/>
</worksheet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Standard resources</vt:lpstr>
      <vt:lpstr>COLDs</vt:lpstr>
      <vt:lpstr>TargetMean</vt:lpstr>
      <vt:lpstr>TargetRange</vt:lpstr>
      <vt:lpstr>VarianceRange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SASIKIRAN, SASI</dc:creator>
  <cp:lastModifiedBy>SASIKIRAN, SASI</cp:lastModifiedBy>
  <dcterms:created xsi:type="dcterms:W3CDTF">2025-05-26T04:46:34Z</dcterms:created>
  <dcterms:modified xsi:type="dcterms:W3CDTF">2025-05-28T09:01:11Z</dcterms:modified>
</cp:coreProperties>
</file>